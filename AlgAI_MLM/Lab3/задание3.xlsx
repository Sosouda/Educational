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sran\Documents\Вилисов\Задание3\"/>
    </mc:Choice>
  </mc:AlternateContent>
  <xr:revisionPtr revIDLastSave="0" documentId="13_ncr:1_{C94E23CA-2A19-44AB-9827-75F3DE0EB816}" xr6:coauthVersionLast="47" xr6:coauthVersionMax="47" xr10:uidLastSave="{00000000-0000-0000-0000-000000000000}"/>
  <bookViews>
    <workbookView xWindow="28680" yWindow="10275" windowWidth="29040" windowHeight="15720" activeTab="2" xr2:uid="{EE1AAD57-A1DF-4551-9DB7-50FC0659E0DA}"/>
  </bookViews>
  <sheets>
    <sheet name="2.123 Линейная" sheetId="1" r:id="rId1"/>
    <sheet name="2.123 Нелинейная" sheetId="5" r:id="rId2"/>
    <sheet name="2.123 Нелин. множественная" sheetId="6" r:id="rId3"/>
    <sheet name="2.123 Нелин. поверхность" sheetId="7" r:id="rId4"/>
  </sheets>
  <definedNames>
    <definedName name="solver_adj" localSheetId="0" hidden="1">'2.123 Линейная'!$G$5:$G$6</definedName>
    <definedName name="solver_adj" localSheetId="2" hidden="1">'2.123 Нелин. множественная'!$G$5:$G$10</definedName>
    <definedName name="solver_adj" localSheetId="1" hidden="1">'2.123 Нелинейная'!$G$5:$G$7</definedName>
    <definedName name="solver_cvg" localSheetId="0" hidden="1">0.0001</definedName>
    <definedName name="solver_cvg" localSheetId="2" hidden="1">0.0001</definedName>
    <definedName name="solver_cvg" localSheetId="1" hidden="1">0.0001</definedName>
    <definedName name="solver_drv" localSheetId="0" hidden="1">2</definedName>
    <definedName name="solver_drv" localSheetId="2" hidden="1">1</definedName>
    <definedName name="solver_drv" localSheetId="1" hidden="1">1</definedName>
    <definedName name="solver_eng" localSheetId="0" hidden="1">1</definedName>
    <definedName name="solver_eng" localSheetId="2" hidden="1">1</definedName>
    <definedName name="solver_eng" localSheetId="1" hidden="1">1</definedName>
    <definedName name="solver_est" localSheetId="0" hidden="1">1</definedName>
    <definedName name="solver_est" localSheetId="2" hidden="1">1</definedName>
    <definedName name="solver_est" localSheetId="1" hidden="1">1</definedName>
    <definedName name="solver_itr" localSheetId="0" hidden="1">2147483647</definedName>
    <definedName name="solver_itr" localSheetId="2" hidden="1">2147483647</definedName>
    <definedName name="solver_itr" localSheetId="1" hidden="1">2147483647</definedName>
    <definedName name="solver_mip" localSheetId="0" hidden="1">2147483647</definedName>
    <definedName name="solver_mip" localSheetId="2" hidden="1">2147483647</definedName>
    <definedName name="solver_mip" localSheetId="1" hidden="1">2147483647</definedName>
    <definedName name="solver_mni" localSheetId="0" hidden="1">30</definedName>
    <definedName name="solver_mni" localSheetId="2" hidden="1">30</definedName>
    <definedName name="solver_mni" localSheetId="1" hidden="1">30</definedName>
    <definedName name="solver_mrt" localSheetId="0" hidden="1">0.075</definedName>
    <definedName name="solver_mrt" localSheetId="2" hidden="1">0.075</definedName>
    <definedName name="solver_mrt" localSheetId="1" hidden="1">0.075</definedName>
    <definedName name="solver_msl" localSheetId="0" hidden="1">2</definedName>
    <definedName name="solver_msl" localSheetId="2" hidden="1">2</definedName>
    <definedName name="solver_msl" localSheetId="1" hidden="1">2</definedName>
    <definedName name="solver_neg" localSheetId="0" hidden="1">2</definedName>
    <definedName name="solver_neg" localSheetId="2" hidden="1">2</definedName>
    <definedName name="solver_neg" localSheetId="1" hidden="1">2</definedName>
    <definedName name="solver_nod" localSheetId="0" hidden="1">2147483647</definedName>
    <definedName name="solver_nod" localSheetId="2" hidden="1">2147483647</definedName>
    <definedName name="solver_nod" localSheetId="1" hidden="1">2147483647</definedName>
    <definedName name="solver_num" localSheetId="0" hidden="1">0</definedName>
    <definedName name="solver_num" localSheetId="2" hidden="1">0</definedName>
    <definedName name="solver_num" localSheetId="1" hidden="1">0</definedName>
    <definedName name="solver_nwt" localSheetId="0" hidden="1">1</definedName>
    <definedName name="solver_nwt" localSheetId="2" hidden="1">1</definedName>
    <definedName name="solver_nwt" localSheetId="1" hidden="1">1</definedName>
    <definedName name="solver_opt" localSheetId="0" hidden="1">'2.123 Линейная'!$G$8</definedName>
    <definedName name="solver_opt" localSheetId="2" hidden="1">'2.123 Нелин. множественная'!$G$13</definedName>
    <definedName name="solver_opt" localSheetId="1" hidden="1">'2.123 Нелинейная'!$G$9</definedName>
    <definedName name="solver_pre" localSheetId="0" hidden="1">0.000001</definedName>
    <definedName name="solver_pre" localSheetId="2" hidden="1">0.000001</definedName>
    <definedName name="solver_pre" localSheetId="1" hidden="1">0.000001</definedName>
    <definedName name="solver_rbv" localSheetId="0" hidden="1">2</definedName>
    <definedName name="solver_rbv" localSheetId="2" hidden="1">1</definedName>
    <definedName name="solver_rbv" localSheetId="1" hidden="1">1</definedName>
    <definedName name="solver_rlx" localSheetId="0" hidden="1">2</definedName>
    <definedName name="solver_rlx" localSheetId="2" hidden="1">2</definedName>
    <definedName name="solver_rlx" localSheetId="1" hidden="1">2</definedName>
    <definedName name="solver_rsd" localSheetId="0" hidden="1">0</definedName>
    <definedName name="solver_rsd" localSheetId="2" hidden="1">0</definedName>
    <definedName name="solver_rsd" localSheetId="1" hidden="1">0</definedName>
    <definedName name="solver_scl" localSheetId="0" hidden="1">2</definedName>
    <definedName name="solver_scl" localSheetId="2" hidden="1">1</definedName>
    <definedName name="solver_scl" localSheetId="1" hidden="1">1</definedName>
    <definedName name="solver_sho" localSheetId="0" hidden="1">2</definedName>
    <definedName name="solver_sho" localSheetId="2" hidden="1">2</definedName>
    <definedName name="solver_sho" localSheetId="1" hidden="1">2</definedName>
    <definedName name="solver_ssz" localSheetId="0" hidden="1">100</definedName>
    <definedName name="solver_ssz" localSheetId="2" hidden="1">100</definedName>
    <definedName name="solver_ssz" localSheetId="1" hidden="1">100</definedName>
    <definedName name="solver_tim" localSheetId="0" hidden="1">2147483647</definedName>
    <definedName name="solver_tim" localSheetId="2" hidden="1">2147483647</definedName>
    <definedName name="solver_tim" localSheetId="1" hidden="1">2147483647</definedName>
    <definedName name="solver_tol" localSheetId="0" hidden="1">0.01</definedName>
    <definedName name="solver_tol" localSheetId="2" hidden="1">0.01</definedName>
    <definedName name="solver_tol" localSheetId="1" hidden="1">0.01</definedName>
    <definedName name="solver_typ" localSheetId="0" hidden="1">2</definedName>
    <definedName name="solver_typ" localSheetId="2" hidden="1">2</definedName>
    <definedName name="solver_typ" localSheetId="1" hidden="1">2</definedName>
    <definedName name="solver_val" localSheetId="0" hidden="1">0</definedName>
    <definedName name="solver_val" localSheetId="2" hidden="1">0</definedName>
    <definedName name="solver_val" localSheetId="1" hidden="1">0</definedName>
    <definedName name="solver_ver" localSheetId="0" hidden="1">3</definedName>
    <definedName name="solver_ver" localSheetId="2" hidden="1">3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6" l="1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" i="5"/>
  <c r="K13" i="1" l="1"/>
  <c r="J13" i="1"/>
  <c r="G13" i="1"/>
  <c r="E13" i="1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AG10" i="7"/>
  <c r="AH10" i="7"/>
  <c r="AI10" i="7"/>
  <c r="AJ10" i="7"/>
  <c r="AK10" i="7"/>
  <c r="AL10" i="7"/>
  <c r="AM10" i="7"/>
  <c r="AN10" i="7"/>
  <c r="AO10" i="7"/>
  <c r="AP10" i="7"/>
  <c r="AQ10" i="7"/>
  <c r="AR10" i="7"/>
  <c r="AS10" i="7"/>
  <c r="AT10" i="7"/>
  <c r="AU10" i="7"/>
  <c r="AV10" i="7"/>
  <c r="AW10" i="7"/>
  <c r="AX10" i="7"/>
  <c r="AY10" i="7"/>
  <c r="AZ10" i="7"/>
  <c r="BA10" i="7"/>
  <c r="BB10" i="7"/>
  <c r="BC10" i="7"/>
  <c r="BD10" i="7"/>
  <c r="BE10" i="7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AG11" i="7"/>
  <c r="AH11" i="7"/>
  <c r="AI11" i="7"/>
  <c r="AJ11" i="7"/>
  <c r="AK11" i="7"/>
  <c r="AL11" i="7"/>
  <c r="AM11" i="7"/>
  <c r="AN11" i="7"/>
  <c r="AO11" i="7"/>
  <c r="AP11" i="7"/>
  <c r="AQ11" i="7"/>
  <c r="AR11" i="7"/>
  <c r="AS11" i="7"/>
  <c r="AT11" i="7"/>
  <c r="AU11" i="7"/>
  <c r="AV11" i="7"/>
  <c r="AW11" i="7"/>
  <c r="AX11" i="7"/>
  <c r="AY11" i="7"/>
  <c r="AZ11" i="7"/>
  <c r="BA11" i="7"/>
  <c r="BB11" i="7"/>
  <c r="BC11" i="7"/>
  <c r="BD11" i="7"/>
  <c r="BE11" i="7"/>
  <c r="G12" i="7"/>
  <c r="H12" i="7"/>
  <c r="I12" i="7"/>
  <c r="J12" i="7"/>
  <c r="K12" i="7"/>
  <c r="L12" i="7"/>
  <c r="M12" i="7"/>
  <c r="N12" i="7"/>
  <c r="O12" i="7"/>
  <c r="P12" i="7"/>
  <c r="Q12" i="7"/>
  <c r="R12" i="7"/>
  <c r="S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AG12" i="7"/>
  <c r="AH12" i="7"/>
  <c r="AI12" i="7"/>
  <c r="AJ12" i="7"/>
  <c r="AK12" i="7"/>
  <c r="AL12" i="7"/>
  <c r="AM12" i="7"/>
  <c r="AN12" i="7"/>
  <c r="AO12" i="7"/>
  <c r="AP12" i="7"/>
  <c r="AQ12" i="7"/>
  <c r="AR12" i="7"/>
  <c r="AS12" i="7"/>
  <c r="AT12" i="7"/>
  <c r="AU12" i="7"/>
  <c r="AV12" i="7"/>
  <c r="AW12" i="7"/>
  <c r="AX12" i="7"/>
  <c r="AY12" i="7"/>
  <c r="AZ12" i="7"/>
  <c r="BA12" i="7"/>
  <c r="BB12" i="7"/>
  <c r="BC12" i="7"/>
  <c r="BD12" i="7"/>
  <c r="BE12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AG13" i="7"/>
  <c r="AH13" i="7"/>
  <c r="AI13" i="7"/>
  <c r="AJ13" i="7"/>
  <c r="AK13" i="7"/>
  <c r="AL13" i="7"/>
  <c r="AM13" i="7"/>
  <c r="AN13" i="7"/>
  <c r="AO13" i="7"/>
  <c r="AP13" i="7"/>
  <c r="AQ13" i="7"/>
  <c r="AR13" i="7"/>
  <c r="AS13" i="7"/>
  <c r="AT13" i="7"/>
  <c r="AU13" i="7"/>
  <c r="AV13" i="7"/>
  <c r="AW13" i="7"/>
  <c r="AX13" i="7"/>
  <c r="AY13" i="7"/>
  <c r="AZ13" i="7"/>
  <c r="BA13" i="7"/>
  <c r="BB13" i="7"/>
  <c r="BC13" i="7"/>
  <c r="BD13" i="7"/>
  <c r="BE13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AG14" i="7"/>
  <c r="AH14" i="7"/>
  <c r="AI14" i="7"/>
  <c r="AJ14" i="7"/>
  <c r="AK14" i="7"/>
  <c r="AL14" i="7"/>
  <c r="AM14" i="7"/>
  <c r="AN14" i="7"/>
  <c r="AO14" i="7"/>
  <c r="AP14" i="7"/>
  <c r="AQ14" i="7"/>
  <c r="AR14" i="7"/>
  <c r="AS14" i="7"/>
  <c r="AT14" i="7"/>
  <c r="AU14" i="7"/>
  <c r="AV14" i="7"/>
  <c r="AW14" i="7"/>
  <c r="AX14" i="7"/>
  <c r="AY14" i="7"/>
  <c r="AZ14" i="7"/>
  <c r="BA14" i="7"/>
  <c r="BB14" i="7"/>
  <c r="BC14" i="7"/>
  <c r="BD14" i="7"/>
  <c r="BE14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AJ15" i="7"/>
  <c r="AK15" i="7"/>
  <c r="AL15" i="7"/>
  <c r="AM15" i="7"/>
  <c r="AN15" i="7"/>
  <c r="AO15" i="7"/>
  <c r="AP15" i="7"/>
  <c r="AQ15" i="7"/>
  <c r="AR15" i="7"/>
  <c r="AS15" i="7"/>
  <c r="AT15" i="7"/>
  <c r="AU15" i="7"/>
  <c r="AV15" i="7"/>
  <c r="AW15" i="7"/>
  <c r="AX15" i="7"/>
  <c r="AY15" i="7"/>
  <c r="AZ15" i="7"/>
  <c r="BA15" i="7"/>
  <c r="BB15" i="7"/>
  <c r="BC15" i="7"/>
  <c r="BD15" i="7"/>
  <c r="BE15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AG16" i="7"/>
  <c r="AH16" i="7"/>
  <c r="AI16" i="7"/>
  <c r="AJ16" i="7"/>
  <c r="AK16" i="7"/>
  <c r="AL16" i="7"/>
  <c r="AM16" i="7"/>
  <c r="AN16" i="7"/>
  <c r="AO16" i="7"/>
  <c r="AP16" i="7"/>
  <c r="AQ16" i="7"/>
  <c r="AR16" i="7"/>
  <c r="AS16" i="7"/>
  <c r="AT16" i="7"/>
  <c r="AU16" i="7"/>
  <c r="AV16" i="7"/>
  <c r="AW16" i="7"/>
  <c r="AX16" i="7"/>
  <c r="AY16" i="7"/>
  <c r="AZ16" i="7"/>
  <c r="BA16" i="7"/>
  <c r="BB16" i="7"/>
  <c r="BC16" i="7"/>
  <c r="BD16" i="7"/>
  <c r="BE16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AG17" i="7"/>
  <c r="AH17" i="7"/>
  <c r="AI17" i="7"/>
  <c r="AJ17" i="7"/>
  <c r="AK17" i="7"/>
  <c r="AL17" i="7"/>
  <c r="AM17" i="7"/>
  <c r="AN17" i="7"/>
  <c r="AO17" i="7"/>
  <c r="AP17" i="7"/>
  <c r="AQ17" i="7"/>
  <c r="AR17" i="7"/>
  <c r="AS17" i="7"/>
  <c r="AT17" i="7"/>
  <c r="AU17" i="7"/>
  <c r="AV17" i="7"/>
  <c r="AW17" i="7"/>
  <c r="AX17" i="7"/>
  <c r="AY17" i="7"/>
  <c r="AZ17" i="7"/>
  <c r="BA17" i="7"/>
  <c r="BB17" i="7"/>
  <c r="BC17" i="7"/>
  <c r="BD17" i="7"/>
  <c r="BE17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AG18" i="7"/>
  <c r="AH18" i="7"/>
  <c r="AI18" i="7"/>
  <c r="AJ18" i="7"/>
  <c r="AK18" i="7"/>
  <c r="AL18" i="7"/>
  <c r="AM18" i="7"/>
  <c r="AN18" i="7"/>
  <c r="AO18" i="7"/>
  <c r="AP18" i="7"/>
  <c r="AQ18" i="7"/>
  <c r="AR18" i="7"/>
  <c r="AS18" i="7"/>
  <c r="AT18" i="7"/>
  <c r="AU18" i="7"/>
  <c r="AV18" i="7"/>
  <c r="AW18" i="7"/>
  <c r="AX18" i="7"/>
  <c r="AY18" i="7"/>
  <c r="AZ18" i="7"/>
  <c r="BA18" i="7"/>
  <c r="BB18" i="7"/>
  <c r="BC18" i="7"/>
  <c r="BD18" i="7"/>
  <c r="B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AG19" i="7"/>
  <c r="AH19" i="7"/>
  <c r="AI19" i="7"/>
  <c r="AJ19" i="7"/>
  <c r="AK19" i="7"/>
  <c r="AL19" i="7"/>
  <c r="AM19" i="7"/>
  <c r="AN19" i="7"/>
  <c r="AO19" i="7"/>
  <c r="AP19" i="7"/>
  <c r="AQ19" i="7"/>
  <c r="AR19" i="7"/>
  <c r="AS19" i="7"/>
  <c r="AT19" i="7"/>
  <c r="AU19" i="7"/>
  <c r="AV19" i="7"/>
  <c r="AW19" i="7"/>
  <c r="AX19" i="7"/>
  <c r="AY19" i="7"/>
  <c r="AZ19" i="7"/>
  <c r="BA19" i="7"/>
  <c r="BB19" i="7"/>
  <c r="BC19" i="7"/>
  <c r="BD19" i="7"/>
  <c r="BE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AG20" i="7"/>
  <c r="AH20" i="7"/>
  <c r="AI20" i="7"/>
  <c r="AJ20" i="7"/>
  <c r="AK20" i="7"/>
  <c r="AL20" i="7"/>
  <c r="AM20" i="7"/>
  <c r="AN20" i="7"/>
  <c r="AO20" i="7"/>
  <c r="AP20" i="7"/>
  <c r="AQ20" i="7"/>
  <c r="AR20" i="7"/>
  <c r="AS20" i="7"/>
  <c r="AT20" i="7"/>
  <c r="AU20" i="7"/>
  <c r="AV20" i="7"/>
  <c r="AW20" i="7"/>
  <c r="AX20" i="7"/>
  <c r="AY20" i="7"/>
  <c r="AZ20" i="7"/>
  <c r="BA20" i="7"/>
  <c r="BB20" i="7"/>
  <c r="BC20" i="7"/>
  <c r="BD20" i="7"/>
  <c r="BE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AG21" i="7"/>
  <c r="AH21" i="7"/>
  <c r="AI21" i="7"/>
  <c r="AJ21" i="7"/>
  <c r="AK21" i="7"/>
  <c r="AL21" i="7"/>
  <c r="AM21" i="7"/>
  <c r="AN21" i="7"/>
  <c r="AO21" i="7"/>
  <c r="AP21" i="7"/>
  <c r="AQ21" i="7"/>
  <c r="AR21" i="7"/>
  <c r="AS21" i="7"/>
  <c r="AT21" i="7"/>
  <c r="AU21" i="7"/>
  <c r="AV21" i="7"/>
  <c r="AW21" i="7"/>
  <c r="AX21" i="7"/>
  <c r="AY21" i="7"/>
  <c r="AZ21" i="7"/>
  <c r="BA21" i="7"/>
  <c r="BB21" i="7"/>
  <c r="BC21" i="7"/>
  <c r="BD21" i="7"/>
  <c r="BE21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AG22" i="7"/>
  <c r="AH22" i="7"/>
  <c r="AI22" i="7"/>
  <c r="AJ22" i="7"/>
  <c r="AK22" i="7"/>
  <c r="AL22" i="7"/>
  <c r="AM22" i="7"/>
  <c r="AN22" i="7"/>
  <c r="AO22" i="7"/>
  <c r="AP22" i="7"/>
  <c r="AQ22" i="7"/>
  <c r="AR22" i="7"/>
  <c r="AS22" i="7"/>
  <c r="AT22" i="7"/>
  <c r="AU22" i="7"/>
  <c r="AV22" i="7"/>
  <c r="AW22" i="7"/>
  <c r="AX22" i="7"/>
  <c r="AY22" i="7"/>
  <c r="AZ22" i="7"/>
  <c r="BA22" i="7"/>
  <c r="BB22" i="7"/>
  <c r="BC22" i="7"/>
  <c r="BD22" i="7"/>
  <c r="BE22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AG23" i="7"/>
  <c r="AH23" i="7"/>
  <c r="AI23" i="7"/>
  <c r="AJ23" i="7"/>
  <c r="AK23" i="7"/>
  <c r="AL23" i="7"/>
  <c r="AM23" i="7"/>
  <c r="AN23" i="7"/>
  <c r="AO23" i="7"/>
  <c r="AP23" i="7"/>
  <c r="AQ23" i="7"/>
  <c r="AR23" i="7"/>
  <c r="AS23" i="7"/>
  <c r="AT23" i="7"/>
  <c r="AU23" i="7"/>
  <c r="AV23" i="7"/>
  <c r="AW23" i="7"/>
  <c r="AX23" i="7"/>
  <c r="AY23" i="7"/>
  <c r="AZ23" i="7"/>
  <c r="BA23" i="7"/>
  <c r="BB23" i="7"/>
  <c r="BC23" i="7"/>
  <c r="BD23" i="7"/>
  <c r="BE23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AG24" i="7"/>
  <c r="AH24" i="7"/>
  <c r="AI24" i="7"/>
  <c r="AJ24" i="7"/>
  <c r="AK24" i="7"/>
  <c r="AL24" i="7"/>
  <c r="AM24" i="7"/>
  <c r="AN24" i="7"/>
  <c r="AO24" i="7"/>
  <c r="AP24" i="7"/>
  <c r="AQ24" i="7"/>
  <c r="AR24" i="7"/>
  <c r="AS24" i="7"/>
  <c r="AT24" i="7"/>
  <c r="AU24" i="7"/>
  <c r="AV24" i="7"/>
  <c r="AW24" i="7"/>
  <c r="AX24" i="7"/>
  <c r="AY24" i="7"/>
  <c r="AZ24" i="7"/>
  <c r="BA24" i="7"/>
  <c r="BB24" i="7"/>
  <c r="BC24" i="7"/>
  <c r="BD24" i="7"/>
  <c r="BE24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AG25" i="7"/>
  <c r="AH25" i="7"/>
  <c r="AI25" i="7"/>
  <c r="AJ25" i="7"/>
  <c r="AK25" i="7"/>
  <c r="AL25" i="7"/>
  <c r="AM25" i="7"/>
  <c r="AN25" i="7"/>
  <c r="AO25" i="7"/>
  <c r="AP25" i="7"/>
  <c r="AQ25" i="7"/>
  <c r="AR25" i="7"/>
  <c r="AS25" i="7"/>
  <c r="AT25" i="7"/>
  <c r="AU25" i="7"/>
  <c r="AV25" i="7"/>
  <c r="AW25" i="7"/>
  <c r="AX25" i="7"/>
  <c r="AY25" i="7"/>
  <c r="AZ25" i="7"/>
  <c r="BA25" i="7"/>
  <c r="BB25" i="7"/>
  <c r="BC25" i="7"/>
  <c r="BD25" i="7"/>
  <c r="BE25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AG26" i="7"/>
  <c r="AH26" i="7"/>
  <c r="AI26" i="7"/>
  <c r="AJ26" i="7"/>
  <c r="AK26" i="7"/>
  <c r="AL26" i="7"/>
  <c r="AM26" i="7"/>
  <c r="AN26" i="7"/>
  <c r="AO26" i="7"/>
  <c r="AP26" i="7"/>
  <c r="AQ26" i="7"/>
  <c r="AR26" i="7"/>
  <c r="AS26" i="7"/>
  <c r="AT26" i="7"/>
  <c r="AU26" i="7"/>
  <c r="AV26" i="7"/>
  <c r="AW26" i="7"/>
  <c r="AX26" i="7"/>
  <c r="AY26" i="7"/>
  <c r="AZ26" i="7"/>
  <c r="BA26" i="7"/>
  <c r="BB26" i="7"/>
  <c r="BC26" i="7"/>
  <c r="BD26" i="7"/>
  <c r="BE26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AG27" i="7"/>
  <c r="AH27" i="7"/>
  <c r="AI27" i="7"/>
  <c r="AJ27" i="7"/>
  <c r="AK27" i="7"/>
  <c r="AL27" i="7"/>
  <c r="AM27" i="7"/>
  <c r="AN27" i="7"/>
  <c r="AO27" i="7"/>
  <c r="AP27" i="7"/>
  <c r="AQ27" i="7"/>
  <c r="AR27" i="7"/>
  <c r="AS27" i="7"/>
  <c r="AT27" i="7"/>
  <c r="AU27" i="7"/>
  <c r="AV27" i="7"/>
  <c r="AW27" i="7"/>
  <c r="AX27" i="7"/>
  <c r="AY27" i="7"/>
  <c r="AZ27" i="7"/>
  <c r="BA27" i="7"/>
  <c r="BB27" i="7"/>
  <c r="BC27" i="7"/>
  <c r="BD27" i="7"/>
  <c r="BE27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AG28" i="7"/>
  <c r="AH28" i="7"/>
  <c r="AI28" i="7"/>
  <c r="AJ28" i="7"/>
  <c r="AK28" i="7"/>
  <c r="AL28" i="7"/>
  <c r="AM28" i="7"/>
  <c r="AN28" i="7"/>
  <c r="AO28" i="7"/>
  <c r="AP28" i="7"/>
  <c r="AQ28" i="7"/>
  <c r="AR28" i="7"/>
  <c r="AS28" i="7"/>
  <c r="AT28" i="7"/>
  <c r="AU28" i="7"/>
  <c r="AV28" i="7"/>
  <c r="AW28" i="7"/>
  <c r="AX28" i="7"/>
  <c r="AY28" i="7"/>
  <c r="AZ28" i="7"/>
  <c r="BA28" i="7"/>
  <c r="BB28" i="7"/>
  <c r="BC28" i="7"/>
  <c r="BD28" i="7"/>
  <c r="B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AG29" i="7"/>
  <c r="AH29" i="7"/>
  <c r="AI29" i="7"/>
  <c r="AJ29" i="7"/>
  <c r="AK29" i="7"/>
  <c r="AL29" i="7"/>
  <c r="AM29" i="7"/>
  <c r="AN29" i="7"/>
  <c r="AO29" i="7"/>
  <c r="AP29" i="7"/>
  <c r="AQ29" i="7"/>
  <c r="AR29" i="7"/>
  <c r="AS29" i="7"/>
  <c r="AT29" i="7"/>
  <c r="AU29" i="7"/>
  <c r="AV29" i="7"/>
  <c r="AW29" i="7"/>
  <c r="AX29" i="7"/>
  <c r="AY29" i="7"/>
  <c r="AZ29" i="7"/>
  <c r="BA29" i="7"/>
  <c r="BB29" i="7"/>
  <c r="BC29" i="7"/>
  <c r="BD29" i="7"/>
  <c r="BE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AG30" i="7"/>
  <c r="AH30" i="7"/>
  <c r="AI30" i="7"/>
  <c r="AJ30" i="7"/>
  <c r="AK30" i="7"/>
  <c r="AL30" i="7"/>
  <c r="AM30" i="7"/>
  <c r="AN30" i="7"/>
  <c r="AO30" i="7"/>
  <c r="AP30" i="7"/>
  <c r="AQ30" i="7"/>
  <c r="AR30" i="7"/>
  <c r="AS30" i="7"/>
  <c r="AT30" i="7"/>
  <c r="AU30" i="7"/>
  <c r="AV30" i="7"/>
  <c r="AW30" i="7"/>
  <c r="AX30" i="7"/>
  <c r="AY30" i="7"/>
  <c r="AZ30" i="7"/>
  <c r="BA30" i="7"/>
  <c r="BB30" i="7"/>
  <c r="BC30" i="7"/>
  <c r="BD30" i="7"/>
  <c r="BE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AG31" i="7"/>
  <c r="AH31" i="7"/>
  <c r="AI31" i="7"/>
  <c r="AJ31" i="7"/>
  <c r="AK31" i="7"/>
  <c r="AL31" i="7"/>
  <c r="AM31" i="7"/>
  <c r="AN31" i="7"/>
  <c r="AO31" i="7"/>
  <c r="AP31" i="7"/>
  <c r="AQ31" i="7"/>
  <c r="AR31" i="7"/>
  <c r="AS31" i="7"/>
  <c r="AT31" i="7"/>
  <c r="AU31" i="7"/>
  <c r="AV31" i="7"/>
  <c r="AW31" i="7"/>
  <c r="AX31" i="7"/>
  <c r="AY31" i="7"/>
  <c r="AZ31" i="7"/>
  <c r="BA31" i="7"/>
  <c r="BB31" i="7"/>
  <c r="BC31" i="7"/>
  <c r="BD31" i="7"/>
  <c r="BE31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AG32" i="7"/>
  <c r="AH32" i="7"/>
  <c r="AI32" i="7"/>
  <c r="AJ32" i="7"/>
  <c r="AK32" i="7"/>
  <c r="AL32" i="7"/>
  <c r="AM32" i="7"/>
  <c r="AN32" i="7"/>
  <c r="AO32" i="7"/>
  <c r="AP32" i="7"/>
  <c r="AQ32" i="7"/>
  <c r="AR32" i="7"/>
  <c r="AS32" i="7"/>
  <c r="AT32" i="7"/>
  <c r="AU32" i="7"/>
  <c r="AV32" i="7"/>
  <c r="AW32" i="7"/>
  <c r="AX32" i="7"/>
  <c r="AY32" i="7"/>
  <c r="AZ32" i="7"/>
  <c r="BA32" i="7"/>
  <c r="BB32" i="7"/>
  <c r="BC32" i="7"/>
  <c r="BD32" i="7"/>
  <c r="BE32" i="7"/>
  <c r="G33" i="7"/>
  <c r="H33" i="7"/>
  <c r="I33" i="7"/>
  <c r="J33" i="7"/>
  <c r="K33" i="7"/>
  <c r="L33" i="7"/>
  <c r="M33" i="7"/>
  <c r="N33" i="7"/>
  <c r="O33" i="7"/>
  <c r="P33" i="7"/>
  <c r="Q33" i="7"/>
  <c r="R33" i="7"/>
  <c r="S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AG33" i="7"/>
  <c r="AH33" i="7"/>
  <c r="AI33" i="7"/>
  <c r="AJ33" i="7"/>
  <c r="AK33" i="7"/>
  <c r="AL33" i="7"/>
  <c r="AM33" i="7"/>
  <c r="AN33" i="7"/>
  <c r="AO33" i="7"/>
  <c r="AP33" i="7"/>
  <c r="AQ33" i="7"/>
  <c r="AR33" i="7"/>
  <c r="AS33" i="7"/>
  <c r="AT33" i="7"/>
  <c r="AU33" i="7"/>
  <c r="AV33" i="7"/>
  <c r="AW33" i="7"/>
  <c r="AX33" i="7"/>
  <c r="AY33" i="7"/>
  <c r="AZ33" i="7"/>
  <c r="BA33" i="7"/>
  <c r="BB33" i="7"/>
  <c r="BC33" i="7"/>
  <c r="BD33" i="7"/>
  <c r="BE33" i="7"/>
  <c r="G34" i="7"/>
  <c r="H34" i="7"/>
  <c r="I34" i="7"/>
  <c r="J34" i="7"/>
  <c r="K34" i="7"/>
  <c r="L34" i="7"/>
  <c r="M34" i="7"/>
  <c r="N34" i="7"/>
  <c r="O34" i="7"/>
  <c r="P34" i="7"/>
  <c r="Q34" i="7"/>
  <c r="R34" i="7"/>
  <c r="S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AG34" i="7"/>
  <c r="AH34" i="7"/>
  <c r="AI34" i="7"/>
  <c r="AJ34" i="7"/>
  <c r="AK34" i="7"/>
  <c r="AL34" i="7"/>
  <c r="AM34" i="7"/>
  <c r="AN34" i="7"/>
  <c r="AO34" i="7"/>
  <c r="AP34" i="7"/>
  <c r="AQ34" i="7"/>
  <c r="AR34" i="7"/>
  <c r="AS34" i="7"/>
  <c r="AT34" i="7"/>
  <c r="AU34" i="7"/>
  <c r="AV34" i="7"/>
  <c r="AW34" i="7"/>
  <c r="AX34" i="7"/>
  <c r="AY34" i="7"/>
  <c r="AZ34" i="7"/>
  <c r="BA34" i="7"/>
  <c r="BB34" i="7"/>
  <c r="BC34" i="7"/>
  <c r="BD34" i="7"/>
  <c r="BE34" i="7"/>
  <c r="G35" i="7"/>
  <c r="H35" i="7"/>
  <c r="I35" i="7"/>
  <c r="J35" i="7"/>
  <c r="K35" i="7"/>
  <c r="L35" i="7"/>
  <c r="M35" i="7"/>
  <c r="N35" i="7"/>
  <c r="O35" i="7"/>
  <c r="P35" i="7"/>
  <c r="Q35" i="7"/>
  <c r="R35" i="7"/>
  <c r="S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AG35" i="7"/>
  <c r="AH35" i="7"/>
  <c r="AI35" i="7"/>
  <c r="AJ35" i="7"/>
  <c r="AK35" i="7"/>
  <c r="AL35" i="7"/>
  <c r="AM35" i="7"/>
  <c r="AN35" i="7"/>
  <c r="AO35" i="7"/>
  <c r="AP35" i="7"/>
  <c r="AQ35" i="7"/>
  <c r="AR35" i="7"/>
  <c r="AS35" i="7"/>
  <c r="AT35" i="7"/>
  <c r="AU35" i="7"/>
  <c r="AV35" i="7"/>
  <c r="AW35" i="7"/>
  <c r="AX35" i="7"/>
  <c r="AY35" i="7"/>
  <c r="AZ35" i="7"/>
  <c r="BA35" i="7"/>
  <c r="BB35" i="7"/>
  <c r="BC35" i="7"/>
  <c r="BD35" i="7"/>
  <c r="BE35" i="7"/>
  <c r="G36" i="7"/>
  <c r="H36" i="7"/>
  <c r="I36" i="7"/>
  <c r="J36" i="7"/>
  <c r="K36" i="7"/>
  <c r="L36" i="7"/>
  <c r="M36" i="7"/>
  <c r="N36" i="7"/>
  <c r="O36" i="7"/>
  <c r="P36" i="7"/>
  <c r="Q36" i="7"/>
  <c r="R36" i="7"/>
  <c r="S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AG36" i="7"/>
  <c r="AH36" i="7"/>
  <c r="AI36" i="7"/>
  <c r="AJ36" i="7"/>
  <c r="AK36" i="7"/>
  <c r="AL36" i="7"/>
  <c r="AM36" i="7"/>
  <c r="AN36" i="7"/>
  <c r="AO36" i="7"/>
  <c r="AP36" i="7"/>
  <c r="AQ36" i="7"/>
  <c r="AR36" i="7"/>
  <c r="AS36" i="7"/>
  <c r="AT36" i="7"/>
  <c r="AU36" i="7"/>
  <c r="AV36" i="7"/>
  <c r="AW36" i="7"/>
  <c r="AX36" i="7"/>
  <c r="AY36" i="7"/>
  <c r="AZ36" i="7"/>
  <c r="BA36" i="7"/>
  <c r="BB36" i="7"/>
  <c r="BC36" i="7"/>
  <c r="BD36" i="7"/>
  <c r="BE36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AG37" i="7"/>
  <c r="AH37" i="7"/>
  <c r="AI37" i="7"/>
  <c r="AJ37" i="7"/>
  <c r="AK37" i="7"/>
  <c r="AL37" i="7"/>
  <c r="AM37" i="7"/>
  <c r="AN37" i="7"/>
  <c r="AO37" i="7"/>
  <c r="AP37" i="7"/>
  <c r="AQ37" i="7"/>
  <c r="AR37" i="7"/>
  <c r="AS37" i="7"/>
  <c r="AT37" i="7"/>
  <c r="AU37" i="7"/>
  <c r="AV37" i="7"/>
  <c r="AW37" i="7"/>
  <c r="AX37" i="7"/>
  <c r="AY37" i="7"/>
  <c r="AZ37" i="7"/>
  <c r="BA37" i="7"/>
  <c r="BB37" i="7"/>
  <c r="BC37" i="7"/>
  <c r="BD37" i="7"/>
  <c r="BE37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AG38" i="7"/>
  <c r="AH38" i="7"/>
  <c r="AI38" i="7"/>
  <c r="AJ38" i="7"/>
  <c r="AK38" i="7"/>
  <c r="AL38" i="7"/>
  <c r="AM38" i="7"/>
  <c r="AN38" i="7"/>
  <c r="AO38" i="7"/>
  <c r="AP38" i="7"/>
  <c r="AQ38" i="7"/>
  <c r="AR38" i="7"/>
  <c r="AS38" i="7"/>
  <c r="AT38" i="7"/>
  <c r="AU38" i="7"/>
  <c r="AV38" i="7"/>
  <c r="AW38" i="7"/>
  <c r="AX38" i="7"/>
  <c r="AY38" i="7"/>
  <c r="AZ38" i="7"/>
  <c r="BA38" i="7"/>
  <c r="BB38" i="7"/>
  <c r="BC38" i="7"/>
  <c r="BD38" i="7"/>
  <c r="BE38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AG39" i="7"/>
  <c r="AH39" i="7"/>
  <c r="AI39" i="7"/>
  <c r="AJ39" i="7"/>
  <c r="AK39" i="7"/>
  <c r="AL39" i="7"/>
  <c r="AM39" i="7"/>
  <c r="AN39" i="7"/>
  <c r="AO39" i="7"/>
  <c r="AP39" i="7"/>
  <c r="AQ39" i="7"/>
  <c r="AR39" i="7"/>
  <c r="AS39" i="7"/>
  <c r="AT39" i="7"/>
  <c r="AU39" i="7"/>
  <c r="AV39" i="7"/>
  <c r="AW39" i="7"/>
  <c r="AX39" i="7"/>
  <c r="AY39" i="7"/>
  <c r="AZ39" i="7"/>
  <c r="BA39" i="7"/>
  <c r="BB39" i="7"/>
  <c r="BC39" i="7"/>
  <c r="BD39" i="7"/>
  <c r="BE39" i="7"/>
  <c r="G40" i="7"/>
  <c r="H40" i="7"/>
  <c r="I40" i="7"/>
  <c r="J40" i="7"/>
  <c r="K40" i="7"/>
  <c r="L40" i="7"/>
  <c r="M40" i="7"/>
  <c r="N40" i="7"/>
  <c r="O40" i="7"/>
  <c r="P40" i="7"/>
  <c r="Q40" i="7"/>
  <c r="R40" i="7"/>
  <c r="S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AG40" i="7"/>
  <c r="AH40" i="7"/>
  <c r="AI40" i="7"/>
  <c r="AJ40" i="7"/>
  <c r="AK40" i="7"/>
  <c r="AL40" i="7"/>
  <c r="AM40" i="7"/>
  <c r="AN40" i="7"/>
  <c r="AO40" i="7"/>
  <c r="AP40" i="7"/>
  <c r="AQ40" i="7"/>
  <c r="AR40" i="7"/>
  <c r="AS40" i="7"/>
  <c r="AT40" i="7"/>
  <c r="AU40" i="7"/>
  <c r="AV40" i="7"/>
  <c r="AW40" i="7"/>
  <c r="AX40" i="7"/>
  <c r="AY40" i="7"/>
  <c r="AZ40" i="7"/>
  <c r="BA40" i="7"/>
  <c r="BB40" i="7"/>
  <c r="BC40" i="7"/>
  <c r="BD40" i="7"/>
  <c r="BE40" i="7"/>
  <c r="G41" i="7"/>
  <c r="H41" i="7"/>
  <c r="I41" i="7"/>
  <c r="J41" i="7"/>
  <c r="K41" i="7"/>
  <c r="L41" i="7"/>
  <c r="M41" i="7"/>
  <c r="N41" i="7"/>
  <c r="O41" i="7"/>
  <c r="P41" i="7"/>
  <c r="Q41" i="7"/>
  <c r="R41" i="7"/>
  <c r="S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AG41" i="7"/>
  <c r="AH41" i="7"/>
  <c r="AI41" i="7"/>
  <c r="AJ41" i="7"/>
  <c r="AK41" i="7"/>
  <c r="AL41" i="7"/>
  <c r="AM41" i="7"/>
  <c r="AN41" i="7"/>
  <c r="AO41" i="7"/>
  <c r="AP41" i="7"/>
  <c r="AQ41" i="7"/>
  <c r="AR41" i="7"/>
  <c r="AS41" i="7"/>
  <c r="AT41" i="7"/>
  <c r="AU41" i="7"/>
  <c r="AV41" i="7"/>
  <c r="AW41" i="7"/>
  <c r="AX41" i="7"/>
  <c r="AY41" i="7"/>
  <c r="AZ41" i="7"/>
  <c r="BA41" i="7"/>
  <c r="BB41" i="7"/>
  <c r="BC41" i="7"/>
  <c r="BD41" i="7"/>
  <c r="BE41" i="7"/>
  <c r="G42" i="7"/>
  <c r="H42" i="7"/>
  <c r="I42" i="7"/>
  <c r="J42" i="7"/>
  <c r="K42" i="7"/>
  <c r="L42" i="7"/>
  <c r="M42" i="7"/>
  <c r="N42" i="7"/>
  <c r="O42" i="7"/>
  <c r="P42" i="7"/>
  <c r="Q42" i="7"/>
  <c r="R42" i="7"/>
  <c r="S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AG42" i="7"/>
  <c r="AH42" i="7"/>
  <c r="AI42" i="7"/>
  <c r="AJ42" i="7"/>
  <c r="AK42" i="7"/>
  <c r="AL42" i="7"/>
  <c r="AM42" i="7"/>
  <c r="AN42" i="7"/>
  <c r="AO42" i="7"/>
  <c r="AP42" i="7"/>
  <c r="AQ42" i="7"/>
  <c r="AR42" i="7"/>
  <c r="AS42" i="7"/>
  <c r="AT42" i="7"/>
  <c r="AU42" i="7"/>
  <c r="AV42" i="7"/>
  <c r="AW42" i="7"/>
  <c r="AX42" i="7"/>
  <c r="AY42" i="7"/>
  <c r="AZ42" i="7"/>
  <c r="BA42" i="7"/>
  <c r="BB42" i="7"/>
  <c r="BC42" i="7"/>
  <c r="BD42" i="7"/>
  <c r="BE42" i="7"/>
  <c r="G43" i="7"/>
  <c r="H43" i="7"/>
  <c r="I43" i="7"/>
  <c r="J43" i="7"/>
  <c r="K43" i="7"/>
  <c r="L43" i="7"/>
  <c r="M43" i="7"/>
  <c r="N43" i="7"/>
  <c r="O43" i="7"/>
  <c r="P43" i="7"/>
  <c r="Q43" i="7"/>
  <c r="R43" i="7"/>
  <c r="S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AG43" i="7"/>
  <c r="AH43" i="7"/>
  <c r="AI43" i="7"/>
  <c r="AJ43" i="7"/>
  <c r="AK43" i="7"/>
  <c r="AL43" i="7"/>
  <c r="AM43" i="7"/>
  <c r="AN43" i="7"/>
  <c r="AO43" i="7"/>
  <c r="AP43" i="7"/>
  <c r="AQ43" i="7"/>
  <c r="AR43" i="7"/>
  <c r="AS43" i="7"/>
  <c r="AT43" i="7"/>
  <c r="AU43" i="7"/>
  <c r="AV43" i="7"/>
  <c r="AW43" i="7"/>
  <c r="AX43" i="7"/>
  <c r="AY43" i="7"/>
  <c r="AZ43" i="7"/>
  <c r="BA43" i="7"/>
  <c r="BB43" i="7"/>
  <c r="BC43" i="7"/>
  <c r="BD43" i="7"/>
  <c r="BE43" i="7"/>
  <c r="G44" i="7"/>
  <c r="H44" i="7"/>
  <c r="I44" i="7"/>
  <c r="J44" i="7"/>
  <c r="K44" i="7"/>
  <c r="L44" i="7"/>
  <c r="M44" i="7"/>
  <c r="N44" i="7"/>
  <c r="O44" i="7"/>
  <c r="P44" i="7"/>
  <c r="Q44" i="7"/>
  <c r="R44" i="7"/>
  <c r="S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AG44" i="7"/>
  <c r="AH44" i="7"/>
  <c r="AI44" i="7"/>
  <c r="AJ44" i="7"/>
  <c r="AK44" i="7"/>
  <c r="AL44" i="7"/>
  <c r="AM44" i="7"/>
  <c r="AN44" i="7"/>
  <c r="AO44" i="7"/>
  <c r="AP44" i="7"/>
  <c r="AQ44" i="7"/>
  <c r="AR44" i="7"/>
  <c r="AS44" i="7"/>
  <c r="AT44" i="7"/>
  <c r="AU44" i="7"/>
  <c r="AV44" i="7"/>
  <c r="AW44" i="7"/>
  <c r="AX44" i="7"/>
  <c r="AY44" i="7"/>
  <c r="AZ44" i="7"/>
  <c r="BA44" i="7"/>
  <c r="BB44" i="7"/>
  <c r="BC44" i="7"/>
  <c r="BD44" i="7"/>
  <c r="BE44" i="7"/>
  <c r="G45" i="7"/>
  <c r="H45" i="7"/>
  <c r="I45" i="7"/>
  <c r="J45" i="7"/>
  <c r="K45" i="7"/>
  <c r="L45" i="7"/>
  <c r="M45" i="7"/>
  <c r="N45" i="7"/>
  <c r="O45" i="7"/>
  <c r="P45" i="7"/>
  <c r="Q45" i="7"/>
  <c r="R45" i="7"/>
  <c r="S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AG45" i="7"/>
  <c r="AH45" i="7"/>
  <c r="AI45" i="7"/>
  <c r="AJ45" i="7"/>
  <c r="AK45" i="7"/>
  <c r="AL45" i="7"/>
  <c r="AM45" i="7"/>
  <c r="AN45" i="7"/>
  <c r="AO45" i="7"/>
  <c r="AP45" i="7"/>
  <c r="AQ45" i="7"/>
  <c r="AR45" i="7"/>
  <c r="AS45" i="7"/>
  <c r="AT45" i="7"/>
  <c r="AU45" i="7"/>
  <c r="AV45" i="7"/>
  <c r="AW45" i="7"/>
  <c r="AX45" i="7"/>
  <c r="AY45" i="7"/>
  <c r="AZ45" i="7"/>
  <c r="BA45" i="7"/>
  <c r="BB45" i="7"/>
  <c r="BC45" i="7"/>
  <c r="BD45" i="7"/>
  <c r="BE45" i="7"/>
  <c r="G46" i="7"/>
  <c r="H46" i="7"/>
  <c r="I46" i="7"/>
  <c r="J46" i="7"/>
  <c r="K46" i="7"/>
  <c r="L46" i="7"/>
  <c r="M46" i="7"/>
  <c r="N46" i="7"/>
  <c r="O46" i="7"/>
  <c r="P46" i="7"/>
  <c r="Q46" i="7"/>
  <c r="R46" i="7"/>
  <c r="S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AG46" i="7"/>
  <c r="AH46" i="7"/>
  <c r="AI46" i="7"/>
  <c r="AJ46" i="7"/>
  <c r="AK46" i="7"/>
  <c r="AL46" i="7"/>
  <c r="AM46" i="7"/>
  <c r="AN46" i="7"/>
  <c r="AO46" i="7"/>
  <c r="AP46" i="7"/>
  <c r="AQ46" i="7"/>
  <c r="AR46" i="7"/>
  <c r="AS46" i="7"/>
  <c r="AT46" i="7"/>
  <c r="AU46" i="7"/>
  <c r="AV46" i="7"/>
  <c r="AW46" i="7"/>
  <c r="AX46" i="7"/>
  <c r="AY46" i="7"/>
  <c r="AZ46" i="7"/>
  <c r="BA46" i="7"/>
  <c r="BB46" i="7"/>
  <c r="BC46" i="7"/>
  <c r="BD46" i="7"/>
  <c r="BE46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AG47" i="7"/>
  <c r="AH47" i="7"/>
  <c r="AI47" i="7"/>
  <c r="AJ47" i="7"/>
  <c r="AK47" i="7"/>
  <c r="AL47" i="7"/>
  <c r="AM47" i="7"/>
  <c r="AN47" i="7"/>
  <c r="AO47" i="7"/>
  <c r="AP47" i="7"/>
  <c r="AQ47" i="7"/>
  <c r="AR47" i="7"/>
  <c r="AS47" i="7"/>
  <c r="AT47" i="7"/>
  <c r="AU47" i="7"/>
  <c r="AV47" i="7"/>
  <c r="AW47" i="7"/>
  <c r="AX47" i="7"/>
  <c r="AY47" i="7"/>
  <c r="AZ47" i="7"/>
  <c r="BA47" i="7"/>
  <c r="BB47" i="7"/>
  <c r="BC47" i="7"/>
  <c r="BD47" i="7"/>
  <c r="BE47" i="7"/>
  <c r="G48" i="7"/>
  <c r="H48" i="7"/>
  <c r="I48" i="7"/>
  <c r="J48" i="7"/>
  <c r="K48" i="7"/>
  <c r="L48" i="7"/>
  <c r="M48" i="7"/>
  <c r="N48" i="7"/>
  <c r="O48" i="7"/>
  <c r="P48" i="7"/>
  <c r="Q48" i="7"/>
  <c r="R48" i="7"/>
  <c r="S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AG48" i="7"/>
  <c r="AH48" i="7"/>
  <c r="AI48" i="7"/>
  <c r="AJ48" i="7"/>
  <c r="AK48" i="7"/>
  <c r="AL48" i="7"/>
  <c r="AM48" i="7"/>
  <c r="AN48" i="7"/>
  <c r="AO48" i="7"/>
  <c r="AP48" i="7"/>
  <c r="AQ48" i="7"/>
  <c r="AR48" i="7"/>
  <c r="AS48" i="7"/>
  <c r="AT48" i="7"/>
  <c r="AU48" i="7"/>
  <c r="AV48" i="7"/>
  <c r="AW48" i="7"/>
  <c r="AX48" i="7"/>
  <c r="AY48" i="7"/>
  <c r="AZ48" i="7"/>
  <c r="BA48" i="7"/>
  <c r="BB48" i="7"/>
  <c r="BC48" i="7"/>
  <c r="BD48" i="7"/>
  <c r="BE48" i="7"/>
  <c r="G49" i="7"/>
  <c r="H49" i="7"/>
  <c r="I49" i="7"/>
  <c r="J49" i="7"/>
  <c r="K49" i="7"/>
  <c r="L49" i="7"/>
  <c r="M49" i="7"/>
  <c r="N49" i="7"/>
  <c r="O49" i="7"/>
  <c r="P49" i="7"/>
  <c r="Q49" i="7"/>
  <c r="R49" i="7"/>
  <c r="S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AG49" i="7"/>
  <c r="AH49" i="7"/>
  <c r="AI49" i="7"/>
  <c r="AJ49" i="7"/>
  <c r="AK49" i="7"/>
  <c r="AL49" i="7"/>
  <c r="AM49" i="7"/>
  <c r="AN49" i="7"/>
  <c r="AO49" i="7"/>
  <c r="AP49" i="7"/>
  <c r="AQ49" i="7"/>
  <c r="AR49" i="7"/>
  <c r="AS49" i="7"/>
  <c r="AT49" i="7"/>
  <c r="AU49" i="7"/>
  <c r="AV49" i="7"/>
  <c r="AW49" i="7"/>
  <c r="AX49" i="7"/>
  <c r="AY49" i="7"/>
  <c r="AZ49" i="7"/>
  <c r="BA49" i="7"/>
  <c r="BB49" i="7"/>
  <c r="BC49" i="7"/>
  <c r="BD49" i="7"/>
  <c r="BE49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AG50" i="7"/>
  <c r="AH50" i="7"/>
  <c r="AI50" i="7"/>
  <c r="AJ50" i="7"/>
  <c r="AK50" i="7"/>
  <c r="AL50" i="7"/>
  <c r="AM50" i="7"/>
  <c r="AN50" i="7"/>
  <c r="AO50" i="7"/>
  <c r="AP50" i="7"/>
  <c r="AQ50" i="7"/>
  <c r="AR50" i="7"/>
  <c r="AS50" i="7"/>
  <c r="AT50" i="7"/>
  <c r="AU50" i="7"/>
  <c r="AV50" i="7"/>
  <c r="AW50" i="7"/>
  <c r="AX50" i="7"/>
  <c r="AY50" i="7"/>
  <c r="AZ50" i="7"/>
  <c r="BA50" i="7"/>
  <c r="BB50" i="7"/>
  <c r="BC50" i="7"/>
  <c r="BD50" i="7"/>
  <c r="B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AG51" i="7"/>
  <c r="AH51" i="7"/>
  <c r="AI51" i="7"/>
  <c r="AJ51" i="7"/>
  <c r="AK51" i="7"/>
  <c r="AL51" i="7"/>
  <c r="AM51" i="7"/>
  <c r="AN51" i="7"/>
  <c r="AO51" i="7"/>
  <c r="AP51" i="7"/>
  <c r="AQ51" i="7"/>
  <c r="AR51" i="7"/>
  <c r="AS51" i="7"/>
  <c r="AT51" i="7"/>
  <c r="AU51" i="7"/>
  <c r="AV51" i="7"/>
  <c r="AW51" i="7"/>
  <c r="AX51" i="7"/>
  <c r="AY51" i="7"/>
  <c r="AZ51" i="7"/>
  <c r="BA51" i="7"/>
  <c r="BB51" i="7"/>
  <c r="BC51" i="7"/>
  <c r="BD51" i="7"/>
  <c r="BE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AG52" i="7"/>
  <c r="AH52" i="7"/>
  <c r="AI52" i="7"/>
  <c r="AJ52" i="7"/>
  <c r="AK52" i="7"/>
  <c r="AL52" i="7"/>
  <c r="AM52" i="7"/>
  <c r="AN52" i="7"/>
  <c r="AO52" i="7"/>
  <c r="AP52" i="7"/>
  <c r="AQ52" i="7"/>
  <c r="AR52" i="7"/>
  <c r="AS52" i="7"/>
  <c r="AT52" i="7"/>
  <c r="AU52" i="7"/>
  <c r="AV52" i="7"/>
  <c r="AW52" i="7"/>
  <c r="AX52" i="7"/>
  <c r="AY52" i="7"/>
  <c r="AZ52" i="7"/>
  <c r="BA52" i="7"/>
  <c r="BB52" i="7"/>
  <c r="BC52" i="7"/>
  <c r="BD52" i="7"/>
  <c r="BE52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AG53" i="7"/>
  <c r="AH53" i="7"/>
  <c r="AI53" i="7"/>
  <c r="AJ53" i="7"/>
  <c r="AK53" i="7"/>
  <c r="AL53" i="7"/>
  <c r="AM53" i="7"/>
  <c r="AN53" i="7"/>
  <c r="AO53" i="7"/>
  <c r="AP53" i="7"/>
  <c r="AQ53" i="7"/>
  <c r="AR53" i="7"/>
  <c r="AS53" i="7"/>
  <c r="AT53" i="7"/>
  <c r="AU53" i="7"/>
  <c r="AV53" i="7"/>
  <c r="AW53" i="7"/>
  <c r="AX53" i="7"/>
  <c r="AY53" i="7"/>
  <c r="AZ53" i="7"/>
  <c r="BA53" i="7"/>
  <c r="BB53" i="7"/>
  <c r="BC53" i="7"/>
  <c r="BD53" i="7"/>
  <c r="BE53" i="7"/>
  <c r="G54" i="7"/>
  <c r="H54" i="7"/>
  <c r="I54" i="7"/>
  <c r="J54" i="7"/>
  <c r="K54" i="7"/>
  <c r="L54" i="7"/>
  <c r="M54" i="7"/>
  <c r="N54" i="7"/>
  <c r="O54" i="7"/>
  <c r="P54" i="7"/>
  <c r="Q54" i="7"/>
  <c r="R54" i="7"/>
  <c r="S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AG54" i="7"/>
  <c r="AH54" i="7"/>
  <c r="AI54" i="7"/>
  <c r="AJ54" i="7"/>
  <c r="AK54" i="7"/>
  <c r="AL54" i="7"/>
  <c r="AM54" i="7"/>
  <c r="AN54" i="7"/>
  <c r="AO54" i="7"/>
  <c r="AP54" i="7"/>
  <c r="AQ54" i="7"/>
  <c r="AR54" i="7"/>
  <c r="AS54" i="7"/>
  <c r="AT54" i="7"/>
  <c r="AU54" i="7"/>
  <c r="AV54" i="7"/>
  <c r="AW54" i="7"/>
  <c r="AX54" i="7"/>
  <c r="AY54" i="7"/>
  <c r="AZ54" i="7"/>
  <c r="BA54" i="7"/>
  <c r="BB54" i="7"/>
  <c r="BC54" i="7"/>
  <c r="BD54" i="7"/>
  <c r="BE54" i="7"/>
  <c r="G55" i="7"/>
  <c r="H55" i="7"/>
  <c r="I55" i="7"/>
  <c r="J55" i="7"/>
  <c r="K55" i="7"/>
  <c r="L55" i="7"/>
  <c r="M55" i="7"/>
  <c r="N55" i="7"/>
  <c r="O55" i="7"/>
  <c r="P55" i="7"/>
  <c r="Q55" i="7"/>
  <c r="R55" i="7"/>
  <c r="S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AG55" i="7"/>
  <c r="AH55" i="7"/>
  <c r="AI55" i="7"/>
  <c r="AJ55" i="7"/>
  <c r="AK55" i="7"/>
  <c r="AL55" i="7"/>
  <c r="AM55" i="7"/>
  <c r="AN55" i="7"/>
  <c r="AO55" i="7"/>
  <c r="AP55" i="7"/>
  <c r="AQ55" i="7"/>
  <c r="AR55" i="7"/>
  <c r="AS55" i="7"/>
  <c r="AT55" i="7"/>
  <c r="AU55" i="7"/>
  <c r="AV55" i="7"/>
  <c r="AW55" i="7"/>
  <c r="AX55" i="7"/>
  <c r="AY55" i="7"/>
  <c r="AZ55" i="7"/>
  <c r="BA55" i="7"/>
  <c r="BB55" i="7"/>
  <c r="BC55" i="7"/>
  <c r="BD55" i="7"/>
  <c r="BE55" i="7"/>
  <c r="G56" i="7"/>
  <c r="H56" i="7"/>
  <c r="I56" i="7"/>
  <c r="J56" i="7"/>
  <c r="K56" i="7"/>
  <c r="L56" i="7"/>
  <c r="M56" i="7"/>
  <c r="N56" i="7"/>
  <c r="O56" i="7"/>
  <c r="P56" i="7"/>
  <c r="Q56" i="7"/>
  <c r="R56" i="7"/>
  <c r="S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AG56" i="7"/>
  <c r="AH56" i="7"/>
  <c r="AI56" i="7"/>
  <c r="AJ56" i="7"/>
  <c r="AK56" i="7"/>
  <c r="AL56" i="7"/>
  <c r="AM56" i="7"/>
  <c r="AN56" i="7"/>
  <c r="AO56" i="7"/>
  <c r="AP56" i="7"/>
  <c r="AQ56" i="7"/>
  <c r="AR56" i="7"/>
  <c r="AS56" i="7"/>
  <c r="AT56" i="7"/>
  <c r="AU56" i="7"/>
  <c r="AV56" i="7"/>
  <c r="AW56" i="7"/>
  <c r="AX56" i="7"/>
  <c r="AY56" i="7"/>
  <c r="AZ56" i="7"/>
  <c r="BA56" i="7"/>
  <c r="BB56" i="7"/>
  <c r="BC56" i="7"/>
  <c r="BD56" i="7"/>
  <c r="BE56" i="7"/>
  <c r="G57" i="7"/>
  <c r="H57" i="7"/>
  <c r="I57" i="7"/>
  <c r="J57" i="7"/>
  <c r="K57" i="7"/>
  <c r="L57" i="7"/>
  <c r="M57" i="7"/>
  <c r="N57" i="7"/>
  <c r="O57" i="7"/>
  <c r="P57" i="7"/>
  <c r="Q57" i="7"/>
  <c r="R57" i="7"/>
  <c r="S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AG57" i="7"/>
  <c r="AH57" i="7"/>
  <c r="AI57" i="7"/>
  <c r="AJ57" i="7"/>
  <c r="AK57" i="7"/>
  <c r="AL57" i="7"/>
  <c r="AM57" i="7"/>
  <c r="AN57" i="7"/>
  <c r="AO57" i="7"/>
  <c r="AP57" i="7"/>
  <c r="AQ57" i="7"/>
  <c r="AR57" i="7"/>
  <c r="AS57" i="7"/>
  <c r="AT57" i="7"/>
  <c r="AU57" i="7"/>
  <c r="AV57" i="7"/>
  <c r="AW57" i="7"/>
  <c r="AX57" i="7"/>
  <c r="AY57" i="7"/>
  <c r="AZ57" i="7"/>
  <c r="BA57" i="7"/>
  <c r="BB57" i="7"/>
  <c r="BC57" i="7"/>
  <c r="BD57" i="7"/>
  <c r="BE57" i="7"/>
  <c r="G58" i="7"/>
  <c r="H58" i="7"/>
  <c r="I58" i="7"/>
  <c r="J58" i="7"/>
  <c r="K58" i="7"/>
  <c r="L58" i="7"/>
  <c r="M58" i="7"/>
  <c r="N58" i="7"/>
  <c r="O58" i="7"/>
  <c r="P58" i="7"/>
  <c r="Q58" i="7"/>
  <c r="R58" i="7"/>
  <c r="S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AG58" i="7"/>
  <c r="AH58" i="7"/>
  <c r="AI58" i="7"/>
  <c r="AJ58" i="7"/>
  <c r="AK58" i="7"/>
  <c r="AL58" i="7"/>
  <c r="AM58" i="7"/>
  <c r="AN58" i="7"/>
  <c r="AO58" i="7"/>
  <c r="AP58" i="7"/>
  <c r="AQ58" i="7"/>
  <c r="AR58" i="7"/>
  <c r="AS58" i="7"/>
  <c r="AT58" i="7"/>
  <c r="AU58" i="7"/>
  <c r="AV58" i="7"/>
  <c r="AW58" i="7"/>
  <c r="AX58" i="7"/>
  <c r="AY58" i="7"/>
  <c r="AZ58" i="7"/>
  <c r="BA58" i="7"/>
  <c r="BB58" i="7"/>
  <c r="BC58" i="7"/>
  <c r="BD58" i="7"/>
  <c r="BE58" i="7"/>
  <c r="G59" i="7"/>
  <c r="H59" i="7"/>
  <c r="I59" i="7"/>
  <c r="J59" i="7"/>
  <c r="K59" i="7"/>
  <c r="L59" i="7"/>
  <c r="M59" i="7"/>
  <c r="N59" i="7"/>
  <c r="O59" i="7"/>
  <c r="P59" i="7"/>
  <c r="Q59" i="7"/>
  <c r="R59" i="7"/>
  <c r="S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AG59" i="7"/>
  <c r="AH59" i="7"/>
  <c r="AI59" i="7"/>
  <c r="AJ59" i="7"/>
  <c r="AK59" i="7"/>
  <c r="AL59" i="7"/>
  <c r="AM59" i="7"/>
  <c r="AN59" i="7"/>
  <c r="AO59" i="7"/>
  <c r="AP59" i="7"/>
  <c r="AQ59" i="7"/>
  <c r="AR59" i="7"/>
  <c r="AS59" i="7"/>
  <c r="AT59" i="7"/>
  <c r="AU59" i="7"/>
  <c r="AV59" i="7"/>
  <c r="AW59" i="7"/>
  <c r="AX59" i="7"/>
  <c r="AY59" i="7"/>
  <c r="AZ59" i="7"/>
  <c r="BA59" i="7"/>
  <c r="BB59" i="7"/>
  <c r="BC59" i="7"/>
  <c r="BD59" i="7"/>
  <c r="BE5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AG9" i="7"/>
  <c r="AH9" i="7"/>
  <c r="AI9" i="7"/>
  <c r="AJ9" i="7"/>
  <c r="AK9" i="7"/>
  <c r="AL9" i="7"/>
  <c r="AM9" i="7"/>
  <c r="AN9" i="7"/>
  <c r="AO9" i="7"/>
  <c r="AP9" i="7"/>
  <c r="AQ9" i="7"/>
  <c r="AR9" i="7"/>
  <c r="AS9" i="7"/>
  <c r="AT9" i="7"/>
  <c r="AU9" i="7"/>
  <c r="AV9" i="7"/>
  <c r="AW9" i="7"/>
  <c r="AX9" i="7"/>
  <c r="AY9" i="7"/>
  <c r="AZ9" i="7"/>
  <c r="BA9" i="7"/>
  <c r="BB9" i="7"/>
  <c r="BC9" i="7"/>
  <c r="BD9" i="7"/>
  <c r="BE9" i="7"/>
  <c r="G9" i="7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E73" i="6" s="1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E98" i="6" s="1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E134" i="6" s="1"/>
  <c r="B135" i="6"/>
  <c r="B136" i="6"/>
  <c r="B137" i="6"/>
  <c r="B138" i="6"/>
  <c r="B139" i="6"/>
  <c r="B140" i="6"/>
  <c r="B141" i="6"/>
  <c r="B142" i="6"/>
  <c r="B20" i="6"/>
  <c r="E13" i="5"/>
  <c r="C13" i="5"/>
  <c r="B14" i="5"/>
  <c r="C14" i="5" s="1"/>
  <c r="E14" i="5" s="1"/>
  <c r="B15" i="5"/>
  <c r="C15" i="5" s="1"/>
  <c r="E15" i="5" s="1"/>
  <c r="B16" i="5"/>
  <c r="C16" i="5" s="1"/>
  <c r="E16" i="5" s="1"/>
  <c r="B17" i="5"/>
  <c r="C17" i="5" s="1"/>
  <c r="B18" i="5"/>
  <c r="C18" i="5" s="1"/>
  <c r="E18" i="5" s="1"/>
  <c r="B19" i="5"/>
  <c r="C19" i="5" s="1"/>
  <c r="B20" i="5"/>
  <c r="C20" i="5" s="1"/>
  <c r="E20" i="5" s="1"/>
  <c r="B21" i="5"/>
  <c r="C21" i="5" s="1"/>
  <c r="B22" i="5"/>
  <c r="B23" i="5"/>
  <c r="C23" i="5" s="1"/>
  <c r="E23" i="5" s="1"/>
  <c r="B24" i="5"/>
  <c r="C24" i="5" s="1"/>
  <c r="E24" i="5" s="1"/>
  <c r="B25" i="5"/>
  <c r="B26" i="5"/>
  <c r="C26" i="5" s="1"/>
  <c r="E26" i="5" s="1"/>
  <c r="B27" i="5"/>
  <c r="C27" i="5" s="1"/>
  <c r="B28" i="5"/>
  <c r="C28" i="5" s="1"/>
  <c r="E28" i="5" s="1"/>
  <c r="B29" i="5"/>
  <c r="C29" i="5" s="1"/>
  <c r="B30" i="5"/>
  <c r="C30" i="5" s="1"/>
  <c r="E30" i="5" s="1"/>
  <c r="B31" i="5"/>
  <c r="C31" i="5" s="1"/>
  <c r="B32" i="5"/>
  <c r="B33" i="5"/>
  <c r="C33" i="5" s="1"/>
  <c r="B34" i="5"/>
  <c r="B35" i="5"/>
  <c r="C35" i="5" s="1"/>
  <c r="B36" i="5"/>
  <c r="C36" i="5" s="1"/>
  <c r="E36" i="5" s="1"/>
  <c r="B37" i="5"/>
  <c r="C37" i="5" s="1"/>
  <c r="B38" i="5"/>
  <c r="C38" i="5" s="1"/>
  <c r="E38" i="5" s="1"/>
  <c r="B39" i="5"/>
  <c r="C39" i="5" s="1"/>
  <c r="B40" i="5"/>
  <c r="C40" i="5" s="1"/>
  <c r="E40" i="5" s="1"/>
  <c r="B41" i="5"/>
  <c r="C41" i="5" s="1"/>
  <c r="B42" i="5"/>
  <c r="C42" i="5" s="1"/>
  <c r="E42" i="5" s="1"/>
  <c r="B43" i="5"/>
  <c r="B44" i="5"/>
  <c r="C44" i="5" s="1"/>
  <c r="E44" i="5" s="1"/>
  <c r="B45" i="5"/>
  <c r="C45" i="5" s="1"/>
  <c r="E45" i="5" s="1"/>
  <c r="B46" i="5"/>
  <c r="B47" i="5"/>
  <c r="C47" i="5" s="1"/>
  <c r="E47" i="5" s="1"/>
  <c r="B48" i="5"/>
  <c r="C48" i="5" s="1"/>
  <c r="E48" i="5" s="1"/>
  <c r="B49" i="5"/>
  <c r="C49" i="5" s="1"/>
  <c r="B50" i="5"/>
  <c r="C50" i="5" s="1"/>
  <c r="E50" i="5" s="1"/>
  <c r="B51" i="5"/>
  <c r="C51" i="5" s="1"/>
  <c r="E51" i="5" s="1"/>
  <c r="B52" i="5"/>
  <c r="C52" i="5" s="1"/>
  <c r="E52" i="5" s="1"/>
  <c r="B53" i="5"/>
  <c r="C53" i="5" s="1"/>
  <c r="E53" i="5" s="1"/>
  <c r="B54" i="5"/>
  <c r="C54" i="5" s="1"/>
  <c r="E54" i="5" s="1"/>
  <c r="B55" i="5"/>
  <c r="B56" i="5"/>
  <c r="B57" i="5"/>
  <c r="C57" i="5" s="1"/>
  <c r="E57" i="5" s="1"/>
  <c r="B58" i="5"/>
  <c r="C58" i="5" s="1"/>
  <c r="E58" i="5" s="1"/>
  <c r="B59" i="5"/>
  <c r="C59" i="5" s="1"/>
  <c r="E59" i="5" s="1"/>
  <c r="B60" i="5"/>
  <c r="C60" i="5" s="1"/>
  <c r="B61" i="5"/>
  <c r="B62" i="5"/>
  <c r="C62" i="5" s="1"/>
  <c r="E62" i="5" s="1"/>
  <c r="B63" i="5"/>
  <c r="C63" i="5" s="1"/>
  <c r="E63" i="5" s="1"/>
  <c r="B64" i="5"/>
  <c r="C64" i="5" s="1"/>
  <c r="E64" i="5" s="1"/>
  <c r="B65" i="5"/>
  <c r="C65" i="5" s="1"/>
  <c r="E65" i="5" s="1"/>
  <c r="B66" i="5"/>
  <c r="C66" i="5" s="1"/>
  <c r="E66" i="5" s="1"/>
  <c r="B67" i="5"/>
  <c r="C67" i="5" s="1"/>
  <c r="E67" i="5" s="1"/>
  <c r="B68" i="5"/>
  <c r="B69" i="5"/>
  <c r="C69" i="5" s="1"/>
  <c r="E69" i="5" s="1"/>
  <c r="B70" i="5"/>
  <c r="B71" i="5"/>
  <c r="B72" i="5"/>
  <c r="C72" i="5" s="1"/>
  <c r="E72" i="5" s="1"/>
  <c r="B73" i="5"/>
  <c r="C73" i="5" s="1"/>
  <c r="B74" i="5"/>
  <c r="C74" i="5" s="1"/>
  <c r="E74" i="5" s="1"/>
  <c r="B75" i="5"/>
  <c r="C75" i="5" s="1"/>
  <c r="E75" i="5" s="1"/>
  <c r="B76" i="5"/>
  <c r="C76" i="5" s="1"/>
  <c r="E76" i="5" s="1"/>
  <c r="B77" i="5"/>
  <c r="C77" i="5" s="1"/>
  <c r="E77" i="5" s="1"/>
  <c r="B78" i="5"/>
  <c r="C78" i="5" s="1"/>
  <c r="E78" i="5" s="1"/>
  <c r="B79" i="5"/>
  <c r="C79" i="5" s="1"/>
  <c r="E79" i="5" s="1"/>
  <c r="B80" i="5"/>
  <c r="B81" i="5"/>
  <c r="B82" i="5"/>
  <c r="B83" i="5"/>
  <c r="C83" i="5" s="1"/>
  <c r="B84" i="5"/>
  <c r="C84" i="5" s="1"/>
  <c r="B85" i="5"/>
  <c r="C85" i="5" s="1"/>
  <c r="B86" i="5"/>
  <c r="C86" i="5" s="1"/>
  <c r="E86" i="5" s="1"/>
  <c r="B87" i="5"/>
  <c r="B88" i="5"/>
  <c r="B89" i="5"/>
  <c r="C89" i="5" s="1"/>
  <c r="E89" i="5" s="1"/>
  <c r="B90" i="5"/>
  <c r="C90" i="5" s="1"/>
  <c r="E90" i="5" s="1"/>
  <c r="B91" i="5"/>
  <c r="B92" i="5"/>
  <c r="B93" i="5"/>
  <c r="B94" i="5"/>
  <c r="C94" i="5" s="1"/>
  <c r="B95" i="5"/>
  <c r="B96" i="5"/>
  <c r="C96" i="5" s="1"/>
  <c r="E96" i="5" s="1"/>
  <c r="B97" i="5"/>
  <c r="C97" i="5" s="1"/>
  <c r="B98" i="5"/>
  <c r="C98" i="5" s="1"/>
  <c r="E98" i="5" s="1"/>
  <c r="B99" i="5"/>
  <c r="C99" i="5" s="1"/>
  <c r="E99" i="5" s="1"/>
  <c r="B100" i="5"/>
  <c r="B101" i="5"/>
  <c r="C101" i="5" s="1"/>
  <c r="E101" i="5" s="1"/>
  <c r="B102" i="5"/>
  <c r="C102" i="5" s="1"/>
  <c r="E102" i="5" s="1"/>
  <c r="B103" i="5"/>
  <c r="C103" i="5" s="1"/>
  <c r="E103" i="5" s="1"/>
  <c r="B104" i="5"/>
  <c r="C104" i="5" s="1"/>
  <c r="E104" i="5" s="1"/>
  <c r="B105" i="5"/>
  <c r="B106" i="5"/>
  <c r="B107" i="5"/>
  <c r="C107" i="5" s="1"/>
  <c r="B108" i="5"/>
  <c r="B109" i="5"/>
  <c r="C109" i="5" s="1"/>
  <c r="B110" i="5"/>
  <c r="C110" i="5" s="1"/>
  <c r="E110" i="5" s="1"/>
  <c r="B111" i="5"/>
  <c r="B112" i="5"/>
  <c r="B113" i="5"/>
  <c r="C113" i="5" s="1"/>
  <c r="E113" i="5" s="1"/>
  <c r="B114" i="5"/>
  <c r="C114" i="5" s="1"/>
  <c r="E114" i="5" s="1"/>
  <c r="B115" i="5"/>
  <c r="C115" i="5" s="1"/>
  <c r="E115" i="5" s="1"/>
  <c r="B116" i="5"/>
  <c r="B117" i="5"/>
  <c r="B118" i="5"/>
  <c r="C118" i="5" s="1"/>
  <c r="B119" i="5"/>
  <c r="B120" i="5"/>
  <c r="C120" i="5" s="1"/>
  <c r="E120" i="5" s="1"/>
  <c r="B121" i="5"/>
  <c r="C121" i="5" s="1"/>
  <c r="B122" i="5"/>
  <c r="C122" i="5" s="1"/>
  <c r="E122" i="5" s="1"/>
  <c r="B123" i="5"/>
  <c r="C123" i="5" s="1"/>
  <c r="E123" i="5" s="1"/>
  <c r="B124" i="5"/>
  <c r="B125" i="5"/>
  <c r="C125" i="5" s="1"/>
  <c r="E125" i="5" s="1"/>
  <c r="B126" i="5"/>
  <c r="C126" i="5" s="1"/>
  <c r="E126" i="5" s="1"/>
  <c r="B127" i="5"/>
  <c r="B128" i="5"/>
  <c r="B129" i="5"/>
  <c r="B130" i="5"/>
  <c r="C130" i="5" s="1"/>
  <c r="E130" i="5" s="1"/>
  <c r="B131" i="5"/>
  <c r="C131" i="5" s="1"/>
  <c r="B132" i="5"/>
  <c r="B133" i="5"/>
  <c r="C133" i="5" s="1"/>
  <c r="B134" i="5"/>
  <c r="C134" i="5" s="1"/>
  <c r="E134" i="5" s="1"/>
  <c r="B135" i="5"/>
  <c r="B13" i="5"/>
  <c r="G14" i="1"/>
  <c r="J14" i="1" s="1"/>
  <c r="K14" i="1" s="1"/>
  <c r="G15" i="1"/>
  <c r="G16" i="1"/>
  <c r="G17" i="1"/>
  <c r="G18" i="1"/>
  <c r="J18" i="1" s="1"/>
  <c r="K18" i="1" s="1"/>
  <c r="G19" i="1"/>
  <c r="J19" i="1" s="1"/>
  <c r="K19" i="1" s="1"/>
  <c r="G20" i="1"/>
  <c r="J20" i="1" s="1"/>
  <c r="K20" i="1" s="1"/>
  <c r="G21" i="1"/>
  <c r="J21" i="1" s="1"/>
  <c r="K21" i="1" s="1"/>
  <c r="G22" i="1"/>
  <c r="J22" i="1" s="1"/>
  <c r="K22" i="1" s="1"/>
  <c r="G23" i="1"/>
  <c r="J23" i="1" s="1"/>
  <c r="K23" i="1" s="1"/>
  <c r="G24" i="1"/>
  <c r="J24" i="1" s="1"/>
  <c r="K24" i="1" s="1"/>
  <c r="G25" i="1"/>
  <c r="J25" i="1" s="1"/>
  <c r="K25" i="1" s="1"/>
  <c r="G26" i="1"/>
  <c r="J26" i="1" s="1"/>
  <c r="K26" i="1" s="1"/>
  <c r="G27" i="1"/>
  <c r="G28" i="1"/>
  <c r="G29" i="1"/>
  <c r="J29" i="1" s="1"/>
  <c r="K29" i="1" s="1"/>
  <c r="G30" i="1"/>
  <c r="J30" i="1" s="1"/>
  <c r="K30" i="1" s="1"/>
  <c r="G31" i="1"/>
  <c r="J31" i="1" s="1"/>
  <c r="K31" i="1" s="1"/>
  <c r="G32" i="1"/>
  <c r="J32" i="1" s="1"/>
  <c r="K32" i="1" s="1"/>
  <c r="G33" i="1"/>
  <c r="J33" i="1" s="1"/>
  <c r="K33" i="1" s="1"/>
  <c r="G34" i="1"/>
  <c r="J34" i="1" s="1"/>
  <c r="K34" i="1" s="1"/>
  <c r="G35" i="1"/>
  <c r="J35" i="1" s="1"/>
  <c r="K35" i="1" s="1"/>
  <c r="G36" i="1"/>
  <c r="J36" i="1" s="1"/>
  <c r="K36" i="1" s="1"/>
  <c r="G37" i="1"/>
  <c r="J37" i="1" s="1"/>
  <c r="K37" i="1" s="1"/>
  <c r="G38" i="1"/>
  <c r="J38" i="1" s="1"/>
  <c r="K38" i="1" s="1"/>
  <c r="G39" i="1"/>
  <c r="J39" i="1" s="1"/>
  <c r="K39" i="1" s="1"/>
  <c r="G40" i="1"/>
  <c r="G41" i="1"/>
  <c r="G42" i="1"/>
  <c r="J42" i="1" s="1"/>
  <c r="K42" i="1" s="1"/>
  <c r="G43" i="1"/>
  <c r="J43" i="1" s="1"/>
  <c r="K43" i="1" s="1"/>
  <c r="G44" i="1"/>
  <c r="J44" i="1" s="1"/>
  <c r="K44" i="1" s="1"/>
  <c r="G45" i="1"/>
  <c r="J45" i="1" s="1"/>
  <c r="K45" i="1" s="1"/>
  <c r="G46" i="1"/>
  <c r="J46" i="1" s="1"/>
  <c r="K46" i="1" s="1"/>
  <c r="G47" i="1"/>
  <c r="J47" i="1" s="1"/>
  <c r="K47" i="1" s="1"/>
  <c r="G48" i="1"/>
  <c r="J48" i="1" s="1"/>
  <c r="K48" i="1" s="1"/>
  <c r="G49" i="1"/>
  <c r="J49" i="1" s="1"/>
  <c r="K49" i="1" s="1"/>
  <c r="G50" i="1"/>
  <c r="J50" i="1" s="1"/>
  <c r="K50" i="1" s="1"/>
  <c r="G51" i="1"/>
  <c r="J51" i="1" s="1"/>
  <c r="K51" i="1" s="1"/>
  <c r="G52" i="1"/>
  <c r="J52" i="1" s="1"/>
  <c r="K52" i="1" s="1"/>
  <c r="G53" i="1"/>
  <c r="J53" i="1" s="1"/>
  <c r="K53" i="1" s="1"/>
  <c r="G54" i="1"/>
  <c r="J54" i="1" s="1"/>
  <c r="K54" i="1" s="1"/>
  <c r="G55" i="1"/>
  <c r="J55" i="1" s="1"/>
  <c r="K55" i="1" s="1"/>
  <c r="G56" i="1"/>
  <c r="J56" i="1" s="1"/>
  <c r="K56" i="1" s="1"/>
  <c r="G57" i="1"/>
  <c r="J57" i="1" s="1"/>
  <c r="K57" i="1" s="1"/>
  <c r="G58" i="1"/>
  <c r="J58" i="1" s="1"/>
  <c r="K58" i="1" s="1"/>
  <c r="G59" i="1"/>
  <c r="J59" i="1" s="1"/>
  <c r="K59" i="1" s="1"/>
  <c r="G60" i="1"/>
  <c r="J60" i="1" s="1"/>
  <c r="K60" i="1" s="1"/>
  <c r="G61" i="1"/>
  <c r="J61" i="1" s="1"/>
  <c r="K61" i="1" s="1"/>
  <c r="G62" i="1"/>
  <c r="J62" i="1" s="1"/>
  <c r="K62" i="1" s="1"/>
  <c r="G63" i="1"/>
  <c r="G64" i="1"/>
  <c r="J64" i="1" s="1"/>
  <c r="K64" i="1" s="1"/>
  <c r="G65" i="1"/>
  <c r="J65" i="1" s="1"/>
  <c r="K65" i="1" s="1"/>
  <c r="G66" i="1"/>
  <c r="J66" i="1" s="1"/>
  <c r="K66" i="1" s="1"/>
  <c r="G67" i="1"/>
  <c r="J67" i="1" s="1"/>
  <c r="K67" i="1" s="1"/>
  <c r="G68" i="1"/>
  <c r="J68" i="1" s="1"/>
  <c r="K68" i="1" s="1"/>
  <c r="G69" i="1"/>
  <c r="J69" i="1" s="1"/>
  <c r="K69" i="1" s="1"/>
  <c r="G70" i="1"/>
  <c r="J70" i="1" s="1"/>
  <c r="K70" i="1" s="1"/>
  <c r="G71" i="1"/>
  <c r="J71" i="1" s="1"/>
  <c r="K71" i="1" s="1"/>
  <c r="G72" i="1"/>
  <c r="J72" i="1" s="1"/>
  <c r="K72" i="1" s="1"/>
  <c r="G73" i="1"/>
  <c r="J73" i="1" s="1"/>
  <c r="K73" i="1" s="1"/>
  <c r="G74" i="1"/>
  <c r="J74" i="1" s="1"/>
  <c r="K74" i="1" s="1"/>
  <c r="G75" i="1"/>
  <c r="J75" i="1" s="1"/>
  <c r="K75" i="1" s="1"/>
  <c r="G76" i="1"/>
  <c r="J76" i="1" s="1"/>
  <c r="K76" i="1" s="1"/>
  <c r="G77" i="1"/>
  <c r="J77" i="1" s="1"/>
  <c r="K77" i="1" s="1"/>
  <c r="G78" i="1"/>
  <c r="J78" i="1" s="1"/>
  <c r="K78" i="1" s="1"/>
  <c r="G79" i="1"/>
  <c r="J79" i="1" s="1"/>
  <c r="K79" i="1" s="1"/>
  <c r="G80" i="1"/>
  <c r="J80" i="1" s="1"/>
  <c r="K80" i="1" s="1"/>
  <c r="G81" i="1"/>
  <c r="J81" i="1" s="1"/>
  <c r="K81" i="1" s="1"/>
  <c r="G82" i="1"/>
  <c r="J82" i="1" s="1"/>
  <c r="K82" i="1" s="1"/>
  <c r="G83" i="1"/>
  <c r="J83" i="1" s="1"/>
  <c r="K83" i="1" s="1"/>
  <c r="G84" i="1"/>
  <c r="J84" i="1" s="1"/>
  <c r="K84" i="1" s="1"/>
  <c r="G85" i="1"/>
  <c r="J85" i="1" s="1"/>
  <c r="K85" i="1" s="1"/>
  <c r="G86" i="1"/>
  <c r="J86" i="1" s="1"/>
  <c r="K86" i="1" s="1"/>
  <c r="G87" i="1"/>
  <c r="J87" i="1" s="1"/>
  <c r="K87" i="1" s="1"/>
  <c r="G88" i="1"/>
  <c r="J88" i="1" s="1"/>
  <c r="K88" i="1" s="1"/>
  <c r="G89" i="1"/>
  <c r="J89" i="1" s="1"/>
  <c r="K89" i="1" s="1"/>
  <c r="G90" i="1"/>
  <c r="J90" i="1" s="1"/>
  <c r="K90" i="1" s="1"/>
  <c r="G91" i="1"/>
  <c r="J91" i="1" s="1"/>
  <c r="K91" i="1" s="1"/>
  <c r="G92" i="1"/>
  <c r="J92" i="1" s="1"/>
  <c r="K92" i="1" s="1"/>
  <c r="G93" i="1"/>
  <c r="J93" i="1" s="1"/>
  <c r="K93" i="1" s="1"/>
  <c r="G94" i="1"/>
  <c r="J94" i="1" s="1"/>
  <c r="K94" i="1" s="1"/>
  <c r="G95" i="1"/>
  <c r="J95" i="1" s="1"/>
  <c r="K95" i="1" s="1"/>
  <c r="G96" i="1"/>
  <c r="J96" i="1" s="1"/>
  <c r="K96" i="1" s="1"/>
  <c r="G97" i="1"/>
  <c r="J97" i="1" s="1"/>
  <c r="K97" i="1" s="1"/>
  <c r="G98" i="1"/>
  <c r="J98" i="1" s="1"/>
  <c r="K98" i="1" s="1"/>
  <c r="G99" i="1"/>
  <c r="J99" i="1" s="1"/>
  <c r="K99" i="1" s="1"/>
  <c r="G100" i="1"/>
  <c r="J100" i="1" s="1"/>
  <c r="K100" i="1" s="1"/>
  <c r="G101" i="1"/>
  <c r="J101" i="1" s="1"/>
  <c r="K101" i="1" s="1"/>
  <c r="G102" i="1"/>
  <c r="J102" i="1" s="1"/>
  <c r="K102" i="1" s="1"/>
  <c r="G103" i="1"/>
  <c r="J103" i="1" s="1"/>
  <c r="K103" i="1" s="1"/>
  <c r="G104" i="1"/>
  <c r="J104" i="1" s="1"/>
  <c r="K104" i="1" s="1"/>
  <c r="G105" i="1"/>
  <c r="J105" i="1" s="1"/>
  <c r="K105" i="1" s="1"/>
  <c r="G106" i="1"/>
  <c r="J106" i="1" s="1"/>
  <c r="K106" i="1" s="1"/>
  <c r="G107" i="1"/>
  <c r="J107" i="1" s="1"/>
  <c r="K107" i="1" s="1"/>
  <c r="G108" i="1"/>
  <c r="J108" i="1" s="1"/>
  <c r="K108" i="1" s="1"/>
  <c r="G109" i="1"/>
  <c r="J109" i="1" s="1"/>
  <c r="K109" i="1" s="1"/>
  <c r="G110" i="1"/>
  <c r="J110" i="1" s="1"/>
  <c r="K110" i="1" s="1"/>
  <c r="G111" i="1"/>
  <c r="J111" i="1" s="1"/>
  <c r="K111" i="1" s="1"/>
  <c r="G112" i="1"/>
  <c r="J112" i="1" s="1"/>
  <c r="K112" i="1" s="1"/>
  <c r="G113" i="1"/>
  <c r="J113" i="1" s="1"/>
  <c r="K113" i="1" s="1"/>
  <c r="G114" i="1"/>
  <c r="J114" i="1" s="1"/>
  <c r="K114" i="1" s="1"/>
  <c r="G115" i="1"/>
  <c r="J115" i="1" s="1"/>
  <c r="K115" i="1" s="1"/>
  <c r="G116" i="1"/>
  <c r="J116" i="1" s="1"/>
  <c r="K116" i="1" s="1"/>
  <c r="G117" i="1"/>
  <c r="J117" i="1" s="1"/>
  <c r="K117" i="1" s="1"/>
  <c r="G118" i="1"/>
  <c r="J118" i="1" s="1"/>
  <c r="K118" i="1" s="1"/>
  <c r="G119" i="1"/>
  <c r="J119" i="1" s="1"/>
  <c r="K119" i="1" s="1"/>
  <c r="G120" i="1"/>
  <c r="J120" i="1" s="1"/>
  <c r="K120" i="1" s="1"/>
  <c r="G121" i="1"/>
  <c r="J121" i="1" s="1"/>
  <c r="K121" i="1" s="1"/>
  <c r="G122" i="1"/>
  <c r="J122" i="1" s="1"/>
  <c r="K122" i="1" s="1"/>
  <c r="G123" i="1"/>
  <c r="J123" i="1" s="1"/>
  <c r="K123" i="1" s="1"/>
  <c r="G124" i="1"/>
  <c r="J124" i="1" s="1"/>
  <c r="K124" i="1" s="1"/>
  <c r="G125" i="1"/>
  <c r="J125" i="1" s="1"/>
  <c r="K125" i="1" s="1"/>
  <c r="G126" i="1"/>
  <c r="J126" i="1" s="1"/>
  <c r="K126" i="1" s="1"/>
  <c r="G127" i="1"/>
  <c r="J127" i="1" s="1"/>
  <c r="K127" i="1" s="1"/>
  <c r="G128" i="1"/>
  <c r="J128" i="1" s="1"/>
  <c r="K128" i="1" s="1"/>
  <c r="G129" i="1"/>
  <c r="J129" i="1" s="1"/>
  <c r="K129" i="1" s="1"/>
  <c r="G130" i="1"/>
  <c r="J130" i="1" s="1"/>
  <c r="K130" i="1" s="1"/>
  <c r="G131" i="1"/>
  <c r="J131" i="1" s="1"/>
  <c r="K131" i="1" s="1"/>
  <c r="G132" i="1"/>
  <c r="J132" i="1" s="1"/>
  <c r="K132" i="1" s="1"/>
  <c r="G133" i="1"/>
  <c r="J133" i="1" s="1"/>
  <c r="K133" i="1" s="1"/>
  <c r="G134" i="1"/>
  <c r="J134" i="1" s="1"/>
  <c r="K134" i="1" s="1"/>
  <c r="G135" i="1"/>
  <c r="J135" i="1" s="1"/>
  <c r="K135" i="1" s="1"/>
  <c r="J15" i="1"/>
  <c r="K15" i="1" s="1"/>
  <c r="J16" i="1"/>
  <c r="K16" i="1" s="1"/>
  <c r="J17" i="1"/>
  <c r="K17" i="1" s="1"/>
  <c r="J27" i="1"/>
  <c r="K27" i="1" s="1"/>
  <c r="J28" i="1"/>
  <c r="K28" i="1" s="1"/>
  <c r="J40" i="1"/>
  <c r="K40" i="1" s="1"/>
  <c r="J41" i="1"/>
  <c r="K41" i="1" s="1"/>
  <c r="J63" i="1"/>
  <c r="K63" i="1" s="1"/>
  <c r="C15" i="1"/>
  <c r="C16" i="1"/>
  <c r="C17" i="1"/>
  <c r="C18" i="1"/>
  <c r="C19" i="1"/>
  <c r="C20" i="1"/>
  <c r="C21" i="1"/>
  <c r="C22" i="1"/>
  <c r="E22" i="1" s="1"/>
  <c r="C23" i="1"/>
  <c r="C24" i="1"/>
  <c r="C25" i="1"/>
  <c r="E25" i="1" s="1"/>
  <c r="C26" i="1"/>
  <c r="E26" i="1" s="1"/>
  <c r="C27" i="1"/>
  <c r="C28" i="1"/>
  <c r="C29" i="1"/>
  <c r="C30" i="1"/>
  <c r="C31" i="1"/>
  <c r="C32" i="1"/>
  <c r="C33" i="1"/>
  <c r="C34" i="1"/>
  <c r="C35" i="1"/>
  <c r="E35" i="1" s="1"/>
  <c r="C36" i="1"/>
  <c r="E36" i="1" s="1"/>
  <c r="C37" i="1"/>
  <c r="E37" i="1" s="1"/>
  <c r="C38" i="1"/>
  <c r="E38" i="1" s="1"/>
  <c r="C39" i="1"/>
  <c r="C40" i="1"/>
  <c r="C41" i="1"/>
  <c r="C42" i="1"/>
  <c r="C43" i="1"/>
  <c r="C44" i="1"/>
  <c r="C45" i="1"/>
  <c r="C46" i="1"/>
  <c r="C47" i="1"/>
  <c r="C48" i="1"/>
  <c r="C49" i="1"/>
  <c r="E49" i="1" s="1"/>
  <c r="C50" i="1"/>
  <c r="E50" i="1" s="1"/>
  <c r="C51" i="1"/>
  <c r="C52" i="1"/>
  <c r="C53" i="1"/>
  <c r="C54" i="1"/>
  <c r="C55" i="1"/>
  <c r="C56" i="1"/>
  <c r="C57" i="1"/>
  <c r="C58" i="1"/>
  <c r="C59" i="1"/>
  <c r="E59" i="1" s="1"/>
  <c r="C60" i="1"/>
  <c r="C61" i="1"/>
  <c r="E61" i="1" s="1"/>
  <c r="C62" i="1"/>
  <c r="E62" i="1" s="1"/>
  <c r="C63" i="1"/>
  <c r="C64" i="1"/>
  <c r="C65" i="1"/>
  <c r="E65" i="1" s="1"/>
  <c r="C66" i="1"/>
  <c r="E66" i="1" s="1"/>
  <c r="C67" i="1"/>
  <c r="C68" i="1"/>
  <c r="C69" i="1"/>
  <c r="C70" i="1"/>
  <c r="C71" i="1"/>
  <c r="C72" i="1"/>
  <c r="C73" i="1"/>
  <c r="C74" i="1"/>
  <c r="E74" i="1" s="1"/>
  <c r="C75" i="1"/>
  <c r="C76" i="1"/>
  <c r="C77" i="1"/>
  <c r="C78" i="1"/>
  <c r="C79" i="1"/>
  <c r="C80" i="1"/>
  <c r="C81" i="1"/>
  <c r="C82" i="1"/>
  <c r="C83" i="1"/>
  <c r="C84" i="1"/>
  <c r="C85" i="1"/>
  <c r="E85" i="1" s="1"/>
  <c r="C86" i="1"/>
  <c r="E86" i="1" s="1"/>
  <c r="C87" i="1"/>
  <c r="C88" i="1"/>
  <c r="C89" i="1"/>
  <c r="E89" i="1" s="1"/>
  <c r="C90" i="1"/>
  <c r="C91" i="1"/>
  <c r="C92" i="1"/>
  <c r="C93" i="1"/>
  <c r="C94" i="1"/>
  <c r="E94" i="1" s="1"/>
  <c r="C95" i="1"/>
  <c r="E95" i="1" s="1"/>
  <c r="C96" i="1"/>
  <c r="C97" i="1"/>
  <c r="E97" i="1" s="1"/>
  <c r="C98" i="1"/>
  <c r="E98" i="1" s="1"/>
  <c r="C99" i="1"/>
  <c r="C100" i="1"/>
  <c r="C101" i="1"/>
  <c r="C102" i="1"/>
  <c r="C103" i="1"/>
  <c r="C104" i="1"/>
  <c r="C105" i="1"/>
  <c r="C106" i="1"/>
  <c r="C107" i="1"/>
  <c r="E107" i="1" s="1"/>
  <c r="C108" i="1"/>
  <c r="E108" i="1" s="1"/>
  <c r="C109" i="1"/>
  <c r="E109" i="1" s="1"/>
  <c r="C110" i="1"/>
  <c r="E110" i="1" s="1"/>
  <c r="C111" i="1"/>
  <c r="C112" i="1"/>
  <c r="C113" i="1"/>
  <c r="C114" i="1"/>
  <c r="C115" i="1"/>
  <c r="C116" i="1"/>
  <c r="C117" i="1"/>
  <c r="C118" i="1"/>
  <c r="C119" i="1"/>
  <c r="C120" i="1"/>
  <c r="C121" i="1"/>
  <c r="E121" i="1" s="1"/>
  <c r="C122" i="1"/>
  <c r="E122" i="1" s="1"/>
  <c r="C123" i="1"/>
  <c r="C124" i="1"/>
  <c r="E124" i="1" s="1"/>
  <c r="C125" i="1"/>
  <c r="E125" i="1" s="1"/>
  <c r="C126" i="1"/>
  <c r="C127" i="1"/>
  <c r="C128" i="1"/>
  <c r="C129" i="1"/>
  <c r="C130" i="1"/>
  <c r="C131" i="1"/>
  <c r="E131" i="1" s="1"/>
  <c r="C132" i="1"/>
  <c r="C133" i="1"/>
  <c r="E133" i="1" s="1"/>
  <c r="C134" i="1"/>
  <c r="E134" i="1" s="1"/>
  <c r="C135" i="1"/>
  <c r="E24" i="1"/>
  <c r="E73" i="1"/>
  <c r="E20" i="1"/>
  <c r="E21" i="1"/>
  <c r="E16" i="1"/>
  <c r="E19" i="1"/>
  <c r="E14" i="1"/>
  <c r="E15" i="1"/>
  <c r="E17" i="1"/>
  <c r="E18" i="1"/>
  <c r="E23" i="1"/>
  <c r="E27" i="1"/>
  <c r="E28" i="1"/>
  <c r="E29" i="1"/>
  <c r="E30" i="1"/>
  <c r="E31" i="1"/>
  <c r="E32" i="1"/>
  <c r="E33" i="1"/>
  <c r="E34" i="1"/>
  <c r="E39" i="1"/>
  <c r="E40" i="1"/>
  <c r="E41" i="1"/>
  <c r="E42" i="1"/>
  <c r="E43" i="1"/>
  <c r="E44" i="1"/>
  <c r="E45" i="1"/>
  <c r="E46" i="1"/>
  <c r="E47" i="1"/>
  <c r="E48" i="1"/>
  <c r="E51" i="1"/>
  <c r="E52" i="1"/>
  <c r="E53" i="1"/>
  <c r="E54" i="1"/>
  <c r="E55" i="1"/>
  <c r="E56" i="1"/>
  <c r="E57" i="1"/>
  <c r="E58" i="1"/>
  <c r="E60" i="1"/>
  <c r="E63" i="1"/>
  <c r="E64" i="1"/>
  <c r="E67" i="1"/>
  <c r="E68" i="1"/>
  <c r="E69" i="1"/>
  <c r="E70" i="1"/>
  <c r="E71" i="1"/>
  <c r="E72" i="1"/>
  <c r="E75" i="1"/>
  <c r="E76" i="1"/>
  <c r="E77" i="1"/>
  <c r="E78" i="1"/>
  <c r="E79" i="1"/>
  <c r="E80" i="1"/>
  <c r="E81" i="1"/>
  <c r="E82" i="1"/>
  <c r="E83" i="1"/>
  <c r="E84" i="1"/>
  <c r="E87" i="1"/>
  <c r="E88" i="1"/>
  <c r="E90" i="1"/>
  <c r="E91" i="1"/>
  <c r="E92" i="1"/>
  <c r="E93" i="1"/>
  <c r="E96" i="1"/>
  <c r="E99" i="1"/>
  <c r="E100" i="1"/>
  <c r="E101" i="1"/>
  <c r="E102" i="1"/>
  <c r="E103" i="1"/>
  <c r="E104" i="1"/>
  <c r="E105" i="1"/>
  <c r="E106" i="1"/>
  <c r="E111" i="1"/>
  <c r="E112" i="1"/>
  <c r="E113" i="1"/>
  <c r="E114" i="1"/>
  <c r="E115" i="1"/>
  <c r="E116" i="1"/>
  <c r="E117" i="1"/>
  <c r="E118" i="1"/>
  <c r="E119" i="1"/>
  <c r="E120" i="1"/>
  <c r="E123" i="1"/>
  <c r="E126" i="1"/>
  <c r="E127" i="1"/>
  <c r="E128" i="1"/>
  <c r="E129" i="1"/>
  <c r="E130" i="1"/>
  <c r="E132" i="1"/>
  <c r="E135" i="1"/>
  <c r="C14" i="1"/>
  <c r="C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" i="1"/>
  <c r="D20" i="6" l="1"/>
  <c r="D83" i="6"/>
  <c r="D71" i="6"/>
  <c r="D23" i="6"/>
  <c r="K130" i="6"/>
  <c r="K118" i="6"/>
  <c r="D94" i="6"/>
  <c r="D82" i="6"/>
  <c r="D70" i="6"/>
  <c r="D58" i="6"/>
  <c r="D46" i="6"/>
  <c r="K34" i="6"/>
  <c r="D22" i="6"/>
  <c r="K22" i="6" s="1"/>
  <c r="D141" i="6"/>
  <c r="D129" i="6"/>
  <c r="D117" i="6"/>
  <c r="D105" i="6"/>
  <c r="K105" i="6"/>
  <c r="D93" i="6"/>
  <c r="K93" i="6" s="1"/>
  <c r="D81" i="6"/>
  <c r="D69" i="6"/>
  <c r="D57" i="6"/>
  <c r="D45" i="6"/>
  <c r="D33" i="6"/>
  <c r="D21" i="6"/>
  <c r="K21" i="6" s="1"/>
  <c r="D131" i="6"/>
  <c r="D47" i="6"/>
  <c r="K47" i="6"/>
  <c r="D103" i="6"/>
  <c r="K103" i="6" s="1"/>
  <c r="D138" i="6"/>
  <c r="D126" i="6"/>
  <c r="D102" i="6"/>
  <c r="K102" i="6" s="1"/>
  <c r="D54" i="6"/>
  <c r="D42" i="6"/>
  <c r="D30" i="6"/>
  <c r="K30" i="6"/>
  <c r="K116" i="6"/>
  <c r="D137" i="6"/>
  <c r="D125" i="6"/>
  <c r="K125" i="6" s="1"/>
  <c r="D113" i="6"/>
  <c r="K113" i="6" s="1"/>
  <c r="E101" i="6"/>
  <c r="D89" i="6"/>
  <c r="K89" i="6"/>
  <c r="D77" i="6"/>
  <c r="K77" i="6" s="1"/>
  <c r="D65" i="6"/>
  <c r="D53" i="6"/>
  <c r="F53" i="6" s="1"/>
  <c r="H53" i="6" s="1"/>
  <c r="D41" i="6"/>
  <c r="K41" i="6" s="1"/>
  <c r="D29" i="6"/>
  <c r="K119" i="6"/>
  <c r="K128" i="6"/>
  <c r="D79" i="6"/>
  <c r="D31" i="6"/>
  <c r="D136" i="6"/>
  <c r="D124" i="6"/>
  <c r="D112" i="6"/>
  <c r="K112" i="6"/>
  <c r="D100" i="6"/>
  <c r="K100" i="6" s="1"/>
  <c r="D88" i="6"/>
  <c r="D76" i="6"/>
  <c r="D64" i="6"/>
  <c r="D52" i="6"/>
  <c r="D40" i="6"/>
  <c r="F40" i="6" s="1"/>
  <c r="H40" i="6" s="1"/>
  <c r="K40" i="6"/>
  <c r="D28" i="6"/>
  <c r="K28" i="6" s="1"/>
  <c r="D35" i="6"/>
  <c r="D135" i="6"/>
  <c r="D123" i="6"/>
  <c r="D111" i="6"/>
  <c r="D99" i="6"/>
  <c r="K99" i="6"/>
  <c r="D87" i="6"/>
  <c r="K87" i="6" s="1"/>
  <c r="D75" i="6"/>
  <c r="D63" i="6"/>
  <c r="D51" i="6"/>
  <c r="F51" i="6" s="1"/>
  <c r="H51" i="6" s="1"/>
  <c r="D39" i="6"/>
  <c r="F39" i="6" s="1"/>
  <c r="H39" i="6" s="1"/>
  <c r="D27" i="6"/>
  <c r="D59" i="6"/>
  <c r="K59" i="6" s="1"/>
  <c r="D122" i="6"/>
  <c r="D110" i="6"/>
  <c r="K110" i="6" s="1"/>
  <c r="D74" i="6"/>
  <c r="K74" i="6"/>
  <c r="D62" i="6"/>
  <c r="F62" i="6" s="1"/>
  <c r="H62" i="6" s="1"/>
  <c r="K62" i="6"/>
  <c r="D50" i="6"/>
  <c r="K50" i="6" s="1"/>
  <c r="D38" i="6"/>
  <c r="D26" i="6"/>
  <c r="K26" i="6" s="1"/>
  <c r="N26" i="6" s="1"/>
  <c r="O26" i="6" s="1"/>
  <c r="E62" i="6"/>
  <c r="D95" i="6"/>
  <c r="F95" i="6" s="1"/>
  <c r="H95" i="6" s="1"/>
  <c r="K133" i="6"/>
  <c r="D109" i="6"/>
  <c r="K109" i="6"/>
  <c r="D97" i="6"/>
  <c r="K97" i="6" s="1"/>
  <c r="D73" i="6"/>
  <c r="F73" i="6" s="1"/>
  <c r="H73" i="6" s="1"/>
  <c r="N73" i="6" s="1"/>
  <c r="O73" i="6" s="1"/>
  <c r="K73" i="6"/>
  <c r="E49" i="6"/>
  <c r="D37" i="6"/>
  <c r="K37" i="6" s="1"/>
  <c r="E26" i="6"/>
  <c r="K121" i="6"/>
  <c r="K85" i="6"/>
  <c r="D61" i="6"/>
  <c r="K61" i="6" s="1"/>
  <c r="D25" i="6"/>
  <c r="D132" i="6"/>
  <c r="K132" i="6" s="1"/>
  <c r="D120" i="6"/>
  <c r="K60" i="6"/>
  <c r="D48" i="6"/>
  <c r="K48" i="6" s="1"/>
  <c r="D36" i="6"/>
  <c r="K36" i="6"/>
  <c r="D24" i="6"/>
  <c r="K24" i="6" s="1"/>
  <c r="E133" i="6"/>
  <c r="E61" i="6"/>
  <c r="F30" i="6"/>
  <c r="H30" i="6" s="1"/>
  <c r="E122" i="6"/>
  <c r="K122" i="6" s="1"/>
  <c r="E50" i="6"/>
  <c r="F41" i="6"/>
  <c r="H41" i="6" s="1"/>
  <c r="E121" i="6"/>
  <c r="E110" i="6"/>
  <c r="F110" i="6" s="1"/>
  <c r="H110" i="6" s="1"/>
  <c r="N110" i="6" s="1"/>
  <c r="O110" i="6" s="1"/>
  <c r="E38" i="6"/>
  <c r="F38" i="6" s="1"/>
  <c r="H38" i="6" s="1"/>
  <c r="F123" i="6"/>
  <c r="H123" i="6" s="1"/>
  <c r="F63" i="6"/>
  <c r="H63" i="6" s="1"/>
  <c r="E109" i="6"/>
  <c r="E37" i="6"/>
  <c r="F37" i="6" s="1"/>
  <c r="H37" i="6" s="1"/>
  <c r="F74" i="6"/>
  <c r="H74" i="6" s="1"/>
  <c r="F50" i="6"/>
  <c r="H50" i="6" s="1"/>
  <c r="F26" i="6"/>
  <c r="H26" i="6" s="1"/>
  <c r="E97" i="6"/>
  <c r="F97" i="6" s="1"/>
  <c r="H97" i="6" s="1"/>
  <c r="E25" i="6"/>
  <c r="F25" i="6" s="1"/>
  <c r="H25" i="6" s="1"/>
  <c r="E86" i="6"/>
  <c r="E85" i="6"/>
  <c r="E74" i="6"/>
  <c r="E132" i="6"/>
  <c r="F132" i="6" s="1"/>
  <c r="H132" i="6" s="1"/>
  <c r="E120" i="6"/>
  <c r="F120" i="6" s="1"/>
  <c r="H120" i="6" s="1"/>
  <c r="E108" i="6"/>
  <c r="E96" i="6"/>
  <c r="F96" i="6" s="1"/>
  <c r="H96" i="6" s="1"/>
  <c r="E84" i="6"/>
  <c r="F84" i="6" s="1"/>
  <c r="H84" i="6" s="1"/>
  <c r="E72" i="6"/>
  <c r="F72" i="6" s="1"/>
  <c r="H72" i="6" s="1"/>
  <c r="E60" i="6"/>
  <c r="E48" i="6"/>
  <c r="F48" i="6" s="1"/>
  <c r="H48" i="6" s="1"/>
  <c r="E36" i="6"/>
  <c r="F36" i="6" s="1"/>
  <c r="H36" i="6" s="1"/>
  <c r="E24" i="6"/>
  <c r="F24" i="6" s="1"/>
  <c r="H24" i="6" s="1"/>
  <c r="E20" i="6"/>
  <c r="H20" i="6" s="1"/>
  <c r="E131" i="6"/>
  <c r="F131" i="6" s="1"/>
  <c r="H131" i="6" s="1"/>
  <c r="E119" i="6"/>
  <c r="E107" i="6"/>
  <c r="E95" i="6"/>
  <c r="K95" i="6" s="1"/>
  <c r="E83" i="6"/>
  <c r="F83" i="6" s="1"/>
  <c r="H83" i="6" s="1"/>
  <c r="E71" i="6"/>
  <c r="F71" i="6" s="1"/>
  <c r="H71" i="6" s="1"/>
  <c r="E59" i="6"/>
  <c r="F59" i="6" s="1"/>
  <c r="H59" i="6" s="1"/>
  <c r="E47" i="6"/>
  <c r="E35" i="6"/>
  <c r="F35" i="6" s="1"/>
  <c r="H35" i="6" s="1"/>
  <c r="E23" i="6"/>
  <c r="F23" i="6" s="1"/>
  <c r="H23" i="6" s="1"/>
  <c r="E142" i="6"/>
  <c r="E130" i="6"/>
  <c r="E118" i="6"/>
  <c r="E106" i="6"/>
  <c r="E94" i="6"/>
  <c r="F94" i="6" s="1"/>
  <c r="H94" i="6" s="1"/>
  <c r="E82" i="6"/>
  <c r="F82" i="6" s="1"/>
  <c r="H82" i="6" s="1"/>
  <c r="E70" i="6"/>
  <c r="F70" i="6" s="1"/>
  <c r="H70" i="6" s="1"/>
  <c r="E58" i="6"/>
  <c r="F58" i="6" s="1"/>
  <c r="H58" i="6" s="1"/>
  <c r="E46" i="6"/>
  <c r="F46" i="6" s="1"/>
  <c r="H46" i="6" s="1"/>
  <c r="E34" i="6"/>
  <c r="E22" i="6"/>
  <c r="F22" i="6" s="1"/>
  <c r="H22" i="6" s="1"/>
  <c r="E141" i="6"/>
  <c r="F141" i="6" s="1"/>
  <c r="H141" i="6" s="1"/>
  <c r="E129" i="6"/>
  <c r="F129" i="6" s="1"/>
  <c r="H129" i="6" s="1"/>
  <c r="E117" i="6"/>
  <c r="F117" i="6" s="1"/>
  <c r="H117" i="6" s="1"/>
  <c r="E105" i="6"/>
  <c r="F105" i="6" s="1"/>
  <c r="H105" i="6" s="1"/>
  <c r="E93" i="6"/>
  <c r="E81" i="6"/>
  <c r="F81" i="6" s="1"/>
  <c r="H81" i="6" s="1"/>
  <c r="E69" i="6"/>
  <c r="F69" i="6" s="1"/>
  <c r="H69" i="6" s="1"/>
  <c r="E57" i="6"/>
  <c r="F57" i="6" s="1"/>
  <c r="H57" i="6" s="1"/>
  <c r="E45" i="6"/>
  <c r="F45" i="6" s="1"/>
  <c r="H45" i="6" s="1"/>
  <c r="E33" i="6"/>
  <c r="F33" i="6" s="1"/>
  <c r="H33" i="6" s="1"/>
  <c r="E21" i="6"/>
  <c r="E140" i="6"/>
  <c r="E128" i="6"/>
  <c r="E116" i="6"/>
  <c r="E104" i="6"/>
  <c r="E92" i="6"/>
  <c r="E80" i="6"/>
  <c r="E68" i="6"/>
  <c r="E56" i="6"/>
  <c r="E44" i="6"/>
  <c r="E32" i="6"/>
  <c r="E139" i="6"/>
  <c r="E127" i="6"/>
  <c r="E115" i="6"/>
  <c r="E103" i="6"/>
  <c r="F103" i="6" s="1"/>
  <c r="H103" i="6" s="1"/>
  <c r="E91" i="6"/>
  <c r="E79" i="6"/>
  <c r="F79" i="6" s="1"/>
  <c r="H79" i="6" s="1"/>
  <c r="E67" i="6"/>
  <c r="E55" i="6"/>
  <c r="E43" i="6"/>
  <c r="E31" i="6"/>
  <c r="K31" i="6" s="1"/>
  <c r="E138" i="6"/>
  <c r="F138" i="6" s="1"/>
  <c r="H138" i="6" s="1"/>
  <c r="E126" i="6"/>
  <c r="K126" i="6" s="1"/>
  <c r="E114" i="6"/>
  <c r="K114" i="6" s="1"/>
  <c r="E102" i="6"/>
  <c r="F102" i="6" s="1"/>
  <c r="H102" i="6" s="1"/>
  <c r="E90" i="6"/>
  <c r="E78" i="6"/>
  <c r="E66" i="6"/>
  <c r="E54" i="6"/>
  <c r="K54" i="6" s="1"/>
  <c r="E42" i="6"/>
  <c r="K42" i="6" s="1"/>
  <c r="E30" i="6"/>
  <c r="E137" i="6"/>
  <c r="F137" i="6" s="1"/>
  <c r="H137" i="6" s="1"/>
  <c r="E125" i="6"/>
  <c r="F125" i="6" s="1"/>
  <c r="H125" i="6" s="1"/>
  <c r="E113" i="6"/>
  <c r="F113" i="6" s="1"/>
  <c r="H113" i="6" s="1"/>
  <c r="E89" i="6"/>
  <c r="F89" i="6" s="1"/>
  <c r="H89" i="6" s="1"/>
  <c r="E77" i="6"/>
  <c r="F77" i="6" s="1"/>
  <c r="H77" i="6" s="1"/>
  <c r="E65" i="6"/>
  <c r="F65" i="6" s="1"/>
  <c r="H65" i="6" s="1"/>
  <c r="E53" i="6"/>
  <c r="E41" i="6"/>
  <c r="E29" i="6"/>
  <c r="F29" i="6" s="1"/>
  <c r="H29" i="6" s="1"/>
  <c r="E136" i="6"/>
  <c r="F136" i="6" s="1"/>
  <c r="H136" i="6" s="1"/>
  <c r="E124" i="6"/>
  <c r="F124" i="6" s="1"/>
  <c r="H124" i="6" s="1"/>
  <c r="E112" i="6"/>
  <c r="F112" i="6" s="1"/>
  <c r="H112" i="6" s="1"/>
  <c r="E100" i="6"/>
  <c r="E88" i="6"/>
  <c r="F88" i="6" s="1"/>
  <c r="H88" i="6" s="1"/>
  <c r="E76" i="6"/>
  <c r="F76" i="6" s="1"/>
  <c r="H76" i="6" s="1"/>
  <c r="E64" i="6"/>
  <c r="F64" i="6" s="1"/>
  <c r="H64" i="6" s="1"/>
  <c r="E52" i="6"/>
  <c r="F52" i="6" s="1"/>
  <c r="H52" i="6" s="1"/>
  <c r="E40" i="6"/>
  <c r="E28" i="6"/>
  <c r="E135" i="6"/>
  <c r="F135" i="6" s="1"/>
  <c r="H135" i="6" s="1"/>
  <c r="E123" i="6"/>
  <c r="K123" i="6" s="1"/>
  <c r="E111" i="6"/>
  <c r="F111" i="6" s="1"/>
  <c r="H111" i="6" s="1"/>
  <c r="E99" i="6"/>
  <c r="F99" i="6" s="1"/>
  <c r="H99" i="6" s="1"/>
  <c r="E87" i="6"/>
  <c r="E75" i="6"/>
  <c r="F75" i="6" s="1"/>
  <c r="H75" i="6" s="1"/>
  <c r="E63" i="6"/>
  <c r="K63" i="6" s="1"/>
  <c r="E51" i="6"/>
  <c r="K51" i="6" s="1"/>
  <c r="E39" i="6"/>
  <c r="K39" i="6" s="1"/>
  <c r="E27" i="6"/>
  <c r="F27" i="6" s="1"/>
  <c r="H27" i="6" s="1"/>
  <c r="D134" i="6"/>
  <c r="F134" i="6" s="1"/>
  <c r="H134" i="6" s="1"/>
  <c r="D98" i="6"/>
  <c r="F98" i="6" s="1"/>
  <c r="H98" i="6" s="1"/>
  <c r="D86" i="6"/>
  <c r="F86" i="6" s="1"/>
  <c r="H86" i="6" s="1"/>
  <c r="D34" i="6"/>
  <c r="D142" i="6"/>
  <c r="F142" i="6" s="1"/>
  <c r="H142" i="6" s="1"/>
  <c r="D118" i="6"/>
  <c r="D104" i="6"/>
  <c r="K104" i="6" s="1"/>
  <c r="D140" i="6"/>
  <c r="K140" i="6" s="1"/>
  <c r="D130" i="6"/>
  <c r="D92" i="6"/>
  <c r="K92" i="6" s="1"/>
  <c r="D128" i="6"/>
  <c r="D116" i="6"/>
  <c r="D106" i="6"/>
  <c r="F106" i="6" s="1"/>
  <c r="H106" i="6" s="1"/>
  <c r="D80" i="6"/>
  <c r="K80" i="6" s="1"/>
  <c r="D68" i="6"/>
  <c r="F68" i="6" s="1"/>
  <c r="H68" i="6" s="1"/>
  <c r="D56" i="6"/>
  <c r="F56" i="6" s="1"/>
  <c r="H56" i="6" s="1"/>
  <c r="D44" i="6"/>
  <c r="K44" i="6" s="1"/>
  <c r="D32" i="6"/>
  <c r="K32" i="6" s="1"/>
  <c r="D139" i="6"/>
  <c r="F139" i="6" s="1"/>
  <c r="H139" i="6" s="1"/>
  <c r="D133" i="6"/>
  <c r="D127" i="6"/>
  <c r="K127" i="6" s="1"/>
  <c r="D121" i="6"/>
  <c r="D115" i="6"/>
  <c r="F115" i="6" s="1"/>
  <c r="H115" i="6" s="1"/>
  <c r="D91" i="6"/>
  <c r="K91" i="6" s="1"/>
  <c r="D85" i="6"/>
  <c r="D67" i="6"/>
  <c r="K67" i="6" s="1"/>
  <c r="D55" i="6"/>
  <c r="K55" i="6" s="1"/>
  <c r="D49" i="6"/>
  <c r="F49" i="6" s="1"/>
  <c r="H49" i="6" s="1"/>
  <c r="D43" i="6"/>
  <c r="F43" i="6" s="1"/>
  <c r="H43" i="6" s="1"/>
  <c r="D114" i="6"/>
  <c r="D108" i="6"/>
  <c r="F108" i="6" s="1"/>
  <c r="H108" i="6" s="1"/>
  <c r="D96" i="6"/>
  <c r="K96" i="6" s="1"/>
  <c r="D90" i="6"/>
  <c r="F90" i="6" s="1"/>
  <c r="H90" i="6" s="1"/>
  <c r="D84" i="6"/>
  <c r="D78" i="6"/>
  <c r="F78" i="6" s="1"/>
  <c r="H78" i="6" s="1"/>
  <c r="D72" i="6"/>
  <c r="D66" i="6"/>
  <c r="F66" i="6" s="1"/>
  <c r="H66" i="6" s="1"/>
  <c r="D60" i="6"/>
  <c r="D119" i="6"/>
  <c r="F119" i="6" s="1"/>
  <c r="H119" i="6" s="1"/>
  <c r="D107" i="6"/>
  <c r="F107" i="6" s="1"/>
  <c r="H107" i="6" s="1"/>
  <c r="D101" i="6"/>
  <c r="F101" i="6" s="1"/>
  <c r="H101" i="6" s="1"/>
  <c r="N74" i="6"/>
  <c r="O74" i="6" s="1"/>
  <c r="C119" i="5"/>
  <c r="E119" i="5" s="1"/>
  <c r="J52" i="5"/>
  <c r="K52" i="5" s="1"/>
  <c r="J58" i="5"/>
  <c r="K58" i="5" s="1"/>
  <c r="J40" i="5"/>
  <c r="K40" i="5" s="1"/>
  <c r="J64" i="5"/>
  <c r="K64" i="5" s="1"/>
  <c r="J76" i="5"/>
  <c r="K76" i="5" s="1"/>
  <c r="J28" i="5"/>
  <c r="K28" i="5" s="1"/>
  <c r="J66" i="5"/>
  <c r="K66" i="5" s="1"/>
  <c r="J54" i="5"/>
  <c r="K54" i="5" s="1"/>
  <c r="J110" i="5"/>
  <c r="K110" i="5" s="1"/>
  <c r="J16" i="5"/>
  <c r="K16" i="5" s="1"/>
  <c r="C112" i="5"/>
  <c r="E112" i="5" s="1"/>
  <c r="J112" i="5" s="1"/>
  <c r="K112" i="5" s="1"/>
  <c r="C46" i="5"/>
  <c r="E46" i="5" s="1"/>
  <c r="J46" i="5" s="1"/>
  <c r="K46" i="5" s="1"/>
  <c r="J114" i="5"/>
  <c r="K114" i="5" s="1"/>
  <c r="J98" i="5"/>
  <c r="K98" i="5" s="1"/>
  <c r="J74" i="5"/>
  <c r="K74" i="5" s="1"/>
  <c r="J62" i="5"/>
  <c r="K62" i="5" s="1"/>
  <c r="J50" i="5"/>
  <c r="K50" i="5" s="1"/>
  <c r="J38" i="5"/>
  <c r="K38" i="5" s="1"/>
  <c r="J14" i="5"/>
  <c r="K14" i="5" s="1"/>
  <c r="J42" i="5"/>
  <c r="K42" i="5" s="1"/>
  <c r="J89" i="5"/>
  <c r="K89" i="5" s="1"/>
  <c r="J120" i="5"/>
  <c r="K120" i="5" s="1"/>
  <c r="C106" i="5"/>
  <c r="E106" i="5" s="1"/>
  <c r="J106" i="5" s="1"/>
  <c r="K106" i="5" s="1"/>
  <c r="C71" i="5"/>
  <c r="E71" i="5" s="1"/>
  <c r="J71" i="5" s="1"/>
  <c r="K71" i="5" s="1"/>
  <c r="J122" i="5"/>
  <c r="K122" i="5" s="1"/>
  <c r="E84" i="5"/>
  <c r="J84" i="5" s="1"/>
  <c r="K84" i="5" s="1"/>
  <c r="J48" i="5"/>
  <c r="K48" i="5" s="1"/>
  <c r="J24" i="5"/>
  <c r="K24" i="5" s="1"/>
  <c r="C100" i="5"/>
  <c r="E100" i="5" s="1"/>
  <c r="J100" i="5" s="1"/>
  <c r="K100" i="5" s="1"/>
  <c r="C70" i="5"/>
  <c r="E70" i="5" s="1"/>
  <c r="J70" i="5" s="1"/>
  <c r="K70" i="5" s="1"/>
  <c r="C34" i="5"/>
  <c r="E34" i="5" s="1"/>
  <c r="J34" i="5" s="1"/>
  <c r="K34" i="5" s="1"/>
  <c r="J30" i="5"/>
  <c r="K30" i="5" s="1"/>
  <c r="J75" i="5"/>
  <c r="K75" i="5" s="1"/>
  <c r="J123" i="5"/>
  <c r="K123" i="5" s="1"/>
  <c r="C132" i="5"/>
  <c r="E132" i="5" s="1"/>
  <c r="J132" i="5" s="1"/>
  <c r="K132" i="5" s="1"/>
  <c r="J63" i="5"/>
  <c r="K63" i="5" s="1"/>
  <c r="J96" i="5"/>
  <c r="K96" i="5" s="1"/>
  <c r="C95" i="5"/>
  <c r="E95" i="5" s="1"/>
  <c r="C61" i="5"/>
  <c r="C25" i="5"/>
  <c r="E25" i="5" s="1"/>
  <c r="J25" i="5" s="1"/>
  <c r="K25" i="5" s="1"/>
  <c r="J78" i="5"/>
  <c r="K78" i="5" s="1"/>
  <c r="J18" i="5"/>
  <c r="K18" i="5" s="1"/>
  <c r="J51" i="5"/>
  <c r="K51" i="5" s="1"/>
  <c r="J77" i="5"/>
  <c r="K77" i="5" s="1"/>
  <c r="J99" i="5"/>
  <c r="K99" i="5" s="1"/>
  <c r="J20" i="5"/>
  <c r="K20" i="5" s="1"/>
  <c r="C124" i="5"/>
  <c r="E124" i="5" s="1"/>
  <c r="C88" i="5"/>
  <c r="E88" i="5" s="1"/>
  <c r="C22" i="5"/>
  <c r="E22" i="5" s="1"/>
  <c r="J22" i="5"/>
  <c r="K22" i="5" s="1"/>
  <c r="E118" i="5"/>
  <c r="E94" i="5"/>
  <c r="J44" i="5"/>
  <c r="K44" i="5" s="1"/>
  <c r="J103" i="5"/>
  <c r="K103" i="5" s="1"/>
  <c r="C108" i="5"/>
  <c r="E108" i="5" s="1"/>
  <c r="J108" i="5" s="1"/>
  <c r="K108" i="5" s="1"/>
  <c r="J104" i="5"/>
  <c r="K104" i="5" s="1"/>
  <c r="J115" i="5"/>
  <c r="K115" i="5" s="1"/>
  <c r="C129" i="5"/>
  <c r="E129" i="5" s="1"/>
  <c r="J129" i="5" s="1"/>
  <c r="K129" i="5" s="1"/>
  <c r="C117" i="5"/>
  <c r="E117" i="5" s="1"/>
  <c r="C105" i="5"/>
  <c r="E105" i="5" s="1"/>
  <c r="C93" i="5"/>
  <c r="E93" i="5" s="1"/>
  <c r="J93" i="5" s="1"/>
  <c r="K93" i="5" s="1"/>
  <c r="C81" i="5"/>
  <c r="E81" i="5" s="1"/>
  <c r="C128" i="5"/>
  <c r="E128" i="5" s="1"/>
  <c r="J128" i="5" s="1"/>
  <c r="K128" i="5" s="1"/>
  <c r="C116" i="5"/>
  <c r="E116" i="5" s="1"/>
  <c r="J116" i="5" s="1"/>
  <c r="K116" i="5" s="1"/>
  <c r="C92" i="5"/>
  <c r="E92" i="5" s="1"/>
  <c r="J92" i="5" s="1"/>
  <c r="K92" i="5" s="1"/>
  <c r="C80" i="5"/>
  <c r="E80" i="5" s="1"/>
  <c r="J80" i="5" s="1"/>
  <c r="K80" i="5" s="1"/>
  <c r="C68" i="5"/>
  <c r="E68" i="5" s="1"/>
  <c r="J68" i="5" s="1"/>
  <c r="K68" i="5" s="1"/>
  <c r="C56" i="5"/>
  <c r="E56" i="5" s="1"/>
  <c r="J56" i="5" s="1"/>
  <c r="K56" i="5" s="1"/>
  <c r="C32" i="5"/>
  <c r="E32" i="5" s="1"/>
  <c r="J32" i="5" s="1"/>
  <c r="K32" i="5" s="1"/>
  <c r="C82" i="5"/>
  <c r="E82" i="5" s="1"/>
  <c r="J82" i="5" s="1"/>
  <c r="K82" i="5" s="1"/>
  <c r="J67" i="5"/>
  <c r="K67" i="5" s="1"/>
  <c r="C127" i="5"/>
  <c r="E127" i="5" s="1"/>
  <c r="C91" i="5"/>
  <c r="E91" i="5" s="1"/>
  <c r="J91" i="5" s="1"/>
  <c r="K91" i="5" s="1"/>
  <c r="C55" i="5"/>
  <c r="E55" i="5" s="1"/>
  <c r="J55" i="5" s="1"/>
  <c r="K55" i="5" s="1"/>
  <c r="C43" i="5"/>
  <c r="E43" i="5" s="1"/>
  <c r="J43" i="5" s="1"/>
  <c r="K43" i="5" s="1"/>
  <c r="J90" i="5"/>
  <c r="K90" i="5" s="1"/>
  <c r="J126" i="5"/>
  <c r="K126" i="5" s="1"/>
  <c r="C135" i="5"/>
  <c r="E135" i="5" s="1"/>
  <c r="J135" i="5" s="1"/>
  <c r="K135" i="5" s="1"/>
  <c r="C111" i="5"/>
  <c r="E111" i="5" s="1"/>
  <c r="C87" i="5"/>
  <c r="E87" i="5" s="1"/>
  <c r="J87" i="5" s="1"/>
  <c r="K87" i="5" s="1"/>
  <c r="E133" i="5"/>
  <c r="J133" i="5" s="1"/>
  <c r="K133" i="5" s="1"/>
  <c r="E121" i="5"/>
  <c r="E109" i="5"/>
  <c r="E97" i="5"/>
  <c r="E85" i="5"/>
  <c r="J85" i="5" s="1"/>
  <c r="K85" i="5" s="1"/>
  <c r="E73" i="5"/>
  <c r="E61" i="5"/>
  <c r="J61" i="5" s="1"/>
  <c r="K61" i="5" s="1"/>
  <c r="E49" i="5"/>
  <c r="E37" i="5"/>
  <c r="E60" i="5"/>
  <c r="J60" i="5" s="1"/>
  <c r="K60" i="5" s="1"/>
  <c r="E131" i="5"/>
  <c r="E107" i="5"/>
  <c r="E83" i="5"/>
  <c r="J53" i="5"/>
  <c r="K53" i="5" s="1"/>
  <c r="J130" i="5"/>
  <c r="K130" i="5" s="1"/>
  <c r="J47" i="5"/>
  <c r="K47" i="5" s="1"/>
  <c r="J26" i="5"/>
  <c r="K26" i="5" s="1"/>
  <c r="J134" i="5"/>
  <c r="K134" i="5" s="1"/>
  <c r="J125" i="5"/>
  <c r="K125" i="5" s="1"/>
  <c r="J101" i="5"/>
  <c r="K101" i="5" s="1"/>
  <c r="J36" i="5"/>
  <c r="K36" i="5" s="1"/>
  <c r="J86" i="5"/>
  <c r="K86" i="5" s="1"/>
  <c r="J102" i="5"/>
  <c r="K102" i="5" s="1"/>
  <c r="J65" i="5"/>
  <c r="K65" i="5" s="1"/>
  <c r="J72" i="5"/>
  <c r="K72" i="5" s="1"/>
  <c r="J113" i="5"/>
  <c r="K113" i="5" s="1"/>
  <c r="J124" i="5"/>
  <c r="K124" i="5" s="1"/>
  <c r="J88" i="5"/>
  <c r="K88" i="5" s="1"/>
  <c r="J45" i="5"/>
  <c r="K45" i="5" s="1"/>
  <c r="J69" i="5"/>
  <c r="K69" i="5" s="1"/>
  <c r="J95" i="5"/>
  <c r="K95" i="5" s="1"/>
  <c r="J49" i="5"/>
  <c r="K49" i="5" s="1"/>
  <c r="J59" i="5"/>
  <c r="K59" i="5" s="1"/>
  <c r="J119" i="5"/>
  <c r="K119" i="5" s="1"/>
  <c r="J111" i="5"/>
  <c r="K111" i="5" s="1"/>
  <c r="J57" i="5"/>
  <c r="K57" i="5" s="1"/>
  <c r="J127" i="5"/>
  <c r="K127" i="5" s="1"/>
  <c r="J79" i="5"/>
  <c r="K79" i="5" s="1"/>
  <c r="E17" i="5"/>
  <c r="J17" i="5" s="1"/>
  <c r="K17" i="5" s="1"/>
  <c r="E29" i="5"/>
  <c r="J29" i="5" s="1"/>
  <c r="K29" i="5" s="1"/>
  <c r="E35" i="5"/>
  <c r="J35" i="5" s="1"/>
  <c r="K35" i="5" s="1"/>
  <c r="J15" i="5"/>
  <c r="K15" i="5" s="1"/>
  <c r="E21" i="5"/>
  <c r="J21" i="5" s="1"/>
  <c r="K21" i="5" s="1"/>
  <c r="E19" i="5"/>
  <c r="E31" i="5"/>
  <c r="E27" i="5"/>
  <c r="J27" i="5" s="1"/>
  <c r="K27" i="5" s="1"/>
  <c r="E41" i="5"/>
  <c r="J41" i="5" s="1"/>
  <c r="K41" i="5" s="1"/>
  <c r="E39" i="5"/>
  <c r="J39" i="5" s="1"/>
  <c r="K39" i="5" s="1"/>
  <c r="J23" i="5"/>
  <c r="K23" i="5" s="1"/>
  <c r="E33" i="5"/>
  <c r="J33" i="5" s="1"/>
  <c r="K33" i="5" s="1"/>
  <c r="J13" i="5"/>
  <c r="K13" i="5" s="1"/>
  <c r="G8" i="1"/>
  <c r="N95" i="6" l="1"/>
  <c r="O95" i="6" s="1"/>
  <c r="N39" i="6"/>
  <c r="O39" i="6" s="1"/>
  <c r="N50" i="6"/>
  <c r="O50" i="6" s="1"/>
  <c r="F42" i="6"/>
  <c r="H42" i="6" s="1"/>
  <c r="K84" i="6"/>
  <c r="K29" i="6"/>
  <c r="K101" i="6"/>
  <c r="K142" i="6"/>
  <c r="K33" i="6"/>
  <c r="N33" i="6" s="1"/>
  <c r="O33" i="6" s="1"/>
  <c r="N56" i="6"/>
  <c r="O56" i="6" s="1"/>
  <c r="F54" i="6"/>
  <c r="H54" i="6" s="1"/>
  <c r="K111" i="6"/>
  <c r="K52" i="6"/>
  <c r="K124" i="6"/>
  <c r="K138" i="6"/>
  <c r="K45" i="6"/>
  <c r="K117" i="6"/>
  <c r="K58" i="6"/>
  <c r="K23" i="6"/>
  <c r="K27" i="6"/>
  <c r="N27" i="6" s="1"/>
  <c r="O27" i="6" s="1"/>
  <c r="N57" i="6"/>
  <c r="O57" i="6" s="1"/>
  <c r="N142" i="6"/>
  <c r="O142" i="6" s="1"/>
  <c r="F100" i="6"/>
  <c r="H100" i="6" s="1"/>
  <c r="F28" i="6"/>
  <c r="H28" i="6" s="1"/>
  <c r="F61" i="6"/>
  <c r="H61" i="6" s="1"/>
  <c r="K108" i="6"/>
  <c r="K86" i="6"/>
  <c r="K56" i="6"/>
  <c r="N68" i="6"/>
  <c r="O68" i="6" s="1"/>
  <c r="F87" i="6"/>
  <c r="H87" i="6" s="1"/>
  <c r="K120" i="6"/>
  <c r="K98" i="6"/>
  <c r="N98" i="6" s="1"/>
  <c r="O98" i="6" s="1"/>
  <c r="K64" i="6"/>
  <c r="N64" i="6" s="1"/>
  <c r="O64" i="6" s="1"/>
  <c r="K136" i="6"/>
  <c r="N136" i="6" s="1"/>
  <c r="O136" i="6" s="1"/>
  <c r="K68" i="6"/>
  <c r="K57" i="6"/>
  <c r="K129" i="6"/>
  <c r="K70" i="6"/>
  <c r="N70" i="6" s="1"/>
  <c r="O70" i="6" s="1"/>
  <c r="K71" i="6"/>
  <c r="F93" i="6"/>
  <c r="H93" i="6" s="1"/>
  <c r="K49" i="6"/>
  <c r="K53" i="6"/>
  <c r="N53" i="6" s="1"/>
  <c r="O53" i="6" s="1"/>
  <c r="K72" i="6"/>
  <c r="N72" i="6" s="1"/>
  <c r="O72" i="6" s="1"/>
  <c r="F122" i="6"/>
  <c r="H122" i="6" s="1"/>
  <c r="N122" i="6" s="1"/>
  <c r="O122" i="6" s="1"/>
  <c r="K135" i="6"/>
  <c r="N135" i="6" s="1"/>
  <c r="O135" i="6" s="1"/>
  <c r="K76" i="6"/>
  <c r="K66" i="6"/>
  <c r="K69" i="6"/>
  <c r="K141" i="6"/>
  <c r="K82" i="6"/>
  <c r="K83" i="6"/>
  <c r="K38" i="6"/>
  <c r="N38" i="6" s="1"/>
  <c r="O38" i="6" s="1"/>
  <c r="K65" i="6"/>
  <c r="N65" i="6" s="1"/>
  <c r="O65" i="6" s="1"/>
  <c r="K137" i="6"/>
  <c r="K78" i="6"/>
  <c r="N78" i="6" s="1"/>
  <c r="O78" i="6" s="1"/>
  <c r="K139" i="6"/>
  <c r="N139" i="6" s="1"/>
  <c r="O139" i="6" s="1"/>
  <c r="F114" i="6"/>
  <c r="H114" i="6" s="1"/>
  <c r="F109" i="6"/>
  <c r="H109" i="6" s="1"/>
  <c r="N109" i="6" s="1"/>
  <c r="O109" i="6" s="1"/>
  <c r="K25" i="6"/>
  <c r="N25" i="6" s="1"/>
  <c r="O25" i="6" s="1"/>
  <c r="K75" i="6"/>
  <c r="K35" i="6"/>
  <c r="K88" i="6"/>
  <c r="N88" i="6" s="1"/>
  <c r="O88" i="6" s="1"/>
  <c r="K79" i="6"/>
  <c r="K90" i="6"/>
  <c r="K131" i="6"/>
  <c r="N131" i="6" s="1"/>
  <c r="O131" i="6" s="1"/>
  <c r="K81" i="6"/>
  <c r="K107" i="6"/>
  <c r="N107" i="6" s="1"/>
  <c r="O107" i="6" s="1"/>
  <c r="K94" i="6"/>
  <c r="N94" i="6" s="1"/>
  <c r="O94" i="6" s="1"/>
  <c r="K20" i="6"/>
  <c r="K46" i="6"/>
  <c r="N46" i="6" s="1"/>
  <c r="O46" i="6" s="1"/>
  <c r="F130" i="6"/>
  <c r="H130" i="6" s="1"/>
  <c r="K134" i="6"/>
  <c r="K43" i="6"/>
  <c r="N43" i="6" s="1"/>
  <c r="O43" i="6" s="1"/>
  <c r="N134" i="6"/>
  <c r="O134" i="6" s="1"/>
  <c r="F21" i="6"/>
  <c r="H21" i="6" s="1"/>
  <c r="N21" i="6" s="1"/>
  <c r="O21" i="6" s="1"/>
  <c r="F47" i="6"/>
  <c r="H47" i="6" s="1"/>
  <c r="F60" i="6"/>
  <c r="H60" i="6" s="1"/>
  <c r="N60" i="6" s="1"/>
  <c r="O60" i="6" s="1"/>
  <c r="K115" i="6"/>
  <c r="K106" i="6"/>
  <c r="N106" i="6" s="1"/>
  <c r="O106" i="6" s="1"/>
  <c r="N62" i="6"/>
  <c r="O62" i="6" s="1"/>
  <c r="N103" i="6"/>
  <c r="O103" i="6" s="1"/>
  <c r="N51" i="6"/>
  <c r="O51" i="6" s="1"/>
  <c r="N54" i="6"/>
  <c r="O54" i="6" s="1"/>
  <c r="N36" i="6"/>
  <c r="O36" i="6" s="1"/>
  <c r="N22" i="6"/>
  <c r="O22" i="6" s="1"/>
  <c r="N35" i="6"/>
  <c r="O35" i="6" s="1"/>
  <c r="F104" i="6"/>
  <c r="H104" i="6" s="1"/>
  <c r="N104" i="6" s="1"/>
  <c r="O104" i="6" s="1"/>
  <c r="N132" i="6"/>
  <c r="O132" i="6" s="1"/>
  <c r="N77" i="6"/>
  <c r="O77" i="6" s="1"/>
  <c r="F118" i="6"/>
  <c r="H118" i="6" s="1"/>
  <c r="N118" i="6" s="1"/>
  <c r="O118" i="6" s="1"/>
  <c r="F116" i="6"/>
  <c r="H116" i="6" s="1"/>
  <c r="N116" i="6" s="1"/>
  <c r="O116" i="6" s="1"/>
  <c r="F127" i="6"/>
  <c r="H127" i="6" s="1"/>
  <c r="N127" i="6" s="1"/>
  <c r="O127" i="6" s="1"/>
  <c r="N101" i="6"/>
  <c r="O101" i="6" s="1"/>
  <c r="F55" i="6"/>
  <c r="H55" i="6" s="1"/>
  <c r="N55" i="6" s="1"/>
  <c r="O55" i="6" s="1"/>
  <c r="N63" i="6"/>
  <c r="O63" i="6" s="1"/>
  <c r="N76" i="6"/>
  <c r="O76" i="6" s="1"/>
  <c r="N29" i="6"/>
  <c r="O29" i="6" s="1"/>
  <c r="N66" i="6"/>
  <c r="O66" i="6" s="1"/>
  <c r="F67" i="6"/>
  <c r="H67" i="6" s="1"/>
  <c r="N108" i="6"/>
  <c r="O108" i="6" s="1"/>
  <c r="F85" i="6"/>
  <c r="H85" i="6" s="1"/>
  <c r="N85" i="6" s="1"/>
  <c r="O85" i="6" s="1"/>
  <c r="N23" i="6"/>
  <c r="O23" i="6" s="1"/>
  <c r="F126" i="6"/>
  <c r="H126" i="6" s="1"/>
  <c r="N126" i="6" s="1"/>
  <c r="O126" i="6" s="1"/>
  <c r="F133" i="6"/>
  <c r="H133" i="6" s="1"/>
  <c r="N133" i="6" s="1"/>
  <c r="O133" i="6" s="1"/>
  <c r="F80" i="6"/>
  <c r="H80" i="6" s="1"/>
  <c r="N80" i="6" s="1"/>
  <c r="O80" i="6" s="1"/>
  <c r="N84" i="6"/>
  <c r="O84" i="6" s="1"/>
  <c r="F91" i="6"/>
  <c r="H91" i="6" s="1"/>
  <c r="N91" i="6" s="1"/>
  <c r="O91" i="6" s="1"/>
  <c r="F128" i="6"/>
  <c r="H128" i="6" s="1"/>
  <c r="N128" i="6" s="1"/>
  <c r="O128" i="6" s="1"/>
  <c r="F92" i="6"/>
  <c r="H92" i="6" s="1"/>
  <c r="N92" i="6" s="1"/>
  <c r="O92" i="6" s="1"/>
  <c r="N45" i="6"/>
  <c r="O45" i="6" s="1"/>
  <c r="F31" i="6"/>
  <c r="H31" i="6" s="1"/>
  <c r="N31" i="6" s="1"/>
  <c r="O31" i="6" s="1"/>
  <c r="F34" i="6"/>
  <c r="H34" i="6" s="1"/>
  <c r="N34" i="6" s="1"/>
  <c r="O34" i="6" s="1"/>
  <c r="N119" i="6"/>
  <c r="O119" i="6" s="1"/>
  <c r="N90" i="6"/>
  <c r="O90" i="6" s="1"/>
  <c r="N141" i="6"/>
  <c r="O141" i="6" s="1"/>
  <c r="N83" i="6"/>
  <c r="O83" i="6" s="1"/>
  <c r="N120" i="6"/>
  <c r="O120" i="6" s="1"/>
  <c r="N114" i="6"/>
  <c r="O114" i="6" s="1"/>
  <c r="F32" i="6"/>
  <c r="H32" i="6" s="1"/>
  <c r="N32" i="6" s="1"/>
  <c r="O32" i="6" s="1"/>
  <c r="N130" i="6"/>
  <c r="O130" i="6" s="1"/>
  <c r="N96" i="6"/>
  <c r="O96" i="6" s="1"/>
  <c r="F121" i="6"/>
  <c r="H121" i="6" s="1"/>
  <c r="N121" i="6" s="1"/>
  <c r="O121" i="6" s="1"/>
  <c r="F44" i="6"/>
  <c r="H44" i="6" s="1"/>
  <c r="N44" i="6" s="1"/>
  <c r="O44" i="6" s="1"/>
  <c r="F140" i="6"/>
  <c r="H140" i="6" s="1"/>
  <c r="N140" i="6" s="1"/>
  <c r="O140" i="6" s="1"/>
  <c r="N71" i="6"/>
  <c r="O71" i="6" s="1"/>
  <c r="N58" i="6"/>
  <c r="O58" i="6" s="1"/>
  <c r="N86" i="6"/>
  <c r="O86" i="6" s="1"/>
  <c r="N123" i="6"/>
  <c r="O123" i="6" s="1"/>
  <c r="N48" i="6"/>
  <c r="O48" i="6" s="1"/>
  <c r="N40" i="6"/>
  <c r="O40" i="6" s="1"/>
  <c r="N113" i="6"/>
  <c r="O113" i="6" s="1"/>
  <c r="N138" i="6"/>
  <c r="O138" i="6" s="1"/>
  <c r="N100" i="6"/>
  <c r="O100" i="6" s="1"/>
  <c r="N87" i="6"/>
  <c r="O87" i="6" s="1"/>
  <c r="N112" i="6"/>
  <c r="O112" i="6" s="1"/>
  <c r="N30" i="6"/>
  <c r="O30" i="6" s="1"/>
  <c r="N28" i="6"/>
  <c r="O28" i="6" s="1"/>
  <c r="N59" i="6"/>
  <c r="O59" i="6" s="1"/>
  <c r="N102" i="6"/>
  <c r="O102" i="6" s="1"/>
  <c r="N37" i="6"/>
  <c r="O37" i="6" s="1"/>
  <c r="N41" i="6"/>
  <c r="O41" i="6" s="1"/>
  <c r="N20" i="6"/>
  <c r="O20" i="6" s="1"/>
  <c r="N115" i="6"/>
  <c r="O115" i="6" s="1"/>
  <c r="N79" i="6"/>
  <c r="O79" i="6" s="1"/>
  <c r="N42" i="6"/>
  <c r="O42" i="6" s="1"/>
  <c r="N105" i="6"/>
  <c r="O105" i="6" s="1"/>
  <c r="N97" i="6"/>
  <c r="O97" i="6" s="1"/>
  <c r="N47" i="6"/>
  <c r="O47" i="6" s="1"/>
  <c r="N67" i="6"/>
  <c r="O67" i="6" s="1"/>
  <c r="N49" i="6"/>
  <c r="O49" i="6" s="1"/>
  <c r="N124" i="6"/>
  <c r="O124" i="6" s="1"/>
  <c r="N81" i="6"/>
  <c r="O81" i="6" s="1"/>
  <c r="N61" i="6"/>
  <c r="O61" i="6" s="1"/>
  <c r="N99" i="6"/>
  <c r="O99" i="6" s="1"/>
  <c r="N24" i="6"/>
  <c r="O24" i="6" s="1"/>
  <c r="N111" i="6"/>
  <c r="O111" i="6" s="1"/>
  <c r="N137" i="6"/>
  <c r="O137" i="6" s="1"/>
  <c r="N82" i="6"/>
  <c r="O82" i="6" s="1"/>
  <c r="N89" i="6"/>
  <c r="O89" i="6" s="1"/>
  <c r="N69" i="6"/>
  <c r="O69" i="6" s="1"/>
  <c r="N117" i="6"/>
  <c r="O117" i="6" s="1"/>
  <c r="N129" i="6"/>
  <c r="O129" i="6" s="1"/>
  <c r="N93" i="6"/>
  <c r="O93" i="6" s="1"/>
  <c r="N125" i="6"/>
  <c r="O125" i="6" s="1"/>
  <c r="N52" i="6"/>
  <c r="O52" i="6" s="1"/>
  <c r="N75" i="6"/>
  <c r="O75" i="6" s="1"/>
  <c r="J94" i="5"/>
  <c r="K94" i="5" s="1"/>
  <c r="J19" i="5"/>
  <c r="K19" i="5" s="1"/>
  <c r="J117" i="5"/>
  <c r="K117" i="5" s="1"/>
  <c r="J31" i="5"/>
  <c r="K31" i="5" s="1"/>
  <c r="J37" i="5"/>
  <c r="K37" i="5" s="1"/>
  <c r="J105" i="5"/>
  <c r="K105" i="5" s="1"/>
  <c r="J81" i="5"/>
  <c r="K81" i="5" s="1"/>
  <c r="J83" i="5"/>
  <c r="K83" i="5" s="1"/>
  <c r="J118" i="5"/>
  <c r="K118" i="5" s="1"/>
  <c r="J121" i="5"/>
  <c r="K121" i="5" s="1"/>
  <c r="J97" i="5"/>
  <c r="K97" i="5" s="1"/>
  <c r="J131" i="5"/>
  <c r="K131" i="5" s="1"/>
  <c r="J107" i="5"/>
  <c r="K107" i="5" s="1"/>
  <c r="J73" i="5"/>
  <c r="K73" i="5" s="1"/>
  <c r="J109" i="5"/>
  <c r="K109" i="5" s="1"/>
  <c r="G13" i="6" l="1"/>
  <c r="G9" i="5"/>
</calcChain>
</file>

<file path=xl/sharedStrings.xml><?xml version="1.0" encoding="utf-8"?>
<sst xmlns="http://schemas.openxmlformats.org/spreadsheetml/2006/main" count="268" uniqueCount="74">
  <si>
    <t>Параметры распределения</t>
  </si>
  <si>
    <t>x</t>
  </si>
  <si>
    <t>Линейная парная регрессия Вариант 2276</t>
  </si>
  <si>
    <t>Интервал наблюдения =</t>
  </si>
  <si>
    <t>Мат.ож.:</t>
  </si>
  <si>
    <t>a</t>
  </si>
  <si>
    <t>b</t>
  </si>
  <si>
    <t>h</t>
  </si>
  <si>
    <t>СКО</t>
  </si>
  <si>
    <t>Составляющие</t>
  </si>
  <si>
    <t>i</t>
  </si>
  <si>
    <t>Мнк-оценки параметров</t>
  </si>
  <si>
    <t>Коэфиценты апроксимируемой модели</t>
  </si>
  <si>
    <t>Целевая функция апроксимаии</t>
  </si>
  <si>
    <t>L</t>
  </si>
  <si>
    <t>a+bx</t>
  </si>
  <si>
    <t>z</t>
  </si>
  <si>
    <t>y</t>
  </si>
  <si>
    <t>Прогноз по мод</t>
  </si>
  <si>
    <t>y_прогн</t>
  </si>
  <si>
    <t>Невязка МНК</t>
  </si>
  <si>
    <t>Невязка</t>
  </si>
  <si>
    <t>Квадр.невяз</t>
  </si>
  <si>
    <t>0.2*M.o.</t>
  </si>
  <si>
    <t>Опция Регрессия</t>
  </si>
  <si>
    <t>ВЫВОД ИТОГОВ</t>
  </si>
  <si>
    <t>Регрессионная статистика</t>
  </si>
  <si>
    <t>Множественный R</t>
  </si>
  <si>
    <t>R-квадрат</t>
  </si>
  <si>
    <t>Нормированный R-квадрат</t>
  </si>
  <si>
    <t>Стандартная ошибка</t>
  </si>
  <si>
    <t>Наблюдения</t>
  </si>
  <si>
    <t>Дисперсионный анализ</t>
  </si>
  <si>
    <t>Регрессия</t>
  </si>
  <si>
    <t>Остаток</t>
  </si>
  <si>
    <t>Итого</t>
  </si>
  <si>
    <t>Y-пересечение</t>
  </si>
  <si>
    <t>df</t>
  </si>
  <si>
    <t>SS</t>
  </si>
  <si>
    <t>MS</t>
  </si>
  <si>
    <t>F</t>
  </si>
  <si>
    <t>Значимость F</t>
  </si>
  <si>
    <t>Коэффициенты</t>
  </si>
  <si>
    <t>t-статистика</t>
  </si>
  <si>
    <t>P-Значение</t>
  </si>
  <si>
    <t>Нижние 95%</t>
  </si>
  <si>
    <t>Верхние 95%</t>
  </si>
  <si>
    <t>Нижние 95,0%</t>
  </si>
  <si>
    <t>Верхние 95,0%</t>
  </si>
  <si>
    <t>Переменная X 1</t>
  </si>
  <si>
    <t>Нелинейная парная регрессия Вариант 2276</t>
  </si>
  <si>
    <t>x^2</t>
  </si>
  <si>
    <t>a+bx+cx^2</t>
  </si>
  <si>
    <t>c</t>
  </si>
  <si>
    <t>Переменная X 2</t>
  </si>
  <si>
    <t>a0</t>
  </si>
  <si>
    <t>a1</t>
  </si>
  <si>
    <t>a2</t>
  </si>
  <si>
    <t>a11</t>
  </si>
  <si>
    <t>a12</t>
  </si>
  <si>
    <t>a22</t>
  </si>
  <si>
    <t>x1</t>
  </si>
  <si>
    <t>x2</t>
  </si>
  <si>
    <t>x1^2</t>
  </si>
  <si>
    <t>x2^2</t>
  </si>
  <si>
    <t>x1*x2</t>
  </si>
  <si>
    <t>a0+a1x1+a2x2+a11*x1^2+a22*x2^2+a12x1x2+hz</t>
  </si>
  <si>
    <t>x1\x2</t>
  </si>
  <si>
    <t>Переменная X 3</t>
  </si>
  <si>
    <t>Переменная X 4</t>
  </si>
  <si>
    <t>Линейная</t>
  </si>
  <si>
    <t>Квадратичная</t>
  </si>
  <si>
    <t>Полная</t>
  </si>
  <si>
    <t>Переменная X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</si>
</sst>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72" formatCode="0.0000"/>
  </numFmts>
  <fonts count="4">
    <font>
      <sz val="11"/>
      <color theme="1"/>
      <name val="Aptos Narrow"/>
      <family val="2"/>
      <charset val="204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3" borderId="0" xfId="0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/>
    <xf numFmtId="0" fontId="0" fillId="0" borderId="0" xfId="0" applyFill="1" applyBorder="1" applyAlignment="1"/>
    <xf numFmtId="0" fontId="0" fillId="0" borderId="1" xfId="0" applyFill="1" applyBorder="1" applyAlignment="1"/>
    <xf numFmtId="0" fontId="3" fillId="0" borderId="2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ill="1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4" borderId="0" xfId="0" applyFill="1"/>
    <xf numFmtId="172" fontId="0" fillId="0" borderId="0" xfId="0" applyNumberFormat="1"/>
    <xf numFmtId="0" fontId="0" fillId="3" borderId="0" xfId="0" applyFill="1"/>
    <xf numFmtId="0" fontId="0" fillId="5" borderId="0" xfId="0" applyFill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center"/>
    </xf>
    <xf numFmtId="0" fontId="3" fillId="0" borderId="2" xfId="0" applyFont="1" applyFill="1" applyBorder="1" applyAlignment="1">
      <alignment horizontal="centerContinuous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8098110760151676E-2"/>
          <c:y val="9.523184715127099E-2"/>
          <c:w val="0.71621201469408768"/>
          <c:h val="0.87652468240753245"/>
        </c:manualLayout>
      </c:layout>
      <c:scatterChart>
        <c:scatterStyle val="lineMarker"/>
        <c:varyColors val="0"/>
        <c:ser>
          <c:idx val="0"/>
          <c:order val="0"/>
          <c:tx>
            <c:v>Наблюдения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'2.123 Линейная'!$B$13:$B$135</c:f>
              <c:numCache>
                <c:formatCode>General</c:formatCode>
                <c:ptCount val="1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</c:numCache>
            </c:numRef>
          </c:xVal>
          <c:yVal>
            <c:numRef>
              <c:f>'2.123 Линейная'!$E$13:$E$135</c:f>
              <c:numCache>
                <c:formatCode>General</c:formatCode>
                <c:ptCount val="123"/>
                <c:pt idx="0">
                  <c:v>-4.7199411213864284</c:v>
                </c:pt>
                <c:pt idx="1">
                  <c:v>12.227078495934059</c:v>
                </c:pt>
                <c:pt idx="2">
                  <c:v>1.4900347600186343</c:v>
                </c:pt>
                <c:pt idx="3">
                  <c:v>-1.5273111595004716</c:v>
                </c:pt>
                <c:pt idx="4">
                  <c:v>14.490316461510899</c:v>
                </c:pt>
                <c:pt idx="5">
                  <c:v>14.62965590324244</c:v>
                </c:pt>
                <c:pt idx="6">
                  <c:v>9.1427737699822718</c:v>
                </c:pt>
                <c:pt idx="7">
                  <c:v>15.91737559023302</c:v>
                </c:pt>
                <c:pt idx="8">
                  <c:v>19.762277785911678</c:v>
                </c:pt>
                <c:pt idx="9">
                  <c:v>7.2923379372433157</c:v>
                </c:pt>
                <c:pt idx="10">
                  <c:v>1.2153730719818681</c:v>
                </c:pt>
                <c:pt idx="11">
                  <c:v>19.203016828578079</c:v>
                </c:pt>
                <c:pt idx="12">
                  <c:v>4.2383498263017687</c:v>
                </c:pt>
                <c:pt idx="13">
                  <c:v>19.996829272820449</c:v>
                </c:pt>
                <c:pt idx="14">
                  <c:v>9.3028284116112658</c:v>
                </c:pt>
                <c:pt idx="15">
                  <c:v>6.4163038760958413</c:v>
                </c:pt>
                <c:pt idx="16">
                  <c:v>12.305336135217047</c:v>
                </c:pt>
                <c:pt idx="17">
                  <c:v>14.918699831700415</c:v>
                </c:pt>
                <c:pt idx="18">
                  <c:v>-0.79358793765983826</c:v>
                </c:pt>
                <c:pt idx="19">
                  <c:v>11.207732988155186</c:v>
                </c:pt>
                <c:pt idx="20">
                  <c:v>10.421478006740568</c:v>
                </c:pt>
                <c:pt idx="21">
                  <c:v>6.3772059391200369</c:v>
                </c:pt>
                <c:pt idx="22">
                  <c:v>10.772366463190785</c:v>
                </c:pt>
                <c:pt idx="23">
                  <c:v>13.355917539858213</c:v>
                </c:pt>
                <c:pt idx="24">
                  <c:v>21.910478652294906</c:v>
                </c:pt>
                <c:pt idx="25">
                  <c:v>9.4040331003181201</c:v>
                </c:pt>
                <c:pt idx="26">
                  <c:v>27.837384989254105</c:v>
                </c:pt>
                <c:pt idx="27">
                  <c:v>6.7693385828363724</c:v>
                </c:pt>
                <c:pt idx="28">
                  <c:v>2.808434939549846</c:v>
                </c:pt>
                <c:pt idx="29">
                  <c:v>19.782393939513128</c:v>
                </c:pt>
                <c:pt idx="30">
                  <c:v>3.1141311617030532</c:v>
                </c:pt>
                <c:pt idx="31">
                  <c:v>14.360102535169936</c:v>
                </c:pt>
                <c:pt idx="32">
                  <c:v>12.446024007248056</c:v>
                </c:pt>
                <c:pt idx="33">
                  <c:v>15.356489336697308</c:v>
                </c:pt>
                <c:pt idx="34">
                  <c:v>31.034484732633317</c:v>
                </c:pt>
                <c:pt idx="35">
                  <c:v>27.472315134879079</c:v>
                </c:pt>
                <c:pt idx="36">
                  <c:v>9.0124776138303808</c:v>
                </c:pt>
                <c:pt idx="37">
                  <c:v>21.20773091225459</c:v>
                </c:pt>
                <c:pt idx="38">
                  <c:v>21.357471918016049</c:v>
                </c:pt>
                <c:pt idx="39">
                  <c:v>27.42419941874471</c:v>
                </c:pt>
                <c:pt idx="40">
                  <c:v>17.914228414170189</c:v>
                </c:pt>
                <c:pt idx="41">
                  <c:v>8.5812621833553049</c:v>
                </c:pt>
                <c:pt idx="42">
                  <c:v>35.918553340307888</c:v>
                </c:pt>
                <c:pt idx="43">
                  <c:v>6.2085890775393953</c:v>
                </c:pt>
                <c:pt idx="44">
                  <c:v>37.086064802310325</c:v>
                </c:pt>
                <c:pt idx="45">
                  <c:v>31.16514567065402</c:v>
                </c:pt>
                <c:pt idx="46">
                  <c:v>19.912456091362543</c:v>
                </c:pt>
                <c:pt idx="47">
                  <c:v>25.041483708451981</c:v>
                </c:pt>
                <c:pt idx="48">
                  <c:v>27.60727194290558</c:v>
                </c:pt>
                <c:pt idx="49">
                  <c:v>10.611560356560547</c:v>
                </c:pt>
                <c:pt idx="50">
                  <c:v>19.723796758464196</c:v>
                </c:pt>
                <c:pt idx="51">
                  <c:v>32.219949263017241</c:v>
                </c:pt>
                <c:pt idx="52">
                  <c:v>23.448244299846653</c:v>
                </c:pt>
                <c:pt idx="53">
                  <c:v>33.09746422893933</c:v>
                </c:pt>
                <c:pt idx="54">
                  <c:v>18.049083568405109</c:v>
                </c:pt>
                <c:pt idx="55">
                  <c:v>35.708476682836647</c:v>
                </c:pt>
                <c:pt idx="56">
                  <c:v>28.563090779136004</c:v>
                </c:pt>
                <c:pt idx="57">
                  <c:v>13.225014310132581</c:v>
                </c:pt>
                <c:pt idx="58">
                  <c:v>24.762240613015333</c:v>
                </c:pt>
                <c:pt idx="59">
                  <c:v>24.815872948992869</c:v>
                </c:pt>
                <c:pt idx="60">
                  <c:v>8.520674403986007</c:v>
                </c:pt>
                <c:pt idx="61">
                  <c:v>14.222979656587274</c:v>
                </c:pt>
                <c:pt idx="62">
                  <c:v>23.579329852426454</c:v>
                </c:pt>
                <c:pt idx="63">
                  <c:v>33.589330368578231</c:v>
                </c:pt>
                <c:pt idx="64">
                  <c:v>32.607149567058329</c:v>
                </c:pt>
                <c:pt idx="65">
                  <c:v>30.00163430902353</c:v>
                </c:pt>
                <c:pt idx="66">
                  <c:v>35.172401821170915</c:v>
                </c:pt>
                <c:pt idx="67">
                  <c:v>26.585307914664078</c:v>
                </c:pt>
                <c:pt idx="68">
                  <c:v>22.411940632659395</c:v>
                </c:pt>
                <c:pt idx="69">
                  <c:v>25.008009223212934</c:v>
                </c:pt>
                <c:pt idx="70">
                  <c:v>27.767161864787997</c:v>
                </c:pt>
                <c:pt idx="71">
                  <c:v>25.810664110538546</c:v>
                </c:pt>
                <c:pt idx="72">
                  <c:v>48.510595016345754</c:v>
                </c:pt>
                <c:pt idx="73">
                  <c:v>50.977724304609801</c:v>
                </c:pt>
                <c:pt idx="74">
                  <c:v>38.534055643892806</c:v>
                </c:pt>
                <c:pt idx="75">
                  <c:v>42.906998694473529</c:v>
                </c:pt>
                <c:pt idx="76">
                  <c:v>25.401098188065788</c:v>
                </c:pt>
                <c:pt idx="77">
                  <c:v>33.167579344852484</c:v>
                </c:pt>
                <c:pt idx="78">
                  <c:v>22.996195824966591</c:v>
                </c:pt>
                <c:pt idx="79">
                  <c:v>24.857673444919065</c:v>
                </c:pt>
                <c:pt idx="80">
                  <c:v>56.180478658371285</c:v>
                </c:pt>
                <c:pt idx="81">
                  <c:v>41.196278097948863</c:v>
                </c:pt>
                <c:pt idx="82">
                  <c:v>31.274777119501177</c:v>
                </c:pt>
                <c:pt idx="83">
                  <c:v>38.760527413262011</c:v>
                </c:pt>
                <c:pt idx="84">
                  <c:v>15.284730528904056</c:v>
                </c:pt>
                <c:pt idx="85">
                  <c:v>35.108551024391808</c:v>
                </c:pt>
                <c:pt idx="86">
                  <c:v>48.836943632566147</c:v>
                </c:pt>
                <c:pt idx="87">
                  <c:v>41.901237223036048</c:v>
                </c:pt>
                <c:pt idx="88">
                  <c:v>32.333667836060307</c:v>
                </c:pt>
                <c:pt idx="89">
                  <c:v>45.814271579496257</c:v>
                </c:pt>
                <c:pt idx="90">
                  <c:v>47.778428450365034</c:v>
                </c:pt>
                <c:pt idx="91">
                  <c:v>41.953862993212844</c:v>
                </c:pt>
                <c:pt idx="92">
                  <c:v>51.183122558742156</c:v>
                </c:pt>
                <c:pt idx="93">
                  <c:v>42.65009673935014</c:v>
                </c:pt>
                <c:pt idx="94">
                  <c:v>50.634264590026341</c:v>
                </c:pt>
                <c:pt idx="95">
                  <c:v>53.996997496369559</c:v>
                </c:pt>
                <c:pt idx="96">
                  <c:v>52.156609706334159</c:v>
                </c:pt>
                <c:pt idx="97">
                  <c:v>49.852383434664858</c:v>
                </c:pt>
                <c:pt idx="98">
                  <c:v>45.073576079334202</c:v>
                </c:pt>
                <c:pt idx="99">
                  <c:v>37.247622745834562</c:v>
                </c:pt>
                <c:pt idx="100">
                  <c:v>44.873304144558901</c:v>
                </c:pt>
                <c:pt idx="101">
                  <c:v>32.85406161525966</c:v>
                </c:pt>
                <c:pt idx="102">
                  <c:v>58.328158694630574</c:v>
                </c:pt>
                <c:pt idx="103">
                  <c:v>30.619437532693048</c:v>
                </c:pt>
                <c:pt idx="104">
                  <c:v>69.662296933043692</c:v>
                </c:pt>
                <c:pt idx="105">
                  <c:v>58.964832596017267</c:v>
                </c:pt>
                <c:pt idx="106">
                  <c:v>41.869960917464113</c:v>
                </c:pt>
                <c:pt idx="107">
                  <c:v>52.726463878453188</c:v>
                </c:pt>
                <c:pt idx="108">
                  <c:v>46.537431626860844</c:v>
                </c:pt>
                <c:pt idx="109">
                  <c:v>51.823540679327145</c:v>
                </c:pt>
                <c:pt idx="110">
                  <c:v>60.751333073239898</c:v>
                </c:pt>
                <c:pt idx="111">
                  <c:v>54.407970121083757</c:v>
                </c:pt>
                <c:pt idx="112">
                  <c:v>71.278871226472248</c:v>
                </c:pt>
                <c:pt idx="113">
                  <c:v>47.636950005246746</c:v>
                </c:pt>
                <c:pt idx="114">
                  <c:v>72.258753619121308</c:v>
                </c:pt>
                <c:pt idx="115">
                  <c:v>55.277408218642009</c:v>
                </c:pt>
                <c:pt idx="116">
                  <c:v>59.31745667395262</c:v>
                </c:pt>
                <c:pt idx="117">
                  <c:v>62.31204771505282</c:v>
                </c:pt>
                <c:pt idx="118">
                  <c:v>63.297410728759473</c:v>
                </c:pt>
                <c:pt idx="119">
                  <c:v>47.993813105833809</c:v>
                </c:pt>
                <c:pt idx="120">
                  <c:v>49.524667992467016</c:v>
                </c:pt>
                <c:pt idx="121">
                  <c:v>59.216373967356411</c:v>
                </c:pt>
                <c:pt idx="122">
                  <c:v>57.866964500005118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C2-43B0-A2E0-B26384D17DE6}"/>
            </c:ext>
          </c:extLst>
        </c:ser>
        <c:ser>
          <c:idx val="1"/>
          <c:order val="1"/>
          <c:tx>
            <c:v>Прогноз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'2.123 Линейная'!$B$13:$B$135</c:f>
              <c:numCache>
                <c:formatCode>General</c:formatCode>
                <c:ptCount val="1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</c:numCache>
            </c:numRef>
          </c:xVal>
          <c:yVal>
            <c:numRef>
              <c:f>'2.123 Линейная'!$G$13:$G$135</c:f>
              <c:numCache>
                <c:formatCode>General</c:formatCode>
                <c:ptCount val="123"/>
                <c:pt idx="0">
                  <c:v>2.5931471609354086</c:v>
                </c:pt>
                <c:pt idx="1">
                  <c:v>3.0402868560567873</c:v>
                </c:pt>
                <c:pt idx="2">
                  <c:v>3.4874265511781664</c:v>
                </c:pt>
                <c:pt idx="3">
                  <c:v>3.934566246299545</c:v>
                </c:pt>
                <c:pt idx="4">
                  <c:v>4.3817059414209236</c:v>
                </c:pt>
                <c:pt idx="5">
                  <c:v>4.8288456365423027</c:v>
                </c:pt>
                <c:pt idx="6">
                  <c:v>5.2759853316636818</c:v>
                </c:pt>
                <c:pt idx="7">
                  <c:v>5.72312502678506</c:v>
                </c:pt>
                <c:pt idx="8">
                  <c:v>6.170264721906439</c:v>
                </c:pt>
                <c:pt idx="9">
                  <c:v>6.6174044170278172</c:v>
                </c:pt>
                <c:pt idx="10">
                  <c:v>7.0645441121491963</c:v>
                </c:pt>
                <c:pt idx="11">
                  <c:v>7.5116838072705754</c:v>
                </c:pt>
                <c:pt idx="12">
                  <c:v>7.9588235023919536</c:v>
                </c:pt>
                <c:pt idx="13">
                  <c:v>8.4059631975133335</c:v>
                </c:pt>
                <c:pt idx="14">
                  <c:v>8.8531028926347108</c:v>
                </c:pt>
                <c:pt idx="15">
                  <c:v>9.3002425877560899</c:v>
                </c:pt>
                <c:pt idx="16">
                  <c:v>9.747382282877469</c:v>
                </c:pt>
                <c:pt idx="17">
                  <c:v>10.194521977998848</c:v>
                </c:pt>
                <c:pt idx="18">
                  <c:v>10.641661673120225</c:v>
                </c:pt>
                <c:pt idx="19">
                  <c:v>11.088801368241604</c:v>
                </c:pt>
                <c:pt idx="20">
                  <c:v>11.535941063362984</c:v>
                </c:pt>
                <c:pt idx="21">
                  <c:v>11.983080758484363</c:v>
                </c:pt>
                <c:pt idx="22">
                  <c:v>12.430220453605742</c:v>
                </c:pt>
                <c:pt idx="23">
                  <c:v>12.877360148727121</c:v>
                </c:pt>
                <c:pt idx="24">
                  <c:v>13.324499843848498</c:v>
                </c:pt>
                <c:pt idx="25">
                  <c:v>13.771639538969877</c:v>
                </c:pt>
                <c:pt idx="26">
                  <c:v>14.218779234091256</c:v>
                </c:pt>
                <c:pt idx="27">
                  <c:v>14.665918929212635</c:v>
                </c:pt>
                <c:pt idx="28">
                  <c:v>15.113058624334014</c:v>
                </c:pt>
                <c:pt idx="29">
                  <c:v>15.560198319455392</c:v>
                </c:pt>
                <c:pt idx="30">
                  <c:v>16.007338014576771</c:v>
                </c:pt>
                <c:pt idx="31">
                  <c:v>16.45447770969815</c:v>
                </c:pt>
                <c:pt idx="32">
                  <c:v>16.901617404819529</c:v>
                </c:pt>
                <c:pt idx="33">
                  <c:v>17.348757099940908</c:v>
                </c:pt>
                <c:pt idx="34">
                  <c:v>17.795896795062284</c:v>
                </c:pt>
                <c:pt idx="35">
                  <c:v>18.243036490183666</c:v>
                </c:pt>
                <c:pt idx="36">
                  <c:v>18.690176185305045</c:v>
                </c:pt>
                <c:pt idx="37">
                  <c:v>19.137315880426421</c:v>
                </c:pt>
                <c:pt idx="38">
                  <c:v>19.5844555755478</c:v>
                </c:pt>
                <c:pt idx="39">
                  <c:v>20.031595270669179</c:v>
                </c:pt>
                <c:pt idx="40">
                  <c:v>20.478734965790558</c:v>
                </c:pt>
                <c:pt idx="41">
                  <c:v>20.925874660911937</c:v>
                </c:pt>
                <c:pt idx="42">
                  <c:v>21.373014356033316</c:v>
                </c:pt>
                <c:pt idx="43">
                  <c:v>21.820154051154695</c:v>
                </c:pt>
                <c:pt idx="44">
                  <c:v>22.267293746276074</c:v>
                </c:pt>
                <c:pt idx="45">
                  <c:v>22.714433441397453</c:v>
                </c:pt>
                <c:pt idx="46">
                  <c:v>23.161573136518832</c:v>
                </c:pt>
                <c:pt idx="47">
                  <c:v>23.608712831640212</c:v>
                </c:pt>
                <c:pt idx="48">
                  <c:v>24.055852526761587</c:v>
                </c:pt>
                <c:pt idx="49">
                  <c:v>24.502992221882966</c:v>
                </c:pt>
                <c:pt idx="50">
                  <c:v>24.950131917004345</c:v>
                </c:pt>
                <c:pt idx="51">
                  <c:v>25.397271612125724</c:v>
                </c:pt>
                <c:pt idx="52">
                  <c:v>25.844411307247103</c:v>
                </c:pt>
                <c:pt idx="53">
                  <c:v>26.291551002368482</c:v>
                </c:pt>
                <c:pt idx="54">
                  <c:v>26.738690697489861</c:v>
                </c:pt>
                <c:pt idx="55">
                  <c:v>27.185830392611241</c:v>
                </c:pt>
                <c:pt idx="56">
                  <c:v>27.63297008773262</c:v>
                </c:pt>
                <c:pt idx="57">
                  <c:v>28.080109782853999</c:v>
                </c:pt>
                <c:pt idx="58">
                  <c:v>28.527249477975374</c:v>
                </c:pt>
                <c:pt idx="59">
                  <c:v>28.974389173096753</c:v>
                </c:pt>
                <c:pt idx="60">
                  <c:v>29.421528868218132</c:v>
                </c:pt>
                <c:pt idx="61">
                  <c:v>29.868668563339511</c:v>
                </c:pt>
                <c:pt idx="62">
                  <c:v>30.315808258460891</c:v>
                </c:pt>
                <c:pt idx="63">
                  <c:v>30.76294795358227</c:v>
                </c:pt>
                <c:pt idx="64">
                  <c:v>31.210087648703649</c:v>
                </c:pt>
                <c:pt idx="65">
                  <c:v>31.657227343825028</c:v>
                </c:pt>
                <c:pt idx="66">
                  <c:v>32.104367038946407</c:v>
                </c:pt>
                <c:pt idx="67">
                  <c:v>32.551506734067786</c:v>
                </c:pt>
                <c:pt idx="68">
                  <c:v>32.998646429189165</c:v>
                </c:pt>
                <c:pt idx="69">
                  <c:v>33.445786124310544</c:v>
                </c:pt>
                <c:pt idx="70">
                  <c:v>33.892925819431923</c:v>
                </c:pt>
                <c:pt idx="71">
                  <c:v>34.340065514553302</c:v>
                </c:pt>
                <c:pt idx="72">
                  <c:v>34.787205209674681</c:v>
                </c:pt>
                <c:pt idx="73">
                  <c:v>35.23434490479606</c:v>
                </c:pt>
                <c:pt idx="74">
                  <c:v>35.681484599917432</c:v>
                </c:pt>
                <c:pt idx="75">
                  <c:v>36.128624295038811</c:v>
                </c:pt>
                <c:pt idx="76">
                  <c:v>36.575763990160191</c:v>
                </c:pt>
                <c:pt idx="77">
                  <c:v>37.02290368528157</c:v>
                </c:pt>
                <c:pt idx="78">
                  <c:v>37.470043380402949</c:v>
                </c:pt>
                <c:pt idx="79">
                  <c:v>37.917183075524328</c:v>
                </c:pt>
                <c:pt idx="80">
                  <c:v>38.364322770645707</c:v>
                </c:pt>
                <c:pt idx="81">
                  <c:v>38.811462465767086</c:v>
                </c:pt>
                <c:pt idx="82">
                  <c:v>39.258602160888465</c:v>
                </c:pt>
                <c:pt idx="83">
                  <c:v>39.705741856009844</c:v>
                </c:pt>
                <c:pt idx="84">
                  <c:v>40.152881551131223</c:v>
                </c:pt>
                <c:pt idx="85">
                  <c:v>40.600021246252602</c:v>
                </c:pt>
                <c:pt idx="86">
                  <c:v>41.047160941373981</c:v>
                </c:pt>
                <c:pt idx="87">
                  <c:v>41.49430063649536</c:v>
                </c:pt>
                <c:pt idx="88">
                  <c:v>41.941440331616739</c:v>
                </c:pt>
                <c:pt idx="89">
                  <c:v>42.388580026738119</c:v>
                </c:pt>
                <c:pt idx="90">
                  <c:v>42.835719721859498</c:v>
                </c:pt>
                <c:pt idx="91">
                  <c:v>43.282859416980877</c:v>
                </c:pt>
                <c:pt idx="92">
                  <c:v>43.729999112102256</c:v>
                </c:pt>
                <c:pt idx="93">
                  <c:v>44.177138807223635</c:v>
                </c:pt>
                <c:pt idx="94">
                  <c:v>44.624278502345014</c:v>
                </c:pt>
                <c:pt idx="95">
                  <c:v>45.071418197466393</c:v>
                </c:pt>
                <c:pt idx="96">
                  <c:v>45.518557892587765</c:v>
                </c:pt>
                <c:pt idx="97">
                  <c:v>45.965697587709144</c:v>
                </c:pt>
                <c:pt idx="98">
                  <c:v>46.412837282830523</c:v>
                </c:pt>
                <c:pt idx="99">
                  <c:v>46.859976977951902</c:v>
                </c:pt>
                <c:pt idx="100">
                  <c:v>47.307116673073281</c:v>
                </c:pt>
                <c:pt idx="101">
                  <c:v>47.75425636819466</c:v>
                </c:pt>
                <c:pt idx="102">
                  <c:v>48.201396063316039</c:v>
                </c:pt>
                <c:pt idx="103">
                  <c:v>48.648535758437419</c:v>
                </c:pt>
                <c:pt idx="104">
                  <c:v>49.095675453558798</c:v>
                </c:pt>
                <c:pt idx="105">
                  <c:v>49.542815148680177</c:v>
                </c:pt>
                <c:pt idx="106">
                  <c:v>49.989954843801556</c:v>
                </c:pt>
                <c:pt idx="107">
                  <c:v>50.437094538922935</c:v>
                </c:pt>
                <c:pt idx="108">
                  <c:v>50.884234234044314</c:v>
                </c:pt>
                <c:pt idx="109">
                  <c:v>51.331373929165693</c:v>
                </c:pt>
                <c:pt idx="110">
                  <c:v>51.778513624287072</c:v>
                </c:pt>
                <c:pt idx="111">
                  <c:v>52.225653319408451</c:v>
                </c:pt>
                <c:pt idx="112">
                  <c:v>52.67279301452983</c:v>
                </c:pt>
                <c:pt idx="113">
                  <c:v>53.119932709651209</c:v>
                </c:pt>
                <c:pt idx="114">
                  <c:v>53.567072404772588</c:v>
                </c:pt>
                <c:pt idx="115">
                  <c:v>54.014212099893967</c:v>
                </c:pt>
                <c:pt idx="116">
                  <c:v>54.461351795015347</c:v>
                </c:pt>
                <c:pt idx="117">
                  <c:v>54.908491490136718</c:v>
                </c:pt>
                <c:pt idx="118">
                  <c:v>55.355631185258098</c:v>
                </c:pt>
                <c:pt idx="119">
                  <c:v>55.802770880379477</c:v>
                </c:pt>
                <c:pt idx="120">
                  <c:v>56.249910575500856</c:v>
                </c:pt>
                <c:pt idx="121">
                  <c:v>56.697050270622235</c:v>
                </c:pt>
                <c:pt idx="122">
                  <c:v>57.144189965743614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BC2-43B0-A2E0-B26384D17D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2048927"/>
        <c:axId val="1782050847"/>
      </c:scatterChart>
      <c:valAx>
        <c:axId val="1782048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82050847"/>
        <c:crosses val="autoZero"/>
        <c:crossBetween val="midCat"/>
      </c:valAx>
      <c:valAx>
        <c:axId val="178205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820489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807157426752366"/>
          <c:y val="0.49016573276541786"/>
          <c:w val="0.15249707900547563"/>
          <c:h val="0.271523060985678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675599945017764E-2"/>
          <c:y val="2.5369978858350951E-2"/>
          <c:w val="0.61332569722953323"/>
          <c:h val="0.93798449612403101"/>
        </c:manualLayout>
      </c:layout>
      <c:scatterChart>
        <c:scatterStyle val="lineMarker"/>
        <c:varyColors val="0"/>
        <c:ser>
          <c:idx val="0"/>
          <c:order val="0"/>
          <c:tx>
            <c:v>Наблюдения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trendline>
            <c:spPr>
              <a:ln w="34925" cap="rnd">
                <a:solidFill>
                  <a:schemeClr val="accent2">
                    <a:lumMod val="75000"/>
                  </a:schemeClr>
                </a:solidFill>
                <a:prstDash val="dash"/>
              </a:ln>
              <a:effectLst/>
            </c:spPr>
            <c:trendlineType val="linear"/>
            <c:dispRSqr val="0"/>
            <c:dispEq val="0"/>
          </c:trendline>
          <c:xVal>
            <c:numRef>
              <c:f>'2.123 Нелинейная'!$A$13:$A$135</c:f>
              <c:numCache>
                <c:formatCode>General</c:formatCode>
                <c:ptCount val="1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</c:numCache>
            </c:numRef>
          </c:xVal>
          <c:yVal>
            <c:numRef>
              <c:f>'2.123 Нелинейная'!$E$13:$E$135</c:f>
              <c:numCache>
                <c:formatCode>General</c:formatCode>
                <c:ptCount val="123"/>
                <c:pt idx="0">
                  <c:v>-62.371278370873682</c:v>
                </c:pt>
                <c:pt idx="1">
                  <c:v>82.073245010161884</c:v>
                </c:pt>
                <c:pt idx="2">
                  <c:v>-15.01221257448494</c:v>
                </c:pt>
                <c:pt idx="3">
                  <c:v>-44.683909834090514</c:v>
                </c:pt>
                <c:pt idx="4">
                  <c:v>91.798611884891741</c:v>
                </c:pt>
                <c:pt idx="5">
                  <c:v>89.771855257992499</c:v>
                </c:pt>
                <c:pt idx="6">
                  <c:v>38.698400193451462</c:v>
                </c:pt>
                <c:pt idx="7">
                  <c:v>94.671681018878161</c:v>
                </c:pt>
                <c:pt idx="8">
                  <c:v>125.12891530106597</c:v>
                </c:pt>
                <c:pt idx="9">
                  <c:v>13.267372475289669</c:v>
                </c:pt>
                <c:pt idx="10">
                  <c:v>-42.757787742905343</c:v>
                </c:pt>
                <c:pt idx="11">
                  <c:v>111.26136144904132</c:v>
                </c:pt>
                <c:pt idx="12">
                  <c:v>-22.221762809217175</c:v>
                </c:pt>
                <c:pt idx="13">
                  <c:v>112.44380221133159</c:v>
                </c:pt>
                <c:pt idx="14">
                  <c:v>16.326545924360182</c:v>
                </c:pt>
                <c:pt idx="15">
                  <c:v>-11.610968679336924</c:v>
                </c:pt>
                <c:pt idx="16">
                  <c:v>37.079016267340272</c:v>
                </c:pt>
                <c:pt idx="17">
                  <c:v>57.233926901828113</c:v>
                </c:pt>
                <c:pt idx="18">
                  <c:v>-82.476860157946149</c:v>
                </c:pt>
                <c:pt idx="19">
                  <c:v>19.698921245616088</c:v>
                </c:pt>
                <c:pt idx="20">
                  <c:v>10.335898090115032</c:v>
                </c:pt>
                <c:pt idx="21">
                  <c:v>-27.408167348547295</c:v>
                </c:pt>
                <c:pt idx="22">
                  <c:v>8.5421470785427829</c:v>
                </c:pt>
                <c:pt idx="23">
                  <c:v>28.733202123505581</c:v>
                </c:pt>
                <c:pt idx="24">
                  <c:v>101.07844824300602</c:v>
                </c:pt>
                <c:pt idx="25">
                  <c:v>-10.311525690020396</c:v>
                </c:pt>
                <c:pt idx="26">
                  <c:v>148.33775059753481</c:v>
                </c:pt>
                <c:pt idx="27">
                  <c:v>-37.664530672715699</c:v>
                </c:pt>
                <c:pt idx="28">
                  <c:v>-74.335417242608031</c:v>
                </c:pt>
                <c:pt idx="29">
                  <c:v>71.726912087325644</c:v>
                </c:pt>
                <c:pt idx="30">
                  <c:v>-75.733400612308571</c:v>
                </c:pt>
                <c:pt idx="31">
                  <c:v>20.443572503406969</c:v>
                </c:pt>
                <c:pt idx="32">
                  <c:v>1.8314222948394132</c:v>
                </c:pt>
                <c:pt idx="33">
                  <c:v>25.369058580162541</c:v>
                </c:pt>
                <c:pt idx="34">
                  <c:v>160.36933952456144</c:v>
                </c:pt>
                <c:pt idx="35">
                  <c:v>127.52360595468031</c:v>
                </c:pt>
                <c:pt idx="36">
                  <c:v>-35.274222185663291</c:v>
                </c:pt>
                <c:pt idx="37">
                  <c:v>69.4827653064971</c:v>
                </c:pt>
                <c:pt idx="38">
                  <c:v>69.176415867498619</c:v>
                </c:pt>
                <c:pt idx="39">
                  <c:v>120.55283203123005</c:v>
                </c:pt>
                <c:pt idx="40">
                  <c:v>36.051730970915699</c:v>
                </c:pt>
                <c:pt idx="41">
                  <c:v>-46.855390799330777</c:v>
                </c:pt>
                <c:pt idx="42">
                  <c:v>190.28243413097306</c:v>
                </c:pt>
                <c:pt idx="43">
                  <c:v>-70.34166205880959</c:v>
                </c:pt>
                <c:pt idx="44">
                  <c:v>197.7876315493811</c:v>
                </c:pt>
                <c:pt idx="45">
                  <c:v>144.85257888905508</c:v>
                </c:pt>
                <c:pt idx="46">
                  <c:v>45.440295833675656</c:v>
                </c:pt>
                <c:pt idx="47">
                  <c:v>89.02912840050891</c:v>
                </c:pt>
                <c:pt idx="48">
                  <c:v>110.29975540025362</c:v>
                </c:pt>
                <c:pt idx="49">
                  <c:v>-39.079695310228971</c:v>
                </c:pt>
                <c:pt idx="50">
                  <c:v>39.415949942157752</c:v>
                </c:pt>
                <c:pt idx="51">
                  <c:v>147.49003577356243</c:v>
                </c:pt>
                <c:pt idx="52">
                  <c:v>70.02385997063098</c:v>
                </c:pt>
                <c:pt idx="53">
                  <c:v>153.35353215792733</c:v>
                </c:pt>
                <c:pt idx="54">
                  <c:v>21.213984974730579</c:v>
                </c:pt>
                <c:pt idx="55">
                  <c:v>174.54157491200493</c:v>
                </c:pt>
                <c:pt idx="56">
                  <c:v>111.46467466025851</c:v>
                </c:pt>
                <c:pt idx="57">
                  <c:v>-23.054695144359158</c:v>
                </c:pt>
                <c:pt idx="58">
                  <c:v>76.997196899161437</c:v>
                </c:pt>
                <c:pt idx="59">
                  <c:v>76.889218313523259</c:v>
                </c:pt>
                <c:pt idx="60">
                  <c:v>-65.834134069412627</c:v>
                </c:pt>
                <c:pt idx="61">
                  <c:v>-16.551348042849952</c:v>
                </c:pt>
                <c:pt idx="62">
                  <c:v>64.66710310286021</c:v>
                </c:pt>
                <c:pt idx="63">
                  <c:v>151.63888422785092</c:v>
                </c:pt>
                <c:pt idx="64">
                  <c:v>142.73900753938844</c:v>
                </c:pt>
                <c:pt idx="65">
                  <c:v>119.72281499103768</c:v>
                </c:pt>
                <c:pt idx="66">
                  <c:v>164.6141598904359</c:v>
                </c:pt>
                <c:pt idx="67">
                  <c:v>89.499700507678625</c:v>
                </c:pt>
                <c:pt idx="68">
                  <c:v>52.950114357728722</c:v>
                </c:pt>
                <c:pt idx="69">
                  <c:v>75.522020411111171</c:v>
                </c:pt>
                <c:pt idx="70">
                  <c:v>99.56642939097469</c:v>
                </c:pt>
                <c:pt idx="71">
                  <c:v>82.510054647046516</c:v>
                </c:pt>
                <c:pt idx="72">
                  <c:v>280.66238684424468</c:v>
                </c:pt>
                <c:pt idx="73">
                  <c:v>302.3066623546955</c:v>
                </c:pt>
                <c:pt idx="74">
                  <c:v>193.88426678854887</c:v>
                </c:pt>
                <c:pt idx="75">
                  <c:v>232.25800562415805</c:v>
                </c:pt>
                <c:pt idx="76">
                  <c:v>79.759836637060133</c:v>
                </c:pt>
                <c:pt idx="77">
                  <c:v>147.8453635459872</c:v>
                </c:pt>
                <c:pt idx="78">
                  <c:v>59.449135525817425</c:v>
                </c:pt>
                <c:pt idx="79">
                  <c:v>76.104612781156376</c:v>
                </c:pt>
                <c:pt idx="80">
                  <c:v>349.89777299542982</c:v>
                </c:pt>
                <c:pt idx="81">
                  <c:v>219.65162229720985</c:v>
                </c:pt>
                <c:pt idx="82">
                  <c:v>133.63347572112394</c:v>
                </c:pt>
                <c:pt idx="83">
                  <c:v>199.56555988214623</c:v>
                </c:pt>
                <c:pt idx="84">
                  <c:v>-4.6326347843035762</c:v>
                </c:pt>
                <c:pt idx="85">
                  <c:v>169.06388266038445</c:v>
                </c:pt>
                <c:pt idx="86">
                  <c:v>289.6192679469188</c:v>
                </c:pt>
                <c:pt idx="87">
                  <c:v>229.90296725951367</c:v>
                </c:pt>
                <c:pt idx="88">
                  <c:v>147.26963112308238</c:v>
                </c:pt>
                <c:pt idx="89">
                  <c:v>265.81088623313758</c:v>
                </c:pt>
                <c:pt idx="90">
                  <c:v>283.90558649596909</c:v>
                </c:pt>
                <c:pt idx="91">
                  <c:v>234.08296409612799</c:v>
                </c:pt>
                <c:pt idx="92">
                  <c:v>315.67387558649841</c:v>
                </c:pt>
                <c:pt idx="93">
                  <c:v>242.31518922641973</c:v>
                </c:pt>
                <c:pt idx="94">
                  <c:v>313.13982645898079</c:v>
                </c:pt>
                <c:pt idx="95">
                  <c:v>343.68583199650573</c:v>
                </c:pt>
                <c:pt idx="96">
                  <c:v>328.87724310070121</c:v>
                </c:pt>
                <c:pt idx="97">
                  <c:v>310.0704448019726</c:v>
                </c:pt>
                <c:pt idx="98">
                  <c:v>269.71909960056723</c:v>
                </c:pt>
                <c:pt idx="99">
                  <c:v>202.82683607161368</c:v>
                </c:pt>
                <c:pt idx="100">
                  <c:v>270.81951217981941</c:v>
                </c:pt>
                <c:pt idx="101">
                  <c:v>167.43412702609479</c:v>
                </c:pt>
                <c:pt idx="102">
                  <c:v>391.27614863690007</c:v>
                </c:pt>
                <c:pt idx="103">
                  <c:v>151.07847638368338</c:v>
                </c:pt>
                <c:pt idx="104">
                  <c:v>493.42431644904707</c:v>
                </c:pt>
                <c:pt idx="105">
                  <c:v>401.77069273559135</c:v>
                </c:pt>
                <c:pt idx="106">
                  <c:v>254.34077440396572</c:v>
                </c:pt>
                <c:pt idx="107">
                  <c:v>350.87224082573948</c:v>
                </c:pt>
                <c:pt idx="108">
                  <c:v>298.70868440542245</c:v>
                </c:pt>
                <c:pt idx="109">
                  <c:v>346.73000422987178</c:v>
                </c:pt>
                <c:pt idx="110">
                  <c:v>426.57911816260344</c:v>
                </c:pt>
                <c:pt idx="111">
                  <c:v>373.21697528038374</c:v>
                </c:pt>
                <c:pt idx="112">
                  <c:v>522.47878243387754</c:v>
                </c:pt>
                <c:pt idx="113">
                  <c:v>318.26304535680168</c:v>
                </c:pt>
                <c:pt idx="114">
                  <c:v>535.26029728374169</c:v>
                </c:pt>
                <c:pt idx="115">
                  <c:v>389.2654902785381</c:v>
                </c:pt>
                <c:pt idx="116">
                  <c:v>426.75899624921607</c:v>
                </c:pt>
                <c:pt idx="117">
                  <c:v>455.17891316522184</c:v>
                </c:pt>
                <c:pt idx="118">
                  <c:v>466.11509224162194</c:v>
                </c:pt>
                <c:pt idx="119">
                  <c:v>334.95834306523847</c:v>
                </c:pt>
                <c:pt idx="120">
                  <c:v>350.75341239818363</c:v>
                </c:pt>
                <c:pt idx="121">
                  <c:v>437.81187660878186</c:v>
                </c:pt>
                <c:pt idx="122">
                  <c:v>428.57166929264645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00-4DEC-AE8D-2FDDF450EAB7}"/>
            </c:ext>
          </c:extLst>
        </c:ser>
        <c:ser>
          <c:idx val="1"/>
          <c:order val="1"/>
          <c:tx>
            <c:v>Прогноз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'2.123 Нелинейная'!$A$13:$A$135</c:f>
              <c:numCache>
                <c:formatCode>General</c:formatCode>
                <c:ptCount val="1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</c:numCache>
            </c:numRef>
          </c:xVal>
          <c:yVal>
            <c:numRef>
              <c:f>'2.123 Нелинейная'!$G$13:$G$135</c:f>
              <c:numCache>
                <c:formatCode>General</c:formatCode>
                <c:ptCount val="123"/>
                <c:pt idx="0">
                  <c:v>38.555224328850493</c:v>
                </c:pt>
                <c:pt idx="1">
                  <c:v>37.191858801156208</c:v>
                </c:pt>
                <c:pt idx="2">
                  <c:v>35.908043645002472</c:v>
                </c:pt>
                <c:pt idx="3">
                  <c:v>34.703778860389278</c:v>
                </c:pt>
                <c:pt idx="4">
                  <c:v>33.57906444731664</c:v>
                </c:pt>
                <c:pt idx="5">
                  <c:v>32.53390040578455</c:v>
                </c:pt>
                <c:pt idx="6">
                  <c:v>31.568286735793006</c:v>
                </c:pt>
                <c:pt idx="7">
                  <c:v>30.68222343734201</c:v>
                </c:pt>
                <c:pt idx="8">
                  <c:v>29.875710510431563</c:v>
                </c:pt>
                <c:pt idx="9">
                  <c:v>29.148747955061665</c:v>
                </c:pt>
                <c:pt idx="10">
                  <c:v>28.501335771232313</c:v>
                </c:pt>
                <c:pt idx="11">
                  <c:v>27.933473958943512</c:v>
                </c:pt>
                <c:pt idx="12">
                  <c:v>27.445162518195261</c:v>
                </c:pt>
                <c:pt idx="13">
                  <c:v>27.036401448987554</c:v>
                </c:pt>
                <c:pt idx="14">
                  <c:v>26.707190751320397</c:v>
                </c:pt>
                <c:pt idx="15">
                  <c:v>26.457530425193784</c:v>
                </c:pt>
                <c:pt idx="16">
                  <c:v>26.287420470607721</c:v>
                </c:pt>
                <c:pt idx="17">
                  <c:v>26.19686088756221</c:v>
                </c:pt>
                <c:pt idx="18">
                  <c:v>26.185851676057244</c:v>
                </c:pt>
                <c:pt idx="19">
                  <c:v>26.254392836092826</c:v>
                </c:pt>
                <c:pt idx="20">
                  <c:v>26.402484367668961</c:v>
                </c:pt>
                <c:pt idx="21">
                  <c:v>26.630126270785638</c:v>
                </c:pt>
                <c:pt idx="22">
                  <c:v>26.937318545442867</c:v>
                </c:pt>
                <c:pt idx="23">
                  <c:v>27.324061191640649</c:v>
                </c:pt>
                <c:pt idx="24">
                  <c:v>27.790354209378975</c:v>
                </c:pt>
                <c:pt idx="25">
                  <c:v>28.336197598657847</c:v>
                </c:pt>
                <c:pt idx="26">
                  <c:v>28.961591359477268</c:v>
                </c:pt>
                <c:pt idx="27">
                  <c:v>29.666535491837237</c:v>
                </c:pt>
                <c:pt idx="28">
                  <c:v>30.451029995737755</c:v>
                </c:pt>
                <c:pt idx="29">
                  <c:v>31.315074871178822</c:v>
                </c:pt>
                <c:pt idx="30">
                  <c:v>32.258670118160431</c:v>
                </c:pt>
                <c:pt idx="31">
                  <c:v>33.281815736682596</c:v>
                </c:pt>
                <c:pt idx="32">
                  <c:v>34.384511726745309</c:v>
                </c:pt>
                <c:pt idx="33">
                  <c:v>35.566758088348564</c:v>
                </c:pt>
                <c:pt idx="34">
                  <c:v>36.828554821492375</c:v>
                </c:pt>
                <c:pt idx="35">
                  <c:v>38.169901926176728</c:v>
                </c:pt>
                <c:pt idx="36">
                  <c:v>39.590799402401629</c:v>
                </c:pt>
                <c:pt idx="37">
                  <c:v>41.091247250167079</c:v>
                </c:pt>
                <c:pt idx="38">
                  <c:v>42.671245469473085</c:v>
                </c:pt>
                <c:pt idx="39">
                  <c:v>44.330794060319633</c:v>
                </c:pt>
                <c:pt idx="40">
                  <c:v>46.069893022706729</c:v>
                </c:pt>
                <c:pt idx="41">
                  <c:v>47.888542356634375</c:v>
                </c:pt>
                <c:pt idx="42">
                  <c:v>49.786742062102569</c:v>
                </c:pt>
                <c:pt idx="43">
                  <c:v>51.764492139111304</c:v>
                </c:pt>
                <c:pt idx="44">
                  <c:v>53.821792587660603</c:v>
                </c:pt>
                <c:pt idx="45">
                  <c:v>55.958643407750436</c:v>
                </c:pt>
                <c:pt idx="46">
                  <c:v>58.175044599380833</c:v>
                </c:pt>
                <c:pt idx="47">
                  <c:v>60.470996162551764</c:v>
                </c:pt>
                <c:pt idx="48">
                  <c:v>62.846498097263243</c:v>
                </c:pt>
                <c:pt idx="49">
                  <c:v>65.301550403515279</c:v>
                </c:pt>
                <c:pt idx="50">
                  <c:v>67.836153081307856</c:v>
                </c:pt>
                <c:pt idx="51">
                  <c:v>70.450306130640996</c:v>
                </c:pt>
                <c:pt idx="52">
                  <c:v>73.144009551514642</c:v>
                </c:pt>
                <c:pt idx="53">
                  <c:v>75.91726334392888</c:v>
                </c:pt>
                <c:pt idx="54">
                  <c:v>78.770067507883653</c:v>
                </c:pt>
                <c:pt idx="55">
                  <c:v>81.702422043378988</c:v>
                </c:pt>
                <c:pt idx="56">
                  <c:v>84.714326950414858</c:v>
                </c:pt>
                <c:pt idx="57">
                  <c:v>87.805782228991262</c:v>
                </c:pt>
                <c:pt idx="58">
                  <c:v>90.976787879108201</c:v>
                </c:pt>
                <c:pt idx="59">
                  <c:v>94.22734390076576</c:v>
                </c:pt>
                <c:pt idx="60">
                  <c:v>97.557450293963797</c:v>
                </c:pt>
                <c:pt idx="61">
                  <c:v>100.9671070587024</c:v>
                </c:pt>
                <c:pt idx="62">
                  <c:v>104.45631419498156</c:v>
                </c:pt>
                <c:pt idx="63">
                  <c:v>108.02507170280128</c:v>
                </c:pt>
                <c:pt idx="64">
                  <c:v>111.67337958216154</c:v>
                </c:pt>
                <c:pt idx="65">
                  <c:v>115.40123783306234</c:v>
                </c:pt>
                <c:pt idx="66">
                  <c:v>119.2086464555037</c:v>
                </c:pt>
                <c:pt idx="67">
                  <c:v>123.09560544948559</c:v>
                </c:pt>
                <c:pt idx="68">
                  <c:v>127.06211481500804</c:v>
                </c:pt>
                <c:pt idx="69">
                  <c:v>131.10817455207103</c:v>
                </c:pt>
                <c:pt idx="70">
                  <c:v>135.23378466067459</c:v>
                </c:pt>
                <c:pt idx="71">
                  <c:v>139.43894514081867</c:v>
                </c:pt>
                <c:pt idx="72">
                  <c:v>143.7236559925033</c:v>
                </c:pt>
                <c:pt idx="73">
                  <c:v>148.08791721572848</c:v>
                </c:pt>
                <c:pt idx="74">
                  <c:v>152.53172881049426</c:v>
                </c:pt>
                <c:pt idx="75">
                  <c:v>157.05509077680051</c:v>
                </c:pt>
                <c:pt idx="76">
                  <c:v>161.65800311464736</c:v>
                </c:pt>
                <c:pt idx="77">
                  <c:v>166.34046582403474</c:v>
                </c:pt>
                <c:pt idx="78">
                  <c:v>171.10247890496268</c:v>
                </c:pt>
                <c:pt idx="79">
                  <c:v>175.94404235743116</c:v>
                </c:pt>
                <c:pt idx="80">
                  <c:v>180.86515618144014</c:v>
                </c:pt>
                <c:pt idx="81">
                  <c:v>185.86582037698975</c:v>
                </c:pt>
                <c:pt idx="82">
                  <c:v>190.94603494407988</c:v>
                </c:pt>
                <c:pt idx="83">
                  <c:v>196.10579988271053</c:v>
                </c:pt>
                <c:pt idx="84">
                  <c:v>201.34511519288174</c:v>
                </c:pt>
                <c:pt idx="85">
                  <c:v>206.66398087459353</c:v>
                </c:pt>
                <c:pt idx="86">
                  <c:v>212.06239692784587</c:v>
                </c:pt>
                <c:pt idx="87">
                  <c:v>217.54036335263871</c:v>
                </c:pt>
                <c:pt idx="88">
                  <c:v>223.09788014897214</c:v>
                </c:pt>
                <c:pt idx="89">
                  <c:v>228.7349473168461</c:v>
                </c:pt>
                <c:pt idx="90">
                  <c:v>234.45156485626057</c:v>
                </c:pt>
                <c:pt idx="91">
                  <c:v>240.24773276721567</c:v>
                </c:pt>
                <c:pt idx="92">
                  <c:v>246.12345104971129</c:v>
                </c:pt>
                <c:pt idx="93">
                  <c:v>252.07871970374745</c:v>
                </c:pt>
                <c:pt idx="94">
                  <c:v>258.11353872932409</c:v>
                </c:pt>
                <c:pt idx="95">
                  <c:v>264.22790812644138</c:v>
                </c:pt>
                <c:pt idx="96">
                  <c:v>270.42182789509917</c:v>
                </c:pt>
                <c:pt idx="97">
                  <c:v>276.69529803529753</c:v>
                </c:pt>
                <c:pt idx="98">
                  <c:v>283.04831854703639</c:v>
                </c:pt>
                <c:pt idx="99">
                  <c:v>289.48088943031587</c:v>
                </c:pt>
                <c:pt idx="100">
                  <c:v>295.99301068513591</c:v>
                </c:pt>
                <c:pt idx="101">
                  <c:v>302.58468231149641</c:v>
                </c:pt>
                <c:pt idx="102">
                  <c:v>309.25590430939747</c:v>
                </c:pt>
                <c:pt idx="103">
                  <c:v>316.00667667883914</c:v>
                </c:pt>
                <c:pt idx="104">
                  <c:v>322.83699941982132</c:v>
                </c:pt>
                <c:pt idx="105">
                  <c:v>329.74687253234401</c:v>
                </c:pt>
                <c:pt idx="106">
                  <c:v>336.73629601640732</c:v>
                </c:pt>
                <c:pt idx="107">
                  <c:v>343.80526987201119</c:v>
                </c:pt>
                <c:pt idx="108">
                  <c:v>350.95379409915552</c:v>
                </c:pt>
                <c:pt idx="109">
                  <c:v>358.1818686978404</c:v>
                </c:pt>
                <c:pt idx="110">
                  <c:v>365.48949366806596</c:v>
                </c:pt>
                <c:pt idx="111">
                  <c:v>372.87666900983197</c:v>
                </c:pt>
                <c:pt idx="112">
                  <c:v>380.34339472313854</c:v>
                </c:pt>
                <c:pt idx="113">
                  <c:v>387.88967080798568</c:v>
                </c:pt>
                <c:pt idx="114">
                  <c:v>395.51549726437338</c:v>
                </c:pt>
                <c:pt idx="115">
                  <c:v>403.22087409230153</c:v>
                </c:pt>
                <c:pt idx="116">
                  <c:v>411.00580129177035</c:v>
                </c:pt>
                <c:pt idx="117">
                  <c:v>418.87027886277951</c:v>
                </c:pt>
                <c:pt idx="118">
                  <c:v>426.81430680532947</c:v>
                </c:pt>
                <c:pt idx="119">
                  <c:v>434.83788511941992</c:v>
                </c:pt>
                <c:pt idx="120">
                  <c:v>442.94101380505083</c:v>
                </c:pt>
                <c:pt idx="121">
                  <c:v>451.1236928622223</c:v>
                </c:pt>
                <c:pt idx="122">
                  <c:v>459.38592229093433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500-4DEC-AE8D-2FDDF450E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2068607"/>
        <c:axId val="1782069087"/>
      </c:scatterChart>
      <c:valAx>
        <c:axId val="1782068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82069087"/>
        <c:crosses val="autoZero"/>
        <c:crossBetween val="midCat"/>
      </c:valAx>
      <c:valAx>
        <c:axId val="1782069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820686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Наблюдения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8575" cap="rnd">
                <a:solidFill>
                  <a:schemeClr val="accent2">
                    <a:lumMod val="60000"/>
                    <a:lumOff val="40000"/>
                  </a:schemeClr>
                </a:solidFill>
                <a:prstDash val="lgDash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'2.123 Нелин. множественная'!$A$20:$A$142</c:f>
              <c:numCache>
                <c:formatCode>General</c:formatCode>
                <c:ptCount val="123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</c:numCache>
            </c:numRef>
          </c:xVal>
          <c:yVal>
            <c:numRef>
              <c:f>'2.123 Нелин. множественная'!$H$20:$H$142</c:f>
              <c:numCache>
                <c:formatCode>General</c:formatCode>
                <c:ptCount val="123"/>
                <c:pt idx="0">
                  <c:v>-18.828201861117179</c:v>
                </c:pt>
                <c:pt idx="1">
                  <c:v>27.668581491748885</c:v>
                </c:pt>
                <c:pt idx="2">
                  <c:v>-3.6604121767015072</c:v>
                </c:pt>
                <c:pt idx="3">
                  <c:v>-13.253206197473542</c:v>
                </c:pt>
                <c:pt idx="4">
                  <c:v>30.710864252350277</c:v>
                </c:pt>
                <c:pt idx="5">
                  <c:v>30.049198399611125</c:v>
                </c:pt>
                <c:pt idx="6">
                  <c:v>13.592518810041366</c:v>
                </c:pt>
                <c:pt idx="7">
                  <c:v>31.644388202797362</c:v>
                </c:pt>
                <c:pt idx="8">
                  <c:v>41.484366291075865</c:v>
                </c:pt>
                <c:pt idx="9">
                  <c:v>5.4709372222647685</c:v>
                </c:pt>
                <c:pt idx="10">
                  <c:v>-12.53728414380334</c:v>
                </c:pt>
                <c:pt idx="11">
                  <c:v>37.155630475305308</c:v>
                </c:pt>
                <c:pt idx="12">
                  <c:v>-5.7925257815111451</c:v>
                </c:pt>
                <c:pt idx="13">
                  <c:v>37.685503655516605</c:v>
                </c:pt>
                <c:pt idx="14">
                  <c:v>6.8011971970249858</c:v>
                </c:pt>
                <c:pt idx="15">
                  <c:v>-2.1000600812530967</c:v>
                </c:pt>
                <c:pt idx="16">
                  <c:v>13.70415457686325</c:v>
                </c:pt>
                <c:pt idx="17">
                  <c:v>20.323548778289744</c:v>
                </c:pt>
                <c:pt idx="18">
                  <c:v>-24.565235142232385</c:v>
                </c:pt>
                <c:pt idx="19">
                  <c:v>8.5087854051605447</c:v>
                </c:pt>
                <c:pt idx="20">
                  <c:v>5.6487287549667098</c:v>
                </c:pt>
                <c:pt idx="21">
                  <c:v>-6.3465091094571573</c:v>
                </c:pt>
                <c:pt idx="22">
                  <c:v>5.4184810407959825</c:v>
                </c:pt>
                <c:pt idx="23">
                  <c:v>12.115857908325832</c:v>
                </c:pt>
                <c:pt idx="24">
                  <c:v>35.631798379669739</c:v>
                </c:pt>
                <c:pt idx="25">
                  <c:v>-5.2768036699694321E-2</c:v>
                </c:pt>
                <c:pt idx="26">
                  <c:v>51.298114220467966</c:v>
                </c:pt>
                <c:pt idx="27">
                  <c:v>-8.4093294855720373</c:v>
                </c:pt>
                <c:pt idx="28">
                  <c:v>-19.981328269113028</c:v>
                </c:pt>
                <c:pt idx="29">
                  <c:v>27.346379767722159</c:v>
                </c:pt>
                <c:pt idx="30">
                  <c:v>-19.907141475396458</c:v>
                </c:pt>
                <c:pt idx="31">
                  <c:v>11.3663379342035</c:v>
                </c:pt>
                <c:pt idx="32">
                  <c:v>5.6582738349795019</c:v>
                </c:pt>
                <c:pt idx="33">
                  <c:v>13.544696712271119</c:v>
                </c:pt>
                <c:pt idx="34">
                  <c:v>57.362764582849977</c:v>
                </c:pt>
                <c:pt idx="35">
                  <c:v>47.100871800051181</c:v>
                </c:pt>
                <c:pt idx="36">
                  <c:v>-5.0290703101960865</c:v>
                </c:pt>
                <c:pt idx="37">
                  <c:v>29.075788156257673</c:v>
                </c:pt>
                <c:pt idx="38">
                  <c:v>29.333390650881633</c:v>
                </c:pt>
                <c:pt idx="39">
                  <c:v>46.25763248107198</c:v>
                </c:pt>
                <c:pt idx="40">
                  <c:v>19.404264396746193</c:v>
                </c:pt>
                <c:pt idx="41">
                  <c:v>-6.9243630465936405</c:v>
                </c:pt>
                <c:pt idx="42">
                  <c:v>69.897579873576376</c:v>
                </c:pt>
                <c:pt idx="43">
                  <c:v>-13.681024446001565</c:v>
                </c:pt>
                <c:pt idx="44">
                  <c:v>73.150517906142142</c:v>
                </c:pt>
                <c:pt idx="45">
                  <c:v>56.525083881444942</c:v>
                </c:pt>
                <c:pt idx="46">
                  <c:v>24.932687584041716</c:v>
                </c:pt>
                <c:pt idx="47">
                  <c:v>39.435704275642358</c:v>
                </c:pt>
                <c:pt idx="48">
                  <c:v>46.757384181618896</c:v>
                </c:pt>
                <c:pt idx="49">
                  <c:v>-0.90455000548912778</c:v>
                </c:pt>
                <c:pt idx="50">
                  <c:v>24.880903026981276</c:v>
                </c:pt>
                <c:pt idx="51">
                  <c:v>60.209529216029424</c:v>
                </c:pt>
                <c:pt idx="52">
                  <c:v>35.755945495630122</c:v>
                </c:pt>
                <c:pt idx="53">
                  <c:v>63.132406970906004</c:v>
                </c:pt>
                <c:pt idx="54">
                  <c:v>21.08158147705533</c:v>
                </c:pt>
                <c:pt idx="55">
                  <c:v>71.03808370877033</c:v>
                </c:pt>
                <c:pt idx="56">
                  <c:v>51.265893249318843</c:v>
                </c:pt>
                <c:pt idx="57">
                  <c:v>8.4812997900500093</c:v>
                </c:pt>
                <c:pt idx="58">
                  <c:v>41.302038258530622</c:v>
                </c:pt>
                <c:pt idx="59">
                  <c:v>41.855739844641896</c:v>
                </c:pt>
                <c:pt idx="60">
                  <c:v>-3.5395486714388582</c:v>
                </c:pt>
                <c:pt idx="61">
                  <c:v>12.953214665205444</c:v>
                </c:pt>
                <c:pt idx="62">
                  <c:v>39.748803817799917</c:v>
                </c:pt>
                <c:pt idx="63">
                  <c:v>68.409549748465508</c:v>
                </c:pt>
                <c:pt idx="64">
                  <c:v>66.185202779589417</c:v>
                </c:pt>
                <c:pt idx="65">
                  <c:v>59.422706902138643</c:v>
                </c:pt>
                <c:pt idx="66">
                  <c:v>74.555538111444037</c:v>
                </c:pt>
                <c:pt idx="67">
                  <c:v>51.025668376441054</c:v>
                </c:pt>
                <c:pt idx="68">
                  <c:v>39.934990971202851</c:v>
                </c:pt>
                <c:pt idx="69">
                  <c:v>47.908199471932619</c:v>
                </c:pt>
                <c:pt idx="70">
                  <c:v>56.367000946093242</c:v>
                </c:pt>
                <c:pt idx="71">
                  <c:v>51.591484595400701</c:v>
                </c:pt>
                <c:pt idx="72">
                  <c:v>116.18141250925368</c:v>
                </c:pt>
                <c:pt idx="73">
                  <c:v>123.89990052798093</c:v>
                </c:pt>
                <c:pt idx="74">
                  <c:v>89.713415139221823</c:v>
                </c:pt>
                <c:pt idx="75">
                  <c:v>102.84534719202061</c:v>
                </c:pt>
                <c:pt idx="76">
                  <c:v>54.476862547313409</c:v>
                </c:pt>
                <c:pt idx="77">
                  <c:v>77.205996842993883</c:v>
                </c:pt>
                <c:pt idx="78">
                  <c:v>49.517481762273469</c:v>
                </c:pt>
                <c:pt idx="79">
                  <c:v>55.69458569008858</c:v>
                </c:pt>
                <c:pt idx="80">
                  <c:v>144.74940545202122</c:v>
                </c:pt>
                <c:pt idx="81">
                  <c:v>103.60726226389309</c:v>
                </c:pt>
                <c:pt idx="82">
                  <c:v>76.729344348812504</c:v>
                </c:pt>
                <c:pt idx="83">
                  <c:v>98.830832432449938</c:v>
                </c:pt>
                <c:pt idx="84">
                  <c:v>33.889647963741965</c:v>
                </c:pt>
                <c:pt idx="85">
                  <c:v>90.742030056015906</c:v>
                </c:pt>
                <c:pt idx="86">
                  <c:v>130.47990278791545</c:v>
                </c:pt>
                <c:pt idx="87">
                  <c:v>112.13344692943149</c:v>
                </c:pt>
                <c:pt idx="88">
                  <c:v>86.412671943344066</c:v>
                </c:pt>
                <c:pt idx="89">
                  <c:v>125.53462684823322</c:v>
                </c:pt>
                <c:pt idx="90">
                  <c:v>132.29715637532308</c:v>
                </c:pt>
                <c:pt idx="91">
                  <c:v>117.18331689690933</c:v>
                </c:pt>
                <c:pt idx="92">
                  <c:v>144.43061005848946</c:v>
                </c:pt>
                <c:pt idx="93">
                  <c:v>121.75401554500719</c:v>
                </c:pt>
                <c:pt idx="94">
                  <c:v>145.55381912117457</c:v>
                </c:pt>
                <c:pt idx="95">
                  <c:v>156.38425628650137</c:v>
                </c:pt>
                <c:pt idx="96">
                  <c:v>152.60951826359903</c:v>
                </c:pt>
                <c:pt idx="97">
                  <c:v>147.55735017625199</c:v>
                </c:pt>
                <c:pt idx="98">
                  <c:v>135.57316896840555</c:v>
                </c:pt>
                <c:pt idx="99">
                  <c:v>115.04681541445306</c:v>
                </c:pt>
                <c:pt idx="100">
                  <c:v>138.00030956668184</c:v>
                </c:pt>
                <c:pt idx="101">
                  <c:v>105.73558548370205</c:v>
                </c:pt>
                <c:pt idx="102">
                  <c:v>178.93609241515955</c:v>
                </c:pt>
                <c:pt idx="103">
                  <c:v>102.60356989268953</c:v>
                </c:pt>
                <c:pt idx="104">
                  <c:v>214.01590650785715</c:v>
                </c:pt>
                <c:pt idx="105">
                  <c:v>185.57614999225669</c:v>
                </c:pt>
                <c:pt idx="106">
                  <c:v>139.17266159354349</c:v>
                </c:pt>
                <c:pt idx="107">
                  <c:v>171.40061982458573</c:v>
                </c:pt>
                <c:pt idx="108">
                  <c:v>155.72032548764048</c:v>
                </c:pt>
                <c:pt idx="109">
                  <c:v>172.3372380063048</c:v>
                </c:pt>
                <c:pt idx="110">
                  <c:v>199.22221321213038</c:v>
                </c:pt>
                <c:pt idx="111">
                  <c:v>183.18882282907228</c:v>
                </c:pt>
                <c:pt idx="112">
                  <c:v>232.4652409881237</c:v>
                </c:pt>
                <c:pt idx="113">
                  <c:v>167.8390202500872</c:v>
                </c:pt>
                <c:pt idx="114">
                  <c:v>238.9663616868983</c:v>
                </c:pt>
                <c:pt idx="115">
                  <c:v>193.12486231303899</c:v>
                </c:pt>
                <c:pt idx="116">
                  <c:v>206.42641166107816</c:v>
                </c:pt>
                <c:pt idx="117">
                  <c:v>216.81491007608824</c:v>
                </c:pt>
                <c:pt idx="118">
                  <c:v>221.58005491976346</c:v>
                </c:pt>
                <c:pt idx="119">
                  <c:v>180.56457594986742</c:v>
                </c:pt>
                <c:pt idx="120">
                  <c:v>186.91768607226786</c:v>
                </c:pt>
                <c:pt idx="121">
                  <c:v>216.24760108623343</c:v>
                </c:pt>
                <c:pt idx="122">
                  <c:v>214.55481131966778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EA-439E-8839-F24B0B726621}"/>
            </c:ext>
          </c:extLst>
        </c:ser>
        <c:ser>
          <c:idx val="1"/>
          <c:order val="1"/>
          <c:tx>
            <c:v>Прогноз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'2.123 Нелин. множественная'!$A$20:$A$142</c:f>
              <c:numCache>
                <c:formatCode>General</c:formatCode>
                <c:ptCount val="123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</c:numCache>
            </c:numRef>
          </c:xVal>
          <c:yVal>
            <c:numRef>
              <c:f>'2.123 Нелин. множественная'!$K$20:$K$142</c:f>
              <c:numCache>
                <c:formatCode>General</c:formatCode>
                <c:ptCount val="123"/>
                <c:pt idx="0">
                  <c:v>13.710016428121127</c:v>
                </c:pt>
                <c:pt idx="1">
                  <c:v>13.217253487432217</c:v>
                </c:pt>
                <c:pt idx="2">
                  <c:v>12.761193142529544</c:v>
                </c:pt>
                <c:pt idx="3">
                  <c:v>12.341835393413106</c:v>
                </c:pt>
                <c:pt idx="4">
                  <c:v>11.959180240082905</c:v>
                </c:pt>
                <c:pt idx="5">
                  <c:v>11.613227682538934</c:v>
                </c:pt>
                <c:pt idx="6">
                  <c:v>11.3039777207812</c:v>
                </c:pt>
                <c:pt idx="7">
                  <c:v>11.031430354809704</c:v>
                </c:pt>
                <c:pt idx="8">
                  <c:v>10.79558558462444</c:v>
                </c:pt>
                <c:pt idx="9">
                  <c:v>10.596443410225412</c:v>
                </c:pt>
                <c:pt idx="10">
                  <c:v>10.434003831612619</c:v>
                </c:pt>
                <c:pt idx="11">
                  <c:v>10.308266848786062</c:v>
                </c:pt>
                <c:pt idx="12">
                  <c:v>10.21923246174574</c:v>
                </c:pt>
                <c:pt idx="13">
                  <c:v>10.166900670491652</c:v>
                </c:pt>
                <c:pt idx="14">
                  <c:v>10.151271475023801</c:v>
                </c:pt>
                <c:pt idx="15">
                  <c:v>10.172344875342185</c:v>
                </c:pt>
                <c:pt idx="16">
                  <c:v>10.230120871446804</c:v>
                </c:pt>
                <c:pt idx="17">
                  <c:v>10.324599463337654</c:v>
                </c:pt>
                <c:pt idx="18">
                  <c:v>10.455780651014743</c:v>
                </c:pt>
                <c:pt idx="19">
                  <c:v>10.623664434478068</c:v>
                </c:pt>
                <c:pt idx="20">
                  <c:v>10.828250813727626</c:v>
                </c:pt>
                <c:pt idx="21">
                  <c:v>11.069539788763421</c:v>
                </c:pt>
                <c:pt idx="22">
                  <c:v>11.347531359585449</c:v>
                </c:pt>
                <c:pt idx="23">
                  <c:v>11.662225526193714</c:v>
                </c:pt>
                <c:pt idx="24">
                  <c:v>12.013622288588213</c:v>
                </c:pt>
                <c:pt idx="25">
                  <c:v>12.401721646768948</c:v>
                </c:pt>
                <c:pt idx="26">
                  <c:v>12.826523600735918</c:v>
                </c:pt>
                <c:pt idx="27">
                  <c:v>13.288028150489122</c:v>
                </c:pt>
                <c:pt idx="28">
                  <c:v>13.786235296028559</c:v>
                </c:pt>
                <c:pt idx="29">
                  <c:v>14.321145037354238</c:v>
                </c:pt>
                <c:pt idx="30">
                  <c:v>14.892757374466147</c:v>
                </c:pt>
                <c:pt idx="31">
                  <c:v>15.501072307364296</c:v>
                </c:pt>
                <c:pt idx="32">
                  <c:v>16.146089836048677</c:v>
                </c:pt>
                <c:pt idx="33">
                  <c:v>16.827809960519286</c:v>
                </c:pt>
                <c:pt idx="34">
                  <c:v>17.546232680776139</c:v>
                </c:pt>
                <c:pt idx="35">
                  <c:v>18.301357996819227</c:v>
                </c:pt>
                <c:pt idx="36">
                  <c:v>19.09318590864855</c:v>
                </c:pt>
                <c:pt idx="37">
                  <c:v>19.921716416264104</c:v>
                </c:pt>
                <c:pt idx="38">
                  <c:v>20.786949519665892</c:v>
                </c:pt>
                <c:pt idx="39">
                  <c:v>21.688885218853919</c:v>
                </c:pt>
                <c:pt idx="40">
                  <c:v>22.627523513828184</c:v>
                </c:pt>
                <c:pt idx="41">
                  <c:v>23.602864404588679</c:v>
                </c:pt>
                <c:pt idx="42">
                  <c:v>24.614907891135417</c:v>
                </c:pt>
                <c:pt idx="43">
                  <c:v>25.663653973468378</c:v>
                </c:pt>
                <c:pt idx="44">
                  <c:v>26.749102651587584</c:v>
                </c:pt>
                <c:pt idx="45">
                  <c:v>27.871253925493018</c:v>
                </c:pt>
                <c:pt idx="46">
                  <c:v>29.030107795184691</c:v>
                </c:pt>
                <c:pt idx="47">
                  <c:v>30.225664260662604</c:v>
                </c:pt>
                <c:pt idx="48">
                  <c:v>31.457923321926742</c:v>
                </c:pt>
                <c:pt idx="49">
                  <c:v>32.726884978977125</c:v>
                </c:pt>
                <c:pt idx="50">
                  <c:v>34.032549231813732</c:v>
                </c:pt>
                <c:pt idx="51">
                  <c:v>35.374916080436577</c:v>
                </c:pt>
                <c:pt idx="52">
                  <c:v>36.753985524845667</c:v>
                </c:pt>
                <c:pt idx="53">
                  <c:v>38.169757565040989</c:v>
                </c:pt>
                <c:pt idx="54">
                  <c:v>39.622232201022541</c:v>
                </c:pt>
                <c:pt idx="55">
                  <c:v>41.111409432790325</c:v>
                </c:pt>
                <c:pt idx="56">
                  <c:v>42.637289260344346</c:v>
                </c:pt>
                <c:pt idx="57">
                  <c:v>44.199871683684613</c:v>
                </c:pt>
                <c:pt idx="58">
                  <c:v>45.799156702811104</c:v>
                </c:pt>
                <c:pt idx="59">
                  <c:v>47.435144317723839</c:v>
                </c:pt>
                <c:pt idx="60">
                  <c:v>49.107834528422799</c:v>
                </c:pt>
                <c:pt idx="61">
                  <c:v>50.817227334907983</c:v>
                </c:pt>
                <c:pt idx="62">
                  <c:v>52.56332273717944</c:v>
                </c:pt>
                <c:pt idx="63">
                  <c:v>54.346120735237108</c:v>
                </c:pt>
                <c:pt idx="64">
                  <c:v>56.165621329081027</c:v>
                </c:pt>
                <c:pt idx="65">
                  <c:v>58.021824518711156</c:v>
                </c:pt>
                <c:pt idx="66">
                  <c:v>59.914730304127517</c:v>
                </c:pt>
                <c:pt idx="67">
                  <c:v>61.844338685330143</c:v>
                </c:pt>
                <c:pt idx="68">
                  <c:v>63.81064966231898</c:v>
                </c:pt>
                <c:pt idx="69">
                  <c:v>65.813663235094069</c:v>
                </c:pt>
                <c:pt idx="70">
                  <c:v>67.853379403655381</c:v>
                </c:pt>
                <c:pt idx="71">
                  <c:v>69.929798168002932</c:v>
                </c:pt>
                <c:pt idx="72">
                  <c:v>72.042919528136721</c:v>
                </c:pt>
                <c:pt idx="73">
                  <c:v>74.192743484056734</c:v>
                </c:pt>
                <c:pt idx="74">
                  <c:v>76.379270035763</c:v>
                </c:pt>
                <c:pt idx="75">
                  <c:v>78.602499183255489</c:v>
                </c:pt>
                <c:pt idx="76">
                  <c:v>80.862430926534202</c:v>
                </c:pt>
                <c:pt idx="77">
                  <c:v>83.159065265599196</c:v>
                </c:pt>
                <c:pt idx="78">
                  <c:v>85.492402200450357</c:v>
                </c:pt>
                <c:pt idx="79">
                  <c:v>87.862441731087813</c:v>
                </c:pt>
                <c:pt idx="80">
                  <c:v>90.269183857511479</c:v>
                </c:pt>
                <c:pt idx="81">
                  <c:v>92.712628579721382</c:v>
                </c:pt>
                <c:pt idx="82">
                  <c:v>95.192775897717496</c:v>
                </c:pt>
                <c:pt idx="83">
                  <c:v>97.709625811499905</c:v>
                </c:pt>
                <c:pt idx="84">
                  <c:v>100.26317832106849</c:v>
                </c:pt>
                <c:pt idx="85">
                  <c:v>102.85343342642335</c:v>
                </c:pt>
                <c:pt idx="86">
                  <c:v>105.48039112756442</c:v>
                </c:pt>
                <c:pt idx="87">
                  <c:v>108.14405142449172</c:v>
                </c:pt>
                <c:pt idx="88">
                  <c:v>110.84441431720529</c:v>
                </c:pt>
                <c:pt idx="89">
                  <c:v>113.58147980570509</c:v>
                </c:pt>
                <c:pt idx="90">
                  <c:v>116.35524788999108</c:v>
                </c:pt>
                <c:pt idx="91">
                  <c:v>119.16571857006332</c:v>
                </c:pt>
                <c:pt idx="92">
                  <c:v>122.01289184592181</c:v>
                </c:pt>
                <c:pt idx="93">
                  <c:v>124.89676771756658</c:v>
                </c:pt>
                <c:pt idx="94">
                  <c:v>127.81734618499753</c:v>
                </c:pt>
                <c:pt idx="95">
                  <c:v>130.7746272482147</c:v>
                </c:pt>
                <c:pt idx="96">
                  <c:v>133.76861090721812</c:v>
                </c:pt>
                <c:pt idx="97">
                  <c:v>136.7992971620078</c:v>
                </c:pt>
                <c:pt idx="98">
                  <c:v>139.86668601258373</c:v>
                </c:pt>
                <c:pt idx="99">
                  <c:v>142.97077745894586</c:v>
                </c:pt>
                <c:pt idx="100">
                  <c:v>146.1115715010942</c:v>
                </c:pt>
                <c:pt idx="101">
                  <c:v>149.28906813902879</c:v>
                </c:pt>
                <c:pt idx="102">
                  <c:v>152.50326737274963</c:v>
                </c:pt>
                <c:pt idx="103">
                  <c:v>155.75416920225678</c:v>
                </c:pt>
                <c:pt idx="104">
                  <c:v>159.04177362755004</c:v>
                </c:pt>
                <c:pt idx="105">
                  <c:v>162.36608064862958</c:v>
                </c:pt>
                <c:pt idx="106">
                  <c:v>165.72709026549538</c:v>
                </c:pt>
                <c:pt idx="107">
                  <c:v>169.12480247814736</c:v>
                </c:pt>
                <c:pt idx="108">
                  <c:v>172.55921728658564</c:v>
                </c:pt>
                <c:pt idx="109">
                  <c:v>176.03033469081012</c:v>
                </c:pt>
                <c:pt idx="110">
                  <c:v>179.53815469082082</c:v>
                </c:pt>
                <c:pt idx="111">
                  <c:v>183.08267728661781</c:v>
                </c:pt>
                <c:pt idx="112">
                  <c:v>186.66390247820095</c:v>
                </c:pt>
                <c:pt idx="113">
                  <c:v>190.28183026557045</c:v>
                </c:pt>
                <c:pt idx="114">
                  <c:v>193.9364606487261</c:v>
                </c:pt>
                <c:pt idx="115">
                  <c:v>197.62779362766798</c:v>
                </c:pt>
                <c:pt idx="116">
                  <c:v>201.35582920239611</c:v>
                </c:pt>
                <c:pt idx="117">
                  <c:v>205.12056737291044</c:v>
                </c:pt>
                <c:pt idx="118">
                  <c:v>208.9220081392111</c:v>
                </c:pt>
                <c:pt idx="119">
                  <c:v>212.76015150129797</c:v>
                </c:pt>
                <c:pt idx="120">
                  <c:v>216.63499745917102</c:v>
                </c:pt>
                <c:pt idx="121">
                  <c:v>220.54654601283028</c:v>
                </c:pt>
                <c:pt idx="122">
                  <c:v>224.4947971622758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2EA-439E-8839-F24B0B7266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4218799"/>
        <c:axId val="1954223599"/>
      </c:scatterChart>
      <c:valAx>
        <c:axId val="1954218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54223599"/>
        <c:crosses val="autoZero"/>
        <c:crossBetween val="midCat"/>
      </c:valAx>
      <c:valAx>
        <c:axId val="1954223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542187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1"/>
        <c:ser>
          <c:idx val="0"/>
          <c:order val="0"/>
          <c:spPr>
            <a:solidFill>
              <a:schemeClr val="accent1"/>
            </a:solidFill>
            <a:ln/>
            <a:effectLst/>
            <a:sp3d/>
          </c:spPr>
          <c:val>
            <c:numRef>
              <c:f>'2.123 Нелин. поверхность'!$G$9:$BE$9</c:f>
              <c:numCache>
                <c:formatCode>General</c:formatCode>
                <c:ptCount val="51"/>
                <c:pt idx="0">
                  <c:v>2.8741702032322065</c:v>
                </c:pt>
                <c:pt idx="1">
                  <c:v>2.9598029063333526</c:v>
                </c:pt>
                <c:pt idx="2">
                  <c:v>3.0820170735090509</c:v>
                </c:pt>
                <c:pt idx="3">
                  <c:v>3.2408127047593012</c:v>
                </c:pt>
                <c:pt idx="4">
                  <c:v>3.4361898000841031</c:v>
                </c:pt>
                <c:pt idx="5">
                  <c:v>3.6681483594834572</c:v>
                </c:pt>
                <c:pt idx="6">
                  <c:v>3.9366883829573633</c:v>
                </c:pt>
                <c:pt idx="7">
                  <c:v>4.2418098705058211</c:v>
                </c:pt>
                <c:pt idx="8">
                  <c:v>4.5835128221288324</c:v>
                </c:pt>
                <c:pt idx="9">
                  <c:v>4.9617972378263939</c:v>
                </c:pt>
                <c:pt idx="10">
                  <c:v>5.3766631175985093</c:v>
                </c:pt>
                <c:pt idx="11">
                  <c:v>5.828110461445176</c:v>
                </c:pt>
                <c:pt idx="12">
                  <c:v>6.3161392693663938</c:v>
                </c:pt>
                <c:pt idx="13">
                  <c:v>6.8407495413621655</c:v>
                </c:pt>
                <c:pt idx="14">
                  <c:v>7.4019412774324875</c:v>
                </c:pt>
                <c:pt idx="15">
                  <c:v>7.9997144775773625</c:v>
                </c:pt>
                <c:pt idx="16">
                  <c:v>8.6340691417967914</c:v>
                </c:pt>
                <c:pt idx="17">
                  <c:v>9.3050052700907671</c:v>
                </c:pt>
                <c:pt idx="18">
                  <c:v>10.012522862459299</c:v>
                </c:pt>
                <c:pt idx="19">
                  <c:v>10.756621918902383</c:v>
                </c:pt>
                <c:pt idx="20">
                  <c:v>11.537302439420019</c:v>
                </c:pt>
                <c:pt idx="21">
                  <c:v>12.354564424012205</c:v>
                </c:pt>
                <c:pt idx="22">
                  <c:v>13.208407872678945</c:v>
                </c:pt>
                <c:pt idx="23">
                  <c:v>14.098832785420235</c:v>
                </c:pt>
                <c:pt idx="24">
                  <c:v>15.025839162236078</c:v>
                </c:pt>
                <c:pt idx="25">
                  <c:v>15.989427003126474</c:v>
                </c:pt>
                <c:pt idx="26">
                  <c:v>16.989596308091421</c:v>
                </c:pt>
                <c:pt idx="27">
                  <c:v>18.026347077130922</c:v>
                </c:pt>
                <c:pt idx="28">
                  <c:v>19.099679310244969</c:v>
                </c:pt>
                <c:pt idx="29">
                  <c:v>20.209593007433575</c:v>
                </c:pt>
                <c:pt idx="30">
                  <c:v>21.356088168696733</c:v>
                </c:pt>
                <c:pt idx="31">
                  <c:v>22.539164794034441</c:v>
                </c:pt>
                <c:pt idx="32">
                  <c:v>23.758822883446705</c:v>
                </c:pt>
                <c:pt idx="33">
                  <c:v>25.015062436933508</c:v>
                </c:pt>
                <c:pt idx="34">
                  <c:v>26.307883454494874</c:v>
                </c:pt>
                <c:pt idx="35">
                  <c:v>27.637285936130791</c:v>
                </c:pt>
                <c:pt idx="36">
                  <c:v>29.003269881841259</c:v>
                </c:pt>
                <c:pt idx="37">
                  <c:v>30.405835291626282</c:v>
                </c:pt>
                <c:pt idx="38">
                  <c:v>31.844982165485852</c:v>
                </c:pt>
                <c:pt idx="39">
                  <c:v>33.320710503419981</c:v>
                </c:pt>
                <c:pt idx="40">
                  <c:v>34.833020305428654</c:v>
                </c:pt>
                <c:pt idx="41">
                  <c:v>36.381911571511878</c:v>
                </c:pt>
                <c:pt idx="42">
                  <c:v>37.967384301669668</c:v>
                </c:pt>
                <c:pt idx="43">
                  <c:v>39.589438495901994</c:v>
                </c:pt>
                <c:pt idx="44">
                  <c:v>41.248074154208894</c:v>
                </c:pt>
                <c:pt idx="45">
                  <c:v>42.943291276590315</c:v>
                </c:pt>
                <c:pt idx="46">
                  <c:v>44.675089863046303</c:v>
                </c:pt>
                <c:pt idx="47">
                  <c:v>46.443469913576855</c:v>
                </c:pt>
                <c:pt idx="48">
                  <c:v>48.248431428181938</c:v>
                </c:pt>
                <c:pt idx="49">
                  <c:v>50.089974406861593</c:v>
                </c:pt>
                <c:pt idx="50">
                  <c:v>51.968098849615785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73-45E0-B583-DC18B249C1BC}"/>
            </c:ext>
          </c:extLst>
        </c:ser>
        <c:ser>
          <c:idx val="1"/>
          <c:order val="1"/>
          <c:spPr>
            <a:solidFill>
              <a:schemeClr val="accent2"/>
            </a:solidFill>
            <a:ln/>
            <a:effectLst/>
            <a:sp3d/>
          </c:spPr>
          <c:val>
            <c:numRef>
              <c:f>'2.123 Нелин. поверхность'!$G$10:$BE$10</c:f>
              <c:numCache>
                <c:formatCode>General</c:formatCode>
                <c:ptCount val="51"/>
                <c:pt idx="0">
                  <c:v>3.0050424894446044</c:v>
                </c:pt>
                <c:pt idx="1">
                  <c:v>3.1080388584436154</c:v>
                </c:pt>
                <c:pt idx="2">
                  <c:v>3.2476166915171785</c:v>
                </c:pt>
                <c:pt idx="3">
                  <c:v>3.4237759886652936</c:v>
                </c:pt>
                <c:pt idx="4">
                  <c:v>3.6365167498879609</c:v>
                </c:pt>
                <c:pt idx="5">
                  <c:v>3.8858389751851794</c:v>
                </c:pt>
                <c:pt idx="6">
                  <c:v>4.1717426645569509</c:v>
                </c:pt>
                <c:pt idx="7">
                  <c:v>4.4942278180032735</c:v>
                </c:pt>
                <c:pt idx="8">
                  <c:v>4.8532944355241501</c:v>
                </c:pt>
                <c:pt idx="9">
                  <c:v>5.2489425171195769</c:v>
                </c:pt>
                <c:pt idx="10">
                  <c:v>5.6811720627895568</c:v>
                </c:pt>
                <c:pt idx="11">
                  <c:v>6.1499830725340887</c:v>
                </c:pt>
                <c:pt idx="12">
                  <c:v>6.655375546353171</c:v>
                </c:pt>
                <c:pt idx="13">
                  <c:v>7.1973494842468071</c:v>
                </c:pt>
                <c:pt idx="14">
                  <c:v>7.7759048862149927</c:v>
                </c:pt>
                <c:pt idx="15">
                  <c:v>8.391041752257733</c:v>
                </c:pt>
                <c:pt idx="16">
                  <c:v>9.0427600823750272</c:v>
                </c:pt>
                <c:pt idx="17">
                  <c:v>9.731059876566869</c:v>
                </c:pt>
                <c:pt idx="18">
                  <c:v>10.455941134833267</c:v>
                </c:pt>
                <c:pt idx="19">
                  <c:v>11.217403857174212</c:v>
                </c:pt>
                <c:pt idx="20">
                  <c:v>12.015448043589714</c:v>
                </c:pt>
                <c:pt idx="21">
                  <c:v>12.850073694079766</c:v>
                </c:pt>
                <c:pt idx="22">
                  <c:v>13.721280808644373</c:v>
                </c:pt>
                <c:pt idx="23">
                  <c:v>14.629069387283524</c:v>
                </c:pt>
                <c:pt idx="24">
                  <c:v>15.573439429997235</c:v>
                </c:pt>
                <c:pt idx="25">
                  <c:v>16.554390936785495</c:v>
                </c:pt>
                <c:pt idx="26">
                  <c:v>17.571923907648305</c:v>
                </c:pt>
                <c:pt idx="27">
                  <c:v>18.626038342585673</c:v>
                </c:pt>
                <c:pt idx="28">
                  <c:v>19.716734241597585</c:v>
                </c:pt>
                <c:pt idx="29">
                  <c:v>20.844011604684056</c:v>
                </c:pt>
                <c:pt idx="30">
                  <c:v>22.007870431845074</c:v>
                </c:pt>
                <c:pt idx="31">
                  <c:v>23.208310723080647</c:v>
                </c:pt>
                <c:pt idx="32">
                  <c:v>24.445332478390778</c:v>
                </c:pt>
                <c:pt idx="33">
                  <c:v>25.718935697775446</c:v>
                </c:pt>
                <c:pt idx="34">
                  <c:v>27.029120381234677</c:v>
                </c:pt>
                <c:pt idx="35">
                  <c:v>28.375886528768458</c:v>
                </c:pt>
                <c:pt idx="36">
                  <c:v>29.759234140376794</c:v>
                </c:pt>
                <c:pt idx="37">
                  <c:v>31.179163216059681</c:v>
                </c:pt>
                <c:pt idx="38">
                  <c:v>32.635673755817116</c:v>
                </c:pt>
                <c:pt idx="39">
                  <c:v>34.128765759649106</c:v>
                </c:pt>
                <c:pt idx="40">
                  <c:v>35.658439227555647</c:v>
                </c:pt>
                <c:pt idx="41">
                  <c:v>37.224694159536732</c:v>
                </c:pt>
                <c:pt idx="42">
                  <c:v>38.827530555592382</c:v>
                </c:pt>
                <c:pt idx="43">
                  <c:v>40.466948415722577</c:v>
                </c:pt>
                <c:pt idx="44">
                  <c:v>42.142947739927337</c:v>
                </c:pt>
                <c:pt idx="45">
                  <c:v>43.855528528206627</c:v>
                </c:pt>
                <c:pt idx="46">
                  <c:v>45.604690780560482</c:v>
                </c:pt>
                <c:pt idx="47">
                  <c:v>47.390434496988902</c:v>
                </c:pt>
                <c:pt idx="48">
                  <c:v>49.212759677491846</c:v>
                </c:pt>
                <c:pt idx="49">
                  <c:v>51.071666322069369</c:v>
                </c:pt>
                <c:pt idx="50">
                  <c:v>52.967154430721422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73-45E0-B583-DC18B249C1BC}"/>
            </c:ext>
          </c:extLst>
        </c:ser>
        <c:ser>
          <c:idx val="2"/>
          <c:order val="2"/>
          <c:spPr>
            <a:solidFill>
              <a:schemeClr val="accent3"/>
            </a:solidFill>
            <a:ln/>
            <a:effectLst/>
            <a:sp3d/>
          </c:spPr>
          <c:val>
            <c:numRef>
              <c:f>'2.123 Нелин. поверхность'!$G$11:$BE$11</c:f>
              <c:numCache>
                <c:formatCode>General</c:formatCode>
                <c:ptCount val="51"/>
                <c:pt idx="0">
                  <c:v>3.1724868537462316</c:v>
                </c:pt>
                <c:pt idx="1">
                  <c:v>3.2928468886431075</c:v>
                </c:pt>
                <c:pt idx="2">
                  <c:v>3.4497883876145354</c:v>
                </c:pt>
                <c:pt idx="3">
                  <c:v>3.6433113506605155</c:v>
                </c:pt>
                <c:pt idx="4">
                  <c:v>3.8734157777810472</c:v>
                </c:pt>
                <c:pt idx="5">
                  <c:v>4.140101668976131</c:v>
                </c:pt>
                <c:pt idx="6">
                  <c:v>4.4433690242457669</c:v>
                </c:pt>
                <c:pt idx="7">
                  <c:v>4.7832178435899539</c:v>
                </c:pt>
                <c:pt idx="8">
                  <c:v>5.1596481270086958</c:v>
                </c:pt>
                <c:pt idx="9">
                  <c:v>5.5726598745019871</c:v>
                </c:pt>
                <c:pt idx="10">
                  <c:v>6.0222530860698313</c:v>
                </c:pt>
                <c:pt idx="11">
                  <c:v>6.5084277617122286</c:v>
                </c:pt>
                <c:pt idx="12">
                  <c:v>7.0311839014291753</c:v>
                </c:pt>
                <c:pt idx="13">
                  <c:v>7.5905215052206776</c:v>
                </c:pt>
                <c:pt idx="14">
                  <c:v>8.1864405730867276</c:v>
                </c:pt>
                <c:pt idx="15">
                  <c:v>8.8189411050273332</c:v>
                </c:pt>
                <c:pt idx="16">
                  <c:v>9.48802310104249</c:v>
                </c:pt>
                <c:pt idx="17">
                  <c:v>10.193686561132198</c:v>
                </c:pt>
                <c:pt idx="18">
                  <c:v>10.935931485296459</c:v>
                </c:pt>
                <c:pt idx="19">
                  <c:v>11.714757873535273</c:v>
                </c:pt>
                <c:pt idx="20">
                  <c:v>12.530165725848637</c:v>
                </c:pt>
                <c:pt idx="21">
                  <c:v>13.382155042236553</c:v>
                </c:pt>
                <c:pt idx="22">
                  <c:v>14.270725822699024</c:v>
                </c:pt>
                <c:pt idx="23">
                  <c:v>15.195878067236041</c:v>
                </c:pt>
                <c:pt idx="24">
                  <c:v>16.157611775847617</c:v>
                </c:pt>
                <c:pt idx="25">
                  <c:v>17.155926948533743</c:v>
                </c:pt>
                <c:pt idx="26">
                  <c:v>18.190823585294421</c:v>
                </c:pt>
                <c:pt idx="27">
                  <c:v>19.26230168612965</c:v>
                </c:pt>
                <c:pt idx="28">
                  <c:v>20.370361251039427</c:v>
                </c:pt>
                <c:pt idx="29">
                  <c:v>21.515002280023761</c:v>
                </c:pt>
                <c:pt idx="30">
                  <c:v>22.696224773082651</c:v>
                </c:pt>
                <c:pt idx="31">
                  <c:v>23.914028730216089</c:v>
                </c:pt>
                <c:pt idx="32">
                  <c:v>25.168414151424081</c:v>
                </c:pt>
                <c:pt idx="33">
                  <c:v>26.459381036706613</c:v>
                </c:pt>
                <c:pt idx="34">
                  <c:v>27.786929386063708</c:v>
                </c:pt>
                <c:pt idx="35">
                  <c:v>29.151059199495357</c:v>
                </c:pt>
                <c:pt idx="36">
                  <c:v>30.551770477001558</c:v>
                </c:pt>
                <c:pt idx="37">
                  <c:v>31.989063218582306</c:v>
                </c:pt>
                <c:pt idx="38">
                  <c:v>33.462937424237602</c:v>
                </c:pt>
                <c:pt idx="39">
                  <c:v>34.973393093967459</c:v>
                </c:pt>
                <c:pt idx="40">
                  <c:v>36.520430227771868</c:v>
                </c:pt>
                <c:pt idx="41">
                  <c:v>38.104048825650821</c:v>
                </c:pt>
                <c:pt idx="42">
                  <c:v>39.72424888760434</c:v>
                </c:pt>
                <c:pt idx="43">
                  <c:v>41.381030413632395</c:v>
                </c:pt>
                <c:pt idx="44">
                  <c:v>43.074393403735016</c:v>
                </c:pt>
                <c:pt idx="45">
                  <c:v>44.804337857912181</c:v>
                </c:pt>
                <c:pt idx="46">
                  <c:v>46.57086377616389</c:v>
                </c:pt>
                <c:pt idx="47">
                  <c:v>48.373971158490171</c:v>
                </c:pt>
                <c:pt idx="48">
                  <c:v>50.21366000489099</c:v>
                </c:pt>
                <c:pt idx="49">
                  <c:v>52.089930315366374</c:v>
                </c:pt>
                <c:pt idx="50">
                  <c:v>54.002782089916288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73-45E0-B583-DC18B249C1BC}"/>
            </c:ext>
          </c:extLst>
        </c:ser>
        <c:ser>
          <c:idx val="3"/>
          <c:order val="3"/>
          <c:spPr>
            <a:solidFill>
              <a:schemeClr val="accent4"/>
            </a:solidFill>
            <a:ln/>
            <a:effectLst/>
            <a:sp3d/>
          </c:spPr>
          <c:val>
            <c:numRef>
              <c:f>'2.123 Нелин. поверхность'!$G$12:$BE$12</c:f>
              <c:numCache>
                <c:formatCode>General</c:formatCode>
                <c:ptCount val="51"/>
                <c:pt idx="0">
                  <c:v>3.3765032961370887</c:v>
                </c:pt>
                <c:pt idx="1">
                  <c:v>3.5142269969318294</c:v>
                </c:pt>
                <c:pt idx="2">
                  <c:v>3.6885321618011222</c:v>
                </c:pt>
                <c:pt idx="3">
                  <c:v>3.8994187907449671</c:v>
                </c:pt>
                <c:pt idx="4">
                  <c:v>4.1468868837633641</c:v>
                </c:pt>
                <c:pt idx="5">
                  <c:v>4.4309364408563123</c:v>
                </c:pt>
                <c:pt idx="6">
                  <c:v>4.7515674620238135</c:v>
                </c:pt>
                <c:pt idx="7">
                  <c:v>5.1087799472658659</c:v>
                </c:pt>
                <c:pt idx="8">
                  <c:v>5.5025738965824713</c:v>
                </c:pt>
                <c:pt idx="9">
                  <c:v>5.9329493099736288</c:v>
                </c:pt>
                <c:pt idx="10">
                  <c:v>6.3999061874393375</c:v>
                </c:pt>
                <c:pt idx="11">
                  <c:v>6.9034445289795991</c:v>
                </c:pt>
                <c:pt idx="12">
                  <c:v>7.443564334594412</c:v>
                </c:pt>
                <c:pt idx="13">
                  <c:v>8.0202656042837788</c:v>
                </c:pt>
                <c:pt idx="14">
                  <c:v>8.6335483380476941</c:v>
                </c:pt>
                <c:pt idx="15">
                  <c:v>9.2834125358861641</c:v>
                </c:pt>
                <c:pt idx="16">
                  <c:v>9.9698581977991854</c:v>
                </c:pt>
                <c:pt idx="17">
                  <c:v>10.692885323786758</c:v>
                </c:pt>
                <c:pt idx="18">
                  <c:v>11.452493913848885</c:v>
                </c:pt>
                <c:pt idx="19">
                  <c:v>12.248683967985562</c:v>
                </c:pt>
                <c:pt idx="20">
                  <c:v>13.081455486196793</c:v>
                </c:pt>
                <c:pt idx="21">
                  <c:v>13.950808468482574</c:v>
                </c:pt>
                <c:pt idx="22">
                  <c:v>14.85674291484291</c:v>
                </c:pt>
                <c:pt idx="23">
                  <c:v>15.799258825277793</c:v>
                </c:pt>
                <c:pt idx="24">
                  <c:v>16.778356199787233</c:v>
                </c:pt>
                <c:pt idx="25">
                  <c:v>17.79403503837122</c:v>
                </c:pt>
                <c:pt idx="26">
                  <c:v>18.846295341029766</c:v>
                </c:pt>
                <c:pt idx="27">
                  <c:v>19.935137107762859</c:v>
                </c:pt>
                <c:pt idx="28">
                  <c:v>21.0605603385705</c:v>
                </c:pt>
                <c:pt idx="29">
                  <c:v>22.222565033452703</c:v>
                </c:pt>
                <c:pt idx="30">
                  <c:v>23.421151192409454</c:v>
                </c:pt>
                <c:pt idx="31">
                  <c:v>24.656318815440759</c:v>
                </c:pt>
                <c:pt idx="32">
                  <c:v>25.928067902546612</c:v>
                </c:pt>
                <c:pt idx="33">
                  <c:v>27.236398453727013</c:v>
                </c:pt>
                <c:pt idx="34">
                  <c:v>28.581310468981972</c:v>
                </c:pt>
                <c:pt idx="35">
                  <c:v>29.962803948311485</c:v>
                </c:pt>
                <c:pt idx="36">
                  <c:v>31.38087889171555</c:v>
                </c:pt>
                <c:pt idx="37">
                  <c:v>32.835535299194163</c:v>
                </c:pt>
                <c:pt idx="38">
                  <c:v>34.32677317074733</c:v>
                </c:pt>
                <c:pt idx="39">
                  <c:v>35.854592506375042</c:v>
                </c:pt>
                <c:pt idx="40">
                  <c:v>37.418993306077319</c:v>
                </c:pt>
                <c:pt idx="41">
                  <c:v>39.01997556985414</c:v>
                </c:pt>
                <c:pt idx="42">
                  <c:v>40.657539297705519</c:v>
                </c:pt>
                <c:pt idx="43">
                  <c:v>42.331684489631435</c:v>
                </c:pt>
                <c:pt idx="44">
                  <c:v>44.042411145631931</c:v>
                </c:pt>
                <c:pt idx="45">
                  <c:v>45.789719265706957</c:v>
                </c:pt>
                <c:pt idx="46">
                  <c:v>47.573608849856527</c:v>
                </c:pt>
                <c:pt idx="47">
                  <c:v>49.394079898080676</c:v>
                </c:pt>
                <c:pt idx="48">
                  <c:v>51.251132410379363</c:v>
                </c:pt>
                <c:pt idx="49">
                  <c:v>53.144766386752615</c:v>
                </c:pt>
                <c:pt idx="50">
                  <c:v>55.074981827200389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173-45E0-B583-DC18B249C1BC}"/>
            </c:ext>
          </c:extLst>
        </c:ser>
        <c:ser>
          <c:idx val="4"/>
          <c:order val="4"/>
          <c:spPr>
            <a:solidFill>
              <a:schemeClr val="accent5"/>
            </a:solidFill>
            <a:ln/>
            <a:effectLst/>
            <a:sp3d/>
          </c:spPr>
          <c:val>
            <c:numRef>
              <c:f>'2.123 Нелин. поверхность'!$G$13:$BE$13</c:f>
              <c:numCache>
                <c:formatCode>General</c:formatCode>
                <c:ptCount val="51"/>
                <c:pt idx="0">
                  <c:v>3.6170918166171759</c:v>
                </c:pt>
                <c:pt idx="1">
                  <c:v>3.7721791833097815</c:v>
                </c:pt>
                <c:pt idx="2">
                  <c:v>3.9638480140769392</c:v>
                </c:pt>
                <c:pt idx="3">
                  <c:v>4.1920983089186485</c:v>
                </c:pt>
                <c:pt idx="4">
                  <c:v>4.4569300678349109</c:v>
                </c:pt>
                <c:pt idx="5">
                  <c:v>4.7583432908257235</c:v>
                </c:pt>
                <c:pt idx="6">
                  <c:v>5.0963379778910891</c:v>
                </c:pt>
                <c:pt idx="7">
                  <c:v>5.4709141290310068</c:v>
                </c:pt>
                <c:pt idx="8">
                  <c:v>5.8820717442454766</c:v>
                </c:pt>
                <c:pt idx="9">
                  <c:v>6.3298108235344994</c:v>
                </c:pt>
                <c:pt idx="10">
                  <c:v>6.8141313668980725</c:v>
                </c:pt>
                <c:pt idx="11">
                  <c:v>7.3350333743361986</c:v>
                </c:pt>
                <c:pt idx="12">
                  <c:v>7.8925168458488768</c:v>
                </c:pt>
                <c:pt idx="13">
                  <c:v>8.486581781436108</c:v>
                </c:pt>
                <c:pt idx="14">
                  <c:v>9.1172281810978895</c:v>
                </c:pt>
                <c:pt idx="15">
                  <c:v>9.7844560448342239</c:v>
                </c:pt>
                <c:pt idx="16">
                  <c:v>10.488265372645111</c:v>
                </c:pt>
                <c:pt idx="17">
                  <c:v>11.228656164530546</c:v>
                </c:pt>
                <c:pt idx="18">
                  <c:v>12.00562842049054</c:v>
                </c:pt>
                <c:pt idx="19">
                  <c:v>12.819182140525081</c:v>
                </c:pt>
                <c:pt idx="20">
                  <c:v>13.669317324634175</c:v>
                </c:pt>
                <c:pt idx="21">
                  <c:v>14.556033972817822</c:v>
                </c:pt>
                <c:pt idx="22">
                  <c:v>15.479332085076024</c:v>
                </c:pt>
                <c:pt idx="23">
                  <c:v>16.43921166140877</c:v>
                </c:pt>
                <c:pt idx="24">
                  <c:v>17.435672701816074</c:v>
                </c:pt>
                <c:pt idx="25">
                  <c:v>18.468715206297929</c:v>
                </c:pt>
                <c:pt idx="26">
                  <c:v>19.53833917485434</c:v>
                </c:pt>
                <c:pt idx="27">
                  <c:v>20.644544607485297</c:v>
                </c:pt>
                <c:pt idx="28">
                  <c:v>21.787331504190806</c:v>
                </c:pt>
                <c:pt idx="29">
                  <c:v>22.96669986497087</c:v>
                </c:pt>
                <c:pt idx="30">
                  <c:v>24.182649689825485</c:v>
                </c:pt>
                <c:pt idx="31">
                  <c:v>25.435180978754655</c:v>
                </c:pt>
                <c:pt idx="32">
                  <c:v>26.724293731758376</c:v>
                </c:pt>
                <c:pt idx="33">
                  <c:v>28.049987948836641</c:v>
                </c:pt>
                <c:pt idx="34">
                  <c:v>29.412263629989461</c:v>
                </c:pt>
                <c:pt idx="35">
                  <c:v>30.811120775216843</c:v>
                </c:pt>
                <c:pt idx="36">
                  <c:v>32.246559384518768</c:v>
                </c:pt>
                <c:pt idx="37">
                  <c:v>33.718579457895252</c:v>
                </c:pt>
                <c:pt idx="38">
                  <c:v>35.227180995346274</c:v>
                </c:pt>
                <c:pt idx="39">
                  <c:v>36.77236399687186</c:v>
                </c:pt>
                <c:pt idx="40">
                  <c:v>38.354128462471998</c:v>
                </c:pt>
                <c:pt idx="41">
                  <c:v>39.972474392146687</c:v>
                </c:pt>
                <c:pt idx="42">
                  <c:v>41.627401785895927</c:v>
                </c:pt>
                <c:pt idx="43">
                  <c:v>43.318910643719711</c:v>
                </c:pt>
                <c:pt idx="44">
                  <c:v>45.047000965618068</c:v>
                </c:pt>
                <c:pt idx="45">
                  <c:v>46.811672751590962</c:v>
                </c:pt>
                <c:pt idx="46">
                  <c:v>48.612926001638399</c:v>
                </c:pt>
                <c:pt idx="47">
                  <c:v>50.450760715760417</c:v>
                </c:pt>
                <c:pt idx="48">
                  <c:v>52.325176893956957</c:v>
                </c:pt>
                <c:pt idx="49">
                  <c:v>54.23617453622807</c:v>
                </c:pt>
                <c:pt idx="50">
                  <c:v>56.18375364257372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173-45E0-B583-DC18B249C1BC}"/>
            </c:ext>
          </c:extLst>
        </c:ser>
        <c:ser>
          <c:idx val="5"/>
          <c:order val="5"/>
          <c:spPr>
            <a:solidFill>
              <a:schemeClr val="accent6"/>
            </a:solidFill>
            <a:ln/>
            <a:effectLst/>
            <a:sp3d/>
          </c:spPr>
          <c:val>
            <c:numRef>
              <c:f>'2.123 Нелин. поверхность'!$G$14:$BE$14</c:f>
              <c:numCache>
                <c:formatCode>General</c:formatCode>
                <c:ptCount val="51"/>
                <c:pt idx="0">
                  <c:v>3.894252415186493</c:v>
                </c:pt>
                <c:pt idx="1">
                  <c:v>4.0667034477769635</c:v>
                </c:pt>
                <c:pt idx="2">
                  <c:v>4.275735944441986</c:v>
                </c:pt>
                <c:pt idx="3">
                  <c:v>4.5213499051815607</c:v>
                </c:pt>
                <c:pt idx="4">
                  <c:v>4.8035453299956856</c:v>
                </c:pt>
                <c:pt idx="5">
                  <c:v>5.1223222188843645</c:v>
                </c:pt>
                <c:pt idx="6">
                  <c:v>5.4776805718475945</c:v>
                </c:pt>
                <c:pt idx="7">
                  <c:v>5.8696203888853775</c:v>
                </c:pt>
                <c:pt idx="8">
                  <c:v>6.2981416699977126</c:v>
                </c:pt>
                <c:pt idx="9">
                  <c:v>6.763244415184599</c:v>
                </c:pt>
                <c:pt idx="10">
                  <c:v>7.2649286244460383</c:v>
                </c:pt>
                <c:pt idx="11">
                  <c:v>7.8031942977820297</c:v>
                </c:pt>
                <c:pt idx="12">
                  <c:v>8.3780414351925714</c:v>
                </c:pt>
                <c:pt idx="13">
                  <c:v>8.9894700366776679</c:v>
                </c:pt>
                <c:pt idx="14">
                  <c:v>9.6374801022373138</c:v>
                </c:pt>
                <c:pt idx="15">
                  <c:v>10.322071631871513</c:v>
                </c:pt>
                <c:pt idx="16">
                  <c:v>11.043244625580265</c:v>
                </c:pt>
                <c:pt idx="17">
                  <c:v>11.800999083363566</c:v>
                </c:pt>
                <c:pt idx="18">
                  <c:v>12.595335005221424</c:v>
                </c:pt>
                <c:pt idx="19">
                  <c:v>13.426252391153829</c:v>
                </c:pt>
                <c:pt idx="20">
                  <c:v>14.293751241160791</c:v>
                </c:pt>
                <c:pt idx="21">
                  <c:v>15.197831555242301</c:v>
                </c:pt>
                <c:pt idx="22">
                  <c:v>16.138493333398365</c:v>
                </c:pt>
                <c:pt idx="23">
                  <c:v>17.115736575628979</c:v>
                </c:pt>
                <c:pt idx="24">
                  <c:v>18.129561281934148</c:v>
                </c:pt>
                <c:pt idx="25">
                  <c:v>19.179967452313868</c:v>
                </c:pt>
                <c:pt idx="26">
                  <c:v>20.266955086768139</c:v>
                </c:pt>
                <c:pt idx="27">
                  <c:v>21.390524185296961</c:v>
                </c:pt>
                <c:pt idx="28">
                  <c:v>22.550674747900334</c:v>
                </c:pt>
                <c:pt idx="29">
                  <c:v>23.747406774578266</c:v>
                </c:pt>
                <c:pt idx="30">
                  <c:v>24.980720265330746</c:v>
                </c:pt>
                <c:pt idx="31">
                  <c:v>26.250615220157776</c:v>
                </c:pt>
                <c:pt idx="32">
                  <c:v>27.557091639059365</c:v>
                </c:pt>
                <c:pt idx="33">
                  <c:v>28.900149522035495</c:v>
                </c:pt>
                <c:pt idx="34">
                  <c:v>30.279788869086183</c:v>
                </c:pt>
                <c:pt idx="35">
                  <c:v>31.696009680211425</c:v>
                </c:pt>
                <c:pt idx="36">
                  <c:v>33.148811955411219</c:v>
                </c:pt>
                <c:pt idx="37">
                  <c:v>34.638195694685564</c:v>
                </c:pt>
                <c:pt idx="38">
                  <c:v>36.16416089803446</c:v>
                </c:pt>
                <c:pt idx="39">
                  <c:v>37.726707565457907</c:v>
                </c:pt>
                <c:pt idx="40">
                  <c:v>39.325835696955906</c:v>
                </c:pt>
                <c:pt idx="41">
                  <c:v>40.961545292528456</c:v>
                </c:pt>
                <c:pt idx="42">
                  <c:v>42.633836352175564</c:v>
                </c:pt>
                <c:pt idx="43">
                  <c:v>44.342708875897216</c:v>
                </c:pt>
                <c:pt idx="44">
                  <c:v>46.088162863693441</c:v>
                </c:pt>
                <c:pt idx="45">
                  <c:v>47.870198315564188</c:v>
                </c:pt>
                <c:pt idx="46">
                  <c:v>49.688815231509494</c:v>
                </c:pt>
                <c:pt idx="47">
                  <c:v>51.54401361152938</c:v>
                </c:pt>
                <c:pt idx="48">
                  <c:v>53.435793455623781</c:v>
                </c:pt>
                <c:pt idx="49">
                  <c:v>55.364154763792769</c:v>
                </c:pt>
                <c:pt idx="50">
                  <c:v>57.329097536036279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173-45E0-B583-DC18B249C1BC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val>
            <c:numRef>
              <c:f>'2.123 Нелин. поверхность'!$G$15:$BE$15</c:f>
              <c:numCache>
                <c:formatCode>General</c:formatCode>
                <c:ptCount val="51"/>
                <c:pt idx="0">
                  <c:v>4.207985091845039</c:v>
                </c:pt>
                <c:pt idx="1">
                  <c:v>4.3977997903333739</c:v>
                </c:pt>
                <c:pt idx="2">
                  <c:v>4.6241959528962617</c:v>
                </c:pt>
                <c:pt idx="3">
                  <c:v>4.8871735795337008</c:v>
                </c:pt>
                <c:pt idx="4">
                  <c:v>5.186732670245692</c:v>
                </c:pt>
                <c:pt idx="5">
                  <c:v>5.5228732250322352</c:v>
                </c:pt>
                <c:pt idx="6">
                  <c:v>5.8955952438933297</c:v>
                </c:pt>
                <c:pt idx="7">
                  <c:v>6.3048987268289771</c:v>
                </c:pt>
                <c:pt idx="8">
                  <c:v>6.7507836738391775</c:v>
                </c:pt>
                <c:pt idx="9">
                  <c:v>7.2332500849239292</c:v>
                </c:pt>
                <c:pt idx="10">
                  <c:v>7.7522979600832329</c:v>
                </c:pt>
                <c:pt idx="11">
                  <c:v>8.3079272993170896</c:v>
                </c:pt>
                <c:pt idx="12">
                  <c:v>8.9001381026254958</c:v>
                </c:pt>
                <c:pt idx="13">
                  <c:v>9.5289303700084567</c:v>
                </c:pt>
                <c:pt idx="14">
                  <c:v>10.194304101465967</c:v>
                </c:pt>
                <c:pt idx="15">
                  <c:v>10.896259296998032</c:v>
                </c:pt>
                <c:pt idx="16">
                  <c:v>11.63479595660465</c:v>
                </c:pt>
                <c:pt idx="17">
                  <c:v>12.409914080285816</c:v>
                </c:pt>
                <c:pt idx="18">
                  <c:v>13.221613668041538</c:v>
                </c:pt>
                <c:pt idx="19">
                  <c:v>14.069894719871808</c:v>
                </c:pt>
                <c:pt idx="20">
                  <c:v>14.954757235776633</c:v>
                </c:pt>
                <c:pt idx="21">
                  <c:v>15.87620121575601</c:v>
                </c:pt>
                <c:pt idx="22">
                  <c:v>16.834226659809943</c:v>
                </c:pt>
                <c:pt idx="23">
                  <c:v>17.828833567938418</c:v>
                </c:pt>
                <c:pt idx="24">
                  <c:v>18.860021940141451</c:v>
                </c:pt>
                <c:pt idx="25">
                  <c:v>19.927791776419035</c:v>
                </c:pt>
                <c:pt idx="26">
                  <c:v>21.032143076771174</c:v>
                </c:pt>
                <c:pt idx="27">
                  <c:v>22.173075841197864</c:v>
                </c:pt>
                <c:pt idx="28">
                  <c:v>23.350590069699098</c:v>
                </c:pt>
                <c:pt idx="29">
                  <c:v>24.564685762274895</c:v>
                </c:pt>
                <c:pt idx="30">
                  <c:v>25.815362918925238</c:v>
                </c:pt>
                <c:pt idx="31">
                  <c:v>27.102621539650137</c:v>
                </c:pt>
                <c:pt idx="32">
                  <c:v>28.42646162444959</c:v>
                </c:pt>
                <c:pt idx="33">
                  <c:v>29.786883173323581</c:v>
                </c:pt>
                <c:pt idx="34">
                  <c:v>31.18388618627214</c:v>
                </c:pt>
                <c:pt idx="35">
                  <c:v>32.617470663295244</c:v>
                </c:pt>
                <c:pt idx="36">
                  <c:v>34.087636604392905</c:v>
                </c:pt>
                <c:pt idx="37">
                  <c:v>35.594384009565118</c:v>
                </c:pt>
                <c:pt idx="38">
                  <c:v>37.137712878811868</c:v>
                </c:pt>
                <c:pt idx="39">
                  <c:v>38.717623212133184</c:v>
                </c:pt>
                <c:pt idx="40">
                  <c:v>40.33411500952905</c:v>
                </c:pt>
                <c:pt idx="41">
                  <c:v>41.987188270999461</c:v>
                </c:pt>
                <c:pt idx="42">
                  <c:v>43.676842996544437</c:v>
                </c:pt>
                <c:pt idx="43">
                  <c:v>45.40307918616395</c:v>
                </c:pt>
                <c:pt idx="44">
                  <c:v>47.165896839858036</c:v>
                </c:pt>
                <c:pt idx="45">
                  <c:v>48.965295957626651</c:v>
                </c:pt>
                <c:pt idx="46">
                  <c:v>50.801276539469825</c:v>
                </c:pt>
                <c:pt idx="47">
                  <c:v>52.673838585387571</c:v>
                </c:pt>
                <c:pt idx="48">
                  <c:v>54.58298209537984</c:v>
                </c:pt>
                <c:pt idx="49">
                  <c:v>56.528707069446689</c:v>
                </c:pt>
                <c:pt idx="50">
                  <c:v>58.511013507588068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173-45E0-B583-DC18B249C1BC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val>
            <c:numRef>
              <c:f>'2.123 Нелин. поверхность'!$G$16:$BE$16</c:f>
              <c:numCache>
                <c:formatCode>General</c:formatCode>
                <c:ptCount val="51"/>
                <c:pt idx="0">
                  <c:v>4.5582898465928157</c:v>
                </c:pt>
                <c:pt idx="1">
                  <c:v>4.7654682109790159</c:v>
                </c:pt>
                <c:pt idx="2">
                  <c:v>5.0092280394397681</c:v>
                </c:pt>
                <c:pt idx="3">
                  <c:v>5.2895693319750734</c:v>
                </c:pt>
                <c:pt idx="4">
                  <c:v>5.6064920885849281</c:v>
                </c:pt>
                <c:pt idx="5">
                  <c:v>5.9599963092693358</c:v>
                </c:pt>
                <c:pt idx="6">
                  <c:v>6.3500819940282964</c:v>
                </c:pt>
                <c:pt idx="7">
                  <c:v>6.7767491428618083</c:v>
                </c:pt>
                <c:pt idx="8">
                  <c:v>7.239997755769874</c:v>
                </c:pt>
                <c:pt idx="9">
                  <c:v>7.7398278327524901</c:v>
                </c:pt>
                <c:pt idx="10">
                  <c:v>8.2762393738096591</c:v>
                </c:pt>
                <c:pt idx="11">
                  <c:v>8.8492323789413803</c:v>
                </c:pt>
                <c:pt idx="12">
                  <c:v>9.4588068481476508</c:v>
                </c:pt>
                <c:pt idx="13">
                  <c:v>10.104962781428478</c:v>
                </c:pt>
                <c:pt idx="14">
                  <c:v>10.787700178783853</c:v>
                </c:pt>
                <c:pt idx="15">
                  <c:v>11.507019040213782</c:v>
                </c:pt>
                <c:pt idx="16">
                  <c:v>12.262919365718263</c:v>
                </c:pt>
                <c:pt idx="17">
                  <c:v>13.055401155297295</c:v>
                </c:pt>
                <c:pt idx="18">
                  <c:v>13.884464408950882</c:v>
                </c:pt>
                <c:pt idx="19">
                  <c:v>14.750109126679018</c:v>
                </c:pt>
                <c:pt idx="20">
                  <c:v>15.652335308481707</c:v>
                </c:pt>
                <c:pt idx="21">
                  <c:v>16.591142954358947</c:v>
                </c:pt>
                <c:pt idx="22">
                  <c:v>17.566532064310742</c:v>
                </c:pt>
                <c:pt idx="23">
                  <c:v>18.578502638337085</c:v>
                </c:pt>
                <c:pt idx="24">
                  <c:v>19.627054676437982</c:v>
                </c:pt>
                <c:pt idx="25">
                  <c:v>20.712188178613435</c:v>
                </c:pt>
                <c:pt idx="26">
                  <c:v>21.833903144863438</c:v>
                </c:pt>
                <c:pt idx="27">
                  <c:v>22.992199575187989</c:v>
                </c:pt>
                <c:pt idx="28">
                  <c:v>24.187077469587091</c:v>
                </c:pt>
                <c:pt idx="29">
                  <c:v>25.418536828060752</c:v>
                </c:pt>
                <c:pt idx="30">
                  <c:v>26.686577650608964</c:v>
                </c:pt>
                <c:pt idx="31">
                  <c:v>27.991199937231727</c:v>
                </c:pt>
                <c:pt idx="32">
                  <c:v>29.332403687929041</c:v>
                </c:pt>
                <c:pt idx="33">
                  <c:v>30.710188902700899</c:v>
                </c:pt>
                <c:pt idx="34">
                  <c:v>32.12455558154732</c:v>
                </c:pt>
                <c:pt idx="35">
                  <c:v>33.575503724468291</c:v>
                </c:pt>
                <c:pt idx="36">
                  <c:v>35.063033331463814</c:v>
                </c:pt>
                <c:pt idx="37">
                  <c:v>36.587144402533887</c:v>
                </c:pt>
                <c:pt idx="38">
                  <c:v>38.147836937678505</c:v>
                </c:pt>
                <c:pt idx="39">
                  <c:v>39.745110936897689</c:v>
                </c:pt>
                <c:pt idx="40">
                  <c:v>41.378966400191423</c:v>
                </c:pt>
                <c:pt idx="41">
                  <c:v>43.049403327559702</c:v>
                </c:pt>
                <c:pt idx="42">
                  <c:v>44.756421719002539</c:v>
                </c:pt>
                <c:pt idx="43">
                  <c:v>46.500021574519927</c:v>
                </c:pt>
                <c:pt idx="44">
                  <c:v>48.280202894111866</c:v>
                </c:pt>
                <c:pt idx="45">
                  <c:v>50.096965677778357</c:v>
                </c:pt>
                <c:pt idx="46">
                  <c:v>51.950309925519392</c:v>
                </c:pt>
                <c:pt idx="47">
                  <c:v>53.840235637334999</c:v>
                </c:pt>
                <c:pt idx="48">
                  <c:v>55.766742813225136</c:v>
                </c:pt>
                <c:pt idx="49">
                  <c:v>57.729831453189853</c:v>
                </c:pt>
                <c:pt idx="50">
                  <c:v>59.729501557229085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173-45E0-B583-DC18B249C1BC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val>
            <c:numRef>
              <c:f>'2.123 Нелин. поверхность'!$G$17:$BE$17</c:f>
              <c:numCache>
                <c:formatCode>General</c:formatCode>
                <c:ptCount val="51"/>
                <c:pt idx="0">
                  <c:v>4.9451666794298212</c:v>
                </c:pt>
                <c:pt idx="1">
                  <c:v>5.1697087097138859</c:v>
                </c:pt>
                <c:pt idx="2">
                  <c:v>5.4308322040725043</c:v>
                </c:pt>
                <c:pt idx="3">
                  <c:v>5.7285371625056731</c:v>
                </c:pt>
                <c:pt idx="4">
                  <c:v>6.0628235850133931</c:v>
                </c:pt>
                <c:pt idx="5">
                  <c:v>6.4336914715956661</c:v>
                </c:pt>
                <c:pt idx="6">
                  <c:v>6.8411408222524912</c:v>
                </c:pt>
                <c:pt idx="7">
                  <c:v>7.2851716369838684</c:v>
                </c:pt>
                <c:pt idx="8">
                  <c:v>7.7657839157897985</c:v>
                </c:pt>
                <c:pt idx="9">
                  <c:v>8.2829776586702799</c:v>
                </c:pt>
                <c:pt idx="10">
                  <c:v>8.8367528656253125</c:v>
                </c:pt>
                <c:pt idx="11">
                  <c:v>9.427109536654898</c:v>
                </c:pt>
                <c:pt idx="12">
                  <c:v>10.054047671759037</c:v>
                </c:pt>
                <c:pt idx="13">
                  <c:v>10.717567270937725</c:v>
                </c:pt>
                <c:pt idx="14">
                  <c:v>11.417668334190967</c:v>
                </c:pt>
                <c:pt idx="15">
                  <c:v>12.154350861518761</c:v>
                </c:pt>
                <c:pt idx="16">
                  <c:v>12.927614852921108</c:v>
                </c:pt>
                <c:pt idx="17">
                  <c:v>13.737460308398004</c:v>
                </c:pt>
                <c:pt idx="18">
                  <c:v>14.583887227949456</c:v>
                </c:pt>
                <c:pt idx="19">
                  <c:v>15.466895611575454</c:v>
                </c:pt>
                <c:pt idx="20">
                  <c:v>16.386485459276013</c:v>
                </c:pt>
                <c:pt idx="21">
                  <c:v>17.342656771051118</c:v>
                </c:pt>
                <c:pt idx="22">
                  <c:v>18.335409546900777</c:v>
                </c:pt>
                <c:pt idx="23">
                  <c:v>19.364743786824985</c:v>
                </c:pt>
                <c:pt idx="24">
                  <c:v>20.430659490823746</c:v>
                </c:pt>
                <c:pt idx="25">
                  <c:v>21.53315665889706</c:v>
                </c:pt>
                <c:pt idx="26">
                  <c:v>22.672235291044931</c:v>
                </c:pt>
                <c:pt idx="27">
                  <c:v>23.847895387267346</c:v>
                </c:pt>
                <c:pt idx="28">
                  <c:v>25.060136947564313</c:v>
                </c:pt>
                <c:pt idx="29">
                  <c:v>26.308959971935838</c:v>
                </c:pt>
                <c:pt idx="30">
                  <c:v>27.594364460381911</c:v>
                </c:pt>
                <c:pt idx="31">
                  <c:v>28.916350412902545</c:v>
                </c:pt>
                <c:pt idx="32">
                  <c:v>30.274917829497724</c:v>
                </c:pt>
                <c:pt idx="33">
                  <c:v>31.670066710167447</c:v>
                </c:pt>
                <c:pt idx="34">
                  <c:v>33.101797054911728</c:v>
                </c:pt>
                <c:pt idx="35">
                  <c:v>34.570108863730567</c:v>
                </c:pt>
                <c:pt idx="36">
                  <c:v>36.075002136623958</c:v>
                </c:pt>
                <c:pt idx="37">
                  <c:v>37.616476873591893</c:v>
                </c:pt>
                <c:pt idx="38">
                  <c:v>39.194533074634379</c:v>
                </c:pt>
                <c:pt idx="39">
                  <c:v>40.809170739751423</c:v>
                </c:pt>
                <c:pt idx="40">
                  <c:v>42.460389868943018</c:v>
                </c:pt>
                <c:pt idx="41">
                  <c:v>44.148190462209165</c:v>
                </c:pt>
                <c:pt idx="42">
                  <c:v>45.87257251954987</c:v>
                </c:pt>
                <c:pt idx="43">
                  <c:v>47.633536040965112</c:v>
                </c:pt>
                <c:pt idx="44">
                  <c:v>49.431081026454926</c:v>
                </c:pt>
                <c:pt idx="45">
                  <c:v>51.265207476019278</c:v>
                </c:pt>
                <c:pt idx="46">
                  <c:v>53.135915389658173</c:v>
                </c:pt>
                <c:pt idx="47">
                  <c:v>55.043204767371648</c:v>
                </c:pt>
                <c:pt idx="48">
                  <c:v>56.987075609159653</c:v>
                </c:pt>
                <c:pt idx="49">
                  <c:v>58.967527915022231</c:v>
                </c:pt>
                <c:pt idx="50">
                  <c:v>60.984561684959331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173-45E0-B583-DC18B249C1BC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val>
            <c:numRef>
              <c:f>'2.123 Нелин. поверхность'!$G$18:$BE$18</c:f>
              <c:numCache>
                <c:formatCode>General</c:formatCode>
                <c:ptCount val="51"/>
                <c:pt idx="0">
                  <c:v>5.3686155903560575</c:v>
                </c:pt>
                <c:pt idx="1">
                  <c:v>5.6105212865379874</c:v>
                </c:pt>
                <c:pt idx="2">
                  <c:v>5.8890084467944694</c:v>
                </c:pt>
                <c:pt idx="3">
                  <c:v>6.2040770711255027</c:v>
                </c:pt>
                <c:pt idx="4">
                  <c:v>6.5557271595310889</c:v>
                </c:pt>
                <c:pt idx="5">
                  <c:v>6.9439587120112263</c:v>
                </c:pt>
                <c:pt idx="6">
                  <c:v>7.3687717285659167</c:v>
                </c:pt>
                <c:pt idx="7">
                  <c:v>7.8301662091951574</c:v>
                </c:pt>
                <c:pt idx="8">
                  <c:v>8.328142153898952</c:v>
                </c:pt>
                <c:pt idx="9">
                  <c:v>8.8626995626772995</c:v>
                </c:pt>
                <c:pt idx="10">
                  <c:v>9.4338384355301965</c:v>
                </c:pt>
                <c:pt idx="11">
                  <c:v>10.041558772457648</c:v>
                </c:pt>
                <c:pt idx="12">
                  <c:v>10.685860573459649</c:v>
                </c:pt>
                <c:pt idx="13">
                  <c:v>11.366743838536204</c:v>
                </c:pt>
                <c:pt idx="14">
                  <c:v>12.084208567687309</c:v>
                </c:pt>
                <c:pt idx="15">
                  <c:v>12.838254760912969</c:v>
                </c:pt>
                <c:pt idx="16">
                  <c:v>13.62888241821318</c:v>
                </c:pt>
                <c:pt idx="17">
                  <c:v>14.456091539587941</c:v>
                </c:pt>
                <c:pt idx="18">
                  <c:v>15.319882125037257</c:v>
                </c:pt>
                <c:pt idx="19">
                  <c:v>16.220254174561124</c:v>
                </c:pt>
                <c:pt idx="20">
                  <c:v>17.157207688159541</c:v>
                </c:pt>
                <c:pt idx="21">
                  <c:v>18.130742665832514</c:v>
                </c:pt>
                <c:pt idx="22">
                  <c:v>19.140859107580038</c:v>
                </c:pt>
                <c:pt idx="23">
                  <c:v>20.187557013402106</c:v>
                </c:pt>
                <c:pt idx="24">
                  <c:v>21.270836383298739</c:v>
                </c:pt>
                <c:pt idx="25">
                  <c:v>22.390697217269917</c:v>
                </c:pt>
                <c:pt idx="26">
                  <c:v>23.547139515315649</c:v>
                </c:pt>
                <c:pt idx="27">
                  <c:v>24.740163277435933</c:v>
                </c:pt>
                <c:pt idx="28">
                  <c:v>25.969768503630767</c:v>
                </c:pt>
                <c:pt idx="29">
                  <c:v>27.235955193900157</c:v>
                </c:pt>
                <c:pt idx="30">
                  <c:v>28.538723348244094</c:v>
                </c:pt>
                <c:pt idx="31">
                  <c:v>29.878072966662586</c:v>
                </c:pt>
                <c:pt idx="32">
                  <c:v>31.254004049155633</c:v>
                </c:pt>
                <c:pt idx="33">
                  <c:v>32.666516595723223</c:v>
                </c:pt>
                <c:pt idx="34">
                  <c:v>34.115610606365365</c:v>
                </c:pt>
                <c:pt idx="35">
                  <c:v>35.601286081082073</c:v>
                </c:pt>
                <c:pt idx="36">
                  <c:v>37.123543019873324</c:v>
                </c:pt>
                <c:pt idx="37">
                  <c:v>38.682381422739127</c:v>
                </c:pt>
                <c:pt idx="38">
                  <c:v>40.277801289679481</c:v>
                </c:pt>
                <c:pt idx="39">
                  <c:v>41.909802620694386</c:v>
                </c:pt>
                <c:pt idx="40">
                  <c:v>43.578385415783849</c:v>
                </c:pt>
                <c:pt idx="41">
                  <c:v>45.283549674947864</c:v>
                </c:pt>
                <c:pt idx="42">
                  <c:v>47.025295398186422</c:v>
                </c:pt>
                <c:pt idx="43">
                  <c:v>48.803622585499539</c:v>
                </c:pt>
                <c:pt idx="44">
                  <c:v>50.618531236887222</c:v>
                </c:pt>
                <c:pt idx="45">
                  <c:v>52.470021352349434</c:v>
                </c:pt>
                <c:pt idx="46">
                  <c:v>54.358092931886191</c:v>
                </c:pt>
                <c:pt idx="47">
                  <c:v>56.282745975497534</c:v>
                </c:pt>
                <c:pt idx="48">
                  <c:v>58.243980483183407</c:v>
                </c:pt>
                <c:pt idx="49">
                  <c:v>60.241796454943838</c:v>
                </c:pt>
                <c:pt idx="50">
                  <c:v>62.276193890778814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173-45E0-B583-DC18B249C1BC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val>
            <c:numRef>
              <c:f>'2.123 Нелин. поверхность'!$G$19:$BE$19</c:f>
              <c:numCache>
                <c:formatCode>General</c:formatCode>
                <c:ptCount val="51"/>
                <c:pt idx="0">
                  <c:v>5.8286365793715236</c:v>
                </c:pt>
                <c:pt idx="1">
                  <c:v>6.0879059414513179</c:v>
                </c:pt>
                <c:pt idx="2">
                  <c:v>6.3837567676056652</c:v>
                </c:pt>
                <c:pt idx="3">
                  <c:v>6.7161890578345638</c:v>
                </c:pt>
                <c:pt idx="4">
                  <c:v>7.0852028121380135</c:v>
                </c:pt>
                <c:pt idx="5">
                  <c:v>7.4907980305160162</c:v>
                </c:pt>
                <c:pt idx="6">
                  <c:v>7.932974712968571</c:v>
                </c:pt>
                <c:pt idx="7">
                  <c:v>8.4117328594956788</c:v>
                </c:pt>
                <c:pt idx="8">
                  <c:v>8.9270724700973378</c:v>
                </c:pt>
                <c:pt idx="9">
                  <c:v>9.4789935447735498</c:v>
                </c:pt>
                <c:pt idx="10">
                  <c:v>10.067496083524311</c:v>
                </c:pt>
                <c:pt idx="11">
                  <c:v>10.692580086349626</c:v>
                </c:pt>
                <c:pt idx="12">
                  <c:v>11.354245553249495</c:v>
                </c:pt>
                <c:pt idx="13">
                  <c:v>12.052492484223915</c:v>
                </c:pt>
                <c:pt idx="14">
                  <c:v>12.787320879272883</c:v>
                </c:pt>
                <c:pt idx="15">
                  <c:v>13.558730738396408</c:v>
                </c:pt>
                <c:pt idx="16">
                  <c:v>14.366722061594484</c:v>
                </c:pt>
                <c:pt idx="17">
                  <c:v>15.211294848867109</c:v>
                </c:pt>
                <c:pt idx="18">
                  <c:v>16.092449100214289</c:v>
                </c:pt>
                <c:pt idx="19">
                  <c:v>17.010184815636023</c:v>
                </c:pt>
                <c:pt idx="20">
                  <c:v>17.964501995132306</c:v>
                </c:pt>
                <c:pt idx="21">
                  <c:v>18.955400638703139</c:v>
                </c:pt>
                <c:pt idx="22">
                  <c:v>19.982880746348531</c:v>
                </c:pt>
                <c:pt idx="23">
                  <c:v>21.046942318068467</c:v>
                </c:pt>
                <c:pt idx="24">
                  <c:v>22.147585353862961</c:v>
                </c:pt>
                <c:pt idx="25">
                  <c:v>23.284809853732007</c:v>
                </c:pt>
                <c:pt idx="26">
                  <c:v>24.4586158176756</c:v>
                </c:pt>
                <c:pt idx="27">
                  <c:v>25.669003245693755</c:v>
                </c:pt>
                <c:pt idx="28">
                  <c:v>26.915972137786447</c:v>
                </c:pt>
                <c:pt idx="29">
                  <c:v>28.199522493953701</c:v>
                </c:pt>
                <c:pt idx="30">
                  <c:v>29.519654314195506</c:v>
                </c:pt>
                <c:pt idx="31">
                  <c:v>30.876367598511862</c:v>
                </c:pt>
                <c:pt idx="32">
                  <c:v>32.269662346902777</c:v>
                </c:pt>
                <c:pt idx="33">
                  <c:v>33.699538559368229</c:v>
                </c:pt>
                <c:pt idx="34">
                  <c:v>35.165996235908239</c:v>
                </c:pt>
                <c:pt idx="35">
                  <c:v>36.669035376522807</c:v>
                </c:pt>
                <c:pt idx="36">
                  <c:v>38.208655981211926</c:v>
                </c:pt>
                <c:pt idx="37">
                  <c:v>39.784858049975597</c:v>
                </c:pt>
                <c:pt idx="38">
                  <c:v>41.397641582813812</c:v>
                </c:pt>
                <c:pt idx="39">
                  <c:v>43.047006579726585</c:v>
                </c:pt>
                <c:pt idx="40">
                  <c:v>44.732953040713909</c:v>
                </c:pt>
                <c:pt idx="41">
                  <c:v>46.455480965775784</c:v>
                </c:pt>
                <c:pt idx="42">
                  <c:v>48.214590354912218</c:v>
                </c:pt>
                <c:pt idx="43">
                  <c:v>50.010281208123196</c:v>
                </c:pt>
                <c:pt idx="44">
                  <c:v>51.842553525408739</c:v>
                </c:pt>
                <c:pt idx="45">
                  <c:v>53.711407306768812</c:v>
                </c:pt>
                <c:pt idx="46">
                  <c:v>55.616842552203451</c:v>
                </c:pt>
                <c:pt idx="47">
                  <c:v>57.558859261712655</c:v>
                </c:pt>
                <c:pt idx="48">
                  <c:v>59.537457435296389</c:v>
                </c:pt>
                <c:pt idx="49">
                  <c:v>61.552637072954688</c:v>
                </c:pt>
                <c:pt idx="50">
                  <c:v>63.604398174687525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173-45E0-B583-DC18B249C1BC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/>
            <a:effectLst/>
            <a:sp3d/>
          </c:spPr>
          <c:val>
            <c:numRef>
              <c:f>'2.123 Нелин. поверхность'!$G$20:$BE$20</c:f>
              <c:numCache>
                <c:formatCode>General</c:formatCode>
                <c:ptCount val="51"/>
                <c:pt idx="0">
                  <c:v>6.3252296464762185</c:v>
                </c:pt>
                <c:pt idx="1">
                  <c:v>6.6018626744538782</c:v>
                </c:pt>
                <c:pt idx="2">
                  <c:v>6.9150771665060891</c:v>
                </c:pt>
                <c:pt idx="3">
                  <c:v>7.264873122632852</c:v>
                </c:pt>
                <c:pt idx="4">
                  <c:v>7.6512505428341688</c:v>
                </c:pt>
                <c:pt idx="5">
                  <c:v>8.074209427110036</c:v>
                </c:pt>
                <c:pt idx="6">
                  <c:v>8.5337497754604552</c:v>
                </c:pt>
                <c:pt idx="7">
                  <c:v>9.0298715878854274</c:v>
                </c:pt>
                <c:pt idx="8">
                  <c:v>9.5625748643849509</c:v>
                </c:pt>
                <c:pt idx="9">
                  <c:v>10.131859604959027</c:v>
                </c:pt>
                <c:pt idx="10">
                  <c:v>10.737725809607655</c:v>
                </c:pt>
                <c:pt idx="11">
                  <c:v>11.380173478330835</c:v>
                </c:pt>
                <c:pt idx="12">
                  <c:v>12.059202611128566</c:v>
                </c:pt>
                <c:pt idx="13">
                  <c:v>12.774813208000854</c:v>
                </c:pt>
                <c:pt idx="14">
                  <c:v>13.527005268947686</c:v>
                </c:pt>
                <c:pt idx="15">
                  <c:v>14.315778793969075</c:v>
                </c:pt>
                <c:pt idx="16">
                  <c:v>15.141133783065015</c:v>
                </c:pt>
                <c:pt idx="17">
                  <c:v>16.003070236235505</c:v>
                </c:pt>
                <c:pt idx="18">
                  <c:v>16.901588153480553</c:v>
                </c:pt>
                <c:pt idx="19">
                  <c:v>17.836687534800145</c:v>
                </c:pt>
                <c:pt idx="20">
                  <c:v>18.808368380194299</c:v>
                </c:pt>
                <c:pt idx="21">
                  <c:v>19.816630689662997</c:v>
                </c:pt>
                <c:pt idx="22">
                  <c:v>20.861474463206253</c:v>
                </c:pt>
                <c:pt idx="23">
                  <c:v>21.942899700824054</c:v>
                </c:pt>
                <c:pt idx="24">
                  <c:v>23.060906402516409</c:v>
                </c:pt>
                <c:pt idx="25">
                  <c:v>24.215494568283319</c:v>
                </c:pt>
                <c:pt idx="26">
                  <c:v>25.40666419812478</c:v>
                </c:pt>
                <c:pt idx="27">
                  <c:v>26.634415292040796</c:v>
                </c:pt>
                <c:pt idx="28">
                  <c:v>27.898747850031356</c:v>
                </c:pt>
                <c:pt idx="29">
                  <c:v>29.199661872096478</c:v>
                </c:pt>
                <c:pt idx="30">
                  <c:v>30.537157358236144</c:v>
                </c:pt>
                <c:pt idx="31">
                  <c:v>31.911234308450368</c:v>
                </c:pt>
                <c:pt idx="32">
                  <c:v>33.321892722739143</c:v>
                </c:pt>
                <c:pt idx="33">
                  <c:v>34.769132601102463</c:v>
                </c:pt>
                <c:pt idx="34">
                  <c:v>36.252953943540341</c:v>
                </c:pt>
                <c:pt idx="35">
                  <c:v>37.77335675005277</c:v>
                </c:pt>
                <c:pt idx="36">
                  <c:v>39.33034102063975</c:v>
                </c:pt>
                <c:pt idx="37">
                  <c:v>40.923906755301296</c:v>
                </c:pt>
                <c:pt idx="38">
                  <c:v>42.554053954037371</c:v>
                </c:pt>
                <c:pt idx="39">
                  <c:v>44.220782616848012</c:v>
                </c:pt>
                <c:pt idx="40">
                  <c:v>45.924092743733205</c:v>
                </c:pt>
                <c:pt idx="41">
                  <c:v>47.663984334692934</c:v>
                </c:pt>
                <c:pt idx="42">
                  <c:v>49.440457389727236</c:v>
                </c:pt>
                <c:pt idx="43">
                  <c:v>51.253511908836082</c:v>
                </c:pt>
                <c:pt idx="44">
                  <c:v>53.103147892019493</c:v>
                </c:pt>
                <c:pt idx="45">
                  <c:v>54.989365339277427</c:v>
                </c:pt>
                <c:pt idx="46">
                  <c:v>56.912164250609926</c:v>
                </c:pt>
                <c:pt idx="47">
                  <c:v>58.871544626016998</c:v>
                </c:pt>
                <c:pt idx="48">
                  <c:v>60.867506465498593</c:v>
                </c:pt>
                <c:pt idx="49">
                  <c:v>62.90004976905476</c:v>
                </c:pt>
                <c:pt idx="50">
                  <c:v>64.969174536685472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173-45E0-B583-DC18B249C1BC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'2.123 Нелин. поверхность'!$G$21:$BE$21</c:f>
              <c:numCache>
                <c:formatCode>General</c:formatCode>
                <c:ptCount val="51"/>
                <c:pt idx="0">
                  <c:v>6.8583947916701433</c:v>
                </c:pt>
                <c:pt idx="1">
                  <c:v>7.1523914855456683</c:v>
                </c:pt>
                <c:pt idx="2">
                  <c:v>7.4829696434957444</c:v>
                </c:pt>
                <c:pt idx="3">
                  <c:v>7.8501292655203736</c:v>
                </c:pt>
                <c:pt idx="4">
                  <c:v>8.253870351619554</c:v>
                </c:pt>
                <c:pt idx="5">
                  <c:v>8.6941929017932864</c:v>
                </c:pt>
                <c:pt idx="6">
                  <c:v>9.1710969160415701</c:v>
                </c:pt>
                <c:pt idx="7">
                  <c:v>9.6845823943644067</c:v>
                </c:pt>
                <c:pt idx="8">
                  <c:v>10.234649336761796</c:v>
                </c:pt>
                <c:pt idx="9">
                  <c:v>10.821297743233735</c:v>
                </c:pt>
                <c:pt idx="10">
                  <c:v>11.444527613780229</c:v>
                </c:pt>
                <c:pt idx="11">
                  <c:v>12.104338948401274</c:v>
                </c:pt>
                <c:pt idx="12">
                  <c:v>12.800731747096869</c:v>
                </c:pt>
                <c:pt idx="13">
                  <c:v>13.533706009867021</c:v>
                </c:pt>
                <c:pt idx="14">
                  <c:v>14.30326173671172</c:v>
                </c:pt>
                <c:pt idx="15">
                  <c:v>15.109398927630973</c:v>
                </c:pt>
                <c:pt idx="16">
                  <c:v>15.95211758262478</c:v>
                </c:pt>
                <c:pt idx="17">
                  <c:v>16.831417701693134</c:v>
                </c:pt>
                <c:pt idx="18">
                  <c:v>17.747299284836046</c:v>
                </c:pt>
                <c:pt idx="19">
                  <c:v>18.699762332053506</c:v>
                </c:pt>
                <c:pt idx="20">
                  <c:v>19.688806843345521</c:v>
                </c:pt>
                <c:pt idx="21">
                  <c:v>20.714432818712083</c:v>
                </c:pt>
                <c:pt idx="22">
                  <c:v>21.776640258153201</c:v>
                </c:pt>
                <c:pt idx="23">
                  <c:v>22.875429161668869</c:v>
                </c:pt>
                <c:pt idx="24">
                  <c:v>24.010799529259096</c:v>
                </c:pt>
                <c:pt idx="25">
                  <c:v>25.182751360923866</c:v>
                </c:pt>
                <c:pt idx="26">
                  <c:v>26.391284656663196</c:v>
                </c:pt>
                <c:pt idx="27">
                  <c:v>27.636399416477069</c:v>
                </c:pt>
                <c:pt idx="28">
                  <c:v>28.918095640365497</c:v>
                </c:pt>
                <c:pt idx="29">
                  <c:v>30.236373328328479</c:v>
                </c:pt>
                <c:pt idx="30">
                  <c:v>31.591232480366017</c:v>
                </c:pt>
                <c:pt idx="31">
                  <c:v>32.982673096478102</c:v>
                </c:pt>
                <c:pt idx="32">
                  <c:v>34.410695176664746</c:v>
                </c:pt>
                <c:pt idx="33">
                  <c:v>35.875298720925926</c:v>
                </c:pt>
                <c:pt idx="34">
                  <c:v>37.376483729261665</c:v>
                </c:pt>
                <c:pt idx="35">
                  <c:v>38.914250201671962</c:v>
                </c:pt>
                <c:pt idx="36">
                  <c:v>40.488598138156817</c:v>
                </c:pt>
                <c:pt idx="37">
                  <c:v>42.099527538716217</c:v>
                </c:pt>
                <c:pt idx="38">
                  <c:v>43.747038403350167</c:v>
                </c:pt>
                <c:pt idx="39">
                  <c:v>45.431130732058662</c:v>
                </c:pt>
                <c:pt idx="40">
                  <c:v>47.151804524841722</c:v>
                </c:pt>
                <c:pt idx="41">
                  <c:v>48.909059781699327</c:v>
                </c:pt>
                <c:pt idx="42">
                  <c:v>50.702896502631489</c:v>
                </c:pt>
                <c:pt idx="43">
                  <c:v>52.533314687638196</c:v>
                </c:pt>
                <c:pt idx="44">
                  <c:v>54.400314336719461</c:v>
                </c:pt>
                <c:pt idx="45">
                  <c:v>56.303895449875277</c:v>
                </c:pt>
                <c:pt idx="46">
                  <c:v>58.244058027105638</c:v>
                </c:pt>
                <c:pt idx="47">
                  <c:v>60.220802068410563</c:v>
                </c:pt>
                <c:pt idx="48">
                  <c:v>62.234127573790033</c:v>
                </c:pt>
                <c:pt idx="49">
                  <c:v>64.284034543244076</c:v>
                </c:pt>
                <c:pt idx="50">
                  <c:v>66.370522976772634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173-45E0-B583-DC18B249C1BC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'2.123 Нелин. поверхность'!$G$22:$BE$22</c:f>
              <c:numCache>
                <c:formatCode>General</c:formatCode>
                <c:ptCount val="51"/>
                <c:pt idx="0">
                  <c:v>7.4281320149532979</c:v>
                </c:pt>
                <c:pt idx="1">
                  <c:v>7.7394923747266873</c:v>
                </c:pt>
                <c:pt idx="2">
                  <c:v>8.0874341985746288</c:v>
                </c:pt>
                <c:pt idx="3">
                  <c:v>8.4719574864971214</c:v>
                </c:pt>
                <c:pt idx="4">
                  <c:v>8.8930622384941671</c:v>
                </c:pt>
                <c:pt idx="5">
                  <c:v>9.350748454565764</c:v>
                </c:pt>
                <c:pt idx="6">
                  <c:v>9.8450161347119121</c:v>
                </c:pt>
                <c:pt idx="7">
                  <c:v>10.375865278932613</c:v>
                </c:pt>
                <c:pt idx="8">
                  <c:v>10.943295887227869</c:v>
                </c:pt>
                <c:pt idx="9">
                  <c:v>11.547307959597672</c:v>
                </c:pt>
                <c:pt idx="10">
                  <c:v>12.187901496042031</c:v>
                </c:pt>
                <c:pt idx="11">
                  <c:v>12.865076496560942</c:v>
                </c:pt>
                <c:pt idx="12">
                  <c:v>13.578832961154401</c:v>
                </c:pt>
                <c:pt idx="13">
                  <c:v>14.329170889822418</c:v>
                </c:pt>
                <c:pt idx="14">
                  <c:v>15.116090282564983</c:v>
                </c:pt>
                <c:pt idx="15">
                  <c:v>15.939591139382101</c:v>
                </c:pt>
                <c:pt idx="16">
                  <c:v>16.79967346027377</c:v>
                </c:pt>
                <c:pt idx="17">
                  <c:v>17.696337245239992</c:v>
                </c:pt>
                <c:pt idx="18">
                  <c:v>18.629582494280768</c:v>
                </c:pt>
                <c:pt idx="19">
                  <c:v>19.599409207396089</c:v>
                </c:pt>
                <c:pt idx="20">
                  <c:v>20.605817384585968</c:v>
                </c:pt>
                <c:pt idx="21">
                  <c:v>21.648807025850399</c:v>
                </c:pt>
                <c:pt idx="22">
                  <c:v>22.728378131189384</c:v>
                </c:pt>
                <c:pt idx="23">
                  <c:v>23.844530700602917</c:v>
                </c:pt>
                <c:pt idx="24">
                  <c:v>24.997264734091001</c:v>
                </c:pt>
                <c:pt idx="25">
                  <c:v>26.18658023165364</c:v>
                </c:pt>
                <c:pt idx="26">
                  <c:v>27.412477193290833</c:v>
                </c:pt>
                <c:pt idx="27">
                  <c:v>28.674955619002574</c:v>
                </c:pt>
                <c:pt idx="28">
                  <c:v>29.974015508788867</c:v>
                </c:pt>
                <c:pt idx="29">
                  <c:v>31.309656862649717</c:v>
                </c:pt>
                <c:pt idx="30">
                  <c:v>32.681879680585112</c:v>
                </c:pt>
                <c:pt idx="31">
                  <c:v>34.090683962595065</c:v>
                </c:pt>
                <c:pt idx="32">
                  <c:v>35.53606970867957</c:v>
                </c:pt>
                <c:pt idx="33">
                  <c:v>37.018036918838618</c:v>
                </c:pt>
                <c:pt idx="34">
                  <c:v>38.536585593072225</c:v>
                </c:pt>
                <c:pt idx="35">
                  <c:v>40.09171573138039</c:v>
                </c:pt>
                <c:pt idx="36">
                  <c:v>41.683427333763106</c:v>
                </c:pt>
                <c:pt idx="37">
                  <c:v>43.311720400220366</c:v>
                </c:pt>
                <c:pt idx="38">
                  <c:v>44.976594930752185</c:v>
                </c:pt>
                <c:pt idx="39">
                  <c:v>46.678050925358548</c:v>
                </c:pt>
                <c:pt idx="40">
                  <c:v>48.416088384039469</c:v>
                </c:pt>
                <c:pt idx="41">
                  <c:v>50.190707306794934</c:v>
                </c:pt>
                <c:pt idx="42">
                  <c:v>52.001907693624965</c:v>
                </c:pt>
                <c:pt idx="43">
                  <c:v>53.849689544529532</c:v>
                </c:pt>
                <c:pt idx="44">
                  <c:v>55.734052859508672</c:v>
                </c:pt>
                <c:pt idx="45">
                  <c:v>57.654997638562349</c:v>
                </c:pt>
                <c:pt idx="46">
                  <c:v>59.612523881690564</c:v>
                </c:pt>
                <c:pt idx="47">
                  <c:v>61.606631588893364</c:v>
                </c:pt>
                <c:pt idx="48">
                  <c:v>63.637320760170695</c:v>
                </c:pt>
                <c:pt idx="49">
                  <c:v>65.704591395522598</c:v>
                </c:pt>
                <c:pt idx="50">
                  <c:v>67.808443494949017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3173-45E0-B583-DC18B249C1BC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'2.123 Нелин. поверхность'!$G$23:$BE$23</c:f>
              <c:numCache>
                <c:formatCode>General</c:formatCode>
                <c:ptCount val="51"/>
                <c:pt idx="0">
                  <c:v>8.0344413163256831</c:v>
                </c:pt>
                <c:pt idx="1">
                  <c:v>8.3631653419969378</c:v>
                </c:pt>
                <c:pt idx="2">
                  <c:v>8.728470831742742</c:v>
                </c:pt>
                <c:pt idx="3">
                  <c:v>9.1303577855631008</c:v>
                </c:pt>
                <c:pt idx="4">
                  <c:v>9.5688262034580109</c:v>
                </c:pt>
                <c:pt idx="5">
                  <c:v>10.043876085427474</c:v>
                </c:pt>
                <c:pt idx="6">
                  <c:v>10.555507431471487</c:v>
                </c:pt>
                <c:pt idx="7">
                  <c:v>11.103720241590052</c:v>
                </c:pt>
                <c:pt idx="8">
                  <c:v>11.688514515783174</c:v>
                </c:pt>
                <c:pt idx="9">
                  <c:v>12.309890254050842</c:v>
                </c:pt>
                <c:pt idx="10">
                  <c:v>12.967847456393065</c:v>
                </c:pt>
                <c:pt idx="11">
                  <c:v>13.66238612280984</c:v>
                </c:pt>
                <c:pt idx="12">
                  <c:v>14.393506253301165</c:v>
                </c:pt>
                <c:pt idx="13">
                  <c:v>15.161207847867045</c:v>
                </c:pt>
                <c:pt idx="14">
                  <c:v>15.965490906507474</c:v>
                </c:pt>
                <c:pt idx="15">
                  <c:v>16.806355429222457</c:v>
                </c:pt>
                <c:pt idx="16">
                  <c:v>17.683801416011995</c:v>
                </c:pt>
                <c:pt idx="17">
                  <c:v>18.597828866876078</c:v>
                </c:pt>
                <c:pt idx="18">
                  <c:v>19.548437781814719</c:v>
                </c:pt>
                <c:pt idx="19">
                  <c:v>20.535628160827908</c:v>
                </c:pt>
                <c:pt idx="20">
                  <c:v>21.559400003915652</c:v>
                </c:pt>
                <c:pt idx="21">
                  <c:v>22.619753311077947</c:v>
                </c:pt>
                <c:pt idx="22">
                  <c:v>23.716688082314796</c:v>
                </c:pt>
                <c:pt idx="23">
                  <c:v>24.85020431762619</c:v>
                </c:pt>
                <c:pt idx="24">
                  <c:v>26.020302017012146</c:v>
                </c:pt>
                <c:pt idx="25">
                  <c:v>27.226981180472649</c:v>
                </c:pt>
                <c:pt idx="26">
                  <c:v>28.470241808007707</c:v>
                </c:pt>
                <c:pt idx="27">
                  <c:v>29.750083899617316</c:v>
                </c:pt>
                <c:pt idx="28">
                  <c:v>31.066507455301469</c:v>
                </c:pt>
                <c:pt idx="29">
                  <c:v>32.419512475060188</c:v>
                </c:pt>
                <c:pt idx="30">
                  <c:v>33.809098958893443</c:v>
                </c:pt>
                <c:pt idx="31">
                  <c:v>35.235266906801264</c:v>
                </c:pt>
                <c:pt idx="32">
                  <c:v>36.698016318783637</c:v>
                </c:pt>
                <c:pt idx="33">
                  <c:v>38.197347194840546</c:v>
                </c:pt>
                <c:pt idx="34">
                  <c:v>39.733259534972021</c:v>
                </c:pt>
                <c:pt idx="35">
                  <c:v>41.305753339178047</c:v>
                </c:pt>
                <c:pt idx="36">
                  <c:v>42.914828607458617</c:v>
                </c:pt>
                <c:pt idx="37">
                  <c:v>44.560485339813752</c:v>
                </c:pt>
                <c:pt idx="38">
                  <c:v>46.242723536243425</c:v>
                </c:pt>
                <c:pt idx="39">
                  <c:v>47.961543196747655</c:v>
                </c:pt>
                <c:pt idx="40">
                  <c:v>49.716944321326444</c:v>
                </c:pt>
                <c:pt idx="41">
                  <c:v>51.508926909979778</c:v>
                </c:pt>
                <c:pt idx="42">
                  <c:v>53.337490962707669</c:v>
                </c:pt>
                <c:pt idx="43">
                  <c:v>55.202636479510105</c:v>
                </c:pt>
                <c:pt idx="44">
                  <c:v>57.104363460387113</c:v>
                </c:pt>
                <c:pt idx="45">
                  <c:v>59.042671905338651</c:v>
                </c:pt>
                <c:pt idx="46">
                  <c:v>61.017561814364733</c:v>
                </c:pt>
                <c:pt idx="47">
                  <c:v>63.029033187465402</c:v>
                </c:pt>
                <c:pt idx="48">
                  <c:v>65.077086024640593</c:v>
                </c:pt>
                <c:pt idx="49">
                  <c:v>67.161720325890357</c:v>
                </c:pt>
                <c:pt idx="50">
                  <c:v>69.282936091214651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173-45E0-B583-DC18B249C1BC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'2.123 Нелин. поверхность'!$G$24:$BE$24</c:f>
              <c:numCache>
                <c:formatCode>General</c:formatCode>
                <c:ptCount val="51"/>
                <c:pt idx="0">
                  <c:v>8.6773226957872982</c:v>
                </c:pt>
                <c:pt idx="1">
                  <c:v>9.0234103873564173</c:v>
                </c:pt>
                <c:pt idx="2">
                  <c:v>9.4060795430000894</c:v>
                </c:pt>
                <c:pt idx="3">
                  <c:v>9.8253301627183127</c:v>
                </c:pt>
                <c:pt idx="4">
                  <c:v>10.281162246511085</c:v>
                </c:pt>
                <c:pt idx="5">
                  <c:v>10.773575794378413</c:v>
                </c:pt>
                <c:pt idx="6">
                  <c:v>11.302570806320292</c:v>
                </c:pt>
                <c:pt idx="7">
                  <c:v>11.868147282336723</c:v>
                </c:pt>
                <c:pt idx="8">
                  <c:v>12.470305222427706</c:v>
                </c:pt>
                <c:pt idx="9">
                  <c:v>13.109044626593244</c:v>
                </c:pt>
                <c:pt idx="10">
                  <c:v>13.784365494833327</c:v>
                </c:pt>
                <c:pt idx="11">
                  <c:v>14.496267827147967</c:v>
                </c:pt>
                <c:pt idx="12">
                  <c:v>15.244751623537159</c:v>
                </c:pt>
                <c:pt idx="13">
                  <c:v>16.029816884000905</c:v>
                </c:pt>
                <c:pt idx="14">
                  <c:v>16.851463608539198</c:v>
                </c:pt>
                <c:pt idx="15">
                  <c:v>17.709691797152047</c:v>
                </c:pt>
                <c:pt idx="16">
                  <c:v>18.604501449839447</c:v>
                </c:pt>
                <c:pt idx="17">
                  <c:v>19.535892566601397</c:v>
                </c:pt>
                <c:pt idx="18">
                  <c:v>20.503865147437903</c:v>
                </c:pt>
                <c:pt idx="19">
                  <c:v>21.50841919234896</c:v>
                </c:pt>
                <c:pt idx="20">
                  <c:v>22.549554701334564</c:v>
                </c:pt>
                <c:pt idx="21">
                  <c:v>23.627271674394727</c:v>
                </c:pt>
                <c:pt idx="22">
                  <c:v>24.741570111529441</c:v>
                </c:pt>
                <c:pt idx="23">
                  <c:v>25.892450012738699</c:v>
                </c:pt>
                <c:pt idx="24">
                  <c:v>27.079911378022516</c:v>
                </c:pt>
                <c:pt idx="25">
                  <c:v>28.303954207380887</c:v>
                </c:pt>
                <c:pt idx="26">
                  <c:v>29.564578500813806</c:v>
                </c:pt>
                <c:pt idx="27">
                  <c:v>30.861784258321283</c:v>
                </c:pt>
                <c:pt idx="28">
                  <c:v>32.1955714799033</c:v>
                </c:pt>
                <c:pt idx="29">
                  <c:v>33.56594016555988</c:v>
                </c:pt>
                <c:pt idx="30">
                  <c:v>34.972890315291011</c:v>
                </c:pt>
                <c:pt idx="31">
                  <c:v>36.416421929096686</c:v>
                </c:pt>
                <c:pt idx="32">
                  <c:v>37.896535006976926</c:v>
                </c:pt>
                <c:pt idx="33">
                  <c:v>39.413229548931703</c:v>
                </c:pt>
                <c:pt idx="34">
                  <c:v>40.966505554961039</c:v>
                </c:pt>
                <c:pt idx="35">
                  <c:v>42.556363025064933</c:v>
                </c:pt>
                <c:pt idx="36">
                  <c:v>44.182801959243371</c:v>
                </c:pt>
                <c:pt idx="37">
                  <c:v>45.845822357496374</c:v>
                </c:pt>
                <c:pt idx="38">
                  <c:v>47.5454242198239</c:v>
                </c:pt>
                <c:pt idx="39">
                  <c:v>49.281607546226013</c:v>
                </c:pt>
                <c:pt idx="40">
                  <c:v>51.054372336702656</c:v>
                </c:pt>
                <c:pt idx="41">
                  <c:v>52.86371859125385</c:v>
                </c:pt>
                <c:pt idx="42">
                  <c:v>54.709646309879602</c:v>
                </c:pt>
                <c:pt idx="43">
                  <c:v>56.592155492579913</c:v>
                </c:pt>
                <c:pt idx="44">
                  <c:v>58.511246139354782</c:v>
                </c:pt>
                <c:pt idx="45">
                  <c:v>60.466918250204181</c:v>
                </c:pt>
                <c:pt idx="46">
                  <c:v>62.459171825128138</c:v>
                </c:pt>
                <c:pt idx="47">
                  <c:v>64.488006864126675</c:v>
                </c:pt>
                <c:pt idx="48">
                  <c:v>66.553423367199727</c:v>
                </c:pt>
                <c:pt idx="49">
                  <c:v>68.655421334347352</c:v>
                </c:pt>
                <c:pt idx="50">
                  <c:v>70.794000765569507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3173-45E0-B583-DC18B249C1BC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'2.123 Нелин. поверхность'!$G$25:$BE$25</c:f>
              <c:numCache>
                <c:formatCode>General</c:formatCode>
                <c:ptCount val="51"/>
                <c:pt idx="0">
                  <c:v>9.3567761533381422</c:v>
                </c:pt>
                <c:pt idx="1">
                  <c:v>9.7202275108051239</c:v>
                </c:pt>
                <c:pt idx="2">
                  <c:v>10.12026033234666</c:v>
                </c:pt>
                <c:pt idx="3">
                  <c:v>10.556874617962748</c:v>
                </c:pt>
                <c:pt idx="4">
                  <c:v>11.030070367653387</c:v>
                </c:pt>
                <c:pt idx="5">
                  <c:v>11.539847581418579</c:v>
                </c:pt>
                <c:pt idx="6">
                  <c:v>12.086206259258322</c:v>
                </c:pt>
                <c:pt idx="7">
                  <c:v>12.669146401172618</c:v>
                </c:pt>
                <c:pt idx="8">
                  <c:v>13.288668007161467</c:v>
                </c:pt>
                <c:pt idx="9">
                  <c:v>13.944771077224869</c:v>
                </c:pt>
                <c:pt idx="10">
                  <c:v>14.637455611362819</c:v>
                </c:pt>
                <c:pt idx="11">
                  <c:v>15.366721609575325</c:v>
                </c:pt>
                <c:pt idx="12">
                  <c:v>16.132569071862378</c:v>
                </c:pt>
                <c:pt idx="13">
                  <c:v>16.934997998223992</c:v>
                </c:pt>
                <c:pt idx="14">
                  <c:v>17.77400838866015</c:v>
                </c:pt>
                <c:pt idx="15">
                  <c:v>18.649600243170859</c:v>
                </c:pt>
                <c:pt idx="16">
                  <c:v>19.561773561756127</c:v>
                </c:pt>
                <c:pt idx="17">
                  <c:v>20.510528344415942</c:v>
                </c:pt>
                <c:pt idx="18">
                  <c:v>21.495864591150312</c:v>
                </c:pt>
                <c:pt idx="19">
                  <c:v>22.51778230195923</c:v>
                </c:pt>
                <c:pt idx="20">
                  <c:v>23.576281476842706</c:v>
                </c:pt>
                <c:pt idx="21">
                  <c:v>24.671362115800733</c:v>
                </c:pt>
                <c:pt idx="22">
                  <c:v>25.803024218833311</c:v>
                </c:pt>
                <c:pt idx="23">
                  <c:v>26.971267785940434</c:v>
                </c:pt>
                <c:pt idx="24">
                  <c:v>28.176092817122115</c:v>
                </c:pt>
                <c:pt idx="25">
                  <c:v>29.417499312378347</c:v>
                </c:pt>
                <c:pt idx="26">
                  <c:v>30.695487271709137</c:v>
                </c:pt>
                <c:pt idx="27">
                  <c:v>32.010056695114471</c:v>
                </c:pt>
                <c:pt idx="28">
                  <c:v>33.361207582594361</c:v>
                </c:pt>
                <c:pt idx="29">
                  <c:v>34.748939934148801</c:v>
                </c:pt>
                <c:pt idx="30">
                  <c:v>36.1732537497778</c:v>
                </c:pt>
                <c:pt idx="31">
                  <c:v>37.634149029481343</c:v>
                </c:pt>
                <c:pt idx="32">
                  <c:v>39.131625773259444</c:v>
                </c:pt>
                <c:pt idx="33">
                  <c:v>40.665683981112082</c:v>
                </c:pt>
                <c:pt idx="34">
                  <c:v>42.236323653039292</c:v>
                </c:pt>
                <c:pt idx="35">
                  <c:v>43.84354478904104</c:v>
                </c:pt>
                <c:pt idx="36">
                  <c:v>45.487347389117353</c:v>
                </c:pt>
                <c:pt idx="37">
                  <c:v>47.16773145326821</c:v>
                </c:pt>
                <c:pt idx="38">
                  <c:v>48.884696981493619</c:v>
                </c:pt>
                <c:pt idx="39">
                  <c:v>50.638243973793578</c:v>
                </c:pt>
                <c:pt idx="40">
                  <c:v>52.428372430168096</c:v>
                </c:pt>
                <c:pt idx="41">
                  <c:v>54.255082350617151</c:v>
                </c:pt>
                <c:pt idx="42">
                  <c:v>56.118373735140779</c:v>
                </c:pt>
                <c:pt idx="43">
                  <c:v>58.018246583738943</c:v>
                </c:pt>
                <c:pt idx="44">
                  <c:v>59.95470089641168</c:v>
                </c:pt>
                <c:pt idx="45">
                  <c:v>61.92773667315894</c:v>
                </c:pt>
                <c:pt idx="46">
                  <c:v>63.937353913980765</c:v>
                </c:pt>
                <c:pt idx="47">
                  <c:v>65.983552618877155</c:v>
                </c:pt>
                <c:pt idx="48">
                  <c:v>68.066332787848069</c:v>
                </c:pt>
                <c:pt idx="49">
                  <c:v>70.185694420893569</c:v>
                </c:pt>
                <c:pt idx="50">
                  <c:v>72.341637518013599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3173-45E0-B583-DC18B249C1BC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'2.123 Нелин. поверхность'!$G$26:$BE$26</c:f>
              <c:numCache>
                <c:formatCode>General</c:formatCode>
                <c:ptCount val="51"/>
                <c:pt idx="0">
                  <c:v>10.072801688978217</c:v>
                </c:pt>
                <c:pt idx="1">
                  <c:v>10.453616712343063</c:v>
                </c:pt>
                <c:pt idx="2">
                  <c:v>10.871013199782466</c:v>
                </c:pt>
                <c:pt idx="3">
                  <c:v>11.324991151296418</c:v>
                </c:pt>
                <c:pt idx="4">
                  <c:v>11.815550566884921</c:v>
                </c:pt>
                <c:pt idx="5">
                  <c:v>12.342691446547979</c:v>
                </c:pt>
                <c:pt idx="6">
                  <c:v>12.906413790285587</c:v>
                </c:pt>
                <c:pt idx="7">
                  <c:v>13.506717598097747</c:v>
                </c:pt>
                <c:pt idx="8">
                  <c:v>14.143602869984463</c:v>
                </c:pt>
                <c:pt idx="9">
                  <c:v>14.817069605945727</c:v>
                </c:pt>
                <c:pt idx="10">
                  <c:v>15.527117805981543</c:v>
                </c:pt>
                <c:pt idx="11">
                  <c:v>16.273747470091912</c:v>
                </c:pt>
                <c:pt idx="12">
                  <c:v>17.056958598276832</c:v>
                </c:pt>
                <c:pt idx="13">
                  <c:v>17.876751190536307</c:v>
                </c:pt>
                <c:pt idx="14">
                  <c:v>18.73312524687033</c:v>
                </c:pt>
                <c:pt idx="15">
                  <c:v>19.626080767278907</c:v>
                </c:pt>
                <c:pt idx="16">
                  <c:v>20.555617751762039</c:v>
                </c:pt>
                <c:pt idx="17">
                  <c:v>21.521736200319719</c:v>
                </c:pt>
                <c:pt idx="18">
                  <c:v>22.524436112951953</c:v>
                </c:pt>
                <c:pt idx="19">
                  <c:v>23.563717489658739</c:v>
                </c:pt>
                <c:pt idx="20">
                  <c:v>24.639580330440076</c:v>
                </c:pt>
                <c:pt idx="21">
                  <c:v>25.752024635295967</c:v>
                </c:pt>
                <c:pt idx="22">
                  <c:v>26.90105040422641</c:v>
                </c:pt>
                <c:pt idx="23">
                  <c:v>28.086657637231397</c:v>
                </c:pt>
                <c:pt idx="24">
                  <c:v>29.30884633431095</c:v>
                </c:pt>
                <c:pt idx="25">
                  <c:v>30.567616495465046</c:v>
                </c:pt>
                <c:pt idx="26">
                  <c:v>31.862968120693701</c:v>
                </c:pt>
                <c:pt idx="27">
                  <c:v>33.1949012099969</c:v>
                </c:pt>
                <c:pt idx="28">
                  <c:v>34.56341576337465</c:v>
                </c:pt>
                <c:pt idx="29">
                  <c:v>35.968511780826958</c:v>
                </c:pt>
                <c:pt idx="30">
                  <c:v>37.410189262353818</c:v>
                </c:pt>
                <c:pt idx="31">
                  <c:v>38.888448207955228</c:v>
                </c:pt>
                <c:pt idx="32">
                  <c:v>40.403288617631191</c:v>
                </c:pt>
                <c:pt idx="33">
                  <c:v>41.954710491381697</c:v>
                </c:pt>
                <c:pt idx="34">
                  <c:v>43.542713829206768</c:v>
                </c:pt>
                <c:pt idx="35">
                  <c:v>45.167298631106384</c:v>
                </c:pt>
                <c:pt idx="36">
                  <c:v>46.828464897080558</c:v>
                </c:pt>
                <c:pt idx="37">
                  <c:v>48.526212627129283</c:v>
                </c:pt>
                <c:pt idx="38">
                  <c:v>50.260541821252552</c:v>
                </c:pt>
                <c:pt idx="39">
                  <c:v>52.031452479450373</c:v>
                </c:pt>
                <c:pt idx="40">
                  <c:v>53.838944601722766</c:v>
                </c:pt>
                <c:pt idx="41">
                  <c:v>55.683018188069688</c:v>
                </c:pt>
                <c:pt idx="42">
                  <c:v>57.563673238491177</c:v>
                </c:pt>
                <c:pt idx="43">
                  <c:v>59.480909752987216</c:v>
                </c:pt>
                <c:pt idx="44">
                  <c:v>61.4347277315578</c:v>
                </c:pt>
                <c:pt idx="45">
                  <c:v>63.425127174202942</c:v>
                </c:pt>
                <c:pt idx="46">
                  <c:v>65.452108080922628</c:v>
                </c:pt>
                <c:pt idx="47">
                  <c:v>67.515670451716872</c:v>
                </c:pt>
                <c:pt idx="48">
                  <c:v>69.61581428658566</c:v>
                </c:pt>
                <c:pt idx="49">
                  <c:v>71.752539585529021</c:v>
                </c:pt>
                <c:pt idx="50">
                  <c:v>73.925846348546912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3173-45E0-B583-DC18B249C1BC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/>
            <a:effectLst/>
            <a:sp3d/>
          </c:spPr>
          <c:val>
            <c:numRef>
              <c:f>'2.123 Нелин. поверхность'!$G$27:$BE$27</c:f>
              <c:numCache>
                <c:formatCode>General</c:formatCode>
                <c:ptCount val="51"/>
                <c:pt idx="0">
                  <c:v>10.82539930270752</c:v>
                </c:pt>
                <c:pt idx="1">
                  <c:v>11.223577991970233</c:v>
                </c:pt>
                <c:pt idx="2">
                  <c:v>11.658338145307498</c:v>
                </c:pt>
                <c:pt idx="3">
                  <c:v>12.129679762719316</c:v>
                </c:pt>
                <c:pt idx="4">
                  <c:v>12.637602844205684</c:v>
                </c:pt>
                <c:pt idx="5">
                  <c:v>13.182107389766605</c:v>
                </c:pt>
                <c:pt idx="6">
                  <c:v>13.763193399402079</c:v>
                </c:pt>
                <c:pt idx="7">
                  <c:v>14.380860873112105</c:v>
                </c:pt>
                <c:pt idx="8">
                  <c:v>15.035109810896682</c:v>
                </c:pt>
                <c:pt idx="9">
                  <c:v>15.725940212755813</c:v>
                </c:pt>
                <c:pt idx="10">
                  <c:v>16.453352078689495</c:v>
                </c:pt>
                <c:pt idx="11">
                  <c:v>17.217345408697728</c:v>
                </c:pt>
                <c:pt idx="12">
                  <c:v>18.017920202780513</c:v>
                </c:pt>
                <c:pt idx="13">
                  <c:v>18.855076460937852</c:v>
                </c:pt>
                <c:pt idx="14">
                  <c:v>19.728814183169742</c:v>
                </c:pt>
                <c:pt idx="15">
                  <c:v>20.639133369476184</c:v>
                </c:pt>
                <c:pt idx="16">
                  <c:v>21.586034019857181</c:v>
                </c:pt>
                <c:pt idx="17">
                  <c:v>22.569516134312725</c:v>
                </c:pt>
                <c:pt idx="18">
                  <c:v>23.589579712842824</c:v>
                </c:pt>
                <c:pt idx="19">
                  <c:v>24.64622475544747</c:v>
                </c:pt>
                <c:pt idx="20">
                  <c:v>25.739451262126678</c:v>
                </c:pt>
                <c:pt idx="21">
                  <c:v>26.869259232880431</c:v>
                </c:pt>
                <c:pt idx="22">
                  <c:v>28.035648667708738</c:v>
                </c:pt>
                <c:pt idx="23">
                  <c:v>29.238619566611593</c:v>
                </c:pt>
                <c:pt idx="24">
                  <c:v>30.478171929589003</c:v>
                </c:pt>
                <c:pt idx="25">
                  <c:v>31.754305756640967</c:v>
                </c:pt>
                <c:pt idx="26">
                  <c:v>33.067021047767483</c:v>
                </c:pt>
                <c:pt idx="27">
                  <c:v>34.41631780296855</c:v>
                </c:pt>
                <c:pt idx="28">
                  <c:v>35.802196022244168</c:v>
                </c:pt>
                <c:pt idx="29">
                  <c:v>37.224655705594344</c:v>
                </c:pt>
                <c:pt idx="30">
                  <c:v>38.683696853019057</c:v>
                </c:pt>
                <c:pt idx="31">
                  <c:v>40.179319464518343</c:v>
                </c:pt>
                <c:pt idx="32">
                  <c:v>41.711523540092173</c:v>
                </c:pt>
                <c:pt idx="33">
                  <c:v>43.28030907974054</c:v>
                </c:pt>
                <c:pt idx="34">
                  <c:v>44.885676083463473</c:v>
                </c:pt>
                <c:pt idx="35">
                  <c:v>46.527624551260956</c:v>
                </c:pt>
                <c:pt idx="36">
                  <c:v>48.206154483132998</c:v>
                </c:pt>
                <c:pt idx="37">
                  <c:v>49.921265879079584</c:v>
                </c:pt>
                <c:pt idx="38">
                  <c:v>51.672958739100721</c:v>
                </c:pt>
                <c:pt idx="39">
                  <c:v>53.46123306319641</c:v>
                </c:pt>
                <c:pt idx="40">
                  <c:v>55.286088851366657</c:v>
                </c:pt>
                <c:pt idx="41">
                  <c:v>57.147526103611447</c:v>
                </c:pt>
                <c:pt idx="42">
                  <c:v>59.045544819930804</c:v>
                </c:pt>
                <c:pt idx="43">
                  <c:v>60.98014500032469</c:v>
                </c:pt>
                <c:pt idx="44">
                  <c:v>62.951326644793156</c:v>
                </c:pt>
                <c:pt idx="45">
                  <c:v>64.959089753336158</c:v>
                </c:pt>
                <c:pt idx="46">
                  <c:v>67.003434325953705</c:v>
                </c:pt>
                <c:pt idx="47">
                  <c:v>69.084360362645825</c:v>
                </c:pt>
                <c:pt idx="48">
                  <c:v>71.201867863412474</c:v>
                </c:pt>
                <c:pt idx="49">
                  <c:v>73.35595682825371</c:v>
                </c:pt>
                <c:pt idx="50">
                  <c:v>75.546627257169462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3173-45E0-B583-DC18B249C1BC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/>
            <a:effectLst/>
            <a:sp3d/>
          </c:spPr>
          <c:val>
            <c:numRef>
              <c:f>'2.123 Нелин. поверхность'!$G$28:$BE$28</c:f>
              <c:numCache>
                <c:formatCode>General</c:formatCode>
                <c:ptCount val="51"/>
                <c:pt idx="0">
                  <c:v>11.614568994526053</c:v>
                </c:pt>
                <c:pt idx="1">
                  <c:v>12.030111349686631</c:v>
                </c:pt>
                <c:pt idx="2">
                  <c:v>12.482235168921761</c:v>
                </c:pt>
                <c:pt idx="3">
                  <c:v>12.970940452231442</c:v>
                </c:pt>
                <c:pt idx="4">
                  <c:v>13.496227199615678</c:v>
                </c:pt>
                <c:pt idx="5">
                  <c:v>14.058095411074465</c:v>
                </c:pt>
                <c:pt idx="6">
                  <c:v>14.656545086607801</c:v>
                </c:pt>
                <c:pt idx="7">
                  <c:v>15.291576226215692</c:v>
                </c:pt>
                <c:pt idx="8">
                  <c:v>15.963188829898137</c:v>
                </c:pt>
                <c:pt idx="9">
                  <c:v>16.671382897655132</c:v>
                </c:pt>
                <c:pt idx="10">
                  <c:v>17.416158429486678</c:v>
                </c:pt>
                <c:pt idx="11">
                  <c:v>18.197515425392776</c:v>
                </c:pt>
                <c:pt idx="12">
                  <c:v>19.015453885373425</c:v>
                </c:pt>
                <c:pt idx="13">
                  <c:v>19.869973809428629</c:v>
                </c:pt>
                <c:pt idx="14">
                  <c:v>20.761075197558384</c:v>
                </c:pt>
                <c:pt idx="15">
                  <c:v>21.68875804976269</c:v>
                </c:pt>
                <c:pt idx="16">
                  <c:v>22.653022366041554</c:v>
                </c:pt>
                <c:pt idx="17">
                  <c:v>23.653868146394959</c:v>
                </c:pt>
                <c:pt idx="18">
                  <c:v>24.691295390822926</c:v>
                </c:pt>
                <c:pt idx="19">
                  <c:v>25.765304099325441</c:v>
                </c:pt>
                <c:pt idx="20">
                  <c:v>26.875894271902506</c:v>
                </c:pt>
                <c:pt idx="21">
                  <c:v>28.023065908554123</c:v>
                </c:pt>
                <c:pt idx="22">
                  <c:v>29.206819009280299</c:v>
                </c:pt>
                <c:pt idx="23">
                  <c:v>30.427153574081018</c:v>
                </c:pt>
                <c:pt idx="24">
                  <c:v>31.684069602956299</c:v>
                </c:pt>
                <c:pt idx="25">
                  <c:v>32.977567095906124</c:v>
                </c:pt>
                <c:pt idx="26">
                  <c:v>34.307646052930508</c:v>
                </c:pt>
                <c:pt idx="27">
                  <c:v>35.674306474029436</c:v>
                </c:pt>
                <c:pt idx="28">
                  <c:v>37.077548359202922</c:v>
                </c:pt>
                <c:pt idx="29">
                  <c:v>38.517371708450959</c:v>
                </c:pt>
                <c:pt idx="30">
                  <c:v>39.99377652177354</c:v>
                </c:pt>
                <c:pt idx="31">
                  <c:v>41.506762799170687</c:v>
                </c:pt>
                <c:pt idx="32">
                  <c:v>43.056330540642378</c:v>
                </c:pt>
                <c:pt idx="33">
                  <c:v>44.642479746188613</c:v>
                </c:pt>
                <c:pt idx="34">
                  <c:v>46.265210415809413</c:v>
                </c:pt>
                <c:pt idx="35">
                  <c:v>47.924522549504765</c:v>
                </c:pt>
                <c:pt idx="36">
                  <c:v>49.620416147274661</c:v>
                </c:pt>
                <c:pt idx="37">
                  <c:v>51.352891209119122</c:v>
                </c:pt>
                <c:pt idx="38">
                  <c:v>53.12194773503812</c:v>
                </c:pt>
                <c:pt idx="39">
                  <c:v>54.927585725031676</c:v>
                </c:pt>
                <c:pt idx="40">
                  <c:v>56.769805179099784</c:v>
                </c:pt>
                <c:pt idx="41">
                  <c:v>58.648606097242443</c:v>
                </c:pt>
                <c:pt idx="42">
                  <c:v>60.563988479459653</c:v>
                </c:pt>
                <c:pt idx="43">
                  <c:v>62.515952325751414</c:v>
                </c:pt>
                <c:pt idx="44">
                  <c:v>64.504497636117748</c:v>
                </c:pt>
                <c:pt idx="45">
                  <c:v>66.529624410558611</c:v>
                </c:pt>
                <c:pt idx="46">
                  <c:v>68.591332649074019</c:v>
                </c:pt>
                <c:pt idx="47">
                  <c:v>70.689622351664013</c:v>
                </c:pt>
                <c:pt idx="48">
                  <c:v>72.824493518328524</c:v>
                </c:pt>
                <c:pt idx="49">
                  <c:v>74.995946149067606</c:v>
                </c:pt>
                <c:pt idx="50">
                  <c:v>77.203980243881233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3173-45E0-B583-DC18B249C1BC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/>
            <a:effectLst/>
            <a:sp3d/>
          </c:spPr>
          <c:val>
            <c:numRef>
              <c:f>'2.123 Нелин. поверхность'!$G$29:$BE$29</c:f>
              <c:numCache>
                <c:formatCode>General</c:formatCode>
                <c:ptCount val="51"/>
                <c:pt idx="0">
                  <c:v>12.440310764433816</c:v>
                </c:pt>
                <c:pt idx="1">
                  <c:v>12.873216785492259</c:v>
                </c:pt>
                <c:pt idx="2">
                  <c:v>13.342704270625255</c:v>
                </c:pt>
                <c:pt idx="3">
                  <c:v>13.848773219832802</c:v>
                </c:pt>
                <c:pt idx="4">
                  <c:v>14.391423633114901</c:v>
                </c:pt>
                <c:pt idx="5">
                  <c:v>14.970655510471552</c:v>
                </c:pt>
                <c:pt idx="6">
                  <c:v>15.586468851902755</c:v>
                </c:pt>
                <c:pt idx="7">
                  <c:v>16.238863657408512</c:v>
                </c:pt>
                <c:pt idx="8">
                  <c:v>16.927839926988817</c:v>
                </c:pt>
                <c:pt idx="9">
                  <c:v>17.65339766064368</c:v>
                </c:pt>
                <c:pt idx="10">
                  <c:v>18.415536858373088</c:v>
                </c:pt>
                <c:pt idx="11">
                  <c:v>19.214257520177053</c:v>
                </c:pt>
                <c:pt idx="12">
                  <c:v>20.049559646055567</c:v>
                </c:pt>
                <c:pt idx="13">
                  <c:v>20.921443236008638</c:v>
                </c:pt>
                <c:pt idx="14">
                  <c:v>21.829908290036254</c:v>
                </c:pt>
                <c:pt idx="15">
                  <c:v>22.774954808138428</c:v>
                </c:pt>
                <c:pt idx="16">
                  <c:v>23.75658279031515</c:v>
                </c:pt>
                <c:pt idx="17">
                  <c:v>24.774792236566427</c:v>
                </c:pt>
                <c:pt idx="18">
                  <c:v>25.829583146892254</c:v>
                </c:pt>
                <c:pt idx="19">
                  <c:v>26.920955521292637</c:v>
                </c:pt>
                <c:pt idx="20">
                  <c:v>28.04890935976757</c:v>
                </c:pt>
                <c:pt idx="21">
                  <c:v>29.213444662317052</c:v>
                </c:pt>
                <c:pt idx="22">
                  <c:v>30.414561428941091</c:v>
                </c:pt>
                <c:pt idx="23">
                  <c:v>31.652259659639675</c:v>
                </c:pt>
                <c:pt idx="24">
                  <c:v>32.926539354412817</c:v>
                </c:pt>
                <c:pt idx="25">
                  <c:v>34.237400513260511</c:v>
                </c:pt>
                <c:pt idx="26">
                  <c:v>35.584843136182755</c:v>
                </c:pt>
                <c:pt idx="27">
                  <c:v>36.968867223179558</c:v>
                </c:pt>
                <c:pt idx="28">
                  <c:v>38.389472774250898</c:v>
                </c:pt>
                <c:pt idx="29">
                  <c:v>39.846659789396796</c:v>
                </c:pt>
                <c:pt idx="30">
                  <c:v>41.340428268617252</c:v>
                </c:pt>
                <c:pt idx="31">
                  <c:v>42.87077821191226</c:v>
                </c:pt>
                <c:pt idx="32">
                  <c:v>44.437709619281819</c:v>
                </c:pt>
                <c:pt idx="33">
                  <c:v>46.041222490725922</c:v>
                </c:pt>
                <c:pt idx="34">
                  <c:v>47.681316826244583</c:v>
                </c:pt>
                <c:pt idx="35">
                  <c:v>49.357992625837795</c:v>
                </c:pt>
                <c:pt idx="36">
                  <c:v>51.071249889505566</c:v>
                </c:pt>
                <c:pt idx="37">
                  <c:v>52.821088617247881</c:v>
                </c:pt>
                <c:pt idx="38">
                  <c:v>54.607508809064747</c:v>
                </c:pt>
                <c:pt idx="39">
                  <c:v>56.430510464956171</c:v>
                </c:pt>
                <c:pt idx="40">
                  <c:v>58.290093584922147</c:v>
                </c:pt>
                <c:pt idx="41">
                  <c:v>60.186258168962659</c:v>
                </c:pt>
                <c:pt idx="42">
                  <c:v>62.119004217077745</c:v>
                </c:pt>
                <c:pt idx="43">
                  <c:v>64.088331729267367</c:v>
                </c:pt>
                <c:pt idx="44">
                  <c:v>66.094240705531561</c:v>
                </c:pt>
                <c:pt idx="45">
                  <c:v>68.136731145870286</c:v>
                </c:pt>
                <c:pt idx="46">
                  <c:v>70.215803050283569</c:v>
                </c:pt>
                <c:pt idx="47">
                  <c:v>72.331456418771424</c:v>
                </c:pt>
                <c:pt idx="48">
                  <c:v>74.483691251333809</c:v>
                </c:pt>
                <c:pt idx="49">
                  <c:v>76.672507547970753</c:v>
                </c:pt>
                <c:pt idx="50">
                  <c:v>78.89790530868224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3173-45E0-B583-DC18B249C1BC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/>
            <a:effectLst/>
            <a:sp3d/>
          </c:spPr>
          <c:val>
            <c:numRef>
              <c:f>'2.123 Нелин. поверхность'!$G$30:$BE$30</c:f>
              <c:numCache>
                <c:formatCode>General</c:formatCode>
                <c:ptCount val="51"/>
                <c:pt idx="0">
                  <c:v>13.302624612430812</c:v>
                </c:pt>
                <c:pt idx="1">
                  <c:v>13.752894299387117</c:v>
                </c:pt>
                <c:pt idx="2">
                  <c:v>14.239745450417979</c:v>
                </c:pt>
                <c:pt idx="3">
                  <c:v>14.763178065523391</c:v>
                </c:pt>
                <c:pt idx="4">
                  <c:v>15.323192144703354</c:v>
                </c:pt>
                <c:pt idx="5">
                  <c:v>15.919787687957871</c:v>
                </c:pt>
                <c:pt idx="6">
                  <c:v>16.552964695286938</c:v>
                </c:pt>
                <c:pt idx="7">
                  <c:v>17.222723166690557</c:v>
                </c:pt>
                <c:pt idx="8">
                  <c:v>17.92906310216873</c:v>
                </c:pt>
                <c:pt idx="9">
                  <c:v>18.671984501721457</c:v>
                </c:pt>
                <c:pt idx="10">
                  <c:v>19.451487365348733</c:v>
                </c:pt>
                <c:pt idx="11">
                  <c:v>20.267571693050559</c:v>
                </c:pt>
                <c:pt idx="12">
                  <c:v>21.120237484826941</c:v>
                </c:pt>
                <c:pt idx="13">
                  <c:v>22.009484740677877</c:v>
                </c:pt>
                <c:pt idx="14">
                  <c:v>22.935313460603357</c:v>
                </c:pt>
                <c:pt idx="15">
                  <c:v>23.897723644603396</c:v>
                </c:pt>
                <c:pt idx="16">
                  <c:v>24.896715292677982</c:v>
                </c:pt>
                <c:pt idx="17">
                  <c:v>25.932288404827123</c:v>
                </c:pt>
                <c:pt idx="18">
                  <c:v>27.004442981050822</c:v>
                </c:pt>
                <c:pt idx="19">
                  <c:v>28.113179021349062</c:v>
                </c:pt>
                <c:pt idx="20">
                  <c:v>29.25849652572186</c:v>
                </c:pt>
                <c:pt idx="21">
                  <c:v>30.440395494169209</c:v>
                </c:pt>
                <c:pt idx="22">
                  <c:v>31.65887592669111</c:v>
                </c:pt>
                <c:pt idx="23">
                  <c:v>32.913937823287561</c:v>
                </c:pt>
                <c:pt idx="24">
                  <c:v>34.205581183958572</c:v>
                </c:pt>
                <c:pt idx="25">
                  <c:v>35.533806008704126</c:v>
                </c:pt>
                <c:pt idx="26">
                  <c:v>36.898612297524238</c:v>
                </c:pt>
                <c:pt idx="27">
                  <c:v>38.300000050418902</c:v>
                </c:pt>
                <c:pt idx="28">
                  <c:v>39.73796926738811</c:v>
                </c:pt>
                <c:pt idx="29">
                  <c:v>41.212519948431876</c:v>
                </c:pt>
                <c:pt idx="30">
                  <c:v>42.723652093550193</c:v>
                </c:pt>
                <c:pt idx="31">
                  <c:v>44.271365702743061</c:v>
                </c:pt>
                <c:pt idx="32">
                  <c:v>45.855660776010495</c:v>
                </c:pt>
                <c:pt idx="33">
                  <c:v>47.476537313352459</c:v>
                </c:pt>
                <c:pt idx="34">
                  <c:v>49.133995314768981</c:v>
                </c:pt>
                <c:pt idx="35">
                  <c:v>50.828034780260069</c:v>
                </c:pt>
                <c:pt idx="36">
                  <c:v>52.558655709825693</c:v>
                </c:pt>
                <c:pt idx="37">
                  <c:v>54.325858103465876</c:v>
                </c:pt>
                <c:pt idx="38">
                  <c:v>56.129641961180603</c:v>
                </c:pt>
                <c:pt idx="39">
                  <c:v>57.970007282969895</c:v>
                </c:pt>
                <c:pt idx="40">
                  <c:v>59.846954068833732</c:v>
                </c:pt>
                <c:pt idx="41">
                  <c:v>61.760482318772112</c:v>
                </c:pt>
                <c:pt idx="42">
                  <c:v>63.710592032785058</c:v>
                </c:pt>
                <c:pt idx="43">
                  <c:v>65.697283210872556</c:v>
                </c:pt>
                <c:pt idx="44">
                  <c:v>67.720555853034611</c:v>
                </c:pt>
                <c:pt idx="45">
                  <c:v>69.780409959271196</c:v>
                </c:pt>
                <c:pt idx="46">
                  <c:v>71.87684552958234</c:v>
                </c:pt>
                <c:pt idx="47">
                  <c:v>74.009862563968071</c:v>
                </c:pt>
                <c:pt idx="48">
                  <c:v>76.179461062428302</c:v>
                </c:pt>
                <c:pt idx="49">
                  <c:v>78.385641024963121</c:v>
                </c:pt>
                <c:pt idx="50">
                  <c:v>80.62840245157247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3173-45E0-B583-DC18B249C1BC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/>
            <a:effectLst/>
            <a:sp3d/>
          </c:spPr>
          <c:val>
            <c:numRef>
              <c:f>'2.123 Нелин. поверхность'!$G$31:$BE$31</c:f>
              <c:numCache>
                <c:formatCode>General</c:formatCode>
                <c:ptCount val="51"/>
                <c:pt idx="0">
                  <c:v>14.201510538517031</c:v>
                </c:pt>
                <c:pt idx="1">
                  <c:v>14.669143891371203</c:v>
                </c:pt>
                <c:pt idx="2">
                  <c:v>15.173358708299927</c:v>
                </c:pt>
                <c:pt idx="3">
                  <c:v>15.714154989303204</c:v>
                </c:pt>
                <c:pt idx="4">
                  <c:v>16.291532734381033</c:v>
                </c:pt>
                <c:pt idx="5">
                  <c:v>16.905491943533413</c:v>
                </c:pt>
                <c:pt idx="6">
                  <c:v>17.556032616760348</c:v>
                </c:pt>
                <c:pt idx="7">
                  <c:v>18.24315475406183</c:v>
                </c:pt>
                <c:pt idx="8">
                  <c:v>18.966858355437868</c:v>
                </c:pt>
                <c:pt idx="9">
                  <c:v>19.72714342088846</c:v>
                </c:pt>
                <c:pt idx="10">
                  <c:v>20.5240099504136</c:v>
                </c:pt>
                <c:pt idx="11">
                  <c:v>21.357457944013294</c:v>
                </c:pt>
                <c:pt idx="12">
                  <c:v>22.227487401687537</c:v>
                </c:pt>
                <c:pt idx="13">
                  <c:v>23.134098323436337</c:v>
                </c:pt>
                <c:pt idx="14">
                  <c:v>24.077290709259685</c:v>
                </c:pt>
                <c:pt idx="15">
                  <c:v>25.057064559157585</c:v>
                </c:pt>
                <c:pt idx="16">
                  <c:v>26.073419873130042</c:v>
                </c:pt>
                <c:pt idx="17">
                  <c:v>27.126356651177048</c:v>
                </c:pt>
                <c:pt idx="18">
                  <c:v>28.215874893298604</c:v>
                </c:pt>
                <c:pt idx="19">
                  <c:v>29.341974599494712</c:v>
                </c:pt>
                <c:pt idx="20">
                  <c:v>30.504655769765375</c:v>
                </c:pt>
                <c:pt idx="21">
                  <c:v>31.703918404110588</c:v>
                </c:pt>
                <c:pt idx="22">
                  <c:v>32.939762502530357</c:v>
                </c:pt>
                <c:pt idx="23">
                  <c:v>34.212188065024669</c:v>
                </c:pt>
                <c:pt idx="24">
                  <c:v>35.52119509159354</c:v>
                </c:pt>
                <c:pt idx="25">
                  <c:v>36.866783582236963</c:v>
                </c:pt>
                <c:pt idx="26">
                  <c:v>38.248953536954943</c:v>
                </c:pt>
                <c:pt idx="27">
                  <c:v>39.667704955747467</c:v>
                </c:pt>
                <c:pt idx="28">
                  <c:v>41.123037838614536</c:v>
                </c:pt>
                <c:pt idx="29">
                  <c:v>42.61495218555617</c:v>
                </c:pt>
                <c:pt idx="30">
                  <c:v>44.143447996572355</c:v>
                </c:pt>
                <c:pt idx="31">
                  <c:v>45.708525271663092</c:v>
                </c:pt>
                <c:pt idx="32">
                  <c:v>47.31018401082838</c:v>
                </c:pt>
                <c:pt idx="33">
                  <c:v>48.948424214068211</c:v>
                </c:pt>
                <c:pt idx="34">
                  <c:v>50.623245881382601</c:v>
                </c:pt>
                <c:pt idx="35">
                  <c:v>52.33464901277155</c:v>
                </c:pt>
                <c:pt idx="36">
                  <c:v>54.082633608235042</c:v>
                </c:pt>
                <c:pt idx="37">
                  <c:v>55.867199667773093</c:v>
                </c:pt>
                <c:pt idx="38">
                  <c:v>57.688347191385688</c:v>
                </c:pt>
                <c:pt idx="39">
                  <c:v>59.546076179072834</c:v>
                </c:pt>
                <c:pt idx="40">
                  <c:v>61.440386630834546</c:v>
                </c:pt>
                <c:pt idx="41">
                  <c:v>63.371278546670794</c:v>
                </c:pt>
                <c:pt idx="42">
                  <c:v>65.338751926581608</c:v>
                </c:pt>
                <c:pt idx="43">
                  <c:v>67.342806770566966</c:v>
                </c:pt>
                <c:pt idx="44">
                  <c:v>69.383443078626883</c:v>
                </c:pt>
                <c:pt idx="45">
                  <c:v>71.460660850761343</c:v>
                </c:pt>
                <c:pt idx="46">
                  <c:v>73.574460086970348</c:v>
                </c:pt>
                <c:pt idx="47">
                  <c:v>75.724840787253925</c:v>
                </c:pt>
                <c:pt idx="48">
                  <c:v>77.911802951612032</c:v>
                </c:pt>
                <c:pt idx="49">
                  <c:v>80.135346580044725</c:v>
                </c:pt>
                <c:pt idx="50">
                  <c:v>82.395471672551935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3173-45E0-B583-DC18B249C1BC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/>
            <a:effectLst/>
            <a:sp3d/>
          </c:spPr>
          <c:val>
            <c:numRef>
              <c:f>'2.123 Нелин. поверхность'!$G$32:$BE$32</c:f>
              <c:numCache>
                <c:formatCode>General</c:formatCode>
                <c:ptCount val="51"/>
                <c:pt idx="0">
                  <c:v>15.136968542692484</c:v>
                </c:pt>
                <c:pt idx="1">
                  <c:v>15.621965561444522</c:v>
                </c:pt>
                <c:pt idx="2">
                  <c:v>16.14354404427111</c:v>
                </c:pt>
                <c:pt idx="3">
                  <c:v>16.701703991172252</c:v>
                </c:pt>
                <c:pt idx="4">
                  <c:v>17.296445402147945</c:v>
                </c:pt>
                <c:pt idx="5">
                  <c:v>17.92776827719819</c:v>
                </c:pt>
                <c:pt idx="6">
                  <c:v>18.59567261632299</c:v>
                </c:pt>
                <c:pt idx="7">
                  <c:v>19.30015841952234</c:v>
                </c:pt>
                <c:pt idx="8">
                  <c:v>20.041225686796242</c:v>
                </c:pt>
                <c:pt idx="9">
                  <c:v>20.818874418144695</c:v>
                </c:pt>
                <c:pt idx="10">
                  <c:v>21.633104613567703</c:v>
                </c:pt>
                <c:pt idx="11">
                  <c:v>22.483916273065262</c:v>
                </c:pt>
                <c:pt idx="12">
                  <c:v>23.371309396637372</c:v>
                </c:pt>
                <c:pt idx="13">
                  <c:v>24.295283984284033</c:v>
                </c:pt>
                <c:pt idx="14">
                  <c:v>25.255840036005246</c:v>
                </c:pt>
                <c:pt idx="15">
                  <c:v>26.252977551801013</c:v>
                </c:pt>
                <c:pt idx="16">
                  <c:v>27.286696531671332</c:v>
                </c:pt>
                <c:pt idx="17">
                  <c:v>28.356996975616202</c:v>
                </c:pt>
                <c:pt idx="18">
                  <c:v>29.463878883635626</c:v>
                </c:pt>
                <c:pt idx="19">
                  <c:v>30.607342255729598</c:v>
                </c:pt>
                <c:pt idx="20">
                  <c:v>31.787387091898125</c:v>
                </c:pt>
                <c:pt idx="21">
                  <c:v>33.004013392141204</c:v>
                </c:pt>
                <c:pt idx="22">
                  <c:v>34.25722115645884</c:v>
                </c:pt>
                <c:pt idx="23">
                  <c:v>35.547010384851013</c:v>
                </c:pt>
                <c:pt idx="24">
                  <c:v>36.873381077317752</c:v>
                </c:pt>
                <c:pt idx="25">
                  <c:v>38.236333233859042</c:v>
                </c:pt>
                <c:pt idx="26">
                  <c:v>39.635866854474884</c:v>
                </c:pt>
                <c:pt idx="27">
                  <c:v>41.071981939165269</c:v>
                </c:pt>
                <c:pt idx="28">
                  <c:v>42.544678487930213</c:v>
                </c:pt>
                <c:pt idx="29">
                  <c:v>44.053956500769708</c:v>
                </c:pt>
                <c:pt idx="30">
                  <c:v>45.599815977683754</c:v>
                </c:pt>
                <c:pt idx="31">
                  <c:v>47.182256918672351</c:v>
                </c:pt>
                <c:pt idx="32">
                  <c:v>48.801279323735514</c:v>
                </c:pt>
                <c:pt idx="33">
                  <c:v>50.4568831928732</c:v>
                </c:pt>
                <c:pt idx="34">
                  <c:v>52.149068526085465</c:v>
                </c:pt>
                <c:pt idx="35">
                  <c:v>53.877835323372267</c:v>
                </c:pt>
                <c:pt idx="36">
                  <c:v>55.643183584733634</c:v>
                </c:pt>
                <c:pt idx="37">
                  <c:v>57.445113310169539</c:v>
                </c:pt>
                <c:pt idx="38">
                  <c:v>59.283624499680002</c:v>
                </c:pt>
                <c:pt idx="39">
                  <c:v>61.158717153265016</c:v>
                </c:pt>
                <c:pt idx="40">
                  <c:v>63.070391270924588</c:v>
                </c:pt>
                <c:pt idx="41">
                  <c:v>65.018646852658705</c:v>
                </c:pt>
                <c:pt idx="42">
                  <c:v>67.00348389846738</c:v>
                </c:pt>
                <c:pt idx="43">
                  <c:v>69.024902408350599</c:v>
                </c:pt>
                <c:pt idx="44">
                  <c:v>71.08290238230839</c:v>
                </c:pt>
                <c:pt idx="45">
                  <c:v>73.177483820340711</c:v>
                </c:pt>
                <c:pt idx="46">
                  <c:v>75.308646722447577</c:v>
                </c:pt>
                <c:pt idx="47">
                  <c:v>77.476391088629029</c:v>
                </c:pt>
                <c:pt idx="48">
                  <c:v>79.680716918884997</c:v>
                </c:pt>
                <c:pt idx="49">
                  <c:v>81.921624213215551</c:v>
                </c:pt>
                <c:pt idx="50">
                  <c:v>84.199112971620636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3173-45E0-B583-DC18B249C1BC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/>
            <a:effectLst/>
            <a:sp3d/>
          </c:spPr>
          <c:val>
            <c:numRef>
              <c:f>'2.123 Нелин. поверхность'!$G$33:$BE$33</c:f>
              <c:numCache>
                <c:formatCode>General</c:formatCode>
                <c:ptCount val="51"/>
                <c:pt idx="0">
                  <c:v>16.108998624957167</c:v>
                </c:pt>
                <c:pt idx="1">
                  <c:v>16.611359309607067</c:v>
                </c:pt>
                <c:pt idx="2">
                  <c:v>17.150301458331523</c:v>
                </c:pt>
                <c:pt idx="3">
                  <c:v>17.725825071130529</c:v>
                </c:pt>
                <c:pt idx="4">
                  <c:v>18.337930148004091</c:v>
                </c:pt>
                <c:pt idx="5">
                  <c:v>18.9866166889522</c:v>
                </c:pt>
                <c:pt idx="6">
                  <c:v>19.67188469397486</c:v>
                </c:pt>
                <c:pt idx="7">
                  <c:v>20.393734163072075</c:v>
                </c:pt>
                <c:pt idx="8">
                  <c:v>21.152165096243845</c:v>
                </c:pt>
                <c:pt idx="9">
                  <c:v>21.947177493490162</c:v>
                </c:pt>
                <c:pt idx="10">
                  <c:v>22.778771354811035</c:v>
                </c:pt>
                <c:pt idx="11">
                  <c:v>23.646946680206455</c:v>
                </c:pt>
                <c:pt idx="12">
                  <c:v>24.551703469676433</c:v>
                </c:pt>
                <c:pt idx="13">
                  <c:v>25.493041723220959</c:v>
                </c:pt>
                <c:pt idx="14">
                  <c:v>26.470961440840036</c:v>
                </c:pt>
                <c:pt idx="15">
                  <c:v>27.485462622533667</c:v>
                </c:pt>
                <c:pt idx="16">
                  <c:v>28.536545268301854</c:v>
                </c:pt>
                <c:pt idx="17">
                  <c:v>29.624209378144585</c:v>
                </c:pt>
                <c:pt idx="18">
                  <c:v>30.748454952061877</c:v>
                </c:pt>
                <c:pt idx="19">
                  <c:v>31.909281990053714</c:v>
                </c:pt>
                <c:pt idx="20">
                  <c:v>33.106690492120109</c:v>
                </c:pt>
                <c:pt idx="21">
                  <c:v>34.340680458261048</c:v>
                </c:pt>
                <c:pt idx="22">
                  <c:v>35.611251888476545</c:v>
                </c:pt>
                <c:pt idx="23">
                  <c:v>36.918404782766586</c:v>
                </c:pt>
                <c:pt idx="24">
                  <c:v>38.262139141131193</c:v>
                </c:pt>
                <c:pt idx="25">
                  <c:v>39.642454963570344</c:v>
                </c:pt>
                <c:pt idx="26">
                  <c:v>41.059352250084046</c:v>
                </c:pt>
                <c:pt idx="27">
                  <c:v>42.512831000672307</c:v>
                </c:pt>
                <c:pt idx="28">
                  <c:v>44.002891215335111</c:v>
                </c:pt>
                <c:pt idx="29">
                  <c:v>45.529532894072474</c:v>
                </c:pt>
                <c:pt idx="30">
                  <c:v>47.092756036884381</c:v>
                </c:pt>
                <c:pt idx="31">
                  <c:v>48.692560643770847</c:v>
                </c:pt>
                <c:pt idx="32">
                  <c:v>50.32894671473187</c:v>
                </c:pt>
                <c:pt idx="33">
                  <c:v>52.001914249767431</c:v>
                </c:pt>
                <c:pt idx="34">
                  <c:v>53.71146324887755</c:v>
                </c:pt>
                <c:pt idx="35">
                  <c:v>55.457593712062227</c:v>
                </c:pt>
                <c:pt idx="36">
                  <c:v>57.240305639321448</c:v>
                </c:pt>
                <c:pt idx="37">
                  <c:v>59.059599030655228</c:v>
                </c:pt>
                <c:pt idx="38">
                  <c:v>60.915473886063552</c:v>
                </c:pt>
                <c:pt idx="39">
                  <c:v>62.807930205546434</c:v>
                </c:pt>
                <c:pt idx="40">
                  <c:v>64.736967989103874</c:v>
                </c:pt>
                <c:pt idx="41">
                  <c:v>66.702587236735852</c:v>
                </c:pt>
                <c:pt idx="42">
                  <c:v>68.704787948442387</c:v>
                </c:pt>
                <c:pt idx="43">
                  <c:v>70.743570124223481</c:v>
                </c:pt>
                <c:pt idx="44">
                  <c:v>72.818933764079134</c:v>
                </c:pt>
                <c:pt idx="45">
                  <c:v>74.930878868009316</c:v>
                </c:pt>
                <c:pt idx="46">
                  <c:v>77.079405436014042</c:v>
                </c:pt>
                <c:pt idx="47">
                  <c:v>79.264513468093355</c:v>
                </c:pt>
                <c:pt idx="48">
                  <c:v>81.486202964247212</c:v>
                </c:pt>
                <c:pt idx="49">
                  <c:v>83.744473924475614</c:v>
                </c:pt>
                <c:pt idx="50">
                  <c:v>86.039326348778559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173-45E0-B583-DC18B249C1BC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/>
            <a:effectLst/>
            <a:sp3d/>
          </c:spPr>
          <c:val>
            <c:numRef>
              <c:f>'2.123 Нелин. поверхность'!$G$34:$BE$34</c:f>
              <c:numCache>
                <c:formatCode>General</c:formatCode>
                <c:ptCount val="51"/>
                <c:pt idx="0">
                  <c:v>17.11760078531108</c:v>
                </c:pt>
                <c:pt idx="1">
                  <c:v>17.637325135858848</c:v>
                </c:pt>
                <c:pt idx="2">
                  <c:v>18.193630950481165</c:v>
                </c:pt>
                <c:pt idx="3">
                  <c:v>18.786518229178036</c:v>
                </c:pt>
                <c:pt idx="4">
                  <c:v>19.415986971949458</c:v>
                </c:pt>
                <c:pt idx="5">
                  <c:v>20.082037178795439</c:v>
                </c:pt>
                <c:pt idx="6">
                  <c:v>20.784668849715967</c:v>
                </c:pt>
                <c:pt idx="7">
                  <c:v>21.523881984711043</c:v>
                </c:pt>
                <c:pt idx="8">
                  <c:v>22.299676583780677</c:v>
                </c:pt>
                <c:pt idx="9">
                  <c:v>23.112052646924859</c:v>
                </c:pt>
                <c:pt idx="10">
                  <c:v>23.961010174143595</c:v>
                </c:pt>
                <c:pt idx="11">
                  <c:v>24.846549165436883</c:v>
                </c:pt>
                <c:pt idx="12">
                  <c:v>25.768669620804722</c:v>
                </c:pt>
                <c:pt idx="13">
                  <c:v>26.727371540247116</c:v>
                </c:pt>
                <c:pt idx="14">
                  <c:v>27.722654923764061</c:v>
                </c:pt>
                <c:pt idx="15">
                  <c:v>28.754519771355557</c:v>
                </c:pt>
                <c:pt idx="16">
                  <c:v>29.822966083021605</c:v>
                </c:pt>
                <c:pt idx="17">
                  <c:v>30.927993858762203</c:v>
                </c:pt>
                <c:pt idx="18">
                  <c:v>32.069603098577353</c:v>
                </c:pt>
                <c:pt idx="19">
                  <c:v>33.247793802467065</c:v>
                </c:pt>
                <c:pt idx="20">
                  <c:v>34.462565970431314</c:v>
                </c:pt>
                <c:pt idx="21">
                  <c:v>35.713919602470128</c:v>
                </c:pt>
                <c:pt idx="22">
                  <c:v>37.001854698583486</c:v>
                </c:pt>
                <c:pt idx="23">
                  <c:v>38.326371258771395</c:v>
                </c:pt>
                <c:pt idx="24">
                  <c:v>39.687469283033863</c:v>
                </c:pt>
                <c:pt idx="25">
                  <c:v>41.085148771370882</c:v>
                </c:pt>
                <c:pt idx="26">
                  <c:v>42.519409723782452</c:v>
                </c:pt>
                <c:pt idx="27">
                  <c:v>43.990252140268574</c:v>
                </c:pt>
                <c:pt idx="28">
                  <c:v>45.497676020829239</c:v>
                </c:pt>
                <c:pt idx="29">
                  <c:v>47.041681365464463</c:v>
                </c:pt>
                <c:pt idx="30">
                  <c:v>48.622268174174245</c:v>
                </c:pt>
                <c:pt idx="31">
                  <c:v>50.239436446958578</c:v>
                </c:pt>
                <c:pt idx="32">
                  <c:v>51.893186183817456</c:v>
                </c:pt>
                <c:pt idx="33">
                  <c:v>53.583517384750891</c:v>
                </c:pt>
                <c:pt idx="34">
                  <c:v>55.310430049758871</c:v>
                </c:pt>
                <c:pt idx="35">
                  <c:v>57.073924178841409</c:v>
                </c:pt>
                <c:pt idx="36">
                  <c:v>58.873999771998498</c:v>
                </c:pt>
                <c:pt idx="37">
                  <c:v>60.710656829230146</c:v>
                </c:pt>
                <c:pt idx="38">
                  <c:v>62.583895350536338</c:v>
                </c:pt>
                <c:pt idx="39">
                  <c:v>64.493715335917074</c:v>
                </c:pt>
                <c:pt idx="40">
                  <c:v>66.440116785372382</c:v>
                </c:pt>
                <c:pt idx="41">
                  <c:v>68.42309969890222</c:v>
                </c:pt>
                <c:pt idx="42">
                  <c:v>70.442664076506631</c:v>
                </c:pt>
                <c:pt idx="43">
                  <c:v>72.498809918185572</c:v>
                </c:pt>
                <c:pt idx="44">
                  <c:v>74.591537223939099</c:v>
                </c:pt>
                <c:pt idx="45">
                  <c:v>76.720845993767142</c:v>
                </c:pt>
                <c:pt idx="46">
                  <c:v>78.886736227669743</c:v>
                </c:pt>
                <c:pt idx="47">
                  <c:v>81.089207925646932</c:v>
                </c:pt>
                <c:pt idx="48">
                  <c:v>83.328261087698635</c:v>
                </c:pt>
                <c:pt idx="49">
                  <c:v>85.603895713824912</c:v>
                </c:pt>
                <c:pt idx="50">
                  <c:v>87.916111804025718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3173-45E0-B583-DC18B249C1BC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/>
            <a:effectLst/>
            <a:sp3d/>
          </c:spPr>
          <c:val>
            <c:numRef>
              <c:f>'2.123 Нелин. поверхность'!$G$35:$BE$35</c:f>
              <c:numCache>
                <c:formatCode>General</c:formatCode>
                <c:ptCount val="51"/>
                <c:pt idx="0">
                  <c:v>18.162775023754222</c:v>
                </c:pt>
                <c:pt idx="1">
                  <c:v>18.699863040199851</c:v>
                </c:pt>
                <c:pt idx="2">
                  <c:v>19.273532520720039</c:v>
                </c:pt>
                <c:pt idx="3">
                  <c:v>19.883783465314774</c:v>
                </c:pt>
                <c:pt idx="4">
                  <c:v>20.530615873984065</c:v>
                </c:pt>
                <c:pt idx="5">
                  <c:v>21.214029746727903</c:v>
                </c:pt>
                <c:pt idx="6">
                  <c:v>21.934025083546295</c:v>
                </c:pt>
                <c:pt idx="7">
                  <c:v>22.690601884439239</c:v>
                </c:pt>
                <c:pt idx="8">
                  <c:v>23.483760149406738</c:v>
                </c:pt>
                <c:pt idx="9">
                  <c:v>24.313499878448784</c:v>
                </c:pt>
                <c:pt idx="10">
                  <c:v>25.179821071565385</c:v>
                </c:pt>
                <c:pt idx="11">
                  <c:v>26.082723728756541</c:v>
                </c:pt>
                <c:pt idx="12">
                  <c:v>27.022207850022244</c:v>
                </c:pt>
                <c:pt idx="13">
                  <c:v>27.998273435362503</c:v>
                </c:pt>
                <c:pt idx="14">
                  <c:v>29.010920484777309</c:v>
                </c:pt>
                <c:pt idx="15">
                  <c:v>30.060148998266669</c:v>
                </c:pt>
                <c:pt idx="16">
                  <c:v>31.145958975830585</c:v>
                </c:pt>
                <c:pt idx="17">
                  <c:v>32.268350417469051</c:v>
                </c:pt>
                <c:pt idx="18">
                  <c:v>33.427323323182065</c:v>
                </c:pt>
                <c:pt idx="19">
                  <c:v>34.622877692969631</c:v>
                </c:pt>
                <c:pt idx="20">
                  <c:v>35.855013526831755</c:v>
                </c:pt>
                <c:pt idx="21">
                  <c:v>37.12373082476843</c:v>
                </c:pt>
                <c:pt idx="22">
                  <c:v>38.429029586779656</c:v>
                </c:pt>
                <c:pt idx="23">
                  <c:v>39.770909812865433</c:v>
                </c:pt>
                <c:pt idx="24">
                  <c:v>41.149371503025762</c:v>
                </c:pt>
                <c:pt idx="25">
                  <c:v>42.564414657260642</c:v>
                </c:pt>
                <c:pt idx="26">
                  <c:v>44.01603927557008</c:v>
                </c:pt>
                <c:pt idx="27">
                  <c:v>45.504245357954062</c:v>
                </c:pt>
                <c:pt idx="28">
                  <c:v>47.029032904412603</c:v>
                </c:pt>
                <c:pt idx="29">
                  <c:v>48.590401914945687</c:v>
                </c:pt>
                <c:pt idx="30">
                  <c:v>50.18835238955333</c:v>
                </c:pt>
                <c:pt idx="31">
                  <c:v>51.822884328235524</c:v>
                </c:pt>
                <c:pt idx="32">
                  <c:v>53.493997730992277</c:v>
                </c:pt>
                <c:pt idx="33">
                  <c:v>55.201692597823566</c:v>
                </c:pt>
                <c:pt idx="34">
                  <c:v>56.945968928729414</c:v>
                </c:pt>
                <c:pt idx="35">
                  <c:v>58.72682672370982</c:v>
                </c:pt>
                <c:pt idx="36">
                  <c:v>60.54426598276477</c:v>
                </c:pt>
                <c:pt idx="37">
                  <c:v>62.398286705894293</c:v>
                </c:pt>
                <c:pt idx="38">
                  <c:v>64.288888893098331</c:v>
                </c:pt>
                <c:pt idx="39">
                  <c:v>66.216072544376956</c:v>
                </c:pt>
                <c:pt idx="40">
                  <c:v>68.179837659730111</c:v>
                </c:pt>
                <c:pt idx="41">
                  <c:v>70.180184239157825</c:v>
                </c:pt>
                <c:pt idx="42">
                  <c:v>72.217112282660096</c:v>
                </c:pt>
                <c:pt idx="43">
                  <c:v>74.290621790236912</c:v>
                </c:pt>
                <c:pt idx="44">
                  <c:v>76.4007127618883</c:v>
                </c:pt>
                <c:pt idx="45">
                  <c:v>78.547385197614204</c:v>
                </c:pt>
                <c:pt idx="46">
                  <c:v>80.730639097414681</c:v>
                </c:pt>
                <c:pt idx="47">
                  <c:v>82.95047446128973</c:v>
                </c:pt>
                <c:pt idx="48">
                  <c:v>85.20689128923928</c:v>
                </c:pt>
                <c:pt idx="49">
                  <c:v>87.499889581263432</c:v>
                </c:pt>
                <c:pt idx="50">
                  <c:v>89.829469337362099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3173-45E0-B583-DC18B249C1BC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/>
            <a:effectLst/>
            <a:sp3d/>
          </c:spPr>
          <c:val>
            <c:numRef>
              <c:f>'2.123 Нелин. поверхность'!$G$36:$BE$36</c:f>
              <c:numCache>
                <c:formatCode>General</c:formatCode>
                <c:ptCount val="51"/>
                <c:pt idx="0">
                  <c:v>19.244521340286589</c:v>
                </c:pt>
                <c:pt idx="1">
                  <c:v>19.798973022630083</c:v>
                </c:pt>
                <c:pt idx="2">
                  <c:v>20.390006169048139</c:v>
                </c:pt>
                <c:pt idx="3">
                  <c:v>21.017620779540735</c:v>
                </c:pt>
                <c:pt idx="4">
                  <c:v>21.68181685410789</c:v>
                </c:pt>
                <c:pt idx="5">
                  <c:v>22.382594392749596</c:v>
                </c:pt>
                <c:pt idx="6">
                  <c:v>23.119953395465853</c:v>
                </c:pt>
                <c:pt idx="7">
                  <c:v>23.893893862256657</c:v>
                </c:pt>
                <c:pt idx="8">
                  <c:v>24.704415793122024</c:v>
                </c:pt>
                <c:pt idx="9">
                  <c:v>25.551519188061935</c:v>
                </c:pt>
                <c:pt idx="10">
                  <c:v>26.435204047076404</c:v>
                </c:pt>
                <c:pt idx="11">
                  <c:v>27.35547037016542</c:v>
                </c:pt>
                <c:pt idx="12">
                  <c:v>28.312318157328988</c:v>
                </c:pt>
                <c:pt idx="13">
                  <c:v>29.305747408567115</c:v>
                </c:pt>
                <c:pt idx="14">
                  <c:v>30.335758123879781</c:v>
                </c:pt>
                <c:pt idx="15">
                  <c:v>31.402350303267006</c:v>
                </c:pt>
                <c:pt idx="16">
                  <c:v>32.505523946728786</c:v>
                </c:pt>
                <c:pt idx="17">
                  <c:v>33.645279054265117</c:v>
                </c:pt>
                <c:pt idx="18">
                  <c:v>34.821615625875999</c:v>
                </c:pt>
                <c:pt idx="19">
                  <c:v>36.034533661561433</c:v>
                </c:pt>
                <c:pt idx="20">
                  <c:v>37.284033161321418</c:v>
                </c:pt>
                <c:pt idx="21">
                  <c:v>38.570114125155953</c:v>
                </c:pt>
                <c:pt idx="22">
                  <c:v>39.892776553065048</c:v>
                </c:pt>
                <c:pt idx="23">
                  <c:v>41.252020445048686</c:v>
                </c:pt>
                <c:pt idx="24">
                  <c:v>42.647845801106882</c:v>
                </c:pt>
                <c:pt idx="25">
                  <c:v>44.08025262123963</c:v>
                </c:pt>
                <c:pt idx="26">
                  <c:v>45.549240905446936</c:v>
                </c:pt>
                <c:pt idx="27">
                  <c:v>47.054810653728779</c:v>
                </c:pt>
                <c:pt idx="28">
                  <c:v>48.596961866085181</c:v>
                </c:pt>
                <c:pt idx="29">
                  <c:v>50.17569454251614</c:v>
                </c:pt>
                <c:pt idx="30">
                  <c:v>51.791008683021644</c:v>
                </c:pt>
                <c:pt idx="31">
                  <c:v>53.442904287601706</c:v>
                </c:pt>
                <c:pt idx="32">
                  <c:v>55.13138135625632</c:v>
                </c:pt>
                <c:pt idx="33">
                  <c:v>56.85643988898547</c:v>
                </c:pt>
                <c:pt idx="34">
                  <c:v>58.618079885789186</c:v>
                </c:pt>
                <c:pt idx="35">
                  <c:v>60.416301346667453</c:v>
                </c:pt>
                <c:pt idx="36">
                  <c:v>62.251104271620278</c:v>
                </c:pt>
                <c:pt idx="37">
                  <c:v>64.122488660647647</c:v>
                </c:pt>
                <c:pt idx="38">
                  <c:v>66.030454513749575</c:v>
                </c:pt>
                <c:pt idx="39">
                  <c:v>67.975001830926047</c:v>
                </c:pt>
                <c:pt idx="40">
                  <c:v>69.956130612177077</c:v>
                </c:pt>
                <c:pt idx="41">
                  <c:v>71.973840857502651</c:v>
                </c:pt>
                <c:pt idx="42">
                  <c:v>74.028132566902784</c:v>
                </c:pt>
                <c:pt idx="43">
                  <c:v>76.119005740377474</c:v>
                </c:pt>
                <c:pt idx="44">
                  <c:v>78.246460377926709</c:v>
                </c:pt>
                <c:pt idx="45">
                  <c:v>80.410496479550488</c:v>
                </c:pt>
                <c:pt idx="46">
                  <c:v>82.611114045248826</c:v>
                </c:pt>
                <c:pt idx="47">
                  <c:v>84.848313075021736</c:v>
                </c:pt>
                <c:pt idx="48">
                  <c:v>87.122093568869161</c:v>
                </c:pt>
                <c:pt idx="49">
                  <c:v>89.432455526791173</c:v>
                </c:pt>
                <c:pt idx="50">
                  <c:v>91.779398948787701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3173-45E0-B583-DC18B249C1BC}"/>
            </c:ext>
          </c:extLst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/>
            <a:effectLst/>
            <a:sp3d/>
          </c:spPr>
          <c:val>
            <c:numRef>
              <c:f>'2.123 Нелин. поверхность'!$G$37:$BE$37</c:f>
              <c:numCache>
                <c:formatCode>General</c:formatCode>
                <c:ptCount val="51"/>
                <c:pt idx="0">
                  <c:v>20.362839734908192</c:v>
                </c:pt>
                <c:pt idx="1">
                  <c:v>20.934655083149554</c:v>
                </c:pt>
                <c:pt idx="2">
                  <c:v>21.543051895465471</c:v>
                </c:pt>
                <c:pt idx="3">
                  <c:v>22.188030171855932</c:v>
                </c:pt>
                <c:pt idx="4">
                  <c:v>22.869589912320954</c:v>
                </c:pt>
                <c:pt idx="5">
                  <c:v>23.587731116860521</c:v>
                </c:pt>
                <c:pt idx="6">
                  <c:v>24.342453785474646</c:v>
                </c:pt>
                <c:pt idx="7">
                  <c:v>25.133757918163319</c:v>
                </c:pt>
                <c:pt idx="8">
                  <c:v>25.961643514926546</c:v>
                </c:pt>
                <c:pt idx="9">
                  <c:v>26.826110575764321</c:v>
                </c:pt>
                <c:pt idx="10">
                  <c:v>27.727159100676655</c:v>
                </c:pt>
                <c:pt idx="11">
                  <c:v>28.664789089663536</c:v>
                </c:pt>
                <c:pt idx="12">
                  <c:v>29.639000542724972</c:v>
                </c:pt>
                <c:pt idx="13">
                  <c:v>30.649793459860959</c:v>
                </c:pt>
                <c:pt idx="14">
                  <c:v>31.697167841071497</c:v>
                </c:pt>
                <c:pt idx="15">
                  <c:v>32.781123686356587</c:v>
                </c:pt>
                <c:pt idx="16">
                  <c:v>33.901660995716227</c:v>
                </c:pt>
                <c:pt idx="17">
                  <c:v>35.058779769150419</c:v>
                </c:pt>
                <c:pt idx="18">
                  <c:v>36.252480006659169</c:v>
                </c:pt>
                <c:pt idx="19">
                  <c:v>37.482761708242464</c:v>
                </c:pt>
                <c:pt idx="20">
                  <c:v>38.749624873900324</c:v>
                </c:pt>
                <c:pt idx="21">
                  <c:v>40.053069503632727</c:v>
                </c:pt>
                <c:pt idx="22">
                  <c:v>41.393095597439682</c:v>
                </c:pt>
                <c:pt idx="23">
                  <c:v>42.769703155321181</c:v>
                </c:pt>
                <c:pt idx="24">
                  <c:v>44.182892177277246</c:v>
                </c:pt>
                <c:pt idx="25">
                  <c:v>45.632662663307855</c:v>
                </c:pt>
                <c:pt idx="26">
                  <c:v>47.119014613413022</c:v>
                </c:pt>
                <c:pt idx="27">
                  <c:v>48.641948027592733</c:v>
                </c:pt>
                <c:pt idx="28">
                  <c:v>50.201462905846995</c:v>
                </c:pt>
                <c:pt idx="29">
                  <c:v>51.797559248175823</c:v>
                </c:pt>
                <c:pt idx="30">
                  <c:v>53.430237054579187</c:v>
                </c:pt>
                <c:pt idx="31">
                  <c:v>55.099496325057117</c:v>
                </c:pt>
                <c:pt idx="32">
                  <c:v>56.805337059609599</c:v>
                </c:pt>
                <c:pt idx="33">
                  <c:v>58.54775925823661</c:v>
                </c:pt>
                <c:pt idx="34">
                  <c:v>60.326762920938194</c:v>
                </c:pt>
                <c:pt idx="35">
                  <c:v>62.142348047714336</c:v>
                </c:pt>
                <c:pt idx="36">
                  <c:v>63.994514638565022</c:v>
                </c:pt>
                <c:pt idx="37">
                  <c:v>65.883262693490252</c:v>
                </c:pt>
                <c:pt idx="38">
                  <c:v>67.808592212490041</c:v>
                </c:pt>
                <c:pt idx="39">
                  <c:v>69.770503195564373</c:v>
                </c:pt>
                <c:pt idx="40">
                  <c:v>71.768995642713264</c:v>
                </c:pt>
                <c:pt idx="41">
                  <c:v>73.804069553936714</c:v>
                </c:pt>
                <c:pt idx="42">
                  <c:v>75.875724929234707</c:v>
                </c:pt>
                <c:pt idx="43">
                  <c:v>77.983961768607259</c:v>
                </c:pt>
                <c:pt idx="44">
                  <c:v>80.128780072054369</c:v>
                </c:pt>
                <c:pt idx="45">
                  <c:v>82.310179839576008</c:v>
                </c:pt>
                <c:pt idx="46">
                  <c:v>84.528161071172207</c:v>
                </c:pt>
                <c:pt idx="47">
                  <c:v>86.782723766842977</c:v>
                </c:pt>
                <c:pt idx="48">
                  <c:v>89.073867926588292</c:v>
                </c:pt>
                <c:pt idx="49">
                  <c:v>91.401593550408151</c:v>
                </c:pt>
                <c:pt idx="50">
                  <c:v>93.765900638302554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3173-45E0-B583-DC18B249C1BC}"/>
            </c:ext>
          </c:extLst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/>
            <a:effectLst/>
            <a:sp3d/>
          </c:spPr>
          <c:val>
            <c:numRef>
              <c:f>'2.123 Нелин. поверхность'!$G$38:$BE$38</c:f>
              <c:numCache>
                <c:formatCode>General</c:formatCode>
                <c:ptCount val="51"/>
                <c:pt idx="0">
                  <c:v>21.517730207619024</c:v>
                </c:pt>
                <c:pt idx="1">
                  <c:v>22.106909221758251</c:v>
                </c:pt>
                <c:pt idx="2">
                  <c:v>22.732669699972028</c:v>
                </c:pt>
                <c:pt idx="3">
                  <c:v>23.395011642260361</c:v>
                </c:pt>
                <c:pt idx="4">
                  <c:v>24.093935048623244</c:v>
                </c:pt>
                <c:pt idx="5">
                  <c:v>24.829439919060679</c:v>
                </c:pt>
                <c:pt idx="6">
                  <c:v>25.601526253572665</c:v>
                </c:pt>
                <c:pt idx="7">
                  <c:v>26.410194052159202</c:v>
                </c:pt>
                <c:pt idx="8">
                  <c:v>27.255443314820297</c:v>
                </c:pt>
                <c:pt idx="9">
                  <c:v>28.137274041555941</c:v>
                </c:pt>
                <c:pt idx="10">
                  <c:v>29.055686232366135</c:v>
                </c:pt>
                <c:pt idx="11">
                  <c:v>30.01067988725088</c:v>
                </c:pt>
                <c:pt idx="12">
                  <c:v>31.002255006210181</c:v>
                </c:pt>
                <c:pt idx="13">
                  <c:v>32.030411589244032</c:v>
                </c:pt>
                <c:pt idx="14">
                  <c:v>33.095149636352431</c:v>
                </c:pt>
                <c:pt idx="15">
                  <c:v>34.196469147535389</c:v>
                </c:pt>
                <c:pt idx="16">
                  <c:v>35.334370122792897</c:v>
                </c:pt>
                <c:pt idx="17">
                  <c:v>36.508852562124957</c:v>
                </c:pt>
                <c:pt idx="18">
                  <c:v>37.719916465531568</c:v>
                </c:pt>
                <c:pt idx="19">
                  <c:v>38.967561833012731</c:v>
                </c:pt>
                <c:pt idx="20">
                  <c:v>40.251788664568451</c:v>
                </c:pt>
                <c:pt idx="21">
                  <c:v>41.572596960198716</c:v>
                </c:pt>
                <c:pt idx="22">
                  <c:v>42.929986719903539</c:v>
                </c:pt>
                <c:pt idx="23">
                  <c:v>44.323957943682899</c:v>
                </c:pt>
                <c:pt idx="24">
                  <c:v>45.754510631536832</c:v>
                </c:pt>
                <c:pt idx="25">
                  <c:v>47.221644783465308</c:v>
                </c:pt>
                <c:pt idx="26">
                  <c:v>48.725360399468336</c:v>
                </c:pt>
                <c:pt idx="27">
                  <c:v>50.265657479545922</c:v>
                </c:pt>
                <c:pt idx="28">
                  <c:v>51.842536023698045</c:v>
                </c:pt>
                <c:pt idx="29">
                  <c:v>53.455996031924734</c:v>
                </c:pt>
                <c:pt idx="30">
                  <c:v>55.106037504225966</c:v>
                </c:pt>
                <c:pt idx="31">
                  <c:v>56.792660440601757</c:v>
                </c:pt>
                <c:pt idx="32">
                  <c:v>58.515864841052107</c:v>
                </c:pt>
                <c:pt idx="33">
                  <c:v>60.275650705576993</c:v>
                </c:pt>
                <c:pt idx="34">
                  <c:v>62.07201803417643</c:v>
                </c:pt>
                <c:pt idx="35">
                  <c:v>63.904966826850433</c:v>
                </c:pt>
                <c:pt idx="36">
                  <c:v>65.774497083598988</c:v>
                </c:pt>
                <c:pt idx="37">
                  <c:v>67.680608804422079</c:v>
                </c:pt>
                <c:pt idx="38">
                  <c:v>69.623301989319728</c:v>
                </c:pt>
                <c:pt idx="39">
                  <c:v>71.602576638291936</c:v>
                </c:pt>
                <c:pt idx="40">
                  <c:v>73.618432751338702</c:v>
                </c:pt>
                <c:pt idx="41">
                  <c:v>75.670870328459998</c:v>
                </c:pt>
                <c:pt idx="42">
                  <c:v>77.759889369655866</c:v>
                </c:pt>
                <c:pt idx="43">
                  <c:v>79.885489874926279</c:v>
                </c:pt>
                <c:pt idx="44">
                  <c:v>82.04767184427125</c:v>
                </c:pt>
                <c:pt idx="45">
                  <c:v>84.246435277690765</c:v>
                </c:pt>
                <c:pt idx="46">
                  <c:v>86.481780175184824</c:v>
                </c:pt>
                <c:pt idx="47">
                  <c:v>88.753706536753455</c:v>
                </c:pt>
                <c:pt idx="48">
                  <c:v>91.062214362396631</c:v>
                </c:pt>
                <c:pt idx="49">
                  <c:v>93.407303652114365</c:v>
                </c:pt>
                <c:pt idx="50">
                  <c:v>95.788974405906629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3173-45E0-B583-DC18B249C1BC}"/>
            </c:ext>
          </c:extLst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/>
            <a:effectLst/>
            <a:sp3d/>
          </c:spPr>
          <c:val>
            <c:numRef>
              <c:f>'2.123 Нелин. поверхность'!$G$39:$BE$39</c:f>
              <c:numCache>
                <c:formatCode>General</c:formatCode>
                <c:ptCount val="51"/>
                <c:pt idx="0">
                  <c:v>22.709192758419086</c:v>
                </c:pt>
                <c:pt idx="1">
                  <c:v>23.31573543845618</c:v>
                </c:pt>
                <c:pt idx="2">
                  <c:v>23.958859582567822</c:v>
                </c:pt>
                <c:pt idx="3">
                  <c:v>24.638565190754019</c:v>
                </c:pt>
                <c:pt idx="4">
                  <c:v>25.354852263014767</c:v>
                </c:pt>
                <c:pt idx="5">
                  <c:v>26.107720799350069</c:v>
                </c:pt>
                <c:pt idx="6">
                  <c:v>26.897170799759916</c:v>
                </c:pt>
                <c:pt idx="7">
                  <c:v>27.723202264244321</c:v>
                </c:pt>
                <c:pt idx="8">
                  <c:v>28.585815192803278</c:v>
                </c:pt>
                <c:pt idx="9">
                  <c:v>29.485009585436785</c:v>
                </c:pt>
                <c:pt idx="10">
                  <c:v>30.420785442144844</c:v>
                </c:pt>
                <c:pt idx="11">
                  <c:v>31.393142762927457</c:v>
                </c:pt>
                <c:pt idx="12">
                  <c:v>32.402081547784618</c:v>
                </c:pt>
                <c:pt idx="13">
                  <c:v>33.447601796716341</c:v>
                </c:pt>
                <c:pt idx="14">
                  <c:v>34.529703509722609</c:v>
                </c:pt>
                <c:pt idx="15">
                  <c:v>35.648386686803427</c:v>
                </c:pt>
                <c:pt idx="16">
                  <c:v>36.803651327958804</c:v>
                </c:pt>
                <c:pt idx="17">
                  <c:v>37.995497433188724</c:v>
                </c:pt>
                <c:pt idx="18">
                  <c:v>39.223925002493203</c:v>
                </c:pt>
                <c:pt idx="19">
                  <c:v>40.488934035872227</c:v>
                </c:pt>
                <c:pt idx="20">
                  <c:v>41.790524533325808</c:v>
                </c:pt>
                <c:pt idx="21">
                  <c:v>43.128696494853941</c:v>
                </c:pt>
                <c:pt idx="22">
                  <c:v>44.503449920456632</c:v>
                </c:pt>
                <c:pt idx="23">
                  <c:v>45.91478481013386</c:v>
                </c:pt>
                <c:pt idx="24">
                  <c:v>47.362701163885653</c:v>
                </c:pt>
                <c:pt idx="25">
                  <c:v>48.847198981711998</c:v>
                </c:pt>
                <c:pt idx="26">
                  <c:v>50.368278263612893</c:v>
                </c:pt>
                <c:pt idx="27">
                  <c:v>51.92593900958834</c:v>
                </c:pt>
                <c:pt idx="28">
                  <c:v>53.520181219638324</c:v>
                </c:pt>
                <c:pt idx="29">
                  <c:v>55.151004893762874</c:v>
                </c:pt>
                <c:pt idx="30">
                  <c:v>56.818410031961982</c:v>
                </c:pt>
                <c:pt idx="31">
                  <c:v>58.522396634235633</c:v>
                </c:pt>
                <c:pt idx="32">
                  <c:v>60.262964700583836</c:v>
                </c:pt>
                <c:pt idx="33">
                  <c:v>62.040114231006591</c:v>
                </c:pt>
                <c:pt idx="34">
                  <c:v>63.853845225503903</c:v>
                </c:pt>
                <c:pt idx="35">
                  <c:v>65.704157684075767</c:v>
                </c:pt>
                <c:pt idx="36">
                  <c:v>67.591051606722175</c:v>
                </c:pt>
                <c:pt idx="37">
                  <c:v>69.514526993443141</c:v>
                </c:pt>
                <c:pt idx="38">
                  <c:v>71.474583844238666</c:v>
                </c:pt>
                <c:pt idx="39">
                  <c:v>73.47122215910872</c:v>
                </c:pt>
                <c:pt idx="40">
                  <c:v>75.504441938053347</c:v>
                </c:pt>
                <c:pt idx="41">
                  <c:v>77.574243181072518</c:v>
                </c:pt>
                <c:pt idx="42">
                  <c:v>79.680625888166261</c:v>
                </c:pt>
                <c:pt idx="43">
                  <c:v>81.823590059334521</c:v>
                </c:pt>
                <c:pt idx="44">
                  <c:v>84.003135694577367</c:v>
                </c:pt>
                <c:pt idx="45">
                  <c:v>86.219262793894742</c:v>
                </c:pt>
                <c:pt idx="46">
                  <c:v>88.471971357286662</c:v>
                </c:pt>
                <c:pt idx="47">
                  <c:v>90.761261384753169</c:v>
                </c:pt>
                <c:pt idx="48">
                  <c:v>93.087132876294206</c:v>
                </c:pt>
                <c:pt idx="49">
                  <c:v>95.449585831909815</c:v>
                </c:pt>
                <c:pt idx="50">
                  <c:v>97.848620251599939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3173-45E0-B583-DC18B249C1BC}"/>
            </c:ext>
          </c:extLst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/>
            <a:effectLst/>
            <a:sp3d/>
          </c:spPr>
          <c:val>
            <c:numRef>
              <c:f>'2.123 Нелин. поверхность'!$G$40:$BE$40</c:f>
              <c:numCache>
                <c:formatCode>General</c:formatCode>
                <c:ptCount val="51"/>
                <c:pt idx="0">
                  <c:v>23.937227387308379</c:v>
                </c:pt>
                <c:pt idx="1">
                  <c:v>24.561133733243338</c:v>
                </c:pt>
                <c:pt idx="2">
                  <c:v>25.221621543252844</c:v>
                </c:pt>
                <c:pt idx="3">
                  <c:v>25.918690817336909</c:v>
                </c:pt>
                <c:pt idx="4">
                  <c:v>26.652341555495518</c:v>
                </c:pt>
                <c:pt idx="5">
                  <c:v>27.422573757728681</c:v>
                </c:pt>
                <c:pt idx="6">
                  <c:v>28.2293874240364</c:v>
                </c:pt>
                <c:pt idx="7">
                  <c:v>29.072782554418669</c:v>
                </c:pt>
                <c:pt idx="8">
                  <c:v>29.95275914887549</c:v>
                </c:pt>
                <c:pt idx="9">
                  <c:v>30.869317207406862</c:v>
                </c:pt>
                <c:pt idx="10">
                  <c:v>31.822456730012789</c:v>
                </c:pt>
                <c:pt idx="11">
                  <c:v>32.812177716693263</c:v>
                </c:pt>
                <c:pt idx="12">
                  <c:v>33.838480167448296</c:v>
                </c:pt>
                <c:pt idx="13">
                  <c:v>34.901364082277873</c:v>
                </c:pt>
                <c:pt idx="14">
                  <c:v>36.000829461182008</c:v>
                </c:pt>
                <c:pt idx="15">
                  <c:v>37.136876304160694</c:v>
                </c:pt>
                <c:pt idx="16">
                  <c:v>38.309504611213931</c:v>
                </c:pt>
                <c:pt idx="17">
                  <c:v>39.51871438234172</c:v>
                </c:pt>
                <c:pt idx="18">
                  <c:v>40.76450561754406</c:v>
                </c:pt>
                <c:pt idx="19">
                  <c:v>42.046878316820951</c:v>
                </c:pt>
                <c:pt idx="20">
                  <c:v>43.365832480172401</c:v>
                </c:pt>
                <c:pt idx="21">
                  <c:v>44.721368107598394</c:v>
                </c:pt>
                <c:pt idx="22">
                  <c:v>46.113485199098946</c:v>
                </c:pt>
                <c:pt idx="23">
                  <c:v>47.542183754674042</c:v>
                </c:pt>
                <c:pt idx="24">
                  <c:v>49.007463774323696</c:v>
                </c:pt>
                <c:pt idx="25">
                  <c:v>50.509325258047909</c:v>
                </c:pt>
                <c:pt idx="26">
                  <c:v>52.047768205846666</c:v>
                </c:pt>
                <c:pt idx="27">
                  <c:v>53.622792617719981</c:v>
                </c:pt>
                <c:pt idx="28">
                  <c:v>55.23439849366784</c:v>
                </c:pt>
                <c:pt idx="29">
                  <c:v>56.882585833690257</c:v>
                </c:pt>
                <c:pt idx="30">
                  <c:v>58.567354637787219</c:v>
                </c:pt>
                <c:pt idx="31">
                  <c:v>60.288704905958738</c:v>
                </c:pt>
                <c:pt idx="32">
                  <c:v>62.046636638204816</c:v>
                </c:pt>
                <c:pt idx="33">
                  <c:v>63.841149834525424</c:v>
                </c:pt>
                <c:pt idx="34">
                  <c:v>65.672244494920605</c:v>
                </c:pt>
                <c:pt idx="35">
                  <c:v>67.53992061939033</c:v>
                </c:pt>
                <c:pt idx="36">
                  <c:v>69.444178207934613</c:v>
                </c:pt>
                <c:pt idx="37">
                  <c:v>71.38501726055344</c:v>
                </c:pt>
                <c:pt idx="38">
                  <c:v>73.362437777246811</c:v>
                </c:pt>
                <c:pt idx="39">
                  <c:v>75.376439758014754</c:v>
                </c:pt>
                <c:pt idx="40">
                  <c:v>77.427023202857242</c:v>
                </c:pt>
                <c:pt idx="41">
                  <c:v>79.514188111774274</c:v>
                </c:pt>
                <c:pt idx="42">
                  <c:v>81.637934484765879</c:v>
                </c:pt>
                <c:pt idx="43">
                  <c:v>83.798262321832013</c:v>
                </c:pt>
                <c:pt idx="44">
                  <c:v>85.99517162297272</c:v>
                </c:pt>
                <c:pt idx="45">
                  <c:v>88.228662388187956</c:v>
                </c:pt>
                <c:pt idx="46">
                  <c:v>90.498734617477737</c:v>
                </c:pt>
                <c:pt idx="47">
                  <c:v>92.805388310842105</c:v>
                </c:pt>
                <c:pt idx="48">
                  <c:v>95.148623468281002</c:v>
                </c:pt>
                <c:pt idx="49">
                  <c:v>97.528440089794472</c:v>
                </c:pt>
                <c:pt idx="50">
                  <c:v>99.944838175382472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3173-45E0-B583-DC18B249C1BC}"/>
            </c:ext>
          </c:extLst>
        </c:ser>
        <c:ser>
          <c:idx val="32"/>
          <c:order val="32"/>
          <c:spPr>
            <a:solidFill>
              <a:schemeClr val="accent3">
                <a:lumMod val="50000"/>
              </a:schemeClr>
            </a:solidFill>
            <a:ln/>
            <a:effectLst/>
            <a:sp3d/>
          </c:spPr>
          <c:val>
            <c:numRef>
              <c:f>'2.123 Нелин. поверхность'!$G$41:$BE$41</c:f>
              <c:numCache>
                <c:formatCode>General</c:formatCode>
                <c:ptCount val="51"/>
                <c:pt idx="0">
                  <c:v>25.201834094286895</c:v>
                </c:pt>
                <c:pt idx="1">
                  <c:v>25.843104106119714</c:v>
                </c:pt>
                <c:pt idx="2">
                  <c:v>26.520955582027089</c:v>
                </c:pt>
                <c:pt idx="3">
                  <c:v>27.235388522009014</c:v>
                </c:pt>
                <c:pt idx="4">
                  <c:v>27.986402926065491</c:v>
                </c:pt>
                <c:pt idx="5">
                  <c:v>28.773998794196519</c:v>
                </c:pt>
                <c:pt idx="6">
                  <c:v>29.598176126402102</c:v>
                </c:pt>
                <c:pt idx="7">
                  <c:v>30.458934922682232</c:v>
                </c:pt>
                <c:pt idx="8">
                  <c:v>31.356275183036921</c:v>
                </c:pt>
                <c:pt idx="9">
                  <c:v>32.290196907466161</c:v>
                </c:pt>
                <c:pt idx="10">
                  <c:v>33.260700095969952</c:v>
                </c:pt>
                <c:pt idx="11">
                  <c:v>34.267784748548287</c:v>
                </c:pt>
                <c:pt idx="12">
                  <c:v>35.311450865201181</c:v>
                </c:pt>
                <c:pt idx="13">
                  <c:v>36.391698445928633</c:v>
                </c:pt>
                <c:pt idx="14">
                  <c:v>37.508527490730629</c:v>
                </c:pt>
                <c:pt idx="15">
                  <c:v>38.661937999607176</c:v>
                </c:pt>
                <c:pt idx="16">
                  <c:v>39.851929972558281</c:v>
                </c:pt>
                <c:pt idx="17">
                  <c:v>41.078503409583931</c:v>
                </c:pt>
                <c:pt idx="18">
                  <c:v>42.341658310684139</c:v>
                </c:pt>
                <c:pt idx="19">
                  <c:v>43.641394675858898</c:v>
                </c:pt>
                <c:pt idx="20">
                  <c:v>44.977712505108215</c:v>
                </c:pt>
                <c:pt idx="21">
                  <c:v>46.35061179843207</c:v>
                </c:pt>
                <c:pt idx="22">
                  <c:v>47.760092555830482</c:v>
                </c:pt>
                <c:pt idx="23">
                  <c:v>49.206154777303446</c:v>
                </c:pt>
                <c:pt idx="24">
                  <c:v>50.688798462850961</c:v>
                </c:pt>
                <c:pt idx="25">
                  <c:v>52.208023612473042</c:v>
                </c:pt>
                <c:pt idx="26">
                  <c:v>53.763830226169659</c:v>
                </c:pt>
                <c:pt idx="27">
                  <c:v>55.356218303940842</c:v>
                </c:pt>
                <c:pt idx="28">
                  <c:v>56.985187845786562</c:v>
                </c:pt>
                <c:pt idx="29">
                  <c:v>58.650738851706848</c:v>
                </c:pt>
                <c:pt idx="30">
                  <c:v>60.35287132170167</c:v>
                </c:pt>
                <c:pt idx="31">
                  <c:v>62.091585255771058</c:v>
                </c:pt>
                <c:pt idx="32">
                  <c:v>63.866880653915004</c:v>
                </c:pt>
                <c:pt idx="33">
                  <c:v>65.678757516133473</c:v>
                </c:pt>
                <c:pt idx="34">
                  <c:v>67.527215842426514</c:v>
                </c:pt>
                <c:pt idx="35">
                  <c:v>69.4122556327941</c:v>
                </c:pt>
                <c:pt idx="36">
                  <c:v>71.333876887236244</c:v>
                </c:pt>
                <c:pt idx="37">
                  <c:v>73.29207960575296</c:v>
                </c:pt>
                <c:pt idx="38">
                  <c:v>75.286863788344192</c:v>
                </c:pt>
                <c:pt idx="39">
                  <c:v>77.318229435009982</c:v>
                </c:pt>
                <c:pt idx="40">
                  <c:v>79.386176545750345</c:v>
                </c:pt>
                <c:pt idx="41">
                  <c:v>81.490705120565252</c:v>
                </c:pt>
                <c:pt idx="42">
                  <c:v>83.631815159454703</c:v>
                </c:pt>
                <c:pt idx="43">
                  <c:v>85.809506662418713</c:v>
                </c:pt>
                <c:pt idx="44">
                  <c:v>88.023779629457266</c:v>
                </c:pt>
                <c:pt idx="45">
                  <c:v>90.274634060570392</c:v>
                </c:pt>
                <c:pt idx="46">
                  <c:v>92.562069955758048</c:v>
                </c:pt>
                <c:pt idx="47">
                  <c:v>94.886087315020262</c:v>
                </c:pt>
                <c:pt idx="48">
                  <c:v>97.24668613835702</c:v>
                </c:pt>
                <c:pt idx="49">
                  <c:v>99.643866425768366</c:v>
                </c:pt>
                <c:pt idx="50">
                  <c:v>102.07762817725423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3173-45E0-B583-DC18B249C1BC}"/>
            </c:ext>
          </c:extLst>
        </c:ser>
        <c:ser>
          <c:idx val="33"/>
          <c:order val="33"/>
          <c:spPr>
            <a:solidFill>
              <a:schemeClr val="accent4">
                <a:lumMod val="50000"/>
              </a:schemeClr>
            </a:solidFill>
            <a:ln/>
            <a:effectLst/>
            <a:sp3d/>
          </c:spPr>
          <c:val>
            <c:numRef>
              <c:f>'2.123 Нелин. поверхность'!$G$42:$BE$42</c:f>
              <c:numCache>
                <c:formatCode>General</c:formatCode>
                <c:ptCount val="51"/>
                <c:pt idx="0">
                  <c:v>26.503012879354642</c:v>
                </c:pt>
                <c:pt idx="1">
                  <c:v>27.16164655708533</c:v>
                </c:pt>
                <c:pt idx="2">
                  <c:v>27.856861698890569</c:v>
                </c:pt>
                <c:pt idx="3">
                  <c:v>28.588658304770355</c:v>
                </c:pt>
                <c:pt idx="4">
                  <c:v>29.3570363747247</c:v>
                </c:pt>
                <c:pt idx="5">
                  <c:v>30.161995908753592</c:v>
                </c:pt>
                <c:pt idx="6">
                  <c:v>31.00353690685704</c:v>
                </c:pt>
                <c:pt idx="7">
                  <c:v>31.881659369035042</c:v>
                </c:pt>
                <c:pt idx="8">
                  <c:v>32.796363295287591</c:v>
                </c:pt>
                <c:pt idx="9">
                  <c:v>33.747648685614692</c:v>
                </c:pt>
                <c:pt idx="10">
                  <c:v>34.735515540016344</c:v>
                </c:pt>
                <c:pt idx="11">
                  <c:v>35.759963858492554</c:v>
                </c:pt>
                <c:pt idx="12">
                  <c:v>36.820993641043309</c:v>
                </c:pt>
                <c:pt idx="13">
                  <c:v>37.918604887668621</c:v>
                </c:pt>
                <c:pt idx="14">
                  <c:v>39.052797598368485</c:v>
                </c:pt>
                <c:pt idx="15">
                  <c:v>40.223571773142901</c:v>
                </c:pt>
                <c:pt idx="16">
                  <c:v>41.430927411991867</c:v>
                </c:pt>
                <c:pt idx="17">
                  <c:v>42.674864514915384</c:v>
                </c:pt>
                <c:pt idx="18">
                  <c:v>43.95538308191346</c:v>
                </c:pt>
                <c:pt idx="19">
                  <c:v>45.27248311298608</c:v>
                </c:pt>
                <c:pt idx="20">
                  <c:v>46.626164608133259</c:v>
                </c:pt>
                <c:pt idx="21">
                  <c:v>48.016427567354981</c:v>
                </c:pt>
                <c:pt idx="22">
                  <c:v>49.443271990651262</c:v>
                </c:pt>
                <c:pt idx="23">
                  <c:v>50.906697878022094</c:v>
                </c:pt>
                <c:pt idx="24">
                  <c:v>52.406705229467477</c:v>
                </c:pt>
                <c:pt idx="25">
                  <c:v>53.943294044987411</c:v>
                </c:pt>
                <c:pt idx="26">
                  <c:v>55.516464324581904</c:v>
                </c:pt>
                <c:pt idx="27">
                  <c:v>57.12621606825094</c:v>
                </c:pt>
                <c:pt idx="28">
                  <c:v>58.772549275994528</c:v>
                </c:pt>
                <c:pt idx="29">
                  <c:v>60.455463947812675</c:v>
                </c:pt>
                <c:pt idx="30">
                  <c:v>62.174960083705365</c:v>
                </c:pt>
                <c:pt idx="31">
                  <c:v>63.931037683672621</c:v>
                </c:pt>
                <c:pt idx="32">
                  <c:v>65.723696747714428</c:v>
                </c:pt>
                <c:pt idx="33">
                  <c:v>67.552937275830772</c:v>
                </c:pt>
                <c:pt idx="34">
                  <c:v>69.41875926802166</c:v>
                </c:pt>
                <c:pt idx="35">
                  <c:v>71.321162724287134</c:v>
                </c:pt>
                <c:pt idx="36">
                  <c:v>73.260147644627139</c:v>
                </c:pt>
                <c:pt idx="37">
                  <c:v>75.235714029041702</c:v>
                </c:pt>
                <c:pt idx="38">
                  <c:v>77.247861877530809</c:v>
                </c:pt>
                <c:pt idx="39">
                  <c:v>79.296591190094475</c:v>
                </c:pt>
                <c:pt idx="40">
                  <c:v>81.381901966732684</c:v>
                </c:pt>
                <c:pt idx="41">
                  <c:v>83.503794207445452</c:v>
                </c:pt>
                <c:pt idx="42">
                  <c:v>85.662267912232778</c:v>
                </c:pt>
                <c:pt idx="43">
                  <c:v>87.857323081094648</c:v>
                </c:pt>
                <c:pt idx="44">
                  <c:v>90.088959714031077</c:v>
                </c:pt>
                <c:pt idx="45">
                  <c:v>92.35717781104205</c:v>
                </c:pt>
                <c:pt idx="46">
                  <c:v>94.661977372127581</c:v>
                </c:pt>
                <c:pt idx="47">
                  <c:v>97.003358397287684</c:v>
                </c:pt>
                <c:pt idx="48">
                  <c:v>99.381320886522289</c:v>
                </c:pt>
                <c:pt idx="49">
                  <c:v>101.79586483983149</c:v>
                </c:pt>
                <c:pt idx="50">
                  <c:v>104.24699025721522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3173-45E0-B583-DC18B249C1BC}"/>
            </c:ext>
          </c:extLst>
        </c:ser>
        <c:ser>
          <c:idx val="34"/>
          <c:order val="34"/>
          <c:spPr>
            <a:solidFill>
              <a:schemeClr val="accent5">
                <a:lumMod val="50000"/>
              </a:schemeClr>
            </a:solidFill>
            <a:ln/>
            <a:effectLst/>
            <a:sp3d/>
          </c:spPr>
          <c:val>
            <c:numRef>
              <c:f>'2.123 Нелин. поверхность'!$G$43:$BE$43</c:f>
              <c:numCache>
                <c:formatCode>General</c:formatCode>
                <c:ptCount val="51"/>
                <c:pt idx="0">
                  <c:v>27.840763742511626</c:v>
                </c:pt>
                <c:pt idx="1">
                  <c:v>28.516761086140175</c:v>
                </c:pt>
                <c:pt idx="2">
                  <c:v>29.229339893843278</c:v>
                </c:pt>
                <c:pt idx="3">
                  <c:v>29.978500165620936</c:v>
                </c:pt>
                <c:pt idx="4">
                  <c:v>30.764241901473145</c:v>
                </c:pt>
                <c:pt idx="5">
                  <c:v>31.586565101399902</c:v>
                </c:pt>
                <c:pt idx="6">
                  <c:v>32.445469765401214</c:v>
                </c:pt>
                <c:pt idx="7">
                  <c:v>33.340955893477073</c:v>
                </c:pt>
                <c:pt idx="8">
                  <c:v>34.27302348562749</c:v>
                </c:pt>
                <c:pt idx="9">
                  <c:v>35.241672541852459</c:v>
                </c:pt>
                <c:pt idx="10">
                  <c:v>36.246903062151979</c:v>
                </c:pt>
                <c:pt idx="11">
                  <c:v>37.28871504652605</c:v>
                </c:pt>
                <c:pt idx="12">
                  <c:v>38.367108494974673</c:v>
                </c:pt>
                <c:pt idx="13">
                  <c:v>39.482083407497846</c:v>
                </c:pt>
                <c:pt idx="14">
                  <c:v>40.633639784095571</c:v>
                </c:pt>
                <c:pt idx="15">
                  <c:v>41.821777624767854</c:v>
                </c:pt>
                <c:pt idx="16">
                  <c:v>43.046496929514689</c:v>
                </c:pt>
                <c:pt idx="17">
                  <c:v>44.307797698336067</c:v>
                </c:pt>
                <c:pt idx="18">
                  <c:v>45.605679931232011</c:v>
                </c:pt>
                <c:pt idx="19">
                  <c:v>46.940143628202492</c:v>
                </c:pt>
                <c:pt idx="20">
                  <c:v>48.311188789247538</c:v>
                </c:pt>
                <c:pt idx="21">
                  <c:v>49.718815414367128</c:v>
                </c:pt>
                <c:pt idx="22">
                  <c:v>51.16302350356127</c:v>
                </c:pt>
                <c:pt idx="23">
                  <c:v>52.643813056829963</c:v>
                </c:pt>
                <c:pt idx="24">
                  <c:v>54.161184074173214</c:v>
                </c:pt>
                <c:pt idx="25">
                  <c:v>55.715136555591016</c:v>
                </c:pt>
                <c:pt idx="26">
                  <c:v>57.30567050108337</c:v>
                </c:pt>
                <c:pt idx="27">
                  <c:v>58.932785910650281</c:v>
                </c:pt>
                <c:pt idx="28">
                  <c:v>60.596482784291723</c:v>
                </c:pt>
                <c:pt idx="29">
                  <c:v>62.296761122007737</c:v>
                </c:pt>
                <c:pt idx="30">
                  <c:v>64.033620923798296</c:v>
                </c:pt>
                <c:pt idx="31">
                  <c:v>65.807062189663412</c:v>
                </c:pt>
                <c:pt idx="32">
                  <c:v>67.617084919603087</c:v>
                </c:pt>
                <c:pt idx="33">
                  <c:v>69.463689113617292</c:v>
                </c:pt>
                <c:pt idx="34">
                  <c:v>71.346874771706055</c:v>
                </c:pt>
                <c:pt idx="35">
                  <c:v>73.266641893869377</c:v>
                </c:pt>
                <c:pt idx="36">
                  <c:v>75.222990480107256</c:v>
                </c:pt>
                <c:pt idx="37">
                  <c:v>77.21592053041968</c:v>
                </c:pt>
                <c:pt idx="38">
                  <c:v>79.245432044806648</c:v>
                </c:pt>
                <c:pt idx="39">
                  <c:v>81.311525023268189</c:v>
                </c:pt>
                <c:pt idx="40">
                  <c:v>83.414199465804273</c:v>
                </c:pt>
                <c:pt idx="41">
                  <c:v>85.553455372414902</c:v>
                </c:pt>
                <c:pt idx="42">
                  <c:v>87.729292743100089</c:v>
                </c:pt>
                <c:pt idx="43">
                  <c:v>89.94171157785982</c:v>
                </c:pt>
                <c:pt idx="44">
                  <c:v>92.190711876694124</c:v>
                </c:pt>
                <c:pt idx="45">
                  <c:v>94.476293639602957</c:v>
                </c:pt>
                <c:pt idx="46">
                  <c:v>96.798456866586335</c:v>
                </c:pt>
                <c:pt idx="47">
                  <c:v>99.157201557644299</c:v>
                </c:pt>
                <c:pt idx="48">
                  <c:v>101.55252771277679</c:v>
                </c:pt>
                <c:pt idx="49">
                  <c:v>103.98443533198385</c:v>
                </c:pt>
                <c:pt idx="50">
                  <c:v>106.45292441526544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3173-45E0-B583-DC18B249C1BC}"/>
            </c:ext>
          </c:extLst>
        </c:ser>
        <c:ser>
          <c:idx val="35"/>
          <c:order val="35"/>
          <c:spPr>
            <a:solidFill>
              <a:schemeClr val="accent6">
                <a:lumMod val="50000"/>
              </a:schemeClr>
            </a:solidFill>
            <a:ln/>
            <a:effectLst/>
            <a:sp3d/>
          </c:spPr>
          <c:val>
            <c:numRef>
              <c:f>'2.123 Нелин. поверхность'!$G$44:$BE$44</c:f>
              <c:numCache>
                <c:formatCode>General</c:formatCode>
                <c:ptCount val="51"/>
                <c:pt idx="0">
                  <c:v>29.215086683757839</c:v>
                </c:pt>
                <c:pt idx="1">
                  <c:v>29.908447693284252</c:v>
                </c:pt>
                <c:pt idx="2">
                  <c:v>30.638390166885223</c:v>
                </c:pt>
                <c:pt idx="3">
                  <c:v>31.404914104560742</c:v>
                </c:pt>
                <c:pt idx="4">
                  <c:v>32.208019506310812</c:v>
                </c:pt>
                <c:pt idx="5">
                  <c:v>33.047706372135437</c:v>
                </c:pt>
                <c:pt idx="6">
                  <c:v>33.923974702034613</c:v>
                </c:pt>
                <c:pt idx="7">
                  <c:v>34.83682449600834</c:v>
                </c:pt>
                <c:pt idx="8">
                  <c:v>35.786255754056619</c:v>
                </c:pt>
                <c:pt idx="9">
                  <c:v>36.772268476179455</c:v>
                </c:pt>
                <c:pt idx="10">
                  <c:v>37.794862662376836</c:v>
                </c:pt>
                <c:pt idx="11">
                  <c:v>38.854038312648775</c:v>
                </c:pt>
                <c:pt idx="12">
                  <c:v>39.949795426995266</c:v>
                </c:pt>
                <c:pt idx="13">
                  <c:v>41.082134005416307</c:v>
                </c:pt>
                <c:pt idx="14">
                  <c:v>42.251054047911893</c:v>
                </c:pt>
                <c:pt idx="15">
                  <c:v>43.456555554482037</c:v>
                </c:pt>
                <c:pt idx="16">
                  <c:v>44.698638525126739</c:v>
                </c:pt>
                <c:pt idx="17">
                  <c:v>45.977302959845986</c:v>
                </c:pt>
                <c:pt idx="18">
                  <c:v>47.292548858639783</c:v>
                </c:pt>
                <c:pt idx="19">
                  <c:v>48.644376221508139</c:v>
                </c:pt>
                <c:pt idx="20">
                  <c:v>50.032785048451039</c:v>
                </c:pt>
                <c:pt idx="21">
                  <c:v>51.457775339468498</c:v>
                </c:pt>
                <c:pt idx="22">
                  <c:v>52.919347094560514</c:v>
                </c:pt>
                <c:pt idx="23">
                  <c:v>54.417500313727075</c:v>
                </c:pt>
                <c:pt idx="24">
                  <c:v>55.952234996968187</c:v>
                </c:pt>
                <c:pt idx="25">
                  <c:v>57.52355114428385</c:v>
                </c:pt>
                <c:pt idx="26">
                  <c:v>59.131448755674072</c:v>
                </c:pt>
                <c:pt idx="27">
                  <c:v>60.775927831138844</c:v>
                </c:pt>
                <c:pt idx="28">
                  <c:v>62.456988370678147</c:v>
                </c:pt>
                <c:pt idx="29">
                  <c:v>64.174630374292022</c:v>
                </c:pt>
                <c:pt idx="30">
                  <c:v>65.928853841980455</c:v>
                </c:pt>
                <c:pt idx="31">
                  <c:v>67.719658773743433</c:v>
                </c:pt>
                <c:pt idx="32">
                  <c:v>69.547045169580969</c:v>
                </c:pt>
                <c:pt idx="33">
                  <c:v>71.411013029493034</c:v>
                </c:pt>
                <c:pt idx="34">
                  <c:v>73.311562353479673</c:v>
                </c:pt>
                <c:pt idx="35">
                  <c:v>75.248693141540869</c:v>
                </c:pt>
                <c:pt idx="36">
                  <c:v>77.22240539367661</c:v>
                </c:pt>
                <c:pt idx="37">
                  <c:v>79.232699109886894</c:v>
                </c:pt>
                <c:pt idx="38">
                  <c:v>81.279574290171723</c:v>
                </c:pt>
                <c:pt idx="39">
                  <c:v>83.363030934531125</c:v>
                </c:pt>
                <c:pt idx="40">
                  <c:v>85.48306904296507</c:v>
                </c:pt>
                <c:pt idx="41">
                  <c:v>87.63968861547356</c:v>
                </c:pt>
                <c:pt idx="42">
                  <c:v>89.832889652056622</c:v>
                </c:pt>
                <c:pt idx="43">
                  <c:v>92.062672152714214</c:v>
                </c:pt>
                <c:pt idx="44">
                  <c:v>94.329036117446392</c:v>
                </c:pt>
                <c:pt idx="45">
                  <c:v>96.631981546253087</c:v>
                </c:pt>
                <c:pt idx="46">
                  <c:v>98.97150843913434</c:v>
                </c:pt>
                <c:pt idx="47">
                  <c:v>101.34761679609016</c:v>
                </c:pt>
                <c:pt idx="48">
                  <c:v>103.76030661712052</c:v>
                </c:pt>
                <c:pt idx="49">
                  <c:v>106.20957790222545</c:v>
                </c:pt>
                <c:pt idx="50">
                  <c:v>108.69543065140491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3173-45E0-B583-DC18B249C1BC}"/>
            </c:ext>
          </c:extLst>
        </c:ser>
        <c:ser>
          <c:idx val="36"/>
          <c:order val="36"/>
          <c:spPr>
            <a:solidFill>
              <a:schemeClr val="accent1">
                <a:lumMod val="70000"/>
                <a:lumOff val="30000"/>
              </a:schemeClr>
            </a:solidFill>
            <a:ln/>
            <a:effectLst/>
            <a:sp3d/>
          </c:spPr>
          <c:val>
            <c:numRef>
              <c:f>'2.123 Нелин. поверхность'!$G$45:$BE$45</c:f>
              <c:numCache>
                <c:formatCode>General</c:formatCode>
                <c:ptCount val="51"/>
                <c:pt idx="0">
                  <c:v>30.625981703093277</c:v>
                </c:pt>
                <c:pt idx="1">
                  <c:v>31.336706378517558</c:v>
                </c:pt>
                <c:pt idx="2">
                  <c:v>32.084012518016387</c:v>
                </c:pt>
                <c:pt idx="3">
                  <c:v>32.867900121589777</c:v>
                </c:pt>
                <c:pt idx="4">
                  <c:v>33.688369189237712</c:v>
                </c:pt>
                <c:pt idx="5">
                  <c:v>34.545419720960204</c:v>
                </c:pt>
                <c:pt idx="6">
                  <c:v>35.439051716757241</c:v>
                </c:pt>
                <c:pt idx="7">
                  <c:v>36.369265176628836</c:v>
                </c:pt>
                <c:pt idx="8">
                  <c:v>37.336060100574983</c:v>
                </c:pt>
                <c:pt idx="9">
                  <c:v>38.33943648859568</c:v>
                </c:pt>
                <c:pt idx="10">
                  <c:v>39.379394340690929</c:v>
                </c:pt>
                <c:pt idx="11">
                  <c:v>40.455933656860729</c:v>
                </c:pt>
                <c:pt idx="12">
                  <c:v>41.569054437105088</c:v>
                </c:pt>
                <c:pt idx="13">
                  <c:v>42.718756681423983</c:v>
                </c:pt>
                <c:pt idx="14">
                  <c:v>43.905040389817444</c:v>
                </c:pt>
                <c:pt idx="15">
                  <c:v>45.127905562285456</c:v>
                </c:pt>
                <c:pt idx="16">
                  <c:v>46.387352198828019</c:v>
                </c:pt>
                <c:pt idx="17">
                  <c:v>47.683380299445126</c:v>
                </c:pt>
                <c:pt idx="18">
                  <c:v>49.015989864136792</c:v>
                </c:pt>
                <c:pt idx="19">
                  <c:v>50.385180892903008</c:v>
                </c:pt>
                <c:pt idx="20">
                  <c:v>51.790953385743776</c:v>
                </c:pt>
                <c:pt idx="21">
                  <c:v>53.233307342659103</c:v>
                </c:pt>
                <c:pt idx="22">
                  <c:v>54.71224276364898</c:v>
                </c:pt>
                <c:pt idx="23">
                  <c:v>56.227759648713402</c:v>
                </c:pt>
                <c:pt idx="24">
                  <c:v>57.779857997852382</c:v>
                </c:pt>
                <c:pt idx="25">
                  <c:v>59.368537811065906</c:v>
                </c:pt>
                <c:pt idx="26">
                  <c:v>60.993799088353995</c:v>
                </c:pt>
                <c:pt idx="27">
                  <c:v>62.655641829716629</c:v>
                </c:pt>
                <c:pt idx="28">
                  <c:v>64.354066035153807</c:v>
                </c:pt>
                <c:pt idx="29">
                  <c:v>66.089071704665542</c:v>
                </c:pt>
                <c:pt idx="30">
                  <c:v>67.860658838251851</c:v>
                </c:pt>
                <c:pt idx="31">
                  <c:v>69.668827435912689</c:v>
                </c:pt>
                <c:pt idx="32">
                  <c:v>71.513577497648086</c:v>
                </c:pt>
                <c:pt idx="33">
                  <c:v>73.394909023458027</c:v>
                </c:pt>
                <c:pt idx="34">
                  <c:v>75.312822013342526</c:v>
                </c:pt>
                <c:pt idx="35">
                  <c:v>77.267316467301583</c:v>
                </c:pt>
                <c:pt idx="36">
                  <c:v>79.258392385335185</c:v>
                </c:pt>
                <c:pt idx="37">
                  <c:v>81.28604976744333</c:v>
                </c:pt>
                <c:pt idx="38">
                  <c:v>83.350288613626034</c:v>
                </c:pt>
                <c:pt idx="39">
                  <c:v>85.451108923883297</c:v>
                </c:pt>
                <c:pt idx="40">
                  <c:v>87.588510698215117</c:v>
                </c:pt>
                <c:pt idx="41">
                  <c:v>89.762493936621468</c:v>
                </c:pt>
                <c:pt idx="42">
                  <c:v>91.973058639102376</c:v>
                </c:pt>
                <c:pt idx="43">
                  <c:v>94.220204805657858</c:v>
                </c:pt>
                <c:pt idx="44">
                  <c:v>96.503932436287883</c:v>
                </c:pt>
                <c:pt idx="45">
                  <c:v>98.824241530992438</c:v>
                </c:pt>
                <c:pt idx="46">
                  <c:v>101.18113208977155</c:v>
                </c:pt>
                <c:pt idx="47">
                  <c:v>103.57460411262525</c:v>
                </c:pt>
                <c:pt idx="48">
                  <c:v>106.00465759955345</c:v>
                </c:pt>
                <c:pt idx="49">
                  <c:v>108.47129255055627</c:v>
                </c:pt>
                <c:pt idx="50">
                  <c:v>110.97450896563359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3173-45E0-B583-DC18B249C1BC}"/>
            </c:ext>
          </c:extLst>
        </c:ser>
        <c:ser>
          <c:idx val="37"/>
          <c:order val="37"/>
          <c:spPr>
            <a:solidFill>
              <a:schemeClr val="accent2">
                <a:lumMod val="70000"/>
                <a:lumOff val="30000"/>
              </a:schemeClr>
            </a:solidFill>
            <a:ln/>
            <a:effectLst/>
            <a:sp3d/>
          </c:spPr>
          <c:val>
            <c:numRef>
              <c:f>'2.123 Нелин. поверхность'!$G$46:$BE$46</c:f>
              <c:numCache>
                <c:formatCode>General</c:formatCode>
                <c:ptCount val="51"/>
                <c:pt idx="0">
                  <c:v>32.073448800517944</c:v>
                </c:pt>
                <c:pt idx="1">
                  <c:v>32.801537141840086</c:v>
                </c:pt>
                <c:pt idx="2">
                  <c:v>33.566206947236786</c:v>
                </c:pt>
                <c:pt idx="3">
                  <c:v>34.367458216708037</c:v>
                </c:pt>
                <c:pt idx="4">
                  <c:v>35.20529095025384</c:v>
                </c:pt>
                <c:pt idx="5">
                  <c:v>36.079705147874186</c:v>
                </c:pt>
                <c:pt idx="6">
                  <c:v>36.990700809569098</c:v>
                </c:pt>
                <c:pt idx="7">
                  <c:v>37.938277935338554</c:v>
                </c:pt>
                <c:pt idx="8">
                  <c:v>38.922436525182562</c:v>
                </c:pt>
                <c:pt idx="9">
                  <c:v>39.94317657910112</c:v>
                </c:pt>
                <c:pt idx="10">
                  <c:v>41.000498097094244</c:v>
                </c:pt>
                <c:pt idx="11">
                  <c:v>42.094401079161905</c:v>
                </c:pt>
                <c:pt idx="12">
                  <c:v>43.224885525304124</c:v>
                </c:pt>
                <c:pt idx="13">
                  <c:v>44.391951435520895</c:v>
                </c:pt>
                <c:pt idx="14">
                  <c:v>45.595598809812216</c:v>
                </c:pt>
                <c:pt idx="15">
                  <c:v>46.835827648178089</c:v>
                </c:pt>
                <c:pt idx="16">
                  <c:v>48.11263795061852</c:v>
                </c:pt>
                <c:pt idx="17">
                  <c:v>49.426029717133495</c:v>
                </c:pt>
                <c:pt idx="18">
                  <c:v>50.776002947723022</c:v>
                </c:pt>
                <c:pt idx="19">
                  <c:v>52.162557642387107</c:v>
                </c:pt>
                <c:pt idx="20">
                  <c:v>53.585693801125743</c:v>
                </c:pt>
                <c:pt idx="21">
                  <c:v>55.04541142393893</c:v>
                </c:pt>
                <c:pt idx="22">
                  <c:v>56.541710510826668</c:v>
                </c:pt>
                <c:pt idx="23">
                  <c:v>58.074591061788958</c:v>
                </c:pt>
                <c:pt idx="24">
                  <c:v>59.644053076825799</c:v>
                </c:pt>
                <c:pt idx="25">
                  <c:v>61.250096555937198</c:v>
                </c:pt>
                <c:pt idx="26">
                  <c:v>62.892721499123148</c:v>
                </c:pt>
                <c:pt idx="27">
                  <c:v>64.571927906383635</c:v>
                </c:pt>
                <c:pt idx="28">
                  <c:v>66.287715777718688</c:v>
                </c:pt>
                <c:pt idx="29">
                  <c:v>68.040085113128299</c:v>
                </c:pt>
                <c:pt idx="30">
                  <c:v>69.829035912612454</c:v>
                </c:pt>
                <c:pt idx="31">
                  <c:v>71.654568176171168</c:v>
                </c:pt>
                <c:pt idx="32">
                  <c:v>73.516681903804425</c:v>
                </c:pt>
                <c:pt idx="33">
                  <c:v>75.415377095512227</c:v>
                </c:pt>
                <c:pt idx="34">
                  <c:v>77.350653751294587</c:v>
                </c:pt>
                <c:pt idx="35">
                  <c:v>79.322511871151505</c:v>
                </c:pt>
                <c:pt idx="36">
                  <c:v>81.330951455082982</c:v>
                </c:pt>
                <c:pt idx="37">
                  <c:v>83.375972503089002</c:v>
                </c:pt>
                <c:pt idx="38">
                  <c:v>85.457575015169567</c:v>
                </c:pt>
                <c:pt idx="39">
                  <c:v>87.57575899132469</c:v>
                </c:pt>
                <c:pt idx="40">
                  <c:v>89.730524431554358</c:v>
                </c:pt>
                <c:pt idx="41">
                  <c:v>91.921871335858583</c:v>
                </c:pt>
                <c:pt idx="42">
                  <c:v>94.149799704237381</c:v>
                </c:pt>
                <c:pt idx="43">
                  <c:v>96.414309536690695</c:v>
                </c:pt>
                <c:pt idx="44">
                  <c:v>98.715400833218595</c:v>
                </c:pt>
                <c:pt idx="45">
                  <c:v>101.05307359382103</c:v>
                </c:pt>
                <c:pt idx="46">
                  <c:v>103.427327818498</c:v>
                </c:pt>
                <c:pt idx="47">
                  <c:v>105.83816350724956</c:v>
                </c:pt>
                <c:pt idx="48">
                  <c:v>108.28558066007565</c:v>
                </c:pt>
                <c:pt idx="49">
                  <c:v>110.76957927697629</c:v>
                </c:pt>
                <c:pt idx="50">
                  <c:v>113.29015935795148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3173-45E0-B583-DC18B249C1BC}"/>
            </c:ext>
          </c:extLst>
        </c:ser>
        <c:ser>
          <c:idx val="38"/>
          <c:order val="38"/>
          <c:spPr>
            <a:solidFill>
              <a:schemeClr val="accent3">
                <a:lumMod val="70000"/>
                <a:lumOff val="30000"/>
              </a:schemeClr>
            </a:solidFill>
            <a:ln/>
            <a:effectLst/>
            <a:sp3d/>
          </c:spPr>
          <c:val>
            <c:numRef>
              <c:f>'2.123 Нелин. поверхность'!$G$47:$BE$47</c:f>
              <c:numCache>
                <c:formatCode>General</c:formatCode>
                <c:ptCount val="51"/>
                <c:pt idx="0">
                  <c:v>33.557487976031844</c:v>
                </c:pt>
                <c:pt idx="1">
                  <c:v>34.302939983251854</c:v>
                </c:pt>
                <c:pt idx="2">
                  <c:v>35.084973454546414</c:v>
                </c:pt>
                <c:pt idx="3">
                  <c:v>35.903588389915527</c:v>
                </c:pt>
                <c:pt idx="4">
                  <c:v>36.75878478935919</c:v>
                </c:pt>
                <c:pt idx="5">
                  <c:v>37.650562652877412</c:v>
                </c:pt>
                <c:pt idx="6">
                  <c:v>38.578921980470184</c:v>
                </c:pt>
                <c:pt idx="7">
                  <c:v>39.543862772137508</c:v>
                </c:pt>
                <c:pt idx="8">
                  <c:v>40.545385027879384</c:v>
                </c:pt>
                <c:pt idx="9">
                  <c:v>41.58348874769581</c:v>
                </c:pt>
                <c:pt idx="10">
                  <c:v>42.658173931586788</c:v>
                </c:pt>
                <c:pt idx="11">
                  <c:v>43.769440579552317</c:v>
                </c:pt>
                <c:pt idx="12">
                  <c:v>44.917288691592404</c:v>
                </c:pt>
                <c:pt idx="13">
                  <c:v>46.101718267707035</c:v>
                </c:pt>
                <c:pt idx="14">
                  <c:v>47.322729307896225</c:v>
                </c:pt>
                <c:pt idx="15">
                  <c:v>48.580321812159966</c:v>
                </c:pt>
                <c:pt idx="16">
                  <c:v>49.87449578049825</c:v>
                </c:pt>
                <c:pt idx="17">
                  <c:v>51.205251212911094</c:v>
                </c:pt>
                <c:pt idx="18">
                  <c:v>52.572588109398488</c:v>
                </c:pt>
                <c:pt idx="19">
                  <c:v>53.976506469960434</c:v>
                </c:pt>
                <c:pt idx="20">
                  <c:v>55.417006294596938</c:v>
                </c:pt>
                <c:pt idx="21">
                  <c:v>56.894087583307993</c:v>
                </c:pt>
                <c:pt idx="22">
                  <c:v>58.407750336093599</c:v>
                </c:pt>
                <c:pt idx="23">
                  <c:v>59.95799455295375</c:v>
                </c:pt>
                <c:pt idx="24">
                  <c:v>61.544820233888458</c:v>
                </c:pt>
                <c:pt idx="25">
                  <c:v>63.168227378897711</c:v>
                </c:pt>
                <c:pt idx="26">
                  <c:v>64.828215987981537</c:v>
                </c:pt>
                <c:pt idx="27">
                  <c:v>66.524786061139892</c:v>
                </c:pt>
                <c:pt idx="28">
                  <c:v>68.257937598372806</c:v>
                </c:pt>
                <c:pt idx="29">
                  <c:v>70.027670599680278</c:v>
                </c:pt>
                <c:pt idx="30">
                  <c:v>71.833985065062294</c:v>
                </c:pt>
                <c:pt idx="31">
                  <c:v>73.676880994518882</c:v>
                </c:pt>
                <c:pt idx="32">
                  <c:v>75.55635838805</c:v>
                </c:pt>
                <c:pt idx="33">
                  <c:v>77.472417245655663</c:v>
                </c:pt>
                <c:pt idx="34">
                  <c:v>79.425057567335884</c:v>
                </c:pt>
                <c:pt idx="35">
                  <c:v>81.414279353090677</c:v>
                </c:pt>
                <c:pt idx="36">
                  <c:v>83.440082602920015</c:v>
                </c:pt>
                <c:pt idx="37">
                  <c:v>85.502467316823896</c:v>
                </c:pt>
                <c:pt idx="38">
                  <c:v>87.601433494802336</c:v>
                </c:pt>
                <c:pt idx="39">
                  <c:v>89.73698113685532</c:v>
                </c:pt>
                <c:pt idx="40">
                  <c:v>91.909110242982862</c:v>
                </c:pt>
                <c:pt idx="41">
                  <c:v>94.117820813184949</c:v>
                </c:pt>
                <c:pt idx="42">
                  <c:v>96.363112847461608</c:v>
                </c:pt>
                <c:pt idx="43">
                  <c:v>98.644986345812782</c:v>
                </c:pt>
                <c:pt idx="44">
                  <c:v>100.96344130823854</c:v>
                </c:pt>
                <c:pt idx="45">
                  <c:v>103.31847773473883</c:v>
                </c:pt>
                <c:pt idx="46">
                  <c:v>105.71009562531368</c:v>
                </c:pt>
                <c:pt idx="47">
                  <c:v>108.13829497996311</c:v>
                </c:pt>
                <c:pt idx="48">
                  <c:v>110.60307579868706</c:v>
                </c:pt>
                <c:pt idx="49">
                  <c:v>113.10443808148558</c:v>
                </c:pt>
                <c:pt idx="50">
                  <c:v>115.64238182835862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3173-45E0-B583-DC18B249C1BC}"/>
            </c:ext>
          </c:extLst>
        </c:ser>
        <c:ser>
          <c:idx val="39"/>
          <c:order val="39"/>
          <c:spPr>
            <a:solidFill>
              <a:schemeClr val="accent4">
                <a:lumMod val="70000"/>
                <a:lumOff val="30000"/>
              </a:schemeClr>
            </a:solidFill>
            <a:ln/>
            <a:effectLst/>
            <a:sp3d/>
          </c:spPr>
          <c:val>
            <c:numRef>
              <c:f>'2.123 Нелин. поверхность'!$G$48:$BE$48</c:f>
              <c:numCache>
                <c:formatCode>General</c:formatCode>
                <c:ptCount val="51"/>
                <c:pt idx="0">
                  <c:v>35.078099229634972</c:v>
                </c:pt>
                <c:pt idx="1">
                  <c:v>35.840914902752843</c:v>
                </c:pt>
                <c:pt idx="2">
                  <c:v>36.640312039945279</c:v>
                </c:pt>
                <c:pt idx="3">
                  <c:v>37.476290641212252</c:v>
                </c:pt>
                <c:pt idx="4">
                  <c:v>38.34885070655379</c:v>
                </c:pt>
                <c:pt idx="5">
                  <c:v>39.257992235969866</c:v>
                </c:pt>
                <c:pt idx="6">
                  <c:v>40.203715229460499</c:v>
                </c:pt>
                <c:pt idx="7">
                  <c:v>41.186019687025691</c:v>
                </c:pt>
                <c:pt idx="8">
                  <c:v>42.204905608665428</c:v>
                </c:pt>
                <c:pt idx="9">
                  <c:v>43.260372994379722</c:v>
                </c:pt>
                <c:pt idx="10">
                  <c:v>44.352421844168568</c:v>
                </c:pt>
                <c:pt idx="11">
                  <c:v>45.481052158031957</c:v>
                </c:pt>
                <c:pt idx="12">
                  <c:v>46.646263935969912</c:v>
                </c:pt>
                <c:pt idx="13">
                  <c:v>47.848057177982405</c:v>
                </c:pt>
                <c:pt idx="14">
                  <c:v>49.086431884069455</c:v>
                </c:pt>
                <c:pt idx="15">
                  <c:v>50.361388054231064</c:v>
                </c:pt>
                <c:pt idx="16">
                  <c:v>51.672925688467217</c:v>
                </c:pt>
                <c:pt idx="17">
                  <c:v>53.021044786777928</c:v>
                </c:pt>
                <c:pt idx="18">
                  <c:v>54.40574534916319</c:v>
                </c:pt>
                <c:pt idx="19">
                  <c:v>55.827027375623004</c:v>
                </c:pt>
                <c:pt idx="20">
                  <c:v>57.284890866157369</c:v>
                </c:pt>
                <c:pt idx="21">
                  <c:v>58.779335820766278</c:v>
                </c:pt>
                <c:pt idx="22">
                  <c:v>60.310362239449752</c:v>
                </c:pt>
                <c:pt idx="23">
                  <c:v>61.877970122207763</c:v>
                </c:pt>
                <c:pt idx="24">
                  <c:v>63.48215946904034</c:v>
                </c:pt>
                <c:pt idx="25">
                  <c:v>65.122930279947468</c:v>
                </c:pt>
                <c:pt idx="26">
                  <c:v>66.80028255492914</c:v>
                </c:pt>
                <c:pt idx="27">
                  <c:v>68.514216293985385</c:v>
                </c:pt>
                <c:pt idx="28">
                  <c:v>70.264731497116145</c:v>
                </c:pt>
                <c:pt idx="29">
                  <c:v>72.051828164321492</c:v>
                </c:pt>
                <c:pt idx="30">
                  <c:v>73.875506295601369</c:v>
                </c:pt>
                <c:pt idx="31">
                  <c:v>75.735765890955804</c:v>
                </c:pt>
                <c:pt idx="32">
                  <c:v>77.632606950384798</c:v>
                </c:pt>
                <c:pt idx="33">
                  <c:v>79.566029473888335</c:v>
                </c:pt>
                <c:pt idx="34">
                  <c:v>81.536033461466431</c:v>
                </c:pt>
                <c:pt idx="35">
                  <c:v>83.542618913119071</c:v>
                </c:pt>
                <c:pt idx="36">
                  <c:v>85.585785828846269</c:v>
                </c:pt>
                <c:pt idx="37">
                  <c:v>87.665534208648026</c:v>
                </c:pt>
                <c:pt idx="38">
                  <c:v>89.781864052524327</c:v>
                </c:pt>
                <c:pt idx="39">
                  <c:v>91.934775360475172</c:v>
                </c:pt>
                <c:pt idx="40">
                  <c:v>94.124268132500589</c:v>
                </c:pt>
                <c:pt idx="41">
                  <c:v>96.350342368600536</c:v>
                </c:pt>
                <c:pt idx="42">
                  <c:v>98.612998068775056</c:v>
                </c:pt>
                <c:pt idx="43">
                  <c:v>100.91223523302412</c:v>
                </c:pt>
                <c:pt idx="44">
                  <c:v>103.24805386134774</c:v>
                </c:pt>
                <c:pt idx="45">
                  <c:v>105.62045395374589</c:v>
                </c:pt>
                <c:pt idx="46">
                  <c:v>108.02943551021859</c:v>
                </c:pt>
                <c:pt idx="47">
                  <c:v>110.47499853076587</c:v>
                </c:pt>
                <c:pt idx="48">
                  <c:v>112.95714301538769</c:v>
                </c:pt>
                <c:pt idx="49">
                  <c:v>115.47586896408409</c:v>
                </c:pt>
                <c:pt idx="50">
                  <c:v>118.031176376855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3173-45E0-B583-DC18B249C1BC}"/>
            </c:ext>
          </c:extLst>
        </c:ser>
        <c:ser>
          <c:idx val="40"/>
          <c:order val="40"/>
          <c:spPr>
            <a:solidFill>
              <a:schemeClr val="accent5">
                <a:lumMod val="70000"/>
                <a:lumOff val="30000"/>
              </a:schemeClr>
            </a:solidFill>
            <a:ln/>
            <a:effectLst/>
            <a:sp3d/>
          </c:spPr>
          <c:val>
            <c:numRef>
              <c:f>'2.123 Нелин. поверхность'!$G$49:$BE$49</c:f>
              <c:numCache>
                <c:formatCode>General</c:formatCode>
                <c:ptCount val="51"/>
                <c:pt idx="0">
                  <c:v>36.63528256132733</c:v>
                </c:pt>
                <c:pt idx="1">
                  <c:v>37.415461900343068</c:v>
                </c:pt>
                <c:pt idx="2">
                  <c:v>38.232222703433358</c:v>
                </c:pt>
                <c:pt idx="3">
                  <c:v>39.085564970598206</c:v>
                </c:pt>
                <c:pt idx="4">
                  <c:v>39.975488701837605</c:v>
                </c:pt>
                <c:pt idx="5">
                  <c:v>40.901993897151549</c:v>
                </c:pt>
                <c:pt idx="6">
                  <c:v>41.86508055654005</c:v>
                </c:pt>
                <c:pt idx="7">
                  <c:v>42.864748680003103</c:v>
                </c:pt>
                <c:pt idx="8">
                  <c:v>43.900998267540707</c:v>
                </c:pt>
                <c:pt idx="9">
                  <c:v>44.973829319152863</c:v>
                </c:pt>
                <c:pt idx="10">
                  <c:v>46.083241834839569</c:v>
                </c:pt>
                <c:pt idx="11">
                  <c:v>47.229235814600827</c:v>
                </c:pt>
                <c:pt idx="12">
                  <c:v>48.411811258436636</c:v>
                </c:pt>
                <c:pt idx="13">
                  <c:v>49.630968166347003</c:v>
                </c:pt>
                <c:pt idx="14">
                  <c:v>50.886706538331921</c:v>
                </c:pt>
                <c:pt idx="15">
                  <c:v>52.179026374391391</c:v>
                </c:pt>
                <c:pt idx="16">
                  <c:v>53.507927674525412</c:v>
                </c:pt>
                <c:pt idx="17">
                  <c:v>54.873410438733984</c:v>
                </c:pt>
                <c:pt idx="18">
                  <c:v>56.275474667017114</c:v>
                </c:pt>
                <c:pt idx="19">
                  <c:v>57.714120359374789</c:v>
                </c:pt>
                <c:pt idx="20">
                  <c:v>59.189347515807022</c:v>
                </c:pt>
                <c:pt idx="21">
                  <c:v>60.701156136313799</c:v>
                </c:pt>
                <c:pt idx="22">
                  <c:v>62.249546220895134</c:v>
                </c:pt>
                <c:pt idx="23">
                  <c:v>63.834517769551013</c:v>
                </c:pt>
                <c:pt idx="24">
                  <c:v>65.456070782281444</c:v>
                </c:pt>
                <c:pt idx="25">
                  <c:v>67.114205259086447</c:v>
                </c:pt>
                <c:pt idx="26">
                  <c:v>68.808921199965994</c:v>
                </c:pt>
                <c:pt idx="27">
                  <c:v>70.540218604920085</c:v>
                </c:pt>
                <c:pt idx="28">
                  <c:v>72.30809747394872</c:v>
                </c:pt>
                <c:pt idx="29">
                  <c:v>74.112557807051928</c:v>
                </c:pt>
                <c:pt idx="30">
                  <c:v>75.953599604229666</c:v>
                </c:pt>
                <c:pt idx="31">
                  <c:v>77.831222865481976</c:v>
                </c:pt>
                <c:pt idx="32">
                  <c:v>79.745427590808831</c:v>
                </c:pt>
                <c:pt idx="33">
                  <c:v>81.696213780210229</c:v>
                </c:pt>
                <c:pt idx="34">
                  <c:v>83.683581433686186</c:v>
                </c:pt>
                <c:pt idx="35">
                  <c:v>85.707530551236687</c:v>
                </c:pt>
                <c:pt idx="36">
                  <c:v>87.76806113286176</c:v>
                </c:pt>
                <c:pt idx="37">
                  <c:v>89.865173178561378</c:v>
                </c:pt>
                <c:pt idx="38">
                  <c:v>91.998866688335539</c:v>
                </c:pt>
                <c:pt idx="39">
                  <c:v>94.169141662184245</c:v>
                </c:pt>
                <c:pt idx="40">
                  <c:v>96.375998100107537</c:v>
                </c:pt>
                <c:pt idx="41">
                  <c:v>98.619436002105331</c:v>
                </c:pt>
                <c:pt idx="42">
                  <c:v>100.89945536817773</c:v>
                </c:pt>
                <c:pt idx="43">
                  <c:v>103.21605619832465</c:v>
                </c:pt>
                <c:pt idx="44">
                  <c:v>105.56923849254615</c:v>
                </c:pt>
                <c:pt idx="45">
                  <c:v>107.95900225084216</c:v>
                </c:pt>
                <c:pt idx="46">
                  <c:v>110.38534747321273</c:v>
                </c:pt>
                <c:pt idx="47">
                  <c:v>112.84827415965788</c:v>
                </c:pt>
                <c:pt idx="48">
                  <c:v>115.34778231017756</c:v>
                </c:pt>
                <c:pt idx="49">
                  <c:v>117.88387192477182</c:v>
                </c:pt>
                <c:pt idx="50">
                  <c:v>120.4565430034406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3173-45E0-B583-DC18B249C1BC}"/>
            </c:ext>
          </c:extLst>
        </c:ser>
        <c:ser>
          <c:idx val="41"/>
          <c:order val="41"/>
          <c:spPr>
            <a:solidFill>
              <a:schemeClr val="accent6">
                <a:lumMod val="70000"/>
                <a:lumOff val="30000"/>
              </a:schemeClr>
            </a:solidFill>
            <a:ln/>
            <a:effectLst/>
            <a:sp3d/>
          </c:spPr>
          <c:val>
            <c:numRef>
              <c:f>'2.123 Нелин. поверхность'!$G$50:$BE$50</c:f>
              <c:numCache>
                <c:formatCode>General</c:formatCode>
                <c:ptCount val="51"/>
                <c:pt idx="0">
                  <c:v>38.229037971108923</c:v>
                </c:pt>
                <c:pt idx="1">
                  <c:v>39.02658097602253</c:v>
                </c:pt>
                <c:pt idx="2">
                  <c:v>39.86070544501068</c:v>
                </c:pt>
                <c:pt idx="3">
                  <c:v>40.731411378073396</c:v>
                </c:pt>
                <c:pt idx="4">
                  <c:v>41.638698775210649</c:v>
                </c:pt>
                <c:pt idx="5">
                  <c:v>42.582567636422468</c:v>
                </c:pt>
                <c:pt idx="6">
                  <c:v>43.56301796170883</c:v>
                </c:pt>
                <c:pt idx="7">
                  <c:v>44.580049751069751</c:v>
                </c:pt>
                <c:pt idx="8">
                  <c:v>45.633663004505216</c:v>
                </c:pt>
                <c:pt idx="9">
                  <c:v>46.723857722015239</c:v>
                </c:pt>
                <c:pt idx="10">
                  <c:v>47.850633903599807</c:v>
                </c:pt>
                <c:pt idx="11">
                  <c:v>49.01399154925894</c:v>
                </c:pt>
                <c:pt idx="12">
                  <c:v>50.213930658992609</c:v>
                </c:pt>
                <c:pt idx="13">
                  <c:v>51.450451232800845</c:v>
                </c:pt>
                <c:pt idx="14">
                  <c:v>52.723553270683624</c:v>
                </c:pt>
                <c:pt idx="15">
                  <c:v>54.033236772640961</c:v>
                </c:pt>
                <c:pt idx="16">
                  <c:v>55.379501738672843</c:v>
                </c:pt>
                <c:pt idx="17">
                  <c:v>56.762348168779283</c:v>
                </c:pt>
                <c:pt idx="18">
                  <c:v>58.181776062960282</c:v>
                </c:pt>
                <c:pt idx="19">
                  <c:v>59.637785421215817</c:v>
                </c:pt>
                <c:pt idx="20">
                  <c:v>61.130376243545911</c:v>
                </c:pt>
                <c:pt idx="21">
                  <c:v>62.659548529950555</c:v>
                </c:pt>
                <c:pt idx="22">
                  <c:v>64.225302280429759</c:v>
                </c:pt>
                <c:pt idx="23">
                  <c:v>65.827637494983492</c:v>
                </c:pt>
                <c:pt idx="24">
                  <c:v>67.466554173611797</c:v>
                </c:pt>
                <c:pt idx="25">
                  <c:v>69.142052316314661</c:v>
                </c:pt>
                <c:pt idx="26">
                  <c:v>70.854131923092069</c:v>
                </c:pt>
                <c:pt idx="27">
                  <c:v>72.602792993944036</c:v>
                </c:pt>
                <c:pt idx="28">
                  <c:v>74.388035528870532</c:v>
                </c:pt>
                <c:pt idx="29">
                  <c:v>76.2098595278716</c:v>
                </c:pt>
                <c:pt idx="30">
                  <c:v>78.068264990947213</c:v>
                </c:pt>
                <c:pt idx="31">
                  <c:v>79.963251918097384</c:v>
                </c:pt>
                <c:pt idx="32">
                  <c:v>81.894820309322114</c:v>
                </c:pt>
                <c:pt idx="33">
                  <c:v>83.862970164621359</c:v>
                </c:pt>
                <c:pt idx="34">
                  <c:v>85.867701483995191</c:v>
                </c:pt>
                <c:pt idx="35">
                  <c:v>87.909014267443567</c:v>
                </c:pt>
                <c:pt idx="36">
                  <c:v>89.986908514966501</c:v>
                </c:pt>
                <c:pt idx="37">
                  <c:v>92.101384226563979</c:v>
                </c:pt>
                <c:pt idx="38">
                  <c:v>94.252441402236002</c:v>
                </c:pt>
                <c:pt idx="39">
                  <c:v>96.440080041982597</c:v>
                </c:pt>
                <c:pt idx="40">
                  <c:v>98.664300145803708</c:v>
                </c:pt>
                <c:pt idx="41">
                  <c:v>100.92510171369941</c:v>
                </c:pt>
                <c:pt idx="42">
                  <c:v>103.22248474566965</c:v>
                </c:pt>
                <c:pt idx="43">
                  <c:v>105.55644924171443</c:v>
                </c:pt>
                <c:pt idx="44">
                  <c:v>107.92699520183379</c:v>
                </c:pt>
                <c:pt idx="45">
                  <c:v>110.33412262602769</c:v>
                </c:pt>
                <c:pt idx="46">
                  <c:v>112.77783151429612</c:v>
                </c:pt>
                <c:pt idx="47">
                  <c:v>115.25812186663913</c:v>
                </c:pt>
                <c:pt idx="48">
                  <c:v>117.77499368305666</c:v>
                </c:pt>
                <c:pt idx="49">
                  <c:v>120.3284469635488</c:v>
                </c:pt>
                <c:pt idx="50">
                  <c:v>122.91848170811544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3173-45E0-B583-DC18B249C1BC}"/>
            </c:ext>
          </c:extLst>
        </c:ser>
        <c:ser>
          <c:idx val="42"/>
          <c:order val="42"/>
          <c:spPr>
            <a:solidFill>
              <a:schemeClr val="accent1">
                <a:lumMod val="70000"/>
              </a:schemeClr>
            </a:solidFill>
            <a:ln/>
            <a:effectLst/>
            <a:sp3d/>
          </c:spPr>
          <c:val>
            <c:numRef>
              <c:f>'2.123 Нелин. поверхность'!$G$51:$BE$51</c:f>
              <c:numCache>
                <c:formatCode>General</c:formatCode>
                <c:ptCount val="51"/>
                <c:pt idx="0">
                  <c:v>39.859365458979731</c:v>
                </c:pt>
                <c:pt idx="1">
                  <c:v>40.674272129791206</c:v>
                </c:pt>
                <c:pt idx="2">
                  <c:v>41.525760264677224</c:v>
                </c:pt>
                <c:pt idx="3">
                  <c:v>42.413829863637801</c:v>
                </c:pt>
                <c:pt idx="4">
                  <c:v>43.338480926672922</c:v>
                </c:pt>
                <c:pt idx="5">
                  <c:v>44.299713453782601</c:v>
                </c:pt>
                <c:pt idx="6">
                  <c:v>45.297527444966832</c:v>
                </c:pt>
                <c:pt idx="7">
                  <c:v>46.331922900225607</c:v>
                </c:pt>
                <c:pt idx="8">
                  <c:v>47.402899819558954</c:v>
                </c:pt>
                <c:pt idx="9">
                  <c:v>48.510458202966838</c:v>
                </c:pt>
                <c:pt idx="10">
                  <c:v>49.654598050449273</c:v>
                </c:pt>
                <c:pt idx="11">
                  <c:v>50.835319362006267</c:v>
                </c:pt>
                <c:pt idx="12">
                  <c:v>52.052622137637805</c:v>
                </c:pt>
                <c:pt idx="13">
                  <c:v>53.306506377343901</c:v>
                </c:pt>
                <c:pt idx="14">
                  <c:v>54.596972081124541</c:v>
                </c:pt>
                <c:pt idx="15">
                  <c:v>55.924019248979739</c:v>
                </c:pt>
                <c:pt idx="16">
                  <c:v>57.287647880909496</c:v>
                </c:pt>
                <c:pt idx="17">
                  <c:v>58.687857976913797</c:v>
                </c:pt>
                <c:pt idx="18">
                  <c:v>60.124649536992649</c:v>
                </c:pt>
                <c:pt idx="19">
                  <c:v>61.59802256114606</c:v>
                </c:pt>
                <c:pt idx="20">
                  <c:v>63.107977049374014</c:v>
                </c:pt>
                <c:pt idx="21">
                  <c:v>64.654513001676534</c:v>
                </c:pt>
                <c:pt idx="22">
                  <c:v>66.237630418053598</c:v>
                </c:pt>
                <c:pt idx="23">
                  <c:v>67.857329298505206</c:v>
                </c:pt>
                <c:pt idx="24">
                  <c:v>69.513609643031373</c:v>
                </c:pt>
                <c:pt idx="25">
                  <c:v>71.206471451632098</c:v>
                </c:pt>
                <c:pt idx="26">
                  <c:v>72.935914724307366</c:v>
                </c:pt>
                <c:pt idx="27">
                  <c:v>74.701939461057179</c:v>
                </c:pt>
                <c:pt idx="28">
                  <c:v>76.504545661881565</c:v>
                </c:pt>
                <c:pt idx="29">
                  <c:v>78.343733326780495</c:v>
                </c:pt>
                <c:pt idx="30">
                  <c:v>80.219502455753968</c:v>
                </c:pt>
                <c:pt idx="31">
                  <c:v>82.131853048802</c:v>
                </c:pt>
                <c:pt idx="32">
                  <c:v>84.080785105924591</c:v>
                </c:pt>
                <c:pt idx="33">
                  <c:v>86.066298627121711</c:v>
                </c:pt>
                <c:pt idx="34">
                  <c:v>88.088393612393403</c:v>
                </c:pt>
                <c:pt idx="35">
                  <c:v>90.14707006173964</c:v>
                </c:pt>
                <c:pt idx="36">
                  <c:v>92.242327975160435</c:v>
                </c:pt>
                <c:pt idx="37">
                  <c:v>94.374167352655775</c:v>
                </c:pt>
                <c:pt idx="38">
                  <c:v>96.542588194225672</c:v>
                </c:pt>
                <c:pt idx="39">
                  <c:v>98.747590499870114</c:v>
                </c:pt>
                <c:pt idx="40">
                  <c:v>100.98917426958914</c:v>
                </c:pt>
                <c:pt idx="41">
                  <c:v>103.26733950338266</c:v>
                </c:pt>
                <c:pt idx="42">
                  <c:v>105.58208620125079</c:v>
                </c:pt>
                <c:pt idx="43">
                  <c:v>107.93341436319344</c:v>
                </c:pt>
                <c:pt idx="44">
                  <c:v>110.32132398921067</c:v>
                </c:pt>
                <c:pt idx="45">
                  <c:v>112.74581507930239</c:v>
                </c:pt>
                <c:pt idx="46">
                  <c:v>115.20688763346871</c:v>
                </c:pt>
                <c:pt idx="47">
                  <c:v>117.70454165170959</c:v>
                </c:pt>
                <c:pt idx="48">
                  <c:v>120.23877713402499</c:v>
                </c:pt>
                <c:pt idx="49">
                  <c:v>122.80959408041498</c:v>
                </c:pt>
                <c:pt idx="50">
                  <c:v>125.41699249087949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3173-45E0-B583-DC18B249C1BC}"/>
            </c:ext>
          </c:extLst>
        </c:ser>
        <c:ser>
          <c:idx val="43"/>
          <c:order val="43"/>
          <c:spPr>
            <a:solidFill>
              <a:schemeClr val="accent2">
                <a:lumMod val="70000"/>
              </a:schemeClr>
            </a:solidFill>
            <a:ln/>
            <a:effectLst/>
            <a:sp3d/>
          </c:spPr>
          <c:val>
            <c:numRef>
              <c:f>'2.123 Нелин. поверхность'!$G$52:$BE$52</c:f>
              <c:numCache>
                <c:formatCode>General</c:formatCode>
                <c:ptCount val="51"/>
                <c:pt idx="0">
                  <c:v>41.526265024939789</c:v>
                </c:pt>
                <c:pt idx="1">
                  <c:v>42.358535361649125</c:v>
                </c:pt>
                <c:pt idx="2">
                  <c:v>43.227387162433011</c:v>
                </c:pt>
                <c:pt idx="3">
                  <c:v>44.132820427291449</c:v>
                </c:pt>
                <c:pt idx="4">
                  <c:v>45.074835156224445</c:v>
                </c:pt>
                <c:pt idx="5">
                  <c:v>46.053431349231985</c:v>
                </c:pt>
                <c:pt idx="6">
                  <c:v>47.068609006314077</c:v>
                </c:pt>
                <c:pt idx="7">
                  <c:v>48.120368127470726</c:v>
                </c:pt>
                <c:pt idx="8">
                  <c:v>49.208708712701927</c:v>
                </c:pt>
                <c:pt idx="9">
                  <c:v>50.333630762007679</c:v>
                </c:pt>
                <c:pt idx="10">
                  <c:v>51.495134275387983</c:v>
                </c:pt>
                <c:pt idx="11">
                  <c:v>52.69321925284283</c:v>
                </c:pt>
                <c:pt idx="12">
                  <c:v>53.927885694372243</c:v>
                </c:pt>
                <c:pt idx="13">
                  <c:v>55.199133599976207</c:v>
                </c:pt>
                <c:pt idx="14">
                  <c:v>56.506962969654715</c:v>
                </c:pt>
                <c:pt idx="15">
                  <c:v>57.851373803407782</c:v>
                </c:pt>
                <c:pt idx="16">
                  <c:v>59.232366101235385</c:v>
                </c:pt>
                <c:pt idx="17">
                  <c:v>60.649939863137554</c:v>
                </c:pt>
                <c:pt idx="18">
                  <c:v>62.104095089114281</c:v>
                </c:pt>
                <c:pt idx="19">
                  <c:v>63.594831779165546</c:v>
                </c:pt>
                <c:pt idx="20">
                  <c:v>65.122149933291382</c:v>
                </c:pt>
                <c:pt idx="21">
                  <c:v>66.686049551491749</c:v>
                </c:pt>
                <c:pt idx="22">
                  <c:v>68.286530633766674</c:v>
                </c:pt>
                <c:pt idx="23">
                  <c:v>69.923593180116157</c:v>
                </c:pt>
                <c:pt idx="24">
                  <c:v>71.597237190540184</c:v>
                </c:pt>
                <c:pt idx="25">
                  <c:v>73.30746266503877</c:v>
                </c:pt>
                <c:pt idx="26">
                  <c:v>75.054269603611914</c:v>
                </c:pt>
                <c:pt idx="27">
                  <c:v>76.837658006259602</c:v>
                </c:pt>
                <c:pt idx="28">
                  <c:v>78.657627872981834</c:v>
                </c:pt>
                <c:pt idx="29">
                  <c:v>80.514179203778639</c:v>
                </c:pt>
                <c:pt idx="30">
                  <c:v>82.407311998649973</c:v>
                </c:pt>
                <c:pt idx="31">
                  <c:v>84.33702625759588</c:v>
                </c:pt>
                <c:pt idx="32">
                  <c:v>86.303321980616317</c:v>
                </c:pt>
                <c:pt idx="33">
                  <c:v>88.306199167711313</c:v>
                </c:pt>
                <c:pt idx="34">
                  <c:v>90.345657818880866</c:v>
                </c:pt>
                <c:pt idx="35">
                  <c:v>92.421697934124978</c:v>
                </c:pt>
                <c:pt idx="36">
                  <c:v>94.534319513443648</c:v>
                </c:pt>
                <c:pt idx="37">
                  <c:v>96.683522556836834</c:v>
                </c:pt>
                <c:pt idx="38">
                  <c:v>98.869307064304593</c:v>
                </c:pt>
                <c:pt idx="39">
                  <c:v>101.09167303584691</c:v>
                </c:pt>
                <c:pt idx="40">
                  <c:v>103.35062047146378</c:v>
                </c:pt>
                <c:pt idx="41">
                  <c:v>105.64614937115519</c:v>
                </c:pt>
                <c:pt idx="42">
                  <c:v>107.97825973492118</c:v>
                </c:pt>
                <c:pt idx="43">
                  <c:v>110.34695156276169</c:v>
                </c:pt>
                <c:pt idx="44">
                  <c:v>112.75222485467677</c:v>
                </c:pt>
                <c:pt idx="45">
                  <c:v>115.19407961066639</c:v>
                </c:pt>
                <c:pt idx="46">
                  <c:v>117.67251583073055</c:v>
                </c:pt>
                <c:pt idx="47">
                  <c:v>120.1875335148693</c:v>
                </c:pt>
                <c:pt idx="48">
                  <c:v>122.73913266308259</c:v>
                </c:pt>
                <c:pt idx="49">
                  <c:v>125.32731327537041</c:v>
                </c:pt>
                <c:pt idx="50">
                  <c:v>127.95207535173279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3173-45E0-B583-DC18B249C1BC}"/>
            </c:ext>
          </c:extLst>
        </c:ser>
        <c:ser>
          <c:idx val="44"/>
          <c:order val="44"/>
          <c:spPr>
            <a:solidFill>
              <a:schemeClr val="accent3">
                <a:lumMod val="70000"/>
              </a:schemeClr>
            </a:solidFill>
            <a:ln/>
            <a:effectLst/>
            <a:sp3d/>
          </c:spPr>
          <c:val>
            <c:numRef>
              <c:f>'2.123 Нелин. поверхность'!$G$53:$BE$53</c:f>
              <c:numCache>
                <c:formatCode>General</c:formatCode>
                <c:ptCount val="51"/>
                <c:pt idx="0">
                  <c:v>43.229736668989062</c:v>
                </c:pt>
                <c:pt idx="1">
                  <c:v>44.079370671596259</c:v>
                </c:pt>
                <c:pt idx="2">
                  <c:v>44.965586138278013</c:v>
                </c:pt>
                <c:pt idx="3">
                  <c:v>45.888383069034319</c:v>
                </c:pt>
                <c:pt idx="4">
                  <c:v>46.847761463865176</c:v>
                </c:pt>
                <c:pt idx="5">
                  <c:v>47.843721322770577</c:v>
                </c:pt>
                <c:pt idx="6">
                  <c:v>48.876262645750536</c:v>
                </c:pt>
                <c:pt idx="7">
                  <c:v>49.945385432805047</c:v>
                </c:pt>
                <c:pt idx="8">
                  <c:v>51.051089683934116</c:v>
                </c:pt>
                <c:pt idx="9">
                  <c:v>52.193375399137729</c:v>
                </c:pt>
                <c:pt idx="10">
                  <c:v>53.3722425784159</c:v>
                </c:pt>
                <c:pt idx="11">
                  <c:v>54.587691221768615</c:v>
                </c:pt>
                <c:pt idx="12">
                  <c:v>55.839721329195889</c:v>
                </c:pt>
                <c:pt idx="13">
                  <c:v>57.128332900697714</c:v>
                </c:pt>
                <c:pt idx="14">
                  <c:v>58.45352593627409</c:v>
                </c:pt>
                <c:pt idx="15">
                  <c:v>59.815300435925018</c:v>
                </c:pt>
                <c:pt idx="16">
                  <c:v>61.213656399650496</c:v>
                </c:pt>
                <c:pt idx="17">
                  <c:v>62.648593827450526</c:v>
                </c:pt>
                <c:pt idx="18">
                  <c:v>64.120112719325121</c:v>
                </c:pt>
                <c:pt idx="19">
                  <c:v>65.628213075274246</c:v>
                </c:pt>
                <c:pt idx="20">
                  <c:v>67.172894895297944</c:v>
                </c:pt>
                <c:pt idx="21">
                  <c:v>68.754158179396185</c:v>
                </c:pt>
                <c:pt idx="22">
                  <c:v>70.372002927568971</c:v>
                </c:pt>
                <c:pt idx="23">
                  <c:v>72.026429139816315</c:v>
                </c:pt>
                <c:pt idx="24">
                  <c:v>73.717436816138218</c:v>
                </c:pt>
                <c:pt idx="25">
                  <c:v>75.445025956534664</c:v>
                </c:pt>
                <c:pt idx="26">
                  <c:v>77.209196561005669</c:v>
                </c:pt>
                <c:pt idx="27">
                  <c:v>79.009948629551218</c:v>
                </c:pt>
                <c:pt idx="28">
                  <c:v>80.847282162171325</c:v>
                </c:pt>
                <c:pt idx="29">
                  <c:v>82.721197158865976</c:v>
                </c:pt>
                <c:pt idx="30">
                  <c:v>84.631693619635186</c:v>
                </c:pt>
                <c:pt idx="31">
                  <c:v>86.578771544478954</c:v>
                </c:pt>
                <c:pt idx="32">
                  <c:v>88.562430933397266</c:v>
                </c:pt>
                <c:pt idx="33">
                  <c:v>90.582671786390122</c:v>
                </c:pt>
                <c:pt idx="34">
                  <c:v>92.639494103457537</c:v>
                </c:pt>
                <c:pt idx="35">
                  <c:v>94.73289788459951</c:v>
                </c:pt>
                <c:pt idx="36">
                  <c:v>96.862883129816041</c:v>
                </c:pt>
                <c:pt idx="37">
                  <c:v>99.029449839107102</c:v>
                </c:pt>
                <c:pt idx="38">
                  <c:v>101.23259801247274</c:v>
                </c:pt>
                <c:pt idx="39">
                  <c:v>103.4723276499129</c:v>
                </c:pt>
                <c:pt idx="40">
                  <c:v>105.74863875142765</c:v>
                </c:pt>
                <c:pt idx="41">
                  <c:v>108.06153131701691</c:v>
                </c:pt>
                <c:pt idx="42">
                  <c:v>110.41100534668075</c:v>
                </c:pt>
                <c:pt idx="43">
                  <c:v>112.79706084041914</c:v>
                </c:pt>
                <c:pt idx="44">
                  <c:v>115.21969779823209</c:v>
                </c:pt>
                <c:pt idx="45">
                  <c:v>117.67891622011958</c:v>
                </c:pt>
                <c:pt idx="46">
                  <c:v>120.1747161060816</c:v>
                </c:pt>
                <c:pt idx="47">
                  <c:v>122.70709745611822</c:v>
                </c:pt>
                <c:pt idx="48">
                  <c:v>125.27606027022935</c:v>
                </c:pt>
                <c:pt idx="49">
                  <c:v>127.88160454841505</c:v>
                </c:pt>
                <c:pt idx="50">
                  <c:v>130.5237302906753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3173-45E0-B583-DC18B249C1BC}"/>
            </c:ext>
          </c:extLst>
        </c:ser>
        <c:ser>
          <c:idx val="45"/>
          <c:order val="45"/>
          <c:spPr>
            <a:solidFill>
              <a:schemeClr val="accent4">
                <a:lumMod val="70000"/>
              </a:schemeClr>
            </a:solidFill>
            <a:ln/>
            <a:effectLst/>
            <a:sp3d/>
          </c:spPr>
          <c:val>
            <c:numRef>
              <c:f>'2.123 Нелин. поверхность'!$G$54:$BE$54</c:f>
              <c:numCache>
                <c:formatCode>General</c:formatCode>
                <c:ptCount val="51"/>
                <c:pt idx="0">
                  <c:v>44.969780391127564</c:v>
                </c:pt>
                <c:pt idx="1">
                  <c:v>45.836778059632628</c:v>
                </c:pt>
                <c:pt idx="2">
                  <c:v>46.740357192212244</c:v>
                </c:pt>
                <c:pt idx="3">
                  <c:v>47.68051778886641</c:v>
                </c:pt>
                <c:pt idx="4">
                  <c:v>48.657259849595128</c:v>
                </c:pt>
                <c:pt idx="5">
                  <c:v>49.670583374398404</c:v>
                </c:pt>
                <c:pt idx="6">
                  <c:v>50.720488363276232</c:v>
                </c:pt>
                <c:pt idx="7">
                  <c:v>51.806974816228603</c:v>
                </c:pt>
                <c:pt idx="8">
                  <c:v>52.930042733255533</c:v>
                </c:pt>
                <c:pt idx="9">
                  <c:v>54.089692114357014</c:v>
                </c:pt>
                <c:pt idx="10">
                  <c:v>55.285922959533053</c:v>
                </c:pt>
                <c:pt idx="11">
                  <c:v>56.51873526878363</c:v>
                </c:pt>
                <c:pt idx="12">
                  <c:v>57.788129042108771</c:v>
                </c:pt>
                <c:pt idx="13">
                  <c:v>59.094104279508457</c:v>
                </c:pt>
                <c:pt idx="14">
                  <c:v>60.436660980982694</c:v>
                </c:pt>
                <c:pt idx="15">
                  <c:v>61.815799146531489</c:v>
                </c:pt>
                <c:pt idx="16">
                  <c:v>63.231518776154836</c:v>
                </c:pt>
                <c:pt idx="17">
                  <c:v>64.683819869852726</c:v>
                </c:pt>
                <c:pt idx="18">
                  <c:v>66.172702427625183</c:v>
                </c:pt>
                <c:pt idx="19">
                  <c:v>67.698166449472183</c:v>
                </c:pt>
                <c:pt idx="20">
                  <c:v>69.260211935393727</c:v>
                </c:pt>
                <c:pt idx="21">
                  <c:v>70.858838885389844</c:v>
                </c:pt>
                <c:pt idx="22">
                  <c:v>72.494047299460505</c:v>
                </c:pt>
                <c:pt idx="23">
                  <c:v>74.165837177605709</c:v>
                </c:pt>
                <c:pt idx="24">
                  <c:v>75.874208519825473</c:v>
                </c:pt>
                <c:pt idx="25">
                  <c:v>77.61916132611978</c:v>
                </c:pt>
                <c:pt idx="26">
                  <c:v>79.400695596488646</c:v>
                </c:pt>
                <c:pt idx="27">
                  <c:v>81.21881133093207</c:v>
                </c:pt>
                <c:pt idx="28">
                  <c:v>83.073508529450038</c:v>
                </c:pt>
                <c:pt idx="29">
                  <c:v>84.96478719204255</c:v>
                </c:pt>
                <c:pt idx="30">
                  <c:v>86.892647318709635</c:v>
                </c:pt>
                <c:pt idx="31">
                  <c:v>88.857088909451264</c:v>
                </c:pt>
                <c:pt idx="32">
                  <c:v>90.858111964267437</c:v>
                </c:pt>
                <c:pt idx="33">
                  <c:v>92.895716483158168</c:v>
                </c:pt>
                <c:pt idx="34">
                  <c:v>94.969902466123443</c:v>
                </c:pt>
                <c:pt idx="35">
                  <c:v>97.080669913163291</c:v>
                </c:pt>
                <c:pt idx="36">
                  <c:v>99.228018824277683</c:v>
                </c:pt>
                <c:pt idx="37">
                  <c:v>101.41194919946662</c:v>
                </c:pt>
                <c:pt idx="38">
                  <c:v>103.63246103873009</c:v>
                </c:pt>
                <c:pt idx="39">
                  <c:v>105.88955434206814</c:v>
                </c:pt>
                <c:pt idx="40">
                  <c:v>108.18322910948073</c:v>
                </c:pt>
                <c:pt idx="41">
                  <c:v>110.51348534096786</c:v>
                </c:pt>
                <c:pt idx="42">
                  <c:v>112.88032303652959</c:v>
                </c:pt>
                <c:pt idx="43">
                  <c:v>115.28374219616583</c:v>
                </c:pt>
                <c:pt idx="44">
                  <c:v>117.72374281987663</c:v>
                </c:pt>
                <c:pt idx="45">
                  <c:v>120.20032490766198</c:v>
                </c:pt>
                <c:pt idx="46">
                  <c:v>122.71348845952188</c:v>
                </c:pt>
                <c:pt idx="47">
                  <c:v>125.26323347545636</c:v>
                </c:pt>
                <c:pt idx="48">
                  <c:v>127.84955995546537</c:v>
                </c:pt>
                <c:pt idx="49">
                  <c:v>130.47246789954892</c:v>
                </c:pt>
                <c:pt idx="50">
                  <c:v>133.13195730770704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3173-45E0-B583-DC18B249C1BC}"/>
            </c:ext>
          </c:extLst>
        </c:ser>
        <c:ser>
          <c:idx val="46"/>
          <c:order val="46"/>
          <c:spPr>
            <a:solidFill>
              <a:schemeClr val="accent5">
                <a:lumMod val="70000"/>
              </a:schemeClr>
            </a:solidFill>
            <a:ln/>
            <a:effectLst/>
            <a:sp3d/>
          </c:spPr>
          <c:val>
            <c:numRef>
              <c:f>'2.123 Нелин. поверхность'!$G$55:$BE$55</c:f>
              <c:numCache>
                <c:formatCode>General</c:formatCode>
                <c:ptCount val="51"/>
                <c:pt idx="0">
                  <c:v>46.746396191355316</c:v>
                </c:pt>
                <c:pt idx="1">
                  <c:v>47.630757525758241</c:v>
                </c:pt>
                <c:pt idx="2">
                  <c:v>48.551700324235725</c:v>
                </c:pt>
                <c:pt idx="3">
                  <c:v>49.509224586787759</c:v>
                </c:pt>
                <c:pt idx="4">
                  <c:v>50.503330313414338</c:v>
                </c:pt>
                <c:pt idx="5">
                  <c:v>51.534017504115482</c:v>
                </c:pt>
                <c:pt idx="6">
                  <c:v>52.60128615889117</c:v>
                </c:pt>
                <c:pt idx="7">
                  <c:v>53.70513627774141</c:v>
                </c:pt>
                <c:pt idx="8">
                  <c:v>54.845567860666208</c:v>
                </c:pt>
                <c:pt idx="9">
                  <c:v>56.022580907665549</c:v>
                </c:pt>
                <c:pt idx="10">
                  <c:v>57.236175418739442</c:v>
                </c:pt>
                <c:pt idx="11">
                  <c:v>58.486351393887901</c:v>
                </c:pt>
                <c:pt idx="12">
                  <c:v>59.773108833110896</c:v>
                </c:pt>
                <c:pt idx="13">
                  <c:v>61.09644773640845</c:v>
                </c:pt>
                <c:pt idx="14">
                  <c:v>62.456368103780562</c:v>
                </c:pt>
                <c:pt idx="15">
                  <c:v>63.852869935227218</c:v>
                </c:pt>
                <c:pt idx="16">
                  <c:v>65.285953230748433</c:v>
                </c:pt>
                <c:pt idx="17">
                  <c:v>66.755617990344192</c:v>
                </c:pt>
                <c:pt idx="18">
                  <c:v>68.261864214014508</c:v>
                </c:pt>
                <c:pt idx="19">
                  <c:v>69.804691901759369</c:v>
                </c:pt>
                <c:pt idx="20">
                  <c:v>71.384101053578789</c:v>
                </c:pt>
                <c:pt idx="21">
                  <c:v>73.000091669472766</c:v>
                </c:pt>
                <c:pt idx="22">
                  <c:v>74.652663749441288</c:v>
                </c:pt>
                <c:pt idx="23">
                  <c:v>76.341817293484354</c:v>
                </c:pt>
                <c:pt idx="24">
                  <c:v>78.067552301601978</c:v>
                </c:pt>
                <c:pt idx="25">
                  <c:v>79.829868773794161</c:v>
                </c:pt>
                <c:pt idx="26">
                  <c:v>81.628766710060887</c:v>
                </c:pt>
                <c:pt idx="27">
                  <c:v>83.464246110402172</c:v>
                </c:pt>
                <c:pt idx="28">
                  <c:v>85.336306974818001</c:v>
                </c:pt>
                <c:pt idx="29">
                  <c:v>87.244949303308402</c:v>
                </c:pt>
                <c:pt idx="30">
                  <c:v>89.190173095873334</c:v>
                </c:pt>
                <c:pt idx="31">
                  <c:v>91.171978352512824</c:v>
                </c:pt>
                <c:pt idx="32">
                  <c:v>93.190365073226872</c:v>
                </c:pt>
                <c:pt idx="33">
                  <c:v>95.245333258015449</c:v>
                </c:pt>
                <c:pt idx="34">
                  <c:v>97.3368829068786</c:v>
                </c:pt>
                <c:pt idx="35">
                  <c:v>99.465014019816309</c:v>
                </c:pt>
                <c:pt idx="36">
                  <c:v>101.62972659682856</c:v>
                </c:pt>
                <c:pt idx="37">
                  <c:v>103.83102063791537</c:v>
                </c:pt>
                <c:pt idx="38">
                  <c:v>106.06889614307671</c:v>
                </c:pt>
                <c:pt idx="39">
                  <c:v>108.34335311231261</c:v>
                </c:pt>
                <c:pt idx="40">
                  <c:v>110.65439154562307</c:v>
                </c:pt>
                <c:pt idx="41">
                  <c:v>113.00201144300809</c:v>
                </c:pt>
                <c:pt idx="42">
                  <c:v>115.38621280446766</c:v>
                </c:pt>
                <c:pt idx="43">
                  <c:v>117.80699563000177</c:v>
                </c:pt>
                <c:pt idx="44">
                  <c:v>120.26435991961046</c:v>
                </c:pt>
                <c:pt idx="45">
                  <c:v>122.75830567329368</c:v>
                </c:pt>
                <c:pt idx="46">
                  <c:v>125.28883289105144</c:v>
                </c:pt>
                <c:pt idx="47">
                  <c:v>127.85594157288375</c:v>
                </c:pt>
                <c:pt idx="48">
                  <c:v>130.45963171879063</c:v>
                </c:pt>
                <c:pt idx="49">
                  <c:v>133.09990332877209</c:v>
                </c:pt>
                <c:pt idx="50">
                  <c:v>135.77675640282803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3173-45E0-B583-DC18B249C1BC}"/>
            </c:ext>
          </c:extLst>
        </c:ser>
        <c:ser>
          <c:idx val="47"/>
          <c:order val="47"/>
          <c:spPr>
            <a:solidFill>
              <a:schemeClr val="accent6">
                <a:lumMod val="70000"/>
              </a:schemeClr>
            </a:solidFill>
            <a:ln/>
            <a:effectLst/>
            <a:sp3d/>
          </c:spPr>
          <c:val>
            <c:numRef>
              <c:f>'2.123 Нелин. поверхность'!$G$56:$BE$56</c:f>
              <c:numCache>
                <c:formatCode>General</c:formatCode>
                <c:ptCount val="51"/>
                <c:pt idx="0">
                  <c:v>48.559584069672269</c:v>
                </c:pt>
                <c:pt idx="1">
                  <c:v>49.461309069973062</c:v>
                </c:pt>
                <c:pt idx="2">
                  <c:v>50.399615534348413</c:v>
                </c:pt>
                <c:pt idx="3">
                  <c:v>51.374503462798309</c:v>
                </c:pt>
                <c:pt idx="4">
                  <c:v>52.385972855322763</c:v>
                </c:pt>
                <c:pt idx="5">
                  <c:v>53.43402371192176</c:v>
                </c:pt>
                <c:pt idx="6">
                  <c:v>54.518656032595317</c:v>
                </c:pt>
                <c:pt idx="7">
                  <c:v>55.639869817343424</c:v>
                </c:pt>
                <c:pt idx="8">
                  <c:v>56.797665066166083</c:v>
                </c:pt>
                <c:pt idx="9">
                  <c:v>57.992041779063292</c:v>
                </c:pt>
                <c:pt idx="10">
                  <c:v>59.222999956035054</c:v>
                </c:pt>
                <c:pt idx="11">
                  <c:v>60.490539597081373</c:v>
                </c:pt>
                <c:pt idx="12">
                  <c:v>61.794660702202236</c:v>
                </c:pt>
                <c:pt idx="13">
                  <c:v>63.135363271397651</c:v>
                </c:pt>
                <c:pt idx="14">
                  <c:v>64.512647304667624</c:v>
                </c:pt>
                <c:pt idx="15">
                  <c:v>65.926512802012155</c:v>
                </c:pt>
                <c:pt idx="16">
                  <c:v>67.376959763431216</c:v>
                </c:pt>
                <c:pt idx="17">
                  <c:v>68.86398818892485</c:v>
                </c:pt>
                <c:pt idx="18">
                  <c:v>70.387598078493028</c:v>
                </c:pt>
                <c:pt idx="19">
                  <c:v>71.94778943213575</c:v>
                </c:pt>
                <c:pt idx="20">
                  <c:v>73.544562249853044</c:v>
                </c:pt>
                <c:pt idx="21">
                  <c:v>75.177916531644868</c:v>
                </c:pt>
                <c:pt idx="22">
                  <c:v>76.847852277511265</c:v>
                </c:pt>
                <c:pt idx="23">
                  <c:v>78.554369487452192</c:v>
                </c:pt>
                <c:pt idx="24">
                  <c:v>80.297468161467691</c:v>
                </c:pt>
                <c:pt idx="25">
                  <c:v>82.077148299557734</c:v>
                </c:pt>
                <c:pt idx="26">
                  <c:v>83.893409901722336</c:v>
                </c:pt>
                <c:pt idx="27">
                  <c:v>85.746252967961482</c:v>
                </c:pt>
                <c:pt idx="28">
                  <c:v>87.635677498275172</c:v>
                </c:pt>
                <c:pt idx="29">
                  <c:v>89.561683492663434</c:v>
                </c:pt>
                <c:pt idx="30">
                  <c:v>91.52427095112624</c:v>
                </c:pt>
                <c:pt idx="31">
                  <c:v>93.523439873663591</c:v>
                </c:pt>
                <c:pt idx="32">
                  <c:v>95.5591902602755</c:v>
                </c:pt>
                <c:pt idx="33">
                  <c:v>97.631522110961939</c:v>
                </c:pt>
                <c:pt idx="34">
                  <c:v>99.740435425722964</c:v>
                </c:pt>
                <c:pt idx="35">
                  <c:v>101.88593020455852</c:v>
                </c:pt>
                <c:pt idx="36">
                  <c:v>104.06800644746866</c:v>
                </c:pt>
                <c:pt idx="37">
                  <c:v>106.28666415445332</c:v>
                </c:pt>
                <c:pt idx="38">
                  <c:v>108.54190332551252</c:v>
                </c:pt>
                <c:pt idx="39">
                  <c:v>110.83372396064631</c:v>
                </c:pt>
                <c:pt idx="40">
                  <c:v>113.16212605985464</c:v>
                </c:pt>
                <c:pt idx="41">
                  <c:v>115.52710962313751</c:v>
                </c:pt>
                <c:pt idx="42">
                  <c:v>117.92867465049494</c:v>
                </c:pt>
                <c:pt idx="43">
                  <c:v>120.36682114192692</c:v>
                </c:pt>
                <c:pt idx="44">
                  <c:v>122.84154909743347</c:v>
                </c:pt>
                <c:pt idx="45">
                  <c:v>125.35285851701454</c:v>
                </c:pt>
                <c:pt idx="46">
                  <c:v>127.90074940067016</c:v>
                </c:pt>
                <c:pt idx="47">
                  <c:v>130.48522174840036</c:v>
                </c:pt>
                <c:pt idx="48">
                  <c:v>133.10627556020512</c:v>
                </c:pt>
                <c:pt idx="49">
                  <c:v>135.76391083608439</c:v>
                </c:pt>
                <c:pt idx="50">
                  <c:v>138.45812757603824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3173-45E0-B583-DC18B249C1BC}"/>
            </c:ext>
          </c:extLst>
        </c:ser>
        <c:ser>
          <c:idx val="48"/>
          <c:order val="48"/>
          <c:spPr>
            <a:solidFill>
              <a:schemeClr val="accent1">
                <a:lumMod val="50000"/>
                <a:lumOff val="50000"/>
              </a:schemeClr>
            </a:solidFill>
            <a:ln/>
            <a:effectLst/>
            <a:sp3d/>
          </c:spPr>
          <c:val>
            <c:numRef>
              <c:f>'2.123 Нелин. поверхность'!$G$57:$BE$57</c:f>
              <c:numCache>
                <c:formatCode>General</c:formatCode>
                <c:ptCount val="51"/>
                <c:pt idx="0">
                  <c:v>50.409344026078479</c:v>
                </c:pt>
                <c:pt idx="1">
                  <c:v>51.32843269227714</c:v>
                </c:pt>
                <c:pt idx="2">
                  <c:v>52.284102822550352</c:v>
                </c:pt>
                <c:pt idx="3">
                  <c:v>53.276354416898108</c:v>
                </c:pt>
                <c:pt idx="4">
                  <c:v>54.30518747532043</c:v>
                </c:pt>
                <c:pt idx="5">
                  <c:v>55.370601997817296</c:v>
                </c:pt>
                <c:pt idx="6">
                  <c:v>56.472597984388713</c:v>
                </c:pt>
                <c:pt idx="7">
                  <c:v>57.611175435034681</c:v>
                </c:pt>
                <c:pt idx="8">
                  <c:v>58.786334349755208</c:v>
                </c:pt>
                <c:pt idx="9">
                  <c:v>59.998074728550286</c:v>
                </c:pt>
                <c:pt idx="10">
                  <c:v>61.246396571419908</c:v>
                </c:pt>
                <c:pt idx="11">
                  <c:v>62.531299878364095</c:v>
                </c:pt>
                <c:pt idx="12">
                  <c:v>63.852784649382819</c:v>
                </c:pt>
                <c:pt idx="13">
                  <c:v>65.210850884476116</c:v>
                </c:pt>
                <c:pt idx="14">
                  <c:v>66.605498583643936</c:v>
                </c:pt>
                <c:pt idx="15">
                  <c:v>68.036727746886328</c:v>
                </c:pt>
                <c:pt idx="16">
                  <c:v>69.504538374203278</c:v>
                </c:pt>
                <c:pt idx="17">
                  <c:v>71.008930465594759</c:v>
                </c:pt>
                <c:pt idx="18">
                  <c:v>72.549904021060811</c:v>
                </c:pt>
                <c:pt idx="19">
                  <c:v>74.127459040601394</c:v>
                </c:pt>
                <c:pt idx="20">
                  <c:v>75.74159552421655</c:v>
                </c:pt>
                <c:pt idx="21">
                  <c:v>77.392313471906249</c:v>
                </c:pt>
                <c:pt idx="22">
                  <c:v>79.079612883670507</c:v>
                </c:pt>
                <c:pt idx="23">
                  <c:v>80.803493759509308</c:v>
                </c:pt>
                <c:pt idx="24">
                  <c:v>82.563956099422654</c:v>
                </c:pt>
                <c:pt idx="25">
                  <c:v>84.360999903410573</c:v>
                </c:pt>
                <c:pt idx="26">
                  <c:v>86.194625171473035</c:v>
                </c:pt>
                <c:pt idx="27">
                  <c:v>88.064831903610042</c:v>
                </c:pt>
                <c:pt idx="28">
                  <c:v>89.971620099821592</c:v>
                </c:pt>
                <c:pt idx="29">
                  <c:v>91.91498976010773</c:v>
                </c:pt>
                <c:pt idx="30">
                  <c:v>93.894940884468397</c:v>
                </c:pt>
                <c:pt idx="31">
                  <c:v>95.911473472903623</c:v>
                </c:pt>
                <c:pt idx="32">
                  <c:v>97.964587525413393</c:v>
                </c:pt>
                <c:pt idx="33">
                  <c:v>100.05428304199771</c:v>
                </c:pt>
                <c:pt idx="34">
                  <c:v>102.18056002265658</c:v>
                </c:pt>
                <c:pt idx="35">
                  <c:v>104.34341846739002</c:v>
                </c:pt>
                <c:pt idx="36">
                  <c:v>106.542858376198</c:v>
                </c:pt>
                <c:pt idx="37">
                  <c:v>108.77887974908053</c:v>
                </c:pt>
                <c:pt idx="38">
                  <c:v>111.05148258603762</c:v>
                </c:pt>
                <c:pt idx="39">
                  <c:v>113.36066688706924</c:v>
                </c:pt>
                <c:pt idx="40">
                  <c:v>115.70643265217544</c:v>
                </c:pt>
                <c:pt idx="41">
                  <c:v>118.08877988135617</c:v>
                </c:pt>
                <c:pt idx="42">
                  <c:v>120.50770857461148</c:v>
                </c:pt>
                <c:pt idx="43">
                  <c:v>122.96321873194131</c:v>
                </c:pt>
                <c:pt idx="44">
                  <c:v>125.45531035334572</c:v>
                </c:pt>
                <c:pt idx="45">
                  <c:v>127.98398343882465</c:v>
                </c:pt>
                <c:pt idx="46">
                  <c:v>130.54923798837814</c:v>
                </c:pt>
                <c:pt idx="47">
                  <c:v>133.15107400200623</c:v>
                </c:pt>
                <c:pt idx="48">
                  <c:v>135.78949147970883</c:v>
                </c:pt>
                <c:pt idx="49">
                  <c:v>138.464490421486</c:v>
                </c:pt>
                <c:pt idx="50">
                  <c:v>141.1760708273377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3173-45E0-B583-DC18B249C1BC}"/>
            </c:ext>
          </c:extLst>
        </c:ser>
        <c:ser>
          <c:idx val="49"/>
          <c:order val="49"/>
          <c:spPr>
            <a:solidFill>
              <a:schemeClr val="accent2">
                <a:lumMod val="50000"/>
                <a:lumOff val="50000"/>
              </a:schemeClr>
            </a:solidFill>
            <a:ln/>
            <a:effectLst/>
            <a:sp3d/>
          </c:spPr>
          <c:val>
            <c:numRef>
              <c:f>'2.123 Нелин. поверхность'!$G$58:$BE$58</c:f>
              <c:numCache>
                <c:formatCode>General</c:formatCode>
                <c:ptCount val="51"/>
                <c:pt idx="0">
                  <c:v>52.295676060573896</c:v>
                </c:pt>
                <c:pt idx="1">
                  <c:v>53.232128392670418</c:v>
                </c:pt>
                <c:pt idx="2">
                  <c:v>54.205162188841499</c:v>
                </c:pt>
                <c:pt idx="3">
                  <c:v>55.214777449087123</c:v>
                </c:pt>
                <c:pt idx="4">
                  <c:v>56.260974173407305</c:v>
                </c:pt>
                <c:pt idx="5">
                  <c:v>57.343752361802032</c:v>
                </c:pt>
                <c:pt idx="6">
                  <c:v>58.463112014271317</c:v>
                </c:pt>
                <c:pt idx="7">
                  <c:v>59.619053130815153</c:v>
                </c:pt>
                <c:pt idx="8">
                  <c:v>60.811575711433548</c:v>
                </c:pt>
                <c:pt idx="9">
                  <c:v>62.04067975612648</c:v>
                </c:pt>
                <c:pt idx="10">
                  <c:v>63.306365264893977</c:v>
                </c:pt>
                <c:pt idx="11">
                  <c:v>64.608632237736018</c:v>
                </c:pt>
                <c:pt idx="12">
                  <c:v>65.94748067465261</c:v>
                </c:pt>
                <c:pt idx="13">
                  <c:v>67.32291057564376</c:v>
                </c:pt>
                <c:pt idx="14">
                  <c:v>68.734921940709455</c:v>
                </c:pt>
                <c:pt idx="15">
                  <c:v>70.183514769849722</c:v>
                </c:pt>
                <c:pt idx="16">
                  <c:v>71.668689063064519</c:v>
                </c:pt>
                <c:pt idx="17">
                  <c:v>73.190444820353875</c:v>
                </c:pt>
                <c:pt idx="18">
                  <c:v>74.748782041717789</c:v>
                </c:pt>
                <c:pt idx="19">
                  <c:v>76.343700727156246</c:v>
                </c:pt>
                <c:pt idx="20">
                  <c:v>77.975200876669263</c:v>
                </c:pt>
                <c:pt idx="21">
                  <c:v>79.643282490256823</c:v>
                </c:pt>
                <c:pt idx="22">
                  <c:v>81.347945567918941</c:v>
                </c:pt>
                <c:pt idx="23">
                  <c:v>83.089190109655604</c:v>
                </c:pt>
                <c:pt idx="24">
                  <c:v>84.867016115466839</c:v>
                </c:pt>
                <c:pt idx="25">
                  <c:v>86.681423585352604</c:v>
                </c:pt>
                <c:pt idx="26">
                  <c:v>88.532412519312928</c:v>
                </c:pt>
                <c:pt idx="27">
                  <c:v>90.419982917347809</c:v>
                </c:pt>
                <c:pt idx="28">
                  <c:v>92.344134779457235</c:v>
                </c:pt>
                <c:pt idx="29">
                  <c:v>94.304868105641219</c:v>
                </c:pt>
                <c:pt idx="30">
                  <c:v>96.302182895899747</c:v>
                </c:pt>
                <c:pt idx="31">
                  <c:v>98.336079150232834</c:v>
                </c:pt>
                <c:pt idx="32">
                  <c:v>100.40655686864048</c:v>
                </c:pt>
                <c:pt idx="33">
                  <c:v>102.51361605112265</c:v>
                </c:pt>
                <c:pt idx="34">
                  <c:v>104.6572566976794</c:v>
                </c:pt>
                <c:pt idx="35">
                  <c:v>106.83747880831069</c:v>
                </c:pt>
                <c:pt idx="36">
                  <c:v>109.05428238301654</c:v>
                </c:pt>
                <c:pt idx="37">
                  <c:v>111.30766742179694</c:v>
                </c:pt>
                <c:pt idx="38">
                  <c:v>113.59763392465189</c:v>
                </c:pt>
                <c:pt idx="39">
                  <c:v>115.92418189158138</c:v>
                </c:pt>
                <c:pt idx="40">
                  <c:v>118.28731132258545</c:v>
                </c:pt>
                <c:pt idx="41">
                  <c:v>120.68702221766405</c:v>
                </c:pt>
                <c:pt idx="42">
                  <c:v>123.12331457681721</c:v>
                </c:pt>
                <c:pt idx="43">
                  <c:v>125.59618840004492</c:v>
                </c:pt>
                <c:pt idx="44">
                  <c:v>128.1056436873472</c:v>
                </c:pt>
                <c:pt idx="45">
                  <c:v>130.65168043872399</c:v>
                </c:pt>
                <c:pt idx="46">
                  <c:v>133.23429865417535</c:v>
                </c:pt>
                <c:pt idx="47">
                  <c:v>135.85349833370128</c:v>
                </c:pt>
                <c:pt idx="48">
                  <c:v>138.50927947730173</c:v>
                </c:pt>
                <c:pt idx="49">
                  <c:v>141.20164208497678</c:v>
                </c:pt>
                <c:pt idx="50">
                  <c:v>143.93058615672635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3173-45E0-B583-DC18B249C1BC}"/>
            </c:ext>
          </c:extLst>
        </c:ser>
        <c:ser>
          <c:idx val="50"/>
          <c:order val="50"/>
          <c:spPr>
            <a:solidFill>
              <a:schemeClr val="accent3">
                <a:lumMod val="50000"/>
                <a:lumOff val="50000"/>
              </a:schemeClr>
            </a:solidFill>
            <a:ln/>
            <a:effectLst/>
            <a:sp3d/>
          </c:spPr>
          <c:val>
            <c:numRef>
              <c:f>'2.123 Нелин. поверхность'!$G$59:$BE$59</c:f>
              <c:numCache>
                <c:formatCode>General</c:formatCode>
                <c:ptCount val="51"/>
                <c:pt idx="0">
                  <c:v>2.7798699951090384</c:v>
                </c:pt>
                <c:pt idx="1">
                  <c:v>2.8481390323123197</c:v>
                </c:pt>
                <c:pt idx="2">
                  <c:v>2.952989533590153</c:v>
                </c:pt>
                <c:pt idx="3">
                  <c:v>3.0944214989425385</c:v>
                </c:pt>
                <c:pt idx="4">
                  <c:v>3.272434928369476</c:v>
                </c:pt>
                <c:pt idx="5">
                  <c:v>3.4870298218709648</c:v>
                </c:pt>
                <c:pt idx="6">
                  <c:v>3.7382061794470065</c:v>
                </c:pt>
                <c:pt idx="7">
                  <c:v>4.0259640010975994</c:v>
                </c:pt>
                <c:pt idx="8">
                  <c:v>4.3503032868227454</c:v>
                </c:pt>
                <c:pt idx="9">
                  <c:v>4.7112240366224434</c:v>
                </c:pt>
                <c:pt idx="10">
                  <c:v>5.1087262504966926</c:v>
                </c:pt>
                <c:pt idx="11">
                  <c:v>5.5428099284454948</c:v>
                </c:pt>
                <c:pt idx="12">
                  <c:v>6.0134750704688482</c:v>
                </c:pt>
                <c:pt idx="13">
                  <c:v>6.5207216765667546</c:v>
                </c:pt>
                <c:pt idx="14">
                  <c:v>7.0645497467392122</c:v>
                </c:pt>
                <c:pt idx="15">
                  <c:v>7.6449592809862228</c:v>
                </c:pt>
                <c:pt idx="16">
                  <c:v>8.2619502793077864</c:v>
                </c:pt>
                <c:pt idx="17">
                  <c:v>8.9155227417038976</c:v>
                </c:pt>
                <c:pt idx="18">
                  <c:v>9.6056766681745653</c:v>
                </c:pt>
                <c:pt idx="19">
                  <c:v>10.332412058719783</c:v>
                </c:pt>
                <c:pt idx="20">
                  <c:v>11.095728913339553</c:v>
                </c:pt>
                <c:pt idx="21">
                  <c:v>11.895627232033876</c:v>
                </c:pt>
                <c:pt idx="22">
                  <c:v>12.732107014802752</c:v>
                </c:pt>
                <c:pt idx="23">
                  <c:v>13.605168261646174</c:v>
                </c:pt>
                <c:pt idx="24">
                  <c:v>14.514810972564154</c:v>
                </c:pt>
                <c:pt idx="25">
                  <c:v>15.461035147556686</c:v>
                </c:pt>
                <c:pt idx="26">
                  <c:v>16.44384078662377</c:v>
                </c:pt>
                <c:pt idx="27">
                  <c:v>17.463227889765406</c:v>
                </c:pt>
                <c:pt idx="28">
                  <c:v>18.519196456981589</c:v>
                </c:pt>
                <c:pt idx="29">
                  <c:v>19.611746488272331</c:v>
                </c:pt>
                <c:pt idx="30">
                  <c:v>20.74087798363762</c:v>
                </c:pt>
                <c:pt idx="31">
                  <c:v>21.906590943077465</c:v>
                </c:pt>
                <c:pt idx="32">
                  <c:v>23.108885366591863</c:v>
                </c:pt>
                <c:pt idx="33">
                  <c:v>24.347761254180803</c:v>
                </c:pt>
                <c:pt idx="34">
                  <c:v>25.623218605844301</c:v>
                </c:pt>
                <c:pt idx="35">
                  <c:v>26.935257421582357</c:v>
                </c:pt>
                <c:pt idx="36">
                  <c:v>28.28387770139496</c:v>
                </c:pt>
                <c:pt idx="37">
                  <c:v>29.669079445282115</c:v>
                </c:pt>
                <c:pt idx="38">
                  <c:v>31.090862653243818</c:v>
                </c:pt>
                <c:pt idx="39">
                  <c:v>32.549227325280079</c:v>
                </c:pt>
                <c:pt idx="40">
                  <c:v>34.044173461390891</c:v>
                </c:pt>
                <c:pt idx="41">
                  <c:v>35.575701061576254</c:v>
                </c:pt>
                <c:pt idx="42">
                  <c:v>37.143810125836168</c:v>
                </c:pt>
                <c:pt idx="43">
                  <c:v>38.748500654170634</c:v>
                </c:pt>
                <c:pt idx="44">
                  <c:v>40.389772646579665</c:v>
                </c:pt>
                <c:pt idx="45">
                  <c:v>42.067626103063233</c:v>
                </c:pt>
                <c:pt idx="46">
                  <c:v>43.782061023621345</c:v>
                </c:pt>
                <c:pt idx="47">
                  <c:v>45.533077408254037</c:v>
                </c:pt>
                <c:pt idx="48">
                  <c:v>47.320675256961259</c:v>
                </c:pt>
                <c:pt idx="49">
                  <c:v>49.144854569743046</c:v>
                </c:pt>
                <c:pt idx="50">
                  <c:v>51.00561534659937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3173-45E0-B583-DC18B249C1BC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2088541711"/>
        <c:axId val="2088535951"/>
        <c:axId val="2035968031"/>
      </c:surface3DChart>
      <c:catAx>
        <c:axId val="2088541711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88535951"/>
        <c:crosses val="autoZero"/>
        <c:auto val="1"/>
        <c:lblAlgn val="ctr"/>
        <c:lblOffset val="100"/>
        <c:noMultiLvlLbl val="0"/>
      </c:catAx>
      <c:valAx>
        <c:axId val="2088535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88541711"/>
        <c:crosses val="autoZero"/>
        <c:crossBetween val="midCat"/>
      </c:valAx>
      <c:serAx>
        <c:axId val="2035968031"/>
        <c:scaling>
          <c:orientation val="minMax"/>
        </c:scaling>
        <c:delete val="1"/>
        <c:axPos val="b"/>
        <c:majorTickMark val="out"/>
        <c:minorTickMark val="none"/>
        <c:tickLblPos val="nextTo"/>
        <c:crossAx val="2088535951"/>
        <c:crosses val="autoZero"/>
      </c:ser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spPr>
            <a:solidFill>
              <a:schemeClr val="accent1"/>
            </a:solidFill>
            <a:ln/>
            <a:effectLst/>
            <a:sp3d/>
          </c:spPr>
          <c:val>
            <c:numRef>
              <c:f>'2.123 Нелин. поверхность'!$G$9:$BE$9</c:f>
              <c:numCache>
                <c:formatCode>General</c:formatCode>
                <c:ptCount val="51"/>
                <c:pt idx="0">
                  <c:v>2.8741702032322065</c:v>
                </c:pt>
                <c:pt idx="1">
                  <c:v>2.9598029063333526</c:v>
                </c:pt>
                <c:pt idx="2">
                  <c:v>3.0820170735090509</c:v>
                </c:pt>
                <c:pt idx="3">
                  <c:v>3.2408127047593012</c:v>
                </c:pt>
                <c:pt idx="4">
                  <c:v>3.4361898000841031</c:v>
                </c:pt>
                <c:pt idx="5">
                  <c:v>3.6681483594834572</c:v>
                </c:pt>
                <c:pt idx="6">
                  <c:v>3.9366883829573633</c:v>
                </c:pt>
                <c:pt idx="7">
                  <c:v>4.2418098705058211</c:v>
                </c:pt>
                <c:pt idx="8">
                  <c:v>4.5835128221288324</c:v>
                </c:pt>
                <c:pt idx="9">
                  <c:v>4.9617972378263939</c:v>
                </c:pt>
                <c:pt idx="10">
                  <c:v>5.3766631175985093</c:v>
                </c:pt>
                <c:pt idx="11">
                  <c:v>5.828110461445176</c:v>
                </c:pt>
                <c:pt idx="12">
                  <c:v>6.3161392693663938</c:v>
                </c:pt>
                <c:pt idx="13">
                  <c:v>6.8407495413621655</c:v>
                </c:pt>
                <c:pt idx="14">
                  <c:v>7.4019412774324875</c:v>
                </c:pt>
                <c:pt idx="15">
                  <c:v>7.9997144775773625</c:v>
                </c:pt>
                <c:pt idx="16">
                  <c:v>8.6340691417967914</c:v>
                </c:pt>
                <c:pt idx="17">
                  <c:v>9.3050052700907671</c:v>
                </c:pt>
                <c:pt idx="18">
                  <c:v>10.012522862459299</c:v>
                </c:pt>
                <c:pt idx="19">
                  <c:v>10.756621918902383</c:v>
                </c:pt>
                <c:pt idx="20">
                  <c:v>11.537302439420019</c:v>
                </c:pt>
                <c:pt idx="21">
                  <c:v>12.354564424012205</c:v>
                </c:pt>
                <c:pt idx="22">
                  <c:v>13.208407872678945</c:v>
                </c:pt>
                <c:pt idx="23">
                  <c:v>14.098832785420235</c:v>
                </c:pt>
                <c:pt idx="24">
                  <c:v>15.025839162236078</c:v>
                </c:pt>
                <c:pt idx="25">
                  <c:v>15.989427003126474</c:v>
                </c:pt>
                <c:pt idx="26">
                  <c:v>16.989596308091421</c:v>
                </c:pt>
                <c:pt idx="27">
                  <c:v>18.026347077130922</c:v>
                </c:pt>
                <c:pt idx="28">
                  <c:v>19.099679310244969</c:v>
                </c:pt>
                <c:pt idx="29">
                  <c:v>20.209593007433575</c:v>
                </c:pt>
                <c:pt idx="30">
                  <c:v>21.356088168696733</c:v>
                </c:pt>
                <c:pt idx="31">
                  <c:v>22.539164794034441</c:v>
                </c:pt>
                <c:pt idx="32">
                  <c:v>23.758822883446705</c:v>
                </c:pt>
                <c:pt idx="33">
                  <c:v>25.015062436933508</c:v>
                </c:pt>
                <c:pt idx="34">
                  <c:v>26.307883454494874</c:v>
                </c:pt>
                <c:pt idx="35">
                  <c:v>27.637285936130791</c:v>
                </c:pt>
                <c:pt idx="36">
                  <c:v>29.003269881841259</c:v>
                </c:pt>
                <c:pt idx="37">
                  <c:v>30.405835291626282</c:v>
                </c:pt>
                <c:pt idx="38">
                  <c:v>31.844982165485852</c:v>
                </c:pt>
                <c:pt idx="39">
                  <c:v>33.320710503419981</c:v>
                </c:pt>
                <c:pt idx="40">
                  <c:v>34.833020305428654</c:v>
                </c:pt>
                <c:pt idx="41">
                  <c:v>36.381911571511878</c:v>
                </c:pt>
                <c:pt idx="42">
                  <c:v>37.967384301669668</c:v>
                </c:pt>
                <c:pt idx="43">
                  <c:v>39.589438495901994</c:v>
                </c:pt>
                <c:pt idx="44">
                  <c:v>41.248074154208894</c:v>
                </c:pt>
                <c:pt idx="45">
                  <c:v>42.943291276590315</c:v>
                </c:pt>
                <c:pt idx="46">
                  <c:v>44.675089863046303</c:v>
                </c:pt>
                <c:pt idx="47">
                  <c:v>46.443469913576855</c:v>
                </c:pt>
                <c:pt idx="48">
                  <c:v>48.248431428181938</c:v>
                </c:pt>
                <c:pt idx="49">
                  <c:v>50.089974406861593</c:v>
                </c:pt>
                <c:pt idx="50">
                  <c:v>51.968098849615785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27-4A37-BB93-78B8FCC8438F}"/>
            </c:ext>
          </c:extLst>
        </c:ser>
        <c:ser>
          <c:idx val="1"/>
          <c:order val="1"/>
          <c:spPr>
            <a:solidFill>
              <a:schemeClr val="accent2"/>
            </a:solidFill>
            <a:ln/>
            <a:effectLst/>
            <a:sp3d/>
          </c:spPr>
          <c:val>
            <c:numRef>
              <c:f>'2.123 Нелин. поверхность'!$G$10:$BE$10</c:f>
              <c:numCache>
                <c:formatCode>General</c:formatCode>
                <c:ptCount val="51"/>
                <c:pt idx="0">
                  <c:v>3.0050424894446044</c:v>
                </c:pt>
                <c:pt idx="1">
                  <c:v>3.1080388584436154</c:v>
                </c:pt>
                <c:pt idx="2">
                  <c:v>3.2476166915171785</c:v>
                </c:pt>
                <c:pt idx="3">
                  <c:v>3.4237759886652936</c:v>
                </c:pt>
                <c:pt idx="4">
                  <c:v>3.6365167498879609</c:v>
                </c:pt>
                <c:pt idx="5">
                  <c:v>3.8858389751851794</c:v>
                </c:pt>
                <c:pt idx="6">
                  <c:v>4.1717426645569509</c:v>
                </c:pt>
                <c:pt idx="7">
                  <c:v>4.4942278180032735</c:v>
                </c:pt>
                <c:pt idx="8">
                  <c:v>4.8532944355241501</c:v>
                </c:pt>
                <c:pt idx="9">
                  <c:v>5.2489425171195769</c:v>
                </c:pt>
                <c:pt idx="10">
                  <c:v>5.6811720627895568</c:v>
                </c:pt>
                <c:pt idx="11">
                  <c:v>6.1499830725340887</c:v>
                </c:pt>
                <c:pt idx="12">
                  <c:v>6.655375546353171</c:v>
                </c:pt>
                <c:pt idx="13">
                  <c:v>7.1973494842468071</c:v>
                </c:pt>
                <c:pt idx="14">
                  <c:v>7.7759048862149927</c:v>
                </c:pt>
                <c:pt idx="15">
                  <c:v>8.391041752257733</c:v>
                </c:pt>
                <c:pt idx="16">
                  <c:v>9.0427600823750272</c:v>
                </c:pt>
                <c:pt idx="17">
                  <c:v>9.731059876566869</c:v>
                </c:pt>
                <c:pt idx="18">
                  <c:v>10.455941134833267</c:v>
                </c:pt>
                <c:pt idx="19">
                  <c:v>11.217403857174212</c:v>
                </c:pt>
                <c:pt idx="20">
                  <c:v>12.015448043589714</c:v>
                </c:pt>
                <c:pt idx="21">
                  <c:v>12.850073694079766</c:v>
                </c:pt>
                <c:pt idx="22">
                  <c:v>13.721280808644373</c:v>
                </c:pt>
                <c:pt idx="23">
                  <c:v>14.629069387283524</c:v>
                </c:pt>
                <c:pt idx="24">
                  <c:v>15.573439429997235</c:v>
                </c:pt>
                <c:pt idx="25">
                  <c:v>16.554390936785495</c:v>
                </c:pt>
                <c:pt idx="26">
                  <c:v>17.571923907648305</c:v>
                </c:pt>
                <c:pt idx="27">
                  <c:v>18.626038342585673</c:v>
                </c:pt>
                <c:pt idx="28">
                  <c:v>19.716734241597585</c:v>
                </c:pt>
                <c:pt idx="29">
                  <c:v>20.844011604684056</c:v>
                </c:pt>
                <c:pt idx="30">
                  <c:v>22.007870431845074</c:v>
                </c:pt>
                <c:pt idx="31">
                  <c:v>23.208310723080647</c:v>
                </c:pt>
                <c:pt idx="32">
                  <c:v>24.445332478390778</c:v>
                </c:pt>
                <c:pt idx="33">
                  <c:v>25.718935697775446</c:v>
                </c:pt>
                <c:pt idx="34">
                  <c:v>27.029120381234677</c:v>
                </c:pt>
                <c:pt idx="35">
                  <c:v>28.375886528768458</c:v>
                </c:pt>
                <c:pt idx="36">
                  <c:v>29.759234140376794</c:v>
                </c:pt>
                <c:pt idx="37">
                  <c:v>31.179163216059681</c:v>
                </c:pt>
                <c:pt idx="38">
                  <c:v>32.635673755817116</c:v>
                </c:pt>
                <c:pt idx="39">
                  <c:v>34.128765759649106</c:v>
                </c:pt>
                <c:pt idx="40">
                  <c:v>35.658439227555647</c:v>
                </c:pt>
                <c:pt idx="41">
                  <c:v>37.224694159536732</c:v>
                </c:pt>
                <c:pt idx="42">
                  <c:v>38.827530555592382</c:v>
                </c:pt>
                <c:pt idx="43">
                  <c:v>40.466948415722577</c:v>
                </c:pt>
                <c:pt idx="44">
                  <c:v>42.142947739927337</c:v>
                </c:pt>
                <c:pt idx="45">
                  <c:v>43.855528528206627</c:v>
                </c:pt>
                <c:pt idx="46">
                  <c:v>45.604690780560482</c:v>
                </c:pt>
                <c:pt idx="47">
                  <c:v>47.390434496988902</c:v>
                </c:pt>
                <c:pt idx="48">
                  <c:v>49.212759677491846</c:v>
                </c:pt>
                <c:pt idx="49">
                  <c:v>51.071666322069369</c:v>
                </c:pt>
                <c:pt idx="50">
                  <c:v>52.967154430721422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27-4A37-BB93-78B8FCC8438F}"/>
            </c:ext>
          </c:extLst>
        </c:ser>
        <c:ser>
          <c:idx val="2"/>
          <c:order val="2"/>
          <c:spPr>
            <a:solidFill>
              <a:schemeClr val="accent3"/>
            </a:solidFill>
            <a:ln/>
            <a:effectLst/>
            <a:sp3d/>
          </c:spPr>
          <c:val>
            <c:numRef>
              <c:f>'2.123 Нелин. поверхность'!$G$11:$BE$11</c:f>
              <c:numCache>
                <c:formatCode>General</c:formatCode>
                <c:ptCount val="51"/>
                <c:pt idx="0">
                  <c:v>3.1724868537462316</c:v>
                </c:pt>
                <c:pt idx="1">
                  <c:v>3.2928468886431075</c:v>
                </c:pt>
                <c:pt idx="2">
                  <c:v>3.4497883876145354</c:v>
                </c:pt>
                <c:pt idx="3">
                  <c:v>3.6433113506605155</c:v>
                </c:pt>
                <c:pt idx="4">
                  <c:v>3.8734157777810472</c:v>
                </c:pt>
                <c:pt idx="5">
                  <c:v>4.140101668976131</c:v>
                </c:pt>
                <c:pt idx="6">
                  <c:v>4.4433690242457669</c:v>
                </c:pt>
                <c:pt idx="7">
                  <c:v>4.7832178435899539</c:v>
                </c:pt>
                <c:pt idx="8">
                  <c:v>5.1596481270086958</c:v>
                </c:pt>
                <c:pt idx="9">
                  <c:v>5.5726598745019871</c:v>
                </c:pt>
                <c:pt idx="10">
                  <c:v>6.0222530860698313</c:v>
                </c:pt>
                <c:pt idx="11">
                  <c:v>6.5084277617122286</c:v>
                </c:pt>
                <c:pt idx="12">
                  <c:v>7.0311839014291753</c:v>
                </c:pt>
                <c:pt idx="13">
                  <c:v>7.5905215052206776</c:v>
                </c:pt>
                <c:pt idx="14">
                  <c:v>8.1864405730867276</c:v>
                </c:pt>
                <c:pt idx="15">
                  <c:v>8.8189411050273332</c:v>
                </c:pt>
                <c:pt idx="16">
                  <c:v>9.48802310104249</c:v>
                </c:pt>
                <c:pt idx="17">
                  <c:v>10.193686561132198</c:v>
                </c:pt>
                <c:pt idx="18">
                  <c:v>10.935931485296459</c:v>
                </c:pt>
                <c:pt idx="19">
                  <c:v>11.714757873535273</c:v>
                </c:pt>
                <c:pt idx="20">
                  <c:v>12.530165725848637</c:v>
                </c:pt>
                <c:pt idx="21">
                  <c:v>13.382155042236553</c:v>
                </c:pt>
                <c:pt idx="22">
                  <c:v>14.270725822699024</c:v>
                </c:pt>
                <c:pt idx="23">
                  <c:v>15.195878067236041</c:v>
                </c:pt>
                <c:pt idx="24">
                  <c:v>16.157611775847617</c:v>
                </c:pt>
                <c:pt idx="25">
                  <c:v>17.155926948533743</c:v>
                </c:pt>
                <c:pt idx="26">
                  <c:v>18.190823585294421</c:v>
                </c:pt>
                <c:pt idx="27">
                  <c:v>19.26230168612965</c:v>
                </c:pt>
                <c:pt idx="28">
                  <c:v>20.370361251039427</c:v>
                </c:pt>
                <c:pt idx="29">
                  <c:v>21.515002280023761</c:v>
                </c:pt>
                <c:pt idx="30">
                  <c:v>22.696224773082651</c:v>
                </c:pt>
                <c:pt idx="31">
                  <c:v>23.914028730216089</c:v>
                </c:pt>
                <c:pt idx="32">
                  <c:v>25.168414151424081</c:v>
                </c:pt>
                <c:pt idx="33">
                  <c:v>26.459381036706613</c:v>
                </c:pt>
                <c:pt idx="34">
                  <c:v>27.786929386063708</c:v>
                </c:pt>
                <c:pt idx="35">
                  <c:v>29.151059199495357</c:v>
                </c:pt>
                <c:pt idx="36">
                  <c:v>30.551770477001558</c:v>
                </c:pt>
                <c:pt idx="37">
                  <c:v>31.989063218582306</c:v>
                </c:pt>
                <c:pt idx="38">
                  <c:v>33.462937424237602</c:v>
                </c:pt>
                <c:pt idx="39">
                  <c:v>34.973393093967459</c:v>
                </c:pt>
                <c:pt idx="40">
                  <c:v>36.520430227771868</c:v>
                </c:pt>
                <c:pt idx="41">
                  <c:v>38.104048825650821</c:v>
                </c:pt>
                <c:pt idx="42">
                  <c:v>39.72424888760434</c:v>
                </c:pt>
                <c:pt idx="43">
                  <c:v>41.381030413632395</c:v>
                </c:pt>
                <c:pt idx="44">
                  <c:v>43.074393403735016</c:v>
                </c:pt>
                <c:pt idx="45">
                  <c:v>44.804337857912181</c:v>
                </c:pt>
                <c:pt idx="46">
                  <c:v>46.57086377616389</c:v>
                </c:pt>
                <c:pt idx="47">
                  <c:v>48.373971158490171</c:v>
                </c:pt>
                <c:pt idx="48">
                  <c:v>50.21366000489099</c:v>
                </c:pt>
                <c:pt idx="49">
                  <c:v>52.089930315366374</c:v>
                </c:pt>
                <c:pt idx="50">
                  <c:v>54.002782089916288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27-4A37-BB93-78B8FCC8438F}"/>
            </c:ext>
          </c:extLst>
        </c:ser>
        <c:ser>
          <c:idx val="3"/>
          <c:order val="3"/>
          <c:spPr>
            <a:solidFill>
              <a:schemeClr val="accent4"/>
            </a:solidFill>
            <a:ln/>
            <a:effectLst/>
            <a:sp3d/>
          </c:spPr>
          <c:val>
            <c:numRef>
              <c:f>'2.123 Нелин. поверхность'!$G$12:$BE$12</c:f>
              <c:numCache>
                <c:formatCode>General</c:formatCode>
                <c:ptCount val="51"/>
                <c:pt idx="0">
                  <c:v>3.3765032961370887</c:v>
                </c:pt>
                <c:pt idx="1">
                  <c:v>3.5142269969318294</c:v>
                </c:pt>
                <c:pt idx="2">
                  <c:v>3.6885321618011222</c:v>
                </c:pt>
                <c:pt idx="3">
                  <c:v>3.8994187907449671</c:v>
                </c:pt>
                <c:pt idx="4">
                  <c:v>4.1468868837633641</c:v>
                </c:pt>
                <c:pt idx="5">
                  <c:v>4.4309364408563123</c:v>
                </c:pt>
                <c:pt idx="6">
                  <c:v>4.7515674620238135</c:v>
                </c:pt>
                <c:pt idx="7">
                  <c:v>5.1087799472658659</c:v>
                </c:pt>
                <c:pt idx="8">
                  <c:v>5.5025738965824713</c:v>
                </c:pt>
                <c:pt idx="9">
                  <c:v>5.9329493099736288</c:v>
                </c:pt>
                <c:pt idx="10">
                  <c:v>6.3999061874393375</c:v>
                </c:pt>
                <c:pt idx="11">
                  <c:v>6.9034445289795991</c:v>
                </c:pt>
                <c:pt idx="12">
                  <c:v>7.443564334594412</c:v>
                </c:pt>
                <c:pt idx="13">
                  <c:v>8.0202656042837788</c:v>
                </c:pt>
                <c:pt idx="14">
                  <c:v>8.6335483380476941</c:v>
                </c:pt>
                <c:pt idx="15">
                  <c:v>9.2834125358861641</c:v>
                </c:pt>
                <c:pt idx="16">
                  <c:v>9.9698581977991854</c:v>
                </c:pt>
                <c:pt idx="17">
                  <c:v>10.692885323786758</c:v>
                </c:pt>
                <c:pt idx="18">
                  <c:v>11.452493913848885</c:v>
                </c:pt>
                <c:pt idx="19">
                  <c:v>12.248683967985562</c:v>
                </c:pt>
                <c:pt idx="20">
                  <c:v>13.081455486196793</c:v>
                </c:pt>
                <c:pt idx="21">
                  <c:v>13.950808468482574</c:v>
                </c:pt>
                <c:pt idx="22">
                  <c:v>14.85674291484291</c:v>
                </c:pt>
                <c:pt idx="23">
                  <c:v>15.799258825277793</c:v>
                </c:pt>
                <c:pt idx="24">
                  <c:v>16.778356199787233</c:v>
                </c:pt>
                <c:pt idx="25">
                  <c:v>17.79403503837122</c:v>
                </c:pt>
                <c:pt idx="26">
                  <c:v>18.846295341029766</c:v>
                </c:pt>
                <c:pt idx="27">
                  <c:v>19.935137107762859</c:v>
                </c:pt>
                <c:pt idx="28">
                  <c:v>21.0605603385705</c:v>
                </c:pt>
                <c:pt idx="29">
                  <c:v>22.222565033452703</c:v>
                </c:pt>
                <c:pt idx="30">
                  <c:v>23.421151192409454</c:v>
                </c:pt>
                <c:pt idx="31">
                  <c:v>24.656318815440759</c:v>
                </c:pt>
                <c:pt idx="32">
                  <c:v>25.928067902546612</c:v>
                </c:pt>
                <c:pt idx="33">
                  <c:v>27.236398453727013</c:v>
                </c:pt>
                <c:pt idx="34">
                  <c:v>28.581310468981972</c:v>
                </c:pt>
                <c:pt idx="35">
                  <c:v>29.962803948311485</c:v>
                </c:pt>
                <c:pt idx="36">
                  <c:v>31.38087889171555</c:v>
                </c:pt>
                <c:pt idx="37">
                  <c:v>32.835535299194163</c:v>
                </c:pt>
                <c:pt idx="38">
                  <c:v>34.32677317074733</c:v>
                </c:pt>
                <c:pt idx="39">
                  <c:v>35.854592506375042</c:v>
                </c:pt>
                <c:pt idx="40">
                  <c:v>37.418993306077319</c:v>
                </c:pt>
                <c:pt idx="41">
                  <c:v>39.01997556985414</c:v>
                </c:pt>
                <c:pt idx="42">
                  <c:v>40.657539297705519</c:v>
                </c:pt>
                <c:pt idx="43">
                  <c:v>42.331684489631435</c:v>
                </c:pt>
                <c:pt idx="44">
                  <c:v>44.042411145631931</c:v>
                </c:pt>
                <c:pt idx="45">
                  <c:v>45.789719265706957</c:v>
                </c:pt>
                <c:pt idx="46">
                  <c:v>47.573608849856527</c:v>
                </c:pt>
                <c:pt idx="47">
                  <c:v>49.394079898080676</c:v>
                </c:pt>
                <c:pt idx="48">
                  <c:v>51.251132410379363</c:v>
                </c:pt>
                <c:pt idx="49">
                  <c:v>53.144766386752615</c:v>
                </c:pt>
                <c:pt idx="50">
                  <c:v>55.074981827200389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827-4A37-BB93-78B8FCC8438F}"/>
            </c:ext>
          </c:extLst>
        </c:ser>
        <c:ser>
          <c:idx val="4"/>
          <c:order val="4"/>
          <c:spPr>
            <a:solidFill>
              <a:schemeClr val="accent5"/>
            </a:solidFill>
            <a:ln/>
            <a:effectLst/>
            <a:sp3d/>
          </c:spPr>
          <c:val>
            <c:numRef>
              <c:f>'2.123 Нелин. поверхность'!$G$13:$BE$13</c:f>
              <c:numCache>
                <c:formatCode>General</c:formatCode>
                <c:ptCount val="51"/>
                <c:pt idx="0">
                  <c:v>3.6170918166171759</c:v>
                </c:pt>
                <c:pt idx="1">
                  <c:v>3.7721791833097815</c:v>
                </c:pt>
                <c:pt idx="2">
                  <c:v>3.9638480140769392</c:v>
                </c:pt>
                <c:pt idx="3">
                  <c:v>4.1920983089186485</c:v>
                </c:pt>
                <c:pt idx="4">
                  <c:v>4.4569300678349109</c:v>
                </c:pt>
                <c:pt idx="5">
                  <c:v>4.7583432908257235</c:v>
                </c:pt>
                <c:pt idx="6">
                  <c:v>5.0963379778910891</c:v>
                </c:pt>
                <c:pt idx="7">
                  <c:v>5.4709141290310068</c:v>
                </c:pt>
                <c:pt idx="8">
                  <c:v>5.8820717442454766</c:v>
                </c:pt>
                <c:pt idx="9">
                  <c:v>6.3298108235344994</c:v>
                </c:pt>
                <c:pt idx="10">
                  <c:v>6.8141313668980725</c:v>
                </c:pt>
                <c:pt idx="11">
                  <c:v>7.3350333743361986</c:v>
                </c:pt>
                <c:pt idx="12">
                  <c:v>7.8925168458488768</c:v>
                </c:pt>
                <c:pt idx="13">
                  <c:v>8.486581781436108</c:v>
                </c:pt>
                <c:pt idx="14">
                  <c:v>9.1172281810978895</c:v>
                </c:pt>
                <c:pt idx="15">
                  <c:v>9.7844560448342239</c:v>
                </c:pt>
                <c:pt idx="16">
                  <c:v>10.488265372645111</c:v>
                </c:pt>
                <c:pt idx="17">
                  <c:v>11.228656164530546</c:v>
                </c:pt>
                <c:pt idx="18">
                  <c:v>12.00562842049054</c:v>
                </c:pt>
                <c:pt idx="19">
                  <c:v>12.819182140525081</c:v>
                </c:pt>
                <c:pt idx="20">
                  <c:v>13.669317324634175</c:v>
                </c:pt>
                <c:pt idx="21">
                  <c:v>14.556033972817822</c:v>
                </c:pt>
                <c:pt idx="22">
                  <c:v>15.479332085076024</c:v>
                </c:pt>
                <c:pt idx="23">
                  <c:v>16.43921166140877</c:v>
                </c:pt>
                <c:pt idx="24">
                  <c:v>17.435672701816074</c:v>
                </c:pt>
                <c:pt idx="25">
                  <c:v>18.468715206297929</c:v>
                </c:pt>
                <c:pt idx="26">
                  <c:v>19.53833917485434</c:v>
                </c:pt>
                <c:pt idx="27">
                  <c:v>20.644544607485297</c:v>
                </c:pt>
                <c:pt idx="28">
                  <c:v>21.787331504190806</c:v>
                </c:pt>
                <c:pt idx="29">
                  <c:v>22.96669986497087</c:v>
                </c:pt>
                <c:pt idx="30">
                  <c:v>24.182649689825485</c:v>
                </c:pt>
                <c:pt idx="31">
                  <c:v>25.435180978754655</c:v>
                </c:pt>
                <c:pt idx="32">
                  <c:v>26.724293731758376</c:v>
                </c:pt>
                <c:pt idx="33">
                  <c:v>28.049987948836641</c:v>
                </c:pt>
                <c:pt idx="34">
                  <c:v>29.412263629989461</c:v>
                </c:pt>
                <c:pt idx="35">
                  <c:v>30.811120775216843</c:v>
                </c:pt>
                <c:pt idx="36">
                  <c:v>32.246559384518768</c:v>
                </c:pt>
                <c:pt idx="37">
                  <c:v>33.718579457895252</c:v>
                </c:pt>
                <c:pt idx="38">
                  <c:v>35.227180995346274</c:v>
                </c:pt>
                <c:pt idx="39">
                  <c:v>36.77236399687186</c:v>
                </c:pt>
                <c:pt idx="40">
                  <c:v>38.354128462471998</c:v>
                </c:pt>
                <c:pt idx="41">
                  <c:v>39.972474392146687</c:v>
                </c:pt>
                <c:pt idx="42">
                  <c:v>41.627401785895927</c:v>
                </c:pt>
                <c:pt idx="43">
                  <c:v>43.318910643719711</c:v>
                </c:pt>
                <c:pt idx="44">
                  <c:v>45.047000965618068</c:v>
                </c:pt>
                <c:pt idx="45">
                  <c:v>46.811672751590962</c:v>
                </c:pt>
                <c:pt idx="46">
                  <c:v>48.612926001638399</c:v>
                </c:pt>
                <c:pt idx="47">
                  <c:v>50.450760715760417</c:v>
                </c:pt>
                <c:pt idx="48">
                  <c:v>52.325176893956957</c:v>
                </c:pt>
                <c:pt idx="49">
                  <c:v>54.23617453622807</c:v>
                </c:pt>
                <c:pt idx="50">
                  <c:v>56.18375364257372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827-4A37-BB93-78B8FCC8438F}"/>
            </c:ext>
          </c:extLst>
        </c:ser>
        <c:ser>
          <c:idx val="5"/>
          <c:order val="5"/>
          <c:spPr>
            <a:solidFill>
              <a:schemeClr val="accent6"/>
            </a:solidFill>
            <a:ln/>
            <a:effectLst/>
            <a:sp3d/>
          </c:spPr>
          <c:val>
            <c:numRef>
              <c:f>'2.123 Нелин. поверхность'!$G$14:$BE$14</c:f>
              <c:numCache>
                <c:formatCode>General</c:formatCode>
                <c:ptCount val="51"/>
                <c:pt idx="0">
                  <c:v>3.894252415186493</c:v>
                </c:pt>
                <c:pt idx="1">
                  <c:v>4.0667034477769635</c:v>
                </c:pt>
                <c:pt idx="2">
                  <c:v>4.275735944441986</c:v>
                </c:pt>
                <c:pt idx="3">
                  <c:v>4.5213499051815607</c:v>
                </c:pt>
                <c:pt idx="4">
                  <c:v>4.8035453299956856</c:v>
                </c:pt>
                <c:pt idx="5">
                  <c:v>5.1223222188843645</c:v>
                </c:pt>
                <c:pt idx="6">
                  <c:v>5.4776805718475945</c:v>
                </c:pt>
                <c:pt idx="7">
                  <c:v>5.8696203888853775</c:v>
                </c:pt>
                <c:pt idx="8">
                  <c:v>6.2981416699977126</c:v>
                </c:pt>
                <c:pt idx="9">
                  <c:v>6.763244415184599</c:v>
                </c:pt>
                <c:pt idx="10">
                  <c:v>7.2649286244460383</c:v>
                </c:pt>
                <c:pt idx="11">
                  <c:v>7.8031942977820297</c:v>
                </c:pt>
                <c:pt idx="12">
                  <c:v>8.3780414351925714</c:v>
                </c:pt>
                <c:pt idx="13">
                  <c:v>8.9894700366776679</c:v>
                </c:pt>
                <c:pt idx="14">
                  <c:v>9.6374801022373138</c:v>
                </c:pt>
                <c:pt idx="15">
                  <c:v>10.322071631871513</c:v>
                </c:pt>
                <c:pt idx="16">
                  <c:v>11.043244625580265</c:v>
                </c:pt>
                <c:pt idx="17">
                  <c:v>11.800999083363566</c:v>
                </c:pt>
                <c:pt idx="18">
                  <c:v>12.595335005221424</c:v>
                </c:pt>
                <c:pt idx="19">
                  <c:v>13.426252391153829</c:v>
                </c:pt>
                <c:pt idx="20">
                  <c:v>14.293751241160791</c:v>
                </c:pt>
                <c:pt idx="21">
                  <c:v>15.197831555242301</c:v>
                </c:pt>
                <c:pt idx="22">
                  <c:v>16.138493333398365</c:v>
                </c:pt>
                <c:pt idx="23">
                  <c:v>17.115736575628979</c:v>
                </c:pt>
                <c:pt idx="24">
                  <c:v>18.129561281934148</c:v>
                </c:pt>
                <c:pt idx="25">
                  <c:v>19.179967452313868</c:v>
                </c:pt>
                <c:pt idx="26">
                  <c:v>20.266955086768139</c:v>
                </c:pt>
                <c:pt idx="27">
                  <c:v>21.390524185296961</c:v>
                </c:pt>
                <c:pt idx="28">
                  <c:v>22.550674747900334</c:v>
                </c:pt>
                <c:pt idx="29">
                  <c:v>23.747406774578266</c:v>
                </c:pt>
                <c:pt idx="30">
                  <c:v>24.980720265330746</c:v>
                </c:pt>
                <c:pt idx="31">
                  <c:v>26.250615220157776</c:v>
                </c:pt>
                <c:pt idx="32">
                  <c:v>27.557091639059365</c:v>
                </c:pt>
                <c:pt idx="33">
                  <c:v>28.900149522035495</c:v>
                </c:pt>
                <c:pt idx="34">
                  <c:v>30.279788869086183</c:v>
                </c:pt>
                <c:pt idx="35">
                  <c:v>31.696009680211425</c:v>
                </c:pt>
                <c:pt idx="36">
                  <c:v>33.148811955411219</c:v>
                </c:pt>
                <c:pt idx="37">
                  <c:v>34.638195694685564</c:v>
                </c:pt>
                <c:pt idx="38">
                  <c:v>36.16416089803446</c:v>
                </c:pt>
                <c:pt idx="39">
                  <c:v>37.726707565457907</c:v>
                </c:pt>
                <c:pt idx="40">
                  <c:v>39.325835696955906</c:v>
                </c:pt>
                <c:pt idx="41">
                  <c:v>40.961545292528456</c:v>
                </c:pt>
                <c:pt idx="42">
                  <c:v>42.633836352175564</c:v>
                </c:pt>
                <c:pt idx="43">
                  <c:v>44.342708875897216</c:v>
                </c:pt>
                <c:pt idx="44">
                  <c:v>46.088162863693441</c:v>
                </c:pt>
                <c:pt idx="45">
                  <c:v>47.870198315564188</c:v>
                </c:pt>
                <c:pt idx="46">
                  <c:v>49.688815231509494</c:v>
                </c:pt>
                <c:pt idx="47">
                  <c:v>51.54401361152938</c:v>
                </c:pt>
                <c:pt idx="48">
                  <c:v>53.435793455623781</c:v>
                </c:pt>
                <c:pt idx="49">
                  <c:v>55.364154763792769</c:v>
                </c:pt>
                <c:pt idx="50">
                  <c:v>57.329097536036279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827-4A37-BB93-78B8FCC8438F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val>
            <c:numRef>
              <c:f>'2.123 Нелин. поверхность'!$G$15:$BE$15</c:f>
              <c:numCache>
                <c:formatCode>General</c:formatCode>
                <c:ptCount val="51"/>
                <c:pt idx="0">
                  <c:v>4.207985091845039</c:v>
                </c:pt>
                <c:pt idx="1">
                  <c:v>4.3977997903333739</c:v>
                </c:pt>
                <c:pt idx="2">
                  <c:v>4.6241959528962617</c:v>
                </c:pt>
                <c:pt idx="3">
                  <c:v>4.8871735795337008</c:v>
                </c:pt>
                <c:pt idx="4">
                  <c:v>5.186732670245692</c:v>
                </c:pt>
                <c:pt idx="5">
                  <c:v>5.5228732250322352</c:v>
                </c:pt>
                <c:pt idx="6">
                  <c:v>5.8955952438933297</c:v>
                </c:pt>
                <c:pt idx="7">
                  <c:v>6.3048987268289771</c:v>
                </c:pt>
                <c:pt idx="8">
                  <c:v>6.7507836738391775</c:v>
                </c:pt>
                <c:pt idx="9">
                  <c:v>7.2332500849239292</c:v>
                </c:pt>
                <c:pt idx="10">
                  <c:v>7.7522979600832329</c:v>
                </c:pt>
                <c:pt idx="11">
                  <c:v>8.3079272993170896</c:v>
                </c:pt>
                <c:pt idx="12">
                  <c:v>8.9001381026254958</c:v>
                </c:pt>
                <c:pt idx="13">
                  <c:v>9.5289303700084567</c:v>
                </c:pt>
                <c:pt idx="14">
                  <c:v>10.194304101465967</c:v>
                </c:pt>
                <c:pt idx="15">
                  <c:v>10.896259296998032</c:v>
                </c:pt>
                <c:pt idx="16">
                  <c:v>11.63479595660465</c:v>
                </c:pt>
                <c:pt idx="17">
                  <c:v>12.409914080285816</c:v>
                </c:pt>
                <c:pt idx="18">
                  <c:v>13.221613668041538</c:v>
                </c:pt>
                <c:pt idx="19">
                  <c:v>14.069894719871808</c:v>
                </c:pt>
                <c:pt idx="20">
                  <c:v>14.954757235776633</c:v>
                </c:pt>
                <c:pt idx="21">
                  <c:v>15.87620121575601</c:v>
                </c:pt>
                <c:pt idx="22">
                  <c:v>16.834226659809943</c:v>
                </c:pt>
                <c:pt idx="23">
                  <c:v>17.828833567938418</c:v>
                </c:pt>
                <c:pt idx="24">
                  <c:v>18.860021940141451</c:v>
                </c:pt>
                <c:pt idx="25">
                  <c:v>19.927791776419035</c:v>
                </c:pt>
                <c:pt idx="26">
                  <c:v>21.032143076771174</c:v>
                </c:pt>
                <c:pt idx="27">
                  <c:v>22.173075841197864</c:v>
                </c:pt>
                <c:pt idx="28">
                  <c:v>23.350590069699098</c:v>
                </c:pt>
                <c:pt idx="29">
                  <c:v>24.564685762274895</c:v>
                </c:pt>
                <c:pt idx="30">
                  <c:v>25.815362918925238</c:v>
                </c:pt>
                <c:pt idx="31">
                  <c:v>27.102621539650137</c:v>
                </c:pt>
                <c:pt idx="32">
                  <c:v>28.42646162444959</c:v>
                </c:pt>
                <c:pt idx="33">
                  <c:v>29.786883173323581</c:v>
                </c:pt>
                <c:pt idx="34">
                  <c:v>31.18388618627214</c:v>
                </c:pt>
                <c:pt idx="35">
                  <c:v>32.617470663295244</c:v>
                </c:pt>
                <c:pt idx="36">
                  <c:v>34.087636604392905</c:v>
                </c:pt>
                <c:pt idx="37">
                  <c:v>35.594384009565118</c:v>
                </c:pt>
                <c:pt idx="38">
                  <c:v>37.137712878811868</c:v>
                </c:pt>
                <c:pt idx="39">
                  <c:v>38.717623212133184</c:v>
                </c:pt>
                <c:pt idx="40">
                  <c:v>40.33411500952905</c:v>
                </c:pt>
                <c:pt idx="41">
                  <c:v>41.987188270999461</c:v>
                </c:pt>
                <c:pt idx="42">
                  <c:v>43.676842996544437</c:v>
                </c:pt>
                <c:pt idx="43">
                  <c:v>45.40307918616395</c:v>
                </c:pt>
                <c:pt idx="44">
                  <c:v>47.165896839858036</c:v>
                </c:pt>
                <c:pt idx="45">
                  <c:v>48.965295957626651</c:v>
                </c:pt>
                <c:pt idx="46">
                  <c:v>50.801276539469825</c:v>
                </c:pt>
                <c:pt idx="47">
                  <c:v>52.673838585387571</c:v>
                </c:pt>
                <c:pt idx="48">
                  <c:v>54.58298209537984</c:v>
                </c:pt>
                <c:pt idx="49">
                  <c:v>56.528707069446689</c:v>
                </c:pt>
                <c:pt idx="50">
                  <c:v>58.511013507588068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827-4A37-BB93-78B8FCC8438F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val>
            <c:numRef>
              <c:f>'2.123 Нелин. поверхность'!$G$16:$BE$16</c:f>
              <c:numCache>
                <c:formatCode>General</c:formatCode>
                <c:ptCount val="51"/>
                <c:pt idx="0">
                  <c:v>4.5582898465928157</c:v>
                </c:pt>
                <c:pt idx="1">
                  <c:v>4.7654682109790159</c:v>
                </c:pt>
                <c:pt idx="2">
                  <c:v>5.0092280394397681</c:v>
                </c:pt>
                <c:pt idx="3">
                  <c:v>5.2895693319750734</c:v>
                </c:pt>
                <c:pt idx="4">
                  <c:v>5.6064920885849281</c:v>
                </c:pt>
                <c:pt idx="5">
                  <c:v>5.9599963092693358</c:v>
                </c:pt>
                <c:pt idx="6">
                  <c:v>6.3500819940282964</c:v>
                </c:pt>
                <c:pt idx="7">
                  <c:v>6.7767491428618083</c:v>
                </c:pt>
                <c:pt idx="8">
                  <c:v>7.239997755769874</c:v>
                </c:pt>
                <c:pt idx="9">
                  <c:v>7.7398278327524901</c:v>
                </c:pt>
                <c:pt idx="10">
                  <c:v>8.2762393738096591</c:v>
                </c:pt>
                <c:pt idx="11">
                  <c:v>8.8492323789413803</c:v>
                </c:pt>
                <c:pt idx="12">
                  <c:v>9.4588068481476508</c:v>
                </c:pt>
                <c:pt idx="13">
                  <c:v>10.104962781428478</c:v>
                </c:pt>
                <c:pt idx="14">
                  <c:v>10.787700178783853</c:v>
                </c:pt>
                <c:pt idx="15">
                  <c:v>11.507019040213782</c:v>
                </c:pt>
                <c:pt idx="16">
                  <c:v>12.262919365718263</c:v>
                </c:pt>
                <c:pt idx="17">
                  <c:v>13.055401155297295</c:v>
                </c:pt>
                <c:pt idx="18">
                  <c:v>13.884464408950882</c:v>
                </c:pt>
                <c:pt idx="19">
                  <c:v>14.750109126679018</c:v>
                </c:pt>
                <c:pt idx="20">
                  <c:v>15.652335308481707</c:v>
                </c:pt>
                <c:pt idx="21">
                  <c:v>16.591142954358947</c:v>
                </c:pt>
                <c:pt idx="22">
                  <c:v>17.566532064310742</c:v>
                </c:pt>
                <c:pt idx="23">
                  <c:v>18.578502638337085</c:v>
                </c:pt>
                <c:pt idx="24">
                  <c:v>19.627054676437982</c:v>
                </c:pt>
                <c:pt idx="25">
                  <c:v>20.712188178613435</c:v>
                </c:pt>
                <c:pt idx="26">
                  <c:v>21.833903144863438</c:v>
                </c:pt>
                <c:pt idx="27">
                  <c:v>22.992199575187989</c:v>
                </c:pt>
                <c:pt idx="28">
                  <c:v>24.187077469587091</c:v>
                </c:pt>
                <c:pt idx="29">
                  <c:v>25.418536828060752</c:v>
                </c:pt>
                <c:pt idx="30">
                  <c:v>26.686577650608964</c:v>
                </c:pt>
                <c:pt idx="31">
                  <c:v>27.991199937231727</c:v>
                </c:pt>
                <c:pt idx="32">
                  <c:v>29.332403687929041</c:v>
                </c:pt>
                <c:pt idx="33">
                  <c:v>30.710188902700899</c:v>
                </c:pt>
                <c:pt idx="34">
                  <c:v>32.12455558154732</c:v>
                </c:pt>
                <c:pt idx="35">
                  <c:v>33.575503724468291</c:v>
                </c:pt>
                <c:pt idx="36">
                  <c:v>35.063033331463814</c:v>
                </c:pt>
                <c:pt idx="37">
                  <c:v>36.587144402533887</c:v>
                </c:pt>
                <c:pt idx="38">
                  <c:v>38.147836937678505</c:v>
                </c:pt>
                <c:pt idx="39">
                  <c:v>39.745110936897689</c:v>
                </c:pt>
                <c:pt idx="40">
                  <c:v>41.378966400191423</c:v>
                </c:pt>
                <c:pt idx="41">
                  <c:v>43.049403327559702</c:v>
                </c:pt>
                <c:pt idx="42">
                  <c:v>44.756421719002539</c:v>
                </c:pt>
                <c:pt idx="43">
                  <c:v>46.500021574519927</c:v>
                </c:pt>
                <c:pt idx="44">
                  <c:v>48.280202894111866</c:v>
                </c:pt>
                <c:pt idx="45">
                  <c:v>50.096965677778357</c:v>
                </c:pt>
                <c:pt idx="46">
                  <c:v>51.950309925519392</c:v>
                </c:pt>
                <c:pt idx="47">
                  <c:v>53.840235637334999</c:v>
                </c:pt>
                <c:pt idx="48">
                  <c:v>55.766742813225136</c:v>
                </c:pt>
                <c:pt idx="49">
                  <c:v>57.729831453189853</c:v>
                </c:pt>
                <c:pt idx="50">
                  <c:v>59.729501557229085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827-4A37-BB93-78B8FCC8438F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val>
            <c:numRef>
              <c:f>'2.123 Нелин. поверхность'!$G$17:$BE$17</c:f>
              <c:numCache>
                <c:formatCode>General</c:formatCode>
                <c:ptCount val="51"/>
                <c:pt idx="0">
                  <c:v>4.9451666794298212</c:v>
                </c:pt>
                <c:pt idx="1">
                  <c:v>5.1697087097138859</c:v>
                </c:pt>
                <c:pt idx="2">
                  <c:v>5.4308322040725043</c:v>
                </c:pt>
                <c:pt idx="3">
                  <c:v>5.7285371625056731</c:v>
                </c:pt>
                <c:pt idx="4">
                  <c:v>6.0628235850133931</c:v>
                </c:pt>
                <c:pt idx="5">
                  <c:v>6.4336914715956661</c:v>
                </c:pt>
                <c:pt idx="6">
                  <c:v>6.8411408222524912</c:v>
                </c:pt>
                <c:pt idx="7">
                  <c:v>7.2851716369838684</c:v>
                </c:pt>
                <c:pt idx="8">
                  <c:v>7.7657839157897985</c:v>
                </c:pt>
                <c:pt idx="9">
                  <c:v>8.2829776586702799</c:v>
                </c:pt>
                <c:pt idx="10">
                  <c:v>8.8367528656253125</c:v>
                </c:pt>
                <c:pt idx="11">
                  <c:v>9.427109536654898</c:v>
                </c:pt>
                <c:pt idx="12">
                  <c:v>10.054047671759037</c:v>
                </c:pt>
                <c:pt idx="13">
                  <c:v>10.717567270937725</c:v>
                </c:pt>
                <c:pt idx="14">
                  <c:v>11.417668334190967</c:v>
                </c:pt>
                <c:pt idx="15">
                  <c:v>12.154350861518761</c:v>
                </c:pt>
                <c:pt idx="16">
                  <c:v>12.927614852921108</c:v>
                </c:pt>
                <c:pt idx="17">
                  <c:v>13.737460308398004</c:v>
                </c:pt>
                <c:pt idx="18">
                  <c:v>14.583887227949456</c:v>
                </c:pt>
                <c:pt idx="19">
                  <c:v>15.466895611575454</c:v>
                </c:pt>
                <c:pt idx="20">
                  <c:v>16.386485459276013</c:v>
                </c:pt>
                <c:pt idx="21">
                  <c:v>17.342656771051118</c:v>
                </c:pt>
                <c:pt idx="22">
                  <c:v>18.335409546900777</c:v>
                </c:pt>
                <c:pt idx="23">
                  <c:v>19.364743786824985</c:v>
                </c:pt>
                <c:pt idx="24">
                  <c:v>20.430659490823746</c:v>
                </c:pt>
                <c:pt idx="25">
                  <c:v>21.53315665889706</c:v>
                </c:pt>
                <c:pt idx="26">
                  <c:v>22.672235291044931</c:v>
                </c:pt>
                <c:pt idx="27">
                  <c:v>23.847895387267346</c:v>
                </c:pt>
                <c:pt idx="28">
                  <c:v>25.060136947564313</c:v>
                </c:pt>
                <c:pt idx="29">
                  <c:v>26.308959971935838</c:v>
                </c:pt>
                <c:pt idx="30">
                  <c:v>27.594364460381911</c:v>
                </c:pt>
                <c:pt idx="31">
                  <c:v>28.916350412902545</c:v>
                </c:pt>
                <c:pt idx="32">
                  <c:v>30.274917829497724</c:v>
                </c:pt>
                <c:pt idx="33">
                  <c:v>31.670066710167447</c:v>
                </c:pt>
                <c:pt idx="34">
                  <c:v>33.101797054911728</c:v>
                </c:pt>
                <c:pt idx="35">
                  <c:v>34.570108863730567</c:v>
                </c:pt>
                <c:pt idx="36">
                  <c:v>36.075002136623958</c:v>
                </c:pt>
                <c:pt idx="37">
                  <c:v>37.616476873591893</c:v>
                </c:pt>
                <c:pt idx="38">
                  <c:v>39.194533074634379</c:v>
                </c:pt>
                <c:pt idx="39">
                  <c:v>40.809170739751423</c:v>
                </c:pt>
                <c:pt idx="40">
                  <c:v>42.460389868943018</c:v>
                </c:pt>
                <c:pt idx="41">
                  <c:v>44.148190462209165</c:v>
                </c:pt>
                <c:pt idx="42">
                  <c:v>45.87257251954987</c:v>
                </c:pt>
                <c:pt idx="43">
                  <c:v>47.633536040965112</c:v>
                </c:pt>
                <c:pt idx="44">
                  <c:v>49.431081026454926</c:v>
                </c:pt>
                <c:pt idx="45">
                  <c:v>51.265207476019278</c:v>
                </c:pt>
                <c:pt idx="46">
                  <c:v>53.135915389658173</c:v>
                </c:pt>
                <c:pt idx="47">
                  <c:v>55.043204767371648</c:v>
                </c:pt>
                <c:pt idx="48">
                  <c:v>56.987075609159653</c:v>
                </c:pt>
                <c:pt idx="49">
                  <c:v>58.967527915022231</c:v>
                </c:pt>
                <c:pt idx="50">
                  <c:v>60.984561684959331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827-4A37-BB93-78B8FCC8438F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val>
            <c:numRef>
              <c:f>'2.123 Нелин. поверхность'!$G$18:$BE$18</c:f>
              <c:numCache>
                <c:formatCode>General</c:formatCode>
                <c:ptCount val="51"/>
                <c:pt idx="0">
                  <c:v>5.3686155903560575</c:v>
                </c:pt>
                <c:pt idx="1">
                  <c:v>5.6105212865379874</c:v>
                </c:pt>
                <c:pt idx="2">
                  <c:v>5.8890084467944694</c:v>
                </c:pt>
                <c:pt idx="3">
                  <c:v>6.2040770711255027</c:v>
                </c:pt>
                <c:pt idx="4">
                  <c:v>6.5557271595310889</c:v>
                </c:pt>
                <c:pt idx="5">
                  <c:v>6.9439587120112263</c:v>
                </c:pt>
                <c:pt idx="6">
                  <c:v>7.3687717285659167</c:v>
                </c:pt>
                <c:pt idx="7">
                  <c:v>7.8301662091951574</c:v>
                </c:pt>
                <c:pt idx="8">
                  <c:v>8.328142153898952</c:v>
                </c:pt>
                <c:pt idx="9">
                  <c:v>8.8626995626772995</c:v>
                </c:pt>
                <c:pt idx="10">
                  <c:v>9.4338384355301965</c:v>
                </c:pt>
                <c:pt idx="11">
                  <c:v>10.041558772457648</c:v>
                </c:pt>
                <c:pt idx="12">
                  <c:v>10.685860573459649</c:v>
                </c:pt>
                <c:pt idx="13">
                  <c:v>11.366743838536204</c:v>
                </c:pt>
                <c:pt idx="14">
                  <c:v>12.084208567687309</c:v>
                </c:pt>
                <c:pt idx="15">
                  <c:v>12.838254760912969</c:v>
                </c:pt>
                <c:pt idx="16">
                  <c:v>13.62888241821318</c:v>
                </c:pt>
                <c:pt idx="17">
                  <c:v>14.456091539587941</c:v>
                </c:pt>
                <c:pt idx="18">
                  <c:v>15.319882125037257</c:v>
                </c:pt>
                <c:pt idx="19">
                  <c:v>16.220254174561124</c:v>
                </c:pt>
                <c:pt idx="20">
                  <c:v>17.157207688159541</c:v>
                </c:pt>
                <c:pt idx="21">
                  <c:v>18.130742665832514</c:v>
                </c:pt>
                <c:pt idx="22">
                  <c:v>19.140859107580038</c:v>
                </c:pt>
                <c:pt idx="23">
                  <c:v>20.187557013402106</c:v>
                </c:pt>
                <c:pt idx="24">
                  <c:v>21.270836383298739</c:v>
                </c:pt>
                <c:pt idx="25">
                  <c:v>22.390697217269917</c:v>
                </c:pt>
                <c:pt idx="26">
                  <c:v>23.547139515315649</c:v>
                </c:pt>
                <c:pt idx="27">
                  <c:v>24.740163277435933</c:v>
                </c:pt>
                <c:pt idx="28">
                  <c:v>25.969768503630767</c:v>
                </c:pt>
                <c:pt idx="29">
                  <c:v>27.235955193900157</c:v>
                </c:pt>
                <c:pt idx="30">
                  <c:v>28.538723348244094</c:v>
                </c:pt>
                <c:pt idx="31">
                  <c:v>29.878072966662586</c:v>
                </c:pt>
                <c:pt idx="32">
                  <c:v>31.254004049155633</c:v>
                </c:pt>
                <c:pt idx="33">
                  <c:v>32.666516595723223</c:v>
                </c:pt>
                <c:pt idx="34">
                  <c:v>34.115610606365365</c:v>
                </c:pt>
                <c:pt idx="35">
                  <c:v>35.601286081082073</c:v>
                </c:pt>
                <c:pt idx="36">
                  <c:v>37.123543019873324</c:v>
                </c:pt>
                <c:pt idx="37">
                  <c:v>38.682381422739127</c:v>
                </c:pt>
                <c:pt idx="38">
                  <c:v>40.277801289679481</c:v>
                </c:pt>
                <c:pt idx="39">
                  <c:v>41.909802620694386</c:v>
                </c:pt>
                <c:pt idx="40">
                  <c:v>43.578385415783849</c:v>
                </c:pt>
                <c:pt idx="41">
                  <c:v>45.283549674947864</c:v>
                </c:pt>
                <c:pt idx="42">
                  <c:v>47.025295398186422</c:v>
                </c:pt>
                <c:pt idx="43">
                  <c:v>48.803622585499539</c:v>
                </c:pt>
                <c:pt idx="44">
                  <c:v>50.618531236887222</c:v>
                </c:pt>
                <c:pt idx="45">
                  <c:v>52.470021352349434</c:v>
                </c:pt>
                <c:pt idx="46">
                  <c:v>54.358092931886191</c:v>
                </c:pt>
                <c:pt idx="47">
                  <c:v>56.282745975497534</c:v>
                </c:pt>
                <c:pt idx="48">
                  <c:v>58.243980483183407</c:v>
                </c:pt>
                <c:pt idx="49">
                  <c:v>60.241796454943838</c:v>
                </c:pt>
                <c:pt idx="50">
                  <c:v>62.276193890778814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827-4A37-BB93-78B8FCC8438F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val>
            <c:numRef>
              <c:f>'2.123 Нелин. поверхность'!$G$19:$BE$19</c:f>
              <c:numCache>
                <c:formatCode>General</c:formatCode>
                <c:ptCount val="51"/>
                <c:pt idx="0">
                  <c:v>5.8286365793715236</c:v>
                </c:pt>
                <c:pt idx="1">
                  <c:v>6.0879059414513179</c:v>
                </c:pt>
                <c:pt idx="2">
                  <c:v>6.3837567676056652</c:v>
                </c:pt>
                <c:pt idx="3">
                  <c:v>6.7161890578345638</c:v>
                </c:pt>
                <c:pt idx="4">
                  <c:v>7.0852028121380135</c:v>
                </c:pt>
                <c:pt idx="5">
                  <c:v>7.4907980305160162</c:v>
                </c:pt>
                <c:pt idx="6">
                  <c:v>7.932974712968571</c:v>
                </c:pt>
                <c:pt idx="7">
                  <c:v>8.4117328594956788</c:v>
                </c:pt>
                <c:pt idx="8">
                  <c:v>8.9270724700973378</c:v>
                </c:pt>
                <c:pt idx="9">
                  <c:v>9.4789935447735498</c:v>
                </c:pt>
                <c:pt idx="10">
                  <c:v>10.067496083524311</c:v>
                </c:pt>
                <c:pt idx="11">
                  <c:v>10.692580086349626</c:v>
                </c:pt>
                <c:pt idx="12">
                  <c:v>11.354245553249495</c:v>
                </c:pt>
                <c:pt idx="13">
                  <c:v>12.052492484223915</c:v>
                </c:pt>
                <c:pt idx="14">
                  <c:v>12.787320879272883</c:v>
                </c:pt>
                <c:pt idx="15">
                  <c:v>13.558730738396408</c:v>
                </c:pt>
                <c:pt idx="16">
                  <c:v>14.366722061594484</c:v>
                </c:pt>
                <c:pt idx="17">
                  <c:v>15.211294848867109</c:v>
                </c:pt>
                <c:pt idx="18">
                  <c:v>16.092449100214289</c:v>
                </c:pt>
                <c:pt idx="19">
                  <c:v>17.010184815636023</c:v>
                </c:pt>
                <c:pt idx="20">
                  <c:v>17.964501995132306</c:v>
                </c:pt>
                <c:pt idx="21">
                  <c:v>18.955400638703139</c:v>
                </c:pt>
                <c:pt idx="22">
                  <c:v>19.982880746348531</c:v>
                </c:pt>
                <c:pt idx="23">
                  <c:v>21.046942318068467</c:v>
                </c:pt>
                <c:pt idx="24">
                  <c:v>22.147585353862961</c:v>
                </c:pt>
                <c:pt idx="25">
                  <c:v>23.284809853732007</c:v>
                </c:pt>
                <c:pt idx="26">
                  <c:v>24.4586158176756</c:v>
                </c:pt>
                <c:pt idx="27">
                  <c:v>25.669003245693755</c:v>
                </c:pt>
                <c:pt idx="28">
                  <c:v>26.915972137786447</c:v>
                </c:pt>
                <c:pt idx="29">
                  <c:v>28.199522493953701</c:v>
                </c:pt>
                <c:pt idx="30">
                  <c:v>29.519654314195506</c:v>
                </c:pt>
                <c:pt idx="31">
                  <c:v>30.876367598511862</c:v>
                </c:pt>
                <c:pt idx="32">
                  <c:v>32.269662346902777</c:v>
                </c:pt>
                <c:pt idx="33">
                  <c:v>33.699538559368229</c:v>
                </c:pt>
                <c:pt idx="34">
                  <c:v>35.165996235908239</c:v>
                </c:pt>
                <c:pt idx="35">
                  <c:v>36.669035376522807</c:v>
                </c:pt>
                <c:pt idx="36">
                  <c:v>38.208655981211926</c:v>
                </c:pt>
                <c:pt idx="37">
                  <c:v>39.784858049975597</c:v>
                </c:pt>
                <c:pt idx="38">
                  <c:v>41.397641582813812</c:v>
                </c:pt>
                <c:pt idx="39">
                  <c:v>43.047006579726585</c:v>
                </c:pt>
                <c:pt idx="40">
                  <c:v>44.732953040713909</c:v>
                </c:pt>
                <c:pt idx="41">
                  <c:v>46.455480965775784</c:v>
                </c:pt>
                <c:pt idx="42">
                  <c:v>48.214590354912218</c:v>
                </c:pt>
                <c:pt idx="43">
                  <c:v>50.010281208123196</c:v>
                </c:pt>
                <c:pt idx="44">
                  <c:v>51.842553525408739</c:v>
                </c:pt>
                <c:pt idx="45">
                  <c:v>53.711407306768812</c:v>
                </c:pt>
                <c:pt idx="46">
                  <c:v>55.616842552203451</c:v>
                </c:pt>
                <c:pt idx="47">
                  <c:v>57.558859261712655</c:v>
                </c:pt>
                <c:pt idx="48">
                  <c:v>59.537457435296389</c:v>
                </c:pt>
                <c:pt idx="49">
                  <c:v>61.552637072954688</c:v>
                </c:pt>
                <c:pt idx="50">
                  <c:v>63.604398174687525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827-4A37-BB93-78B8FCC8438F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/>
            <a:effectLst/>
            <a:sp3d/>
          </c:spPr>
          <c:val>
            <c:numRef>
              <c:f>'2.123 Нелин. поверхность'!$G$20:$BE$20</c:f>
              <c:numCache>
                <c:formatCode>General</c:formatCode>
                <c:ptCount val="51"/>
                <c:pt idx="0">
                  <c:v>6.3252296464762185</c:v>
                </c:pt>
                <c:pt idx="1">
                  <c:v>6.6018626744538782</c:v>
                </c:pt>
                <c:pt idx="2">
                  <c:v>6.9150771665060891</c:v>
                </c:pt>
                <c:pt idx="3">
                  <c:v>7.264873122632852</c:v>
                </c:pt>
                <c:pt idx="4">
                  <c:v>7.6512505428341688</c:v>
                </c:pt>
                <c:pt idx="5">
                  <c:v>8.074209427110036</c:v>
                </c:pt>
                <c:pt idx="6">
                  <c:v>8.5337497754604552</c:v>
                </c:pt>
                <c:pt idx="7">
                  <c:v>9.0298715878854274</c:v>
                </c:pt>
                <c:pt idx="8">
                  <c:v>9.5625748643849509</c:v>
                </c:pt>
                <c:pt idx="9">
                  <c:v>10.131859604959027</c:v>
                </c:pt>
                <c:pt idx="10">
                  <c:v>10.737725809607655</c:v>
                </c:pt>
                <c:pt idx="11">
                  <c:v>11.380173478330835</c:v>
                </c:pt>
                <c:pt idx="12">
                  <c:v>12.059202611128566</c:v>
                </c:pt>
                <c:pt idx="13">
                  <c:v>12.774813208000854</c:v>
                </c:pt>
                <c:pt idx="14">
                  <c:v>13.527005268947686</c:v>
                </c:pt>
                <c:pt idx="15">
                  <c:v>14.315778793969075</c:v>
                </c:pt>
                <c:pt idx="16">
                  <c:v>15.141133783065015</c:v>
                </c:pt>
                <c:pt idx="17">
                  <c:v>16.003070236235505</c:v>
                </c:pt>
                <c:pt idx="18">
                  <c:v>16.901588153480553</c:v>
                </c:pt>
                <c:pt idx="19">
                  <c:v>17.836687534800145</c:v>
                </c:pt>
                <c:pt idx="20">
                  <c:v>18.808368380194299</c:v>
                </c:pt>
                <c:pt idx="21">
                  <c:v>19.816630689662997</c:v>
                </c:pt>
                <c:pt idx="22">
                  <c:v>20.861474463206253</c:v>
                </c:pt>
                <c:pt idx="23">
                  <c:v>21.942899700824054</c:v>
                </c:pt>
                <c:pt idx="24">
                  <c:v>23.060906402516409</c:v>
                </c:pt>
                <c:pt idx="25">
                  <c:v>24.215494568283319</c:v>
                </c:pt>
                <c:pt idx="26">
                  <c:v>25.40666419812478</c:v>
                </c:pt>
                <c:pt idx="27">
                  <c:v>26.634415292040796</c:v>
                </c:pt>
                <c:pt idx="28">
                  <c:v>27.898747850031356</c:v>
                </c:pt>
                <c:pt idx="29">
                  <c:v>29.199661872096478</c:v>
                </c:pt>
                <c:pt idx="30">
                  <c:v>30.537157358236144</c:v>
                </c:pt>
                <c:pt idx="31">
                  <c:v>31.911234308450368</c:v>
                </c:pt>
                <c:pt idx="32">
                  <c:v>33.321892722739143</c:v>
                </c:pt>
                <c:pt idx="33">
                  <c:v>34.769132601102463</c:v>
                </c:pt>
                <c:pt idx="34">
                  <c:v>36.252953943540341</c:v>
                </c:pt>
                <c:pt idx="35">
                  <c:v>37.77335675005277</c:v>
                </c:pt>
                <c:pt idx="36">
                  <c:v>39.33034102063975</c:v>
                </c:pt>
                <c:pt idx="37">
                  <c:v>40.923906755301296</c:v>
                </c:pt>
                <c:pt idx="38">
                  <c:v>42.554053954037371</c:v>
                </c:pt>
                <c:pt idx="39">
                  <c:v>44.220782616848012</c:v>
                </c:pt>
                <c:pt idx="40">
                  <c:v>45.924092743733205</c:v>
                </c:pt>
                <c:pt idx="41">
                  <c:v>47.663984334692934</c:v>
                </c:pt>
                <c:pt idx="42">
                  <c:v>49.440457389727236</c:v>
                </c:pt>
                <c:pt idx="43">
                  <c:v>51.253511908836082</c:v>
                </c:pt>
                <c:pt idx="44">
                  <c:v>53.103147892019493</c:v>
                </c:pt>
                <c:pt idx="45">
                  <c:v>54.989365339277427</c:v>
                </c:pt>
                <c:pt idx="46">
                  <c:v>56.912164250609926</c:v>
                </c:pt>
                <c:pt idx="47">
                  <c:v>58.871544626016998</c:v>
                </c:pt>
                <c:pt idx="48">
                  <c:v>60.867506465498593</c:v>
                </c:pt>
                <c:pt idx="49">
                  <c:v>62.90004976905476</c:v>
                </c:pt>
                <c:pt idx="50">
                  <c:v>64.969174536685472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827-4A37-BB93-78B8FCC8438F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'2.123 Нелин. поверхность'!$G$21:$BE$21</c:f>
              <c:numCache>
                <c:formatCode>General</c:formatCode>
                <c:ptCount val="51"/>
                <c:pt idx="0">
                  <c:v>6.8583947916701433</c:v>
                </c:pt>
                <c:pt idx="1">
                  <c:v>7.1523914855456683</c:v>
                </c:pt>
                <c:pt idx="2">
                  <c:v>7.4829696434957444</c:v>
                </c:pt>
                <c:pt idx="3">
                  <c:v>7.8501292655203736</c:v>
                </c:pt>
                <c:pt idx="4">
                  <c:v>8.253870351619554</c:v>
                </c:pt>
                <c:pt idx="5">
                  <c:v>8.6941929017932864</c:v>
                </c:pt>
                <c:pt idx="6">
                  <c:v>9.1710969160415701</c:v>
                </c:pt>
                <c:pt idx="7">
                  <c:v>9.6845823943644067</c:v>
                </c:pt>
                <c:pt idx="8">
                  <c:v>10.234649336761796</c:v>
                </c:pt>
                <c:pt idx="9">
                  <c:v>10.821297743233735</c:v>
                </c:pt>
                <c:pt idx="10">
                  <c:v>11.444527613780229</c:v>
                </c:pt>
                <c:pt idx="11">
                  <c:v>12.104338948401274</c:v>
                </c:pt>
                <c:pt idx="12">
                  <c:v>12.800731747096869</c:v>
                </c:pt>
                <c:pt idx="13">
                  <c:v>13.533706009867021</c:v>
                </c:pt>
                <c:pt idx="14">
                  <c:v>14.30326173671172</c:v>
                </c:pt>
                <c:pt idx="15">
                  <c:v>15.109398927630973</c:v>
                </c:pt>
                <c:pt idx="16">
                  <c:v>15.95211758262478</c:v>
                </c:pt>
                <c:pt idx="17">
                  <c:v>16.831417701693134</c:v>
                </c:pt>
                <c:pt idx="18">
                  <c:v>17.747299284836046</c:v>
                </c:pt>
                <c:pt idx="19">
                  <c:v>18.699762332053506</c:v>
                </c:pt>
                <c:pt idx="20">
                  <c:v>19.688806843345521</c:v>
                </c:pt>
                <c:pt idx="21">
                  <c:v>20.714432818712083</c:v>
                </c:pt>
                <c:pt idx="22">
                  <c:v>21.776640258153201</c:v>
                </c:pt>
                <c:pt idx="23">
                  <c:v>22.875429161668869</c:v>
                </c:pt>
                <c:pt idx="24">
                  <c:v>24.010799529259096</c:v>
                </c:pt>
                <c:pt idx="25">
                  <c:v>25.182751360923866</c:v>
                </c:pt>
                <c:pt idx="26">
                  <c:v>26.391284656663196</c:v>
                </c:pt>
                <c:pt idx="27">
                  <c:v>27.636399416477069</c:v>
                </c:pt>
                <c:pt idx="28">
                  <c:v>28.918095640365497</c:v>
                </c:pt>
                <c:pt idx="29">
                  <c:v>30.236373328328479</c:v>
                </c:pt>
                <c:pt idx="30">
                  <c:v>31.591232480366017</c:v>
                </c:pt>
                <c:pt idx="31">
                  <c:v>32.982673096478102</c:v>
                </c:pt>
                <c:pt idx="32">
                  <c:v>34.410695176664746</c:v>
                </c:pt>
                <c:pt idx="33">
                  <c:v>35.875298720925926</c:v>
                </c:pt>
                <c:pt idx="34">
                  <c:v>37.376483729261665</c:v>
                </c:pt>
                <c:pt idx="35">
                  <c:v>38.914250201671962</c:v>
                </c:pt>
                <c:pt idx="36">
                  <c:v>40.488598138156817</c:v>
                </c:pt>
                <c:pt idx="37">
                  <c:v>42.099527538716217</c:v>
                </c:pt>
                <c:pt idx="38">
                  <c:v>43.747038403350167</c:v>
                </c:pt>
                <c:pt idx="39">
                  <c:v>45.431130732058662</c:v>
                </c:pt>
                <c:pt idx="40">
                  <c:v>47.151804524841722</c:v>
                </c:pt>
                <c:pt idx="41">
                  <c:v>48.909059781699327</c:v>
                </c:pt>
                <c:pt idx="42">
                  <c:v>50.702896502631489</c:v>
                </c:pt>
                <c:pt idx="43">
                  <c:v>52.533314687638196</c:v>
                </c:pt>
                <c:pt idx="44">
                  <c:v>54.400314336719461</c:v>
                </c:pt>
                <c:pt idx="45">
                  <c:v>56.303895449875277</c:v>
                </c:pt>
                <c:pt idx="46">
                  <c:v>58.244058027105638</c:v>
                </c:pt>
                <c:pt idx="47">
                  <c:v>60.220802068410563</c:v>
                </c:pt>
                <c:pt idx="48">
                  <c:v>62.234127573790033</c:v>
                </c:pt>
                <c:pt idx="49">
                  <c:v>64.284034543244076</c:v>
                </c:pt>
                <c:pt idx="50">
                  <c:v>66.370522976772634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827-4A37-BB93-78B8FCC8438F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'2.123 Нелин. поверхность'!$G$22:$BE$22</c:f>
              <c:numCache>
                <c:formatCode>General</c:formatCode>
                <c:ptCount val="51"/>
                <c:pt idx="0">
                  <c:v>7.4281320149532979</c:v>
                </c:pt>
                <c:pt idx="1">
                  <c:v>7.7394923747266873</c:v>
                </c:pt>
                <c:pt idx="2">
                  <c:v>8.0874341985746288</c:v>
                </c:pt>
                <c:pt idx="3">
                  <c:v>8.4719574864971214</c:v>
                </c:pt>
                <c:pt idx="4">
                  <c:v>8.8930622384941671</c:v>
                </c:pt>
                <c:pt idx="5">
                  <c:v>9.350748454565764</c:v>
                </c:pt>
                <c:pt idx="6">
                  <c:v>9.8450161347119121</c:v>
                </c:pt>
                <c:pt idx="7">
                  <c:v>10.375865278932613</c:v>
                </c:pt>
                <c:pt idx="8">
                  <c:v>10.943295887227869</c:v>
                </c:pt>
                <c:pt idx="9">
                  <c:v>11.547307959597672</c:v>
                </c:pt>
                <c:pt idx="10">
                  <c:v>12.187901496042031</c:v>
                </c:pt>
                <c:pt idx="11">
                  <c:v>12.865076496560942</c:v>
                </c:pt>
                <c:pt idx="12">
                  <c:v>13.578832961154401</c:v>
                </c:pt>
                <c:pt idx="13">
                  <c:v>14.329170889822418</c:v>
                </c:pt>
                <c:pt idx="14">
                  <c:v>15.116090282564983</c:v>
                </c:pt>
                <c:pt idx="15">
                  <c:v>15.939591139382101</c:v>
                </c:pt>
                <c:pt idx="16">
                  <c:v>16.79967346027377</c:v>
                </c:pt>
                <c:pt idx="17">
                  <c:v>17.696337245239992</c:v>
                </c:pt>
                <c:pt idx="18">
                  <c:v>18.629582494280768</c:v>
                </c:pt>
                <c:pt idx="19">
                  <c:v>19.599409207396089</c:v>
                </c:pt>
                <c:pt idx="20">
                  <c:v>20.605817384585968</c:v>
                </c:pt>
                <c:pt idx="21">
                  <c:v>21.648807025850399</c:v>
                </c:pt>
                <c:pt idx="22">
                  <c:v>22.728378131189384</c:v>
                </c:pt>
                <c:pt idx="23">
                  <c:v>23.844530700602917</c:v>
                </c:pt>
                <c:pt idx="24">
                  <c:v>24.997264734091001</c:v>
                </c:pt>
                <c:pt idx="25">
                  <c:v>26.18658023165364</c:v>
                </c:pt>
                <c:pt idx="26">
                  <c:v>27.412477193290833</c:v>
                </c:pt>
                <c:pt idx="27">
                  <c:v>28.674955619002574</c:v>
                </c:pt>
                <c:pt idx="28">
                  <c:v>29.974015508788867</c:v>
                </c:pt>
                <c:pt idx="29">
                  <c:v>31.309656862649717</c:v>
                </c:pt>
                <c:pt idx="30">
                  <c:v>32.681879680585112</c:v>
                </c:pt>
                <c:pt idx="31">
                  <c:v>34.090683962595065</c:v>
                </c:pt>
                <c:pt idx="32">
                  <c:v>35.53606970867957</c:v>
                </c:pt>
                <c:pt idx="33">
                  <c:v>37.018036918838618</c:v>
                </c:pt>
                <c:pt idx="34">
                  <c:v>38.536585593072225</c:v>
                </c:pt>
                <c:pt idx="35">
                  <c:v>40.09171573138039</c:v>
                </c:pt>
                <c:pt idx="36">
                  <c:v>41.683427333763106</c:v>
                </c:pt>
                <c:pt idx="37">
                  <c:v>43.311720400220366</c:v>
                </c:pt>
                <c:pt idx="38">
                  <c:v>44.976594930752185</c:v>
                </c:pt>
                <c:pt idx="39">
                  <c:v>46.678050925358548</c:v>
                </c:pt>
                <c:pt idx="40">
                  <c:v>48.416088384039469</c:v>
                </c:pt>
                <c:pt idx="41">
                  <c:v>50.190707306794934</c:v>
                </c:pt>
                <c:pt idx="42">
                  <c:v>52.001907693624965</c:v>
                </c:pt>
                <c:pt idx="43">
                  <c:v>53.849689544529532</c:v>
                </c:pt>
                <c:pt idx="44">
                  <c:v>55.734052859508672</c:v>
                </c:pt>
                <c:pt idx="45">
                  <c:v>57.654997638562349</c:v>
                </c:pt>
                <c:pt idx="46">
                  <c:v>59.612523881690564</c:v>
                </c:pt>
                <c:pt idx="47">
                  <c:v>61.606631588893364</c:v>
                </c:pt>
                <c:pt idx="48">
                  <c:v>63.637320760170695</c:v>
                </c:pt>
                <c:pt idx="49">
                  <c:v>65.704591395522598</c:v>
                </c:pt>
                <c:pt idx="50">
                  <c:v>67.808443494949017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8827-4A37-BB93-78B8FCC8438F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'2.123 Нелин. поверхность'!$G$23:$BE$23</c:f>
              <c:numCache>
                <c:formatCode>General</c:formatCode>
                <c:ptCount val="51"/>
                <c:pt idx="0">
                  <c:v>8.0344413163256831</c:v>
                </c:pt>
                <c:pt idx="1">
                  <c:v>8.3631653419969378</c:v>
                </c:pt>
                <c:pt idx="2">
                  <c:v>8.728470831742742</c:v>
                </c:pt>
                <c:pt idx="3">
                  <c:v>9.1303577855631008</c:v>
                </c:pt>
                <c:pt idx="4">
                  <c:v>9.5688262034580109</c:v>
                </c:pt>
                <c:pt idx="5">
                  <c:v>10.043876085427474</c:v>
                </c:pt>
                <c:pt idx="6">
                  <c:v>10.555507431471487</c:v>
                </c:pt>
                <c:pt idx="7">
                  <c:v>11.103720241590052</c:v>
                </c:pt>
                <c:pt idx="8">
                  <c:v>11.688514515783174</c:v>
                </c:pt>
                <c:pt idx="9">
                  <c:v>12.309890254050842</c:v>
                </c:pt>
                <c:pt idx="10">
                  <c:v>12.967847456393065</c:v>
                </c:pt>
                <c:pt idx="11">
                  <c:v>13.66238612280984</c:v>
                </c:pt>
                <c:pt idx="12">
                  <c:v>14.393506253301165</c:v>
                </c:pt>
                <c:pt idx="13">
                  <c:v>15.161207847867045</c:v>
                </c:pt>
                <c:pt idx="14">
                  <c:v>15.965490906507474</c:v>
                </c:pt>
                <c:pt idx="15">
                  <c:v>16.806355429222457</c:v>
                </c:pt>
                <c:pt idx="16">
                  <c:v>17.683801416011995</c:v>
                </c:pt>
                <c:pt idx="17">
                  <c:v>18.597828866876078</c:v>
                </c:pt>
                <c:pt idx="18">
                  <c:v>19.548437781814719</c:v>
                </c:pt>
                <c:pt idx="19">
                  <c:v>20.535628160827908</c:v>
                </c:pt>
                <c:pt idx="20">
                  <c:v>21.559400003915652</c:v>
                </c:pt>
                <c:pt idx="21">
                  <c:v>22.619753311077947</c:v>
                </c:pt>
                <c:pt idx="22">
                  <c:v>23.716688082314796</c:v>
                </c:pt>
                <c:pt idx="23">
                  <c:v>24.85020431762619</c:v>
                </c:pt>
                <c:pt idx="24">
                  <c:v>26.020302017012146</c:v>
                </c:pt>
                <c:pt idx="25">
                  <c:v>27.226981180472649</c:v>
                </c:pt>
                <c:pt idx="26">
                  <c:v>28.470241808007707</c:v>
                </c:pt>
                <c:pt idx="27">
                  <c:v>29.750083899617316</c:v>
                </c:pt>
                <c:pt idx="28">
                  <c:v>31.066507455301469</c:v>
                </c:pt>
                <c:pt idx="29">
                  <c:v>32.419512475060188</c:v>
                </c:pt>
                <c:pt idx="30">
                  <c:v>33.809098958893443</c:v>
                </c:pt>
                <c:pt idx="31">
                  <c:v>35.235266906801264</c:v>
                </c:pt>
                <c:pt idx="32">
                  <c:v>36.698016318783637</c:v>
                </c:pt>
                <c:pt idx="33">
                  <c:v>38.197347194840546</c:v>
                </c:pt>
                <c:pt idx="34">
                  <c:v>39.733259534972021</c:v>
                </c:pt>
                <c:pt idx="35">
                  <c:v>41.305753339178047</c:v>
                </c:pt>
                <c:pt idx="36">
                  <c:v>42.914828607458617</c:v>
                </c:pt>
                <c:pt idx="37">
                  <c:v>44.560485339813752</c:v>
                </c:pt>
                <c:pt idx="38">
                  <c:v>46.242723536243425</c:v>
                </c:pt>
                <c:pt idx="39">
                  <c:v>47.961543196747655</c:v>
                </c:pt>
                <c:pt idx="40">
                  <c:v>49.716944321326444</c:v>
                </c:pt>
                <c:pt idx="41">
                  <c:v>51.508926909979778</c:v>
                </c:pt>
                <c:pt idx="42">
                  <c:v>53.337490962707669</c:v>
                </c:pt>
                <c:pt idx="43">
                  <c:v>55.202636479510105</c:v>
                </c:pt>
                <c:pt idx="44">
                  <c:v>57.104363460387113</c:v>
                </c:pt>
                <c:pt idx="45">
                  <c:v>59.042671905338651</c:v>
                </c:pt>
                <c:pt idx="46">
                  <c:v>61.017561814364733</c:v>
                </c:pt>
                <c:pt idx="47">
                  <c:v>63.029033187465402</c:v>
                </c:pt>
                <c:pt idx="48">
                  <c:v>65.077086024640593</c:v>
                </c:pt>
                <c:pt idx="49">
                  <c:v>67.161720325890357</c:v>
                </c:pt>
                <c:pt idx="50">
                  <c:v>69.282936091214651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827-4A37-BB93-78B8FCC8438F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'2.123 Нелин. поверхность'!$G$24:$BE$24</c:f>
              <c:numCache>
                <c:formatCode>General</c:formatCode>
                <c:ptCount val="51"/>
                <c:pt idx="0">
                  <c:v>8.6773226957872982</c:v>
                </c:pt>
                <c:pt idx="1">
                  <c:v>9.0234103873564173</c:v>
                </c:pt>
                <c:pt idx="2">
                  <c:v>9.4060795430000894</c:v>
                </c:pt>
                <c:pt idx="3">
                  <c:v>9.8253301627183127</c:v>
                </c:pt>
                <c:pt idx="4">
                  <c:v>10.281162246511085</c:v>
                </c:pt>
                <c:pt idx="5">
                  <c:v>10.773575794378413</c:v>
                </c:pt>
                <c:pt idx="6">
                  <c:v>11.302570806320292</c:v>
                </c:pt>
                <c:pt idx="7">
                  <c:v>11.868147282336723</c:v>
                </c:pt>
                <c:pt idx="8">
                  <c:v>12.470305222427706</c:v>
                </c:pt>
                <c:pt idx="9">
                  <c:v>13.109044626593244</c:v>
                </c:pt>
                <c:pt idx="10">
                  <c:v>13.784365494833327</c:v>
                </c:pt>
                <c:pt idx="11">
                  <c:v>14.496267827147967</c:v>
                </c:pt>
                <c:pt idx="12">
                  <c:v>15.244751623537159</c:v>
                </c:pt>
                <c:pt idx="13">
                  <c:v>16.029816884000905</c:v>
                </c:pt>
                <c:pt idx="14">
                  <c:v>16.851463608539198</c:v>
                </c:pt>
                <c:pt idx="15">
                  <c:v>17.709691797152047</c:v>
                </c:pt>
                <c:pt idx="16">
                  <c:v>18.604501449839447</c:v>
                </c:pt>
                <c:pt idx="17">
                  <c:v>19.535892566601397</c:v>
                </c:pt>
                <c:pt idx="18">
                  <c:v>20.503865147437903</c:v>
                </c:pt>
                <c:pt idx="19">
                  <c:v>21.50841919234896</c:v>
                </c:pt>
                <c:pt idx="20">
                  <c:v>22.549554701334564</c:v>
                </c:pt>
                <c:pt idx="21">
                  <c:v>23.627271674394727</c:v>
                </c:pt>
                <c:pt idx="22">
                  <c:v>24.741570111529441</c:v>
                </c:pt>
                <c:pt idx="23">
                  <c:v>25.892450012738699</c:v>
                </c:pt>
                <c:pt idx="24">
                  <c:v>27.079911378022516</c:v>
                </c:pt>
                <c:pt idx="25">
                  <c:v>28.303954207380887</c:v>
                </c:pt>
                <c:pt idx="26">
                  <c:v>29.564578500813806</c:v>
                </c:pt>
                <c:pt idx="27">
                  <c:v>30.861784258321283</c:v>
                </c:pt>
                <c:pt idx="28">
                  <c:v>32.1955714799033</c:v>
                </c:pt>
                <c:pt idx="29">
                  <c:v>33.56594016555988</c:v>
                </c:pt>
                <c:pt idx="30">
                  <c:v>34.972890315291011</c:v>
                </c:pt>
                <c:pt idx="31">
                  <c:v>36.416421929096686</c:v>
                </c:pt>
                <c:pt idx="32">
                  <c:v>37.896535006976926</c:v>
                </c:pt>
                <c:pt idx="33">
                  <c:v>39.413229548931703</c:v>
                </c:pt>
                <c:pt idx="34">
                  <c:v>40.966505554961039</c:v>
                </c:pt>
                <c:pt idx="35">
                  <c:v>42.556363025064933</c:v>
                </c:pt>
                <c:pt idx="36">
                  <c:v>44.182801959243371</c:v>
                </c:pt>
                <c:pt idx="37">
                  <c:v>45.845822357496374</c:v>
                </c:pt>
                <c:pt idx="38">
                  <c:v>47.5454242198239</c:v>
                </c:pt>
                <c:pt idx="39">
                  <c:v>49.281607546226013</c:v>
                </c:pt>
                <c:pt idx="40">
                  <c:v>51.054372336702656</c:v>
                </c:pt>
                <c:pt idx="41">
                  <c:v>52.86371859125385</c:v>
                </c:pt>
                <c:pt idx="42">
                  <c:v>54.709646309879602</c:v>
                </c:pt>
                <c:pt idx="43">
                  <c:v>56.592155492579913</c:v>
                </c:pt>
                <c:pt idx="44">
                  <c:v>58.511246139354782</c:v>
                </c:pt>
                <c:pt idx="45">
                  <c:v>60.466918250204181</c:v>
                </c:pt>
                <c:pt idx="46">
                  <c:v>62.459171825128138</c:v>
                </c:pt>
                <c:pt idx="47">
                  <c:v>64.488006864126675</c:v>
                </c:pt>
                <c:pt idx="48">
                  <c:v>66.553423367199727</c:v>
                </c:pt>
                <c:pt idx="49">
                  <c:v>68.655421334347352</c:v>
                </c:pt>
                <c:pt idx="50">
                  <c:v>70.794000765569507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8827-4A37-BB93-78B8FCC8438F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'2.123 Нелин. поверхность'!$G$25:$BE$25</c:f>
              <c:numCache>
                <c:formatCode>General</c:formatCode>
                <c:ptCount val="51"/>
                <c:pt idx="0">
                  <c:v>9.3567761533381422</c:v>
                </c:pt>
                <c:pt idx="1">
                  <c:v>9.7202275108051239</c:v>
                </c:pt>
                <c:pt idx="2">
                  <c:v>10.12026033234666</c:v>
                </c:pt>
                <c:pt idx="3">
                  <c:v>10.556874617962748</c:v>
                </c:pt>
                <c:pt idx="4">
                  <c:v>11.030070367653387</c:v>
                </c:pt>
                <c:pt idx="5">
                  <c:v>11.539847581418579</c:v>
                </c:pt>
                <c:pt idx="6">
                  <c:v>12.086206259258322</c:v>
                </c:pt>
                <c:pt idx="7">
                  <c:v>12.669146401172618</c:v>
                </c:pt>
                <c:pt idx="8">
                  <c:v>13.288668007161467</c:v>
                </c:pt>
                <c:pt idx="9">
                  <c:v>13.944771077224869</c:v>
                </c:pt>
                <c:pt idx="10">
                  <c:v>14.637455611362819</c:v>
                </c:pt>
                <c:pt idx="11">
                  <c:v>15.366721609575325</c:v>
                </c:pt>
                <c:pt idx="12">
                  <c:v>16.132569071862378</c:v>
                </c:pt>
                <c:pt idx="13">
                  <c:v>16.934997998223992</c:v>
                </c:pt>
                <c:pt idx="14">
                  <c:v>17.77400838866015</c:v>
                </c:pt>
                <c:pt idx="15">
                  <c:v>18.649600243170859</c:v>
                </c:pt>
                <c:pt idx="16">
                  <c:v>19.561773561756127</c:v>
                </c:pt>
                <c:pt idx="17">
                  <c:v>20.510528344415942</c:v>
                </c:pt>
                <c:pt idx="18">
                  <c:v>21.495864591150312</c:v>
                </c:pt>
                <c:pt idx="19">
                  <c:v>22.51778230195923</c:v>
                </c:pt>
                <c:pt idx="20">
                  <c:v>23.576281476842706</c:v>
                </c:pt>
                <c:pt idx="21">
                  <c:v>24.671362115800733</c:v>
                </c:pt>
                <c:pt idx="22">
                  <c:v>25.803024218833311</c:v>
                </c:pt>
                <c:pt idx="23">
                  <c:v>26.971267785940434</c:v>
                </c:pt>
                <c:pt idx="24">
                  <c:v>28.176092817122115</c:v>
                </c:pt>
                <c:pt idx="25">
                  <c:v>29.417499312378347</c:v>
                </c:pt>
                <c:pt idx="26">
                  <c:v>30.695487271709137</c:v>
                </c:pt>
                <c:pt idx="27">
                  <c:v>32.010056695114471</c:v>
                </c:pt>
                <c:pt idx="28">
                  <c:v>33.361207582594361</c:v>
                </c:pt>
                <c:pt idx="29">
                  <c:v>34.748939934148801</c:v>
                </c:pt>
                <c:pt idx="30">
                  <c:v>36.1732537497778</c:v>
                </c:pt>
                <c:pt idx="31">
                  <c:v>37.634149029481343</c:v>
                </c:pt>
                <c:pt idx="32">
                  <c:v>39.131625773259444</c:v>
                </c:pt>
                <c:pt idx="33">
                  <c:v>40.665683981112082</c:v>
                </c:pt>
                <c:pt idx="34">
                  <c:v>42.236323653039292</c:v>
                </c:pt>
                <c:pt idx="35">
                  <c:v>43.84354478904104</c:v>
                </c:pt>
                <c:pt idx="36">
                  <c:v>45.487347389117353</c:v>
                </c:pt>
                <c:pt idx="37">
                  <c:v>47.16773145326821</c:v>
                </c:pt>
                <c:pt idx="38">
                  <c:v>48.884696981493619</c:v>
                </c:pt>
                <c:pt idx="39">
                  <c:v>50.638243973793578</c:v>
                </c:pt>
                <c:pt idx="40">
                  <c:v>52.428372430168096</c:v>
                </c:pt>
                <c:pt idx="41">
                  <c:v>54.255082350617151</c:v>
                </c:pt>
                <c:pt idx="42">
                  <c:v>56.118373735140779</c:v>
                </c:pt>
                <c:pt idx="43">
                  <c:v>58.018246583738943</c:v>
                </c:pt>
                <c:pt idx="44">
                  <c:v>59.95470089641168</c:v>
                </c:pt>
                <c:pt idx="45">
                  <c:v>61.92773667315894</c:v>
                </c:pt>
                <c:pt idx="46">
                  <c:v>63.937353913980765</c:v>
                </c:pt>
                <c:pt idx="47">
                  <c:v>65.983552618877155</c:v>
                </c:pt>
                <c:pt idx="48">
                  <c:v>68.066332787848069</c:v>
                </c:pt>
                <c:pt idx="49">
                  <c:v>70.185694420893569</c:v>
                </c:pt>
                <c:pt idx="50">
                  <c:v>72.341637518013599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8827-4A37-BB93-78B8FCC8438F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'2.123 Нелин. поверхность'!$G$26:$BE$26</c:f>
              <c:numCache>
                <c:formatCode>General</c:formatCode>
                <c:ptCount val="51"/>
                <c:pt idx="0">
                  <c:v>10.072801688978217</c:v>
                </c:pt>
                <c:pt idx="1">
                  <c:v>10.453616712343063</c:v>
                </c:pt>
                <c:pt idx="2">
                  <c:v>10.871013199782466</c:v>
                </c:pt>
                <c:pt idx="3">
                  <c:v>11.324991151296418</c:v>
                </c:pt>
                <c:pt idx="4">
                  <c:v>11.815550566884921</c:v>
                </c:pt>
                <c:pt idx="5">
                  <c:v>12.342691446547979</c:v>
                </c:pt>
                <c:pt idx="6">
                  <c:v>12.906413790285587</c:v>
                </c:pt>
                <c:pt idx="7">
                  <c:v>13.506717598097747</c:v>
                </c:pt>
                <c:pt idx="8">
                  <c:v>14.143602869984463</c:v>
                </c:pt>
                <c:pt idx="9">
                  <c:v>14.817069605945727</c:v>
                </c:pt>
                <c:pt idx="10">
                  <c:v>15.527117805981543</c:v>
                </c:pt>
                <c:pt idx="11">
                  <c:v>16.273747470091912</c:v>
                </c:pt>
                <c:pt idx="12">
                  <c:v>17.056958598276832</c:v>
                </c:pt>
                <c:pt idx="13">
                  <c:v>17.876751190536307</c:v>
                </c:pt>
                <c:pt idx="14">
                  <c:v>18.73312524687033</c:v>
                </c:pt>
                <c:pt idx="15">
                  <c:v>19.626080767278907</c:v>
                </c:pt>
                <c:pt idx="16">
                  <c:v>20.555617751762039</c:v>
                </c:pt>
                <c:pt idx="17">
                  <c:v>21.521736200319719</c:v>
                </c:pt>
                <c:pt idx="18">
                  <c:v>22.524436112951953</c:v>
                </c:pt>
                <c:pt idx="19">
                  <c:v>23.563717489658739</c:v>
                </c:pt>
                <c:pt idx="20">
                  <c:v>24.639580330440076</c:v>
                </c:pt>
                <c:pt idx="21">
                  <c:v>25.752024635295967</c:v>
                </c:pt>
                <c:pt idx="22">
                  <c:v>26.90105040422641</c:v>
                </c:pt>
                <c:pt idx="23">
                  <c:v>28.086657637231397</c:v>
                </c:pt>
                <c:pt idx="24">
                  <c:v>29.30884633431095</c:v>
                </c:pt>
                <c:pt idx="25">
                  <c:v>30.567616495465046</c:v>
                </c:pt>
                <c:pt idx="26">
                  <c:v>31.862968120693701</c:v>
                </c:pt>
                <c:pt idx="27">
                  <c:v>33.1949012099969</c:v>
                </c:pt>
                <c:pt idx="28">
                  <c:v>34.56341576337465</c:v>
                </c:pt>
                <c:pt idx="29">
                  <c:v>35.968511780826958</c:v>
                </c:pt>
                <c:pt idx="30">
                  <c:v>37.410189262353818</c:v>
                </c:pt>
                <c:pt idx="31">
                  <c:v>38.888448207955228</c:v>
                </c:pt>
                <c:pt idx="32">
                  <c:v>40.403288617631191</c:v>
                </c:pt>
                <c:pt idx="33">
                  <c:v>41.954710491381697</c:v>
                </c:pt>
                <c:pt idx="34">
                  <c:v>43.542713829206768</c:v>
                </c:pt>
                <c:pt idx="35">
                  <c:v>45.167298631106384</c:v>
                </c:pt>
                <c:pt idx="36">
                  <c:v>46.828464897080558</c:v>
                </c:pt>
                <c:pt idx="37">
                  <c:v>48.526212627129283</c:v>
                </c:pt>
                <c:pt idx="38">
                  <c:v>50.260541821252552</c:v>
                </c:pt>
                <c:pt idx="39">
                  <c:v>52.031452479450373</c:v>
                </c:pt>
                <c:pt idx="40">
                  <c:v>53.838944601722766</c:v>
                </c:pt>
                <c:pt idx="41">
                  <c:v>55.683018188069688</c:v>
                </c:pt>
                <c:pt idx="42">
                  <c:v>57.563673238491177</c:v>
                </c:pt>
                <c:pt idx="43">
                  <c:v>59.480909752987216</c:v>
                </c:pt>
                <c:pt idx="44">
                  <c:v>61.4347277315578</c:v>
                </c:pt>
                <c:pt idx="45">
                  <c:v>63.425127174202942</c:v>
                </c:pt>
                <c:pt idx="46">
                  <c:v>65.452108080922628</c:v>
                </c:pt>
                <c:pt idx="47">
                  <c:v>67.515670451716872</c:v>
                </c:pt>
                <c:pt idx="48">
                  <c:v>69.61581428658566</c:v>
                </c:pt>
                <c:pt idx="49">
                  <c:v>71.752539585529021</c:v>
                </c:pt>
                <c:pt idx="50">
                  <c:v>73.925846348546912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8827-4A37-BB93-78B8FCC8438F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/>
            <a:effectLst/>
            <a:sp3d/>
          </c:spPr>
          <c:val>
            <c:numRef>
              <c:f>'2.123 Нелин. поверхность'!$G$27:$BE$27</c:f>
              <c:numCache>
                <c:formatCode>General</c:formatCode>
                <c:ptCount val="51"/>
                <c:pt idx="0">
                  <c:v>10.82539930270752</c:v>
                </c:pt>
                <c:pt idx="1">
                  <c:v>11.223577991970233</c:v>
                </c:pt>
                <c:pt idx="2">
                  <c:v>11.658338145307498</c:v>
                </c:pt>
                <c:pt idx="3">
                  <c:v>12.129679762719316</c:v>
                </c:pt>
                <c:pt idx="4">
                  <c:v>12.637602844205684</c:v>
                </c:pt>
                <c:pt idx="5">
                  <c:v>13.182107389766605</c:v>
                </c:pt>
                <c:pt idx="6">
                  <c:v>13.763193399402079</c:v>
                </c:pt>
                <c:pt idx="7">
                  <c:v>14.380860873112105</c:v>
                </c:pt>
                <c:pt idx="8">
                  <c:v>15.035109810896682</c:v>
                </c:pt>
                <c:pt idx="9">
                  <c:v>15.725940212755813</c:v>
                </c:pt>
                <c:pt idx="10">
                  <c:v>16.453352078689495</c:v>
                </c:pt>
                <c:pt idx="11">
                  <c:v>17.217345408697728</c:v>
                </c:pt>
                <c:pt idx="12">
                  <c:v>18.017920202780513</c:v>
                </c:pt>
                <c:pt idx="13">
                  <c:v>18.855076460937852</c:v>
                </c:pt>
                <c:pt idx="14">
                  <c:v>19.728814183169742</c:v>
                </c:pt>
                <c:pt idx="15">
                  <c:v>20.639133369476184</c:v>
                </c:pt>
                <c:pt idx="16">
                  <c:v>21.586034019857181</c:v>
                </c:pt>
                <c:pt idx="17">
                  <c:v>22.569516134312725</c:v>
                </c:pt>
                <c:pt idx="18">
                  <c:v>23.589579712842824</c:v>
                </c:pt>
                <c:pt idx="19">
                  <c:v>24.64622475544747</c:v>
                </c:pt>
                <c:pt idx="20">
                  <c:v>25.739451262126678</c:v>
                </c:pt>
                <c:pt idx="21">
                  <c:v>26.869259232880431</c:v>
                </c:pt>
                <c:pt idx="22">
                  <c:v>28.035648667708738</c:v>
                </c:pt>
                <c:pt idx="23">
                  <c:v>29.238619566611593</c:v>
                </c:pt>
                <c:pt idx="24">
                  <c:v>30.478171929589003</c:v>
                </c:pt>
                <c:pt idx="25">
                  <c:v>31.754305756640967</c:v>
                </c:pt>
                <c:pt idx="26">
                  <c:v>33.067021047767483</c:v>
                </c:pt>
                <c:pt idx="27">
                  <c:v>34.41631780296855</c:v>
                </c:pt>
                <c:pt idx="28">
                  <c:v>35.802196022244168</c:v>
                </c:pt>
                <c:pt idx="29">
                  <c:v>37.224655705594344</c:v>
                </c:pt>
                <c:pt idx="30">
                  <c:v>38.683696853019057</c:v>
                </c:pt>
                <c:pt idx="31">
                  <c:v>40.179319464518343</c:v>
                </c:pt>
                <c:pt idx="32">
                  <c:v>41.711523540092173</c:v>
                </c:pt>
                <c:pt idx="33">
                  <c:v>43.28030907974054</c:v>
                </c:pt>
                <c:pt idx="34">
                  <c:v>44.885676083463473</c:v>
                </c:pt>
                <c:pt idx="35">
                  <c:v>46.527624551260956</c:v>
                </c:pt>
                <c:pt idx="36">
                  <c:v>48.206154483132998</c:v>
                </c:pt>
                <c:pt idx="37">
                  <c:v>49.921265879079584</c:v>
                </c:pt>
                <c:pt idx="38">
                  <c:v>51.672958739100721</c:v>
                </c:pt>
                <c:pt idx="39">
                  <c:v>53.46123306319641</c:v>
                </c:pt>
                <c:pt idx="40">
                  <c:v>55.286088851366657</c:v>
                </c:pt>
                <c:pt idx="41">
                  <c:v>57.147526103611447</c:v>
                </c:pt>
                <c:pt idx="42">
                  <c:v>59.045544819930804</c:v>
                </c:pt>
                <c:pt idx="43">
                  <c:v>60.98014500032469</c:v>
                </c:pt>
                <c:pt idx="44">
                  <c:v>62.951326644793156</c:v>
                </c:pt>
                <c:pt idx="45">
                  <c:v>64.959089753336158</c:v>
                </c:pt>
                <c:pt idx="46">
                  <c:v>67.003434325953705</c:v>
                </c:pt>
                <c:pt idx="47">
                  <c:v>69.084360362645825</c:v>
                </c:pt>
                <c:pt idx="48">
                  <c:v>71.201867863412474</c:v>
                </c:pt>
                <c:pt idx="49">
                  <c:v>73.35595682825371</c:v>
                </c:pt>
                <c:pt idx="50">
                  <c:v>75.546627257169462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8827-4A37-BB93-78B8FCC8438F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/>
            <a:effectLst/>
            <a:sp3d/>
          </c:spPr>
          <c:val>
            <c:numRef>
              <c:f>'2.123 Нелин. поверхность'!$G$28:$BE$28</c:f>
              <c:numCache>
                <c:formatCode>General</c:formatCode>
                <c:ptCount val="51"/>
                <c:pt idx="0">
                  <c:v>11.614568994526053</c:v>
                </c:pt>
                <c:pt idx="1">
                  <c:v>12.030111349686631</c:v>
                </c:pt>
                <c:pt idx="2">
                  <c:v>12.482235168921761</c:v>
                </c:pt>
                <c:pt idx="3">
                  <c:v>12.970940452231442</c:v>
                </c:pt>
                <c:pt idx="4">
                  <c:v>13.496227199615678</c:v>
                </c:pt>
                <c:pt idx="5">
                  <c:v>14.058095411074465</c:v>
                </c:pt>
                <c:pt idx="6">
                  <c:v>14.656545086607801</c:v>
                </c:pt>
                <c:pt idx="7">
                  <c:v>15.291576226215692</c:v>
                </c:pt>
                <c:pt idx="8">
                  <c:v>15.963188829898137</c:v>
                </c:pt>
                <c:pt idx="9">
                  <c:v>16.671382897655132</c:v>
                </c:pt>
                <c:pt idx="10">
                  <c:v>17.416158429486678</c:v>
                </c:pt>
                <c:pt idx="11">
                  <c:v>18.197515425392776</c:v>
                </c:pt>
                <c:pt idx="12">
                  <c:v>19.015453885373425</c:v>
                </c:pt>
                <c:pt idx="13">
                  <c:v>19.869973809428629</c:v>
                </c:pt>
                <c:pt idx="14">
                  <c:v>20.761075197558384</c:v>
                </c:pt>
                <c:pt idx="15">
                  <c:v>21.68875804976269</c:v>
                </c:pt>
                <c:pt idx="16">
                  <c:v>22.653022366041554</c:v>
                </c:pt>
                <c:pt idx="17">
                  <c:v>23.653868146394959</c:v>
                </c:pt>
                <c:pt idx="18">
                  <c:v>24.691295390822926</c:v>
                </c:pt>
                <c:pt idx="19">
                  <c:v>25.765304099325441</c:v>
                </c:pt>
                <c:pt idx="20">
                  <c:v>26.875894271902506</c:v>
                </c:pt>
                <c:pt idx="21">
                  <c:v>28.023065908554123</c:v>
                </c:pt>
                <c:pt idx="22">
                  <c:v>29.206819009280299</c:v>
                </c:pt>
                <c:pt idx="23">
                  <c:v>30.427153574081018</c:v>
                </c:pt>
                <c:pt idx="24">
                  <c:v>31.684069602956299</c:v>
                </c:pt>
                <c:pt idx="25">
                  <c:v>32.977567095906124</c:v>
                </c:pt>
                <c:pt idx="26">
                  <c:v>34.307646052930508</c:v>
                </c:pt>
                <c:pt idx="27">
                  <c:v>35.674306474029436</c:v>
                </c:pt>
                <c:pt idx="28">
                  <c:v>37.077548359202922</c:v>
                </c:pt>
                <c:pt idx="29">
                  <c:v>38.517371708450959</c:v>
                </c:pt>
                <c:pt idx="30">
                  <c:v>39.99377652177354</c:v>
                </c:pt>
                <c:pt idx="31">
                  <c:v>41.506762799170687</c:v>
                </c:pt>
                <c:pt idx="32">
                  <c:v>43.056330540642378</c:v>
                </c:pt>
                <c:pt idx="33">
                  <c:v>44.642479746188613</c:v>
                </c:pt>
                <c:pt idx="34">
                  <c:v>46.265210415809413</c:v>
                </c:pt>
                <c:pt idx="35">
                  <c:v>47.924522549504765</c:v>
                </c:pt>
                <c:pt idx="36">
                  <c:v>49.620416147274661</c:v>
                </c:pt>
                <c:pt idx="37">
                  <c:v>51.352891209119122</c:v>
                </c:pt>
                <c:pt idx="38">
                  <c:v>53.12194773503812</c:v>
                </c:pt>
                <c:pt idx="39">
                  <c:v>54.927585725031676</c:v>
                </c:pt>
                <c:pt idx="40">
                  <c:v>56.769805179099784</c:v>
                </c:pt>
                <c:pt idx="41">
                  <c:v>58.648606097242443</c:v>
                </c:pt>
                <c:pt idx="42">
                  <c:v>60.563988479459653</c:v>
                </c:pt>
                <c:pt idx="43">
                  <c:v>62.515952325751414</c:v>
                </c:pt>
                <c:pt idx="44">
                  <c:v>64.504497636117748</c:v>
                </c:pt>
                <c:pt idx="45">
                  <c:v>66.529624410558611</c:v>
                </c:pt>
                <c:pt idx="46">
                  <c:v>68.591332649074019</c:v>
                </c:pt>
                <c:pt idx="47">
                  <c:v>70.689622351664013</c:v>
                </c:pt>
                <c:pt idx="48">
                  <c:v>72.824493518328524</c:v>
                </c:pt>
                <c:pt idx="49">
                  <c:v>74.995946149067606</c:v>
                </c:pt>
                <c:pt idx="50">
                  <c:v>77.203980243881233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8827-4A37-BB93-78B8FCC8438F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/>
            <a:effectLst/>
            <a:sp3d/>
          </c:spPr>
          <c:val>
            <c:numRef>
              <c:f>'2.123 Нелин. поверхность'!$G$29:$BE$29</c:f>
              <c:numCache>
                <c:formatCode>General</c:formatCode>
                <c:ptCount val="51"/>
                <c:pt idx="0">
                  <c:v>12.440310764433816</c:v>
                </c:pt>
                <c:pt idx="1">
                  <c:v>12.873216785492259</c:v>
                </c:pt>
                <c:pt idx="2">
                  <c:v>13.342704270625255</c:v>
                </c:pt>
                <c:pt idx="3">
                  <c:v>13.848773219832802</c:v>
                </c:pt>
                <c:pt idx="4">
                  <c:v>14.391423633114901</c:v>
                </c:pt>
                <c:pt idx="5">
                  <c:v>14.970655510471552</c:v>
                </c:pt>
                <c:pt idx="6">
                  <c:v>15.586468851902755</c:v>
                </c:pt>
                <c:pt idx="7">
                  <c:v>16.238863657408512</c:v>
                </c:pt>
                <c:pt idx="8">
                  <c:v>16.927839926988817</c:v>
                </c:pt>
                <c:pt idx="9">
                  <c:v>17.65339766064368</c:v>
                </c:pt>
                <c:pt idx="10">
                  <c:v>18.415536858373088</c:v>
                </c:pt>
                <c:pt idx="11">
                  <c:v>19.214257520177053</c:v>
                </c:pt>
                <c:pt idx="12">
                  <c:v>20.049559646055567</c:v>
                </c:pt>
                <c:pt idx="13">
                  <c:v>20.921443236008638</c:v>
                </c:pt>
                <c:pt idx="14">
                  <c:v>21.829908290036254</c:v>
                </c:pt>
                <c:pt idx="15">
                  <c:v>22.774954808138428</c:v>
                </c:pt>
                <c:pt idx="16">
                  <c:v>23.75658279031515</c:v>
                </c:pt>
                <c:pt idx="17">
                  <c:v>24.774792236566427</c:v>
                </c:pt>
                <c:pt idx="18">
                  <c:v>25.829583146892254</c:v>
                </c:pt>
                <c:pt idx="19">
                  <c:v>26.920955521292637</c:v>
                </c:pt>
                <c:pt idx="20">
                  <c:v>28.04890935976757</c:v>
                </c:pt>
                <c:pt idx="21">
                  <c:v>29.213444662317052</c:v>
                </c:pt>
                <c:pt idx="22">
                  <c:v>30.414561428941091</c:v>
                </c:pt>
                <c:pt idx="23">
                  <c:v>31.652259659639675</c:v>
                </c:pt>
                <c:pt idx="24">
                  <c:v>32.926539354412817</c:v>
                </c:pt>
                <c:pt idx="25">
                  <c:v>34.237400513260511</c:v>
                </c:pt>
                <c:pt idx="26">
                  <c:v>35.584843136182755</c:v>
                </c:pt>
                <c:pt idx="27">
                  <c:v>36.968867223179558</c:v>
                </c:pt>
                <c:pt idx="28">
                  <c:v>38.389472774250898</c:v>
                </c:pt>
                <c:pt idx="29">
                  <c:v>39.846659789396796</c:v>
                </c:pt>
                <c:pt idx="30">
                  <c:v>41.340428268617252</c:v>
                </c:pt>
                <c:pt idx="31">
                  <c:v>42.87077821191226</c:v>
                </c:pt>
                <c:pt idx="32">
                  <c:v>44.437709619281819</c:v>
                </c:pt>
                <c:pt idx="33">
                  <c:v>46.041222490725922</c:v>
                </c:pt>
                <c:pt idx="34">
                  <c:v>47.681316826244583</c:v>
                </c:pt>
                <c:pt idx="35">
                  <c:v>49.357992625837795</c:v>
                </c:pt>
                <c:pt idx="36">
                  <c:v>51.071249889505566</c:v>
                </c:pt>
                <c:pt idx="37">
                  <c:v>52.821088617247881</c:v>
                </c:pt>
                <c:pt idx="38">
                  <c:v>54.607508809064747</c:v>
                </c:pt>
                <c:pt idx="39">
                  <c:v>56.430510464956171</c:v>
                </c:pt>
                <c:pt idx="40">
                  <c:v>58.290093584922147</c:v>
                </c:pt>
                <c:pt idx="41">
                  <c:v>60.186258168962659</c:v>
                </c:pt>
                <c:pt idx="42">
                  <c:v>62.119004217077745</c:v>
                </c:pt>
                <c:pt idx="43">
                  <c:v>64.088331729267367</c:v>
                </c:pt>
                <c:pt idx="44">
                  <c:v>66.094240705531561</c:v>
                </c:pt>
                <c:pt idx="45">
                  <c:v>68.136731145870286</c:v>
                </c:pt>
                <c:pt idx="46">
                  <c:v>70.215803050283569</c:v>
                </c:pt>
                <c:pt idx="47">
                  <c:v>72.331456418771424</c:v>
                </c:pt>
                <c:pt idx="48">
                  <c:v>74.483691251333809</c:v>
                </c:pt>
                <c:pt idx="49">
                  <c:v>76.672507547970753</c:v>
                </c:pt>
                <c:pt idx="50">
                  <c:v>78.89790530868224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8827-4A37-BB93-78B8FCC8438F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/>
            <a:effectLst/>
            <a:sp3d/>
          </c:spPr>
          <c:val>
            <c:numRef>
              <c:f>'2.123 Нелин. поверхность'!$G$30:$BE$30</c:f>
              <c:numCache>
                <c:formatCode>General</c:formatCode>
                <c:ptCount val="51"/>
                <c:pt idx="0">
                  <c:v>13.302624612430812</c:v>
                </c:pt>
                <c:pt idx="1">
                  <c:v>13.752894299387117</c:v>
                </c:pt>
                <c:pt idx="2">
                  <c:v>14.239745450417979</c:v>
                </c:pt>
                <c:pt idx="3">
                  <c:v>14.763178065523391</c:v>
                </c:pt>
                <c:pt idx="4">
                  <c:v>15.323192144703354</c:v>
                </c:pt>
                <c:pt idx="5">
                  <c:v>15.919787687957871</c:v>
                </c:pt>
                <c:pt idx="6">
                  <c:v>16.552964695286938</c:v>
                </c:pt>
                <c:pt idx="7">
                  <c:v>17.222723166690557</c:v>
                </c:pt>
                <c:pt idx="8">
                  <c:v>17.92906310216873</c:v>
                </c:pt>
                <c:pt idx="9">
                  <c:v>18.671984501721457</c:v>
                </c:pt>
                <c:pt idx="10">
                  <c:v>19.451487365348733</c:v>
                </c:pt>
                <c:pt idx="11">
                  <c:v>20.267571693050559</c:v>
                </c:pt>
                <c:pt idx="12">
                  <c:v>21.120237484826941</c:v>
                </c:pt>
                <c:pt idx="13">
                  <c:v>22.009484740677877</c:v>
                </c:pt>
                <c:pt idx="14">
                  <c:v>22.935313460603357</c:v>
                </c:pt>
                <c:pt idx="15">
                  <c:v>23.897723644603396</c:v>
                </c:pt>
                <c:pt idx="16">
                  <c:v>24.896715292677982</c:v>
                </c:pt>
                <c:pt idx="17">
                  <c:v>25.932288404827123</c:v>
                </c:pt>
                <c:pt idx="18">
                  <c:v>27.004442981050822</c:v>
                </c:pt>
                <c:pt idx="19">
                  <c:v>28.113179021349062</c:v>
                </c:pt>
                <c:pt idx="20">
                  <c:v>29.25849652572186</c:v>
                </c:pt>
                <c:pt idx="21">
                  <c:v>30.440395494169209</c:v>
                </c:pt>
                <c:pt idx="22">
                  <c:v>31.65887592669111</c:v>
                </c:pt>
                <c:pt idx="23">
                  <c:v>32.913937823287561</c:v>
                </c:pt>
                <c:pt idx="24">
                  <c:v>34.205581183958572</c:v>
                </c:pt>
                <c:pt idx="25">
                  <c:v>35.533806008704126</c:v>
                </c:pt>
                <c:pt idx="26">
                  <c:v>36.898612297524238</c:v>
                </c:pt>
                <c:pt idx="27">
                  <c:v>38.300000050418902</c:v>
                </c:pt>
                <c:pt idx="28">
                  <c:v>39.73796926738811</c:v>
                </c:pt>
                <c:pt idx="29">
                  <c:v>41.212519948431876</c:v>
                </c:pt>
                <c:pt idx="30">
                  <c:v>42.723652093550193</c:v>
                </c:pt>
                <c:pt idx="31">
                  <c:v>44.271365702743061</c:v>
                </c:pt>
                <c:pt idx="32">
                  <c:v>45.855660776010495</c:v>
                </c:pt>
                <c:pt idx="33">
                  <c:v>47.476537313352459</c:v>
                </c:pt>
                <c:pt idx="34">
                  <c:v>49.133995314768981</c:v>
                </c:pt>
                <c:pt idx="35">
                  <c:v>50.828034780260069</c:v>
                </c:pt>
                <c:pt idx="36">
                  <c:v>52.558655709825693</c:v>
                </c:pt>
                <c:pt idx="37">
                  <c:v>54.325858103465876</c:v>
                </c:pt>
                <c:pt idx="38">
                  <c:v>56.129641961180603</c:v>
                </c:pt>
                <c:pt idx="39">
                  <c:v>57.970007282969895</c:v>
                </c:pt>
                <c:pt idx="40">
                  <c:v>59.846954068833732</c:v>
                </c:pt>
                <c:pt idx="41">
                  <c:v>61.760482318772112</c:v>
                </c:pt>
                <c:pt idx="42">
                  <c:v>63.710592032785058</c:v>
                </c:pt>
                <c:pt idx="43">
                  <c:v>65.697283210872556</c:v>
                </c:pt>
                <c:pt idx="44">
                  <c:v>67.720555853034611</c:v>
                </c:pt>
                <c:pt idx="45">
                  <c:v>69.780409959271196</c:v>
                </c:pt>
                <c:pt idx="46">
                  <c:v>71.87684552958234</c:v>
                </c:pt>
                <c:pt idx="47">
                  <c:v>74.009862563968071</c:v>
                </c:pt>
                <c:pt idx="48">
                  <c:v>76.179461062428302</c:v>
                </c:pt>
                <c:pt idx="49">
                  <c:v>78.385641024963121</c:v>
                </c:pt>
                <c:pt idx="50">
                  <c:v>80.62840245157247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8827-4A37-BB93-78B8FCC8438F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/>
            <a:effectLst/>
            <a:sp3d/>
          </c:spPr>
          <c:val>
            <c:numRef>
              <c:f>'2.123 Нелин. поверхность'!$G$31:$BE$31</c:f>
              <c:numCache>
                <c:formatCode>General</c:formatCode>
                <c:ptCount val="51"/>
                <c:pt idx="0">
                  <c:v>14.201510538517031</c:v>
                </c:pt>
                <c:pt idx="1">
                  <c:v>14.669143891371203</c:v>
                </c:pt>
                <c:pt idx="2">
                  <c:v>15.173358708299927</c:v>
                </c:pt>
                <c:pt idx="3">
                  <c:v>15.714154989303204</c:v>
                </c:pt>
                <c:pt idx="4">
                  <c:v>16.291532734381033</c:v>
                </c:pt>
                <c:pt idx="5">
                  <c:v>16.905491943533413</c:v>
                </c:pt>
                <c:pt idx="6">
                  <c:v>17.556032616760348</c:v>
                </c:pt>
                <c:pt idx="7">
                  <c:v>18.24315475406183</c:v>
                </c:pt>
                <c:pt idx="8">
                  <c:v>18.966858355437868</c:v>
                </c:pt>
                <c:pt idx="9">
                  <c:v>19.72714342088846</c:v>
                </c:pt>
                <c:pt idx="10">
                  <c:v>20.5240099504136</c:v>
                </c:pt>
                <c:pt idx="11">
                  <c:v>21.357457944013294</c:v>
                </c:pt>
                <c:pt idx="12">
                  <c:v>22.227487401687537</c:v>
                </c:pt>
                <c:pt idx="13">
                  <c:v>23.134098323436337</c:v>
                </c:pt>
                <c:pt idx="14">
                  <c:v>24.077290709259685</c:v>
                </c:pt>
                <c:pt idx="15">
                  <c:v>25.057064559157585</c:v>
                </c:pt>
                <c:pt idx="16">
                  <c:v>26.073419873130042</c:v>
                </c:pt>
                <c:pt idx="17">
                  <c:v>27.126356651177048</c:v>
                </c:pt>
                <c:pt idx="18">
                  <c:v>28.215874893298604</c:v>
                </c:pt>
                <c:pt idx="19">
                  <c:v>29.341974599494712</c:v>
                </c:pt>
                <c:pt idx="20">
                  <c:v>30.504655769765375</c:v>
                </c:pt>
                <c:pt idx="21">
                  <c:v>31.703918404110588</c:v>
                </c:pt>
                <c:pt idx="22">
                  <c:v>32.939762502530357</c:v>
                </c:pt>
                <c:pt idx="23">
                  <c:v>34.212188065024669</c:v>
                </c:pt>
                <c:pt idx="24">
                  <c:v>35.52119509159354</c:v>
                </c:pt>
                <c:pt idx="25">
                  <c:v>36.866783582236963</c:v>
                </c:pt>
                <c:pt idx="26">
                  <c:v>38.248953536954943</c:v>
                </c:pt>
                <c:pt idx="27">
                  <c:v>39.667704955747467</c:v>
                </c:pt>
                <c:pt idx="28">
                  <c:v>41.123037838614536</c:v>
                </c:pt>
                <c:pt idx="29">
                  <c:v>42.61495218555617</c:v>
                </c:pt>
                <c:pt idx="30">
                  <c:v>44.143447996572355</c:v>
                </c:pt>
                <c:pt idx="31">
                  <c:v>45.708525271663092</c:v>
                </c:pt>
                <c:pt idx="32">
                  <c:v>47.31018401082838</c:v>
                </c:pt>
                <c:pt idx="33">
                  <c:v>48.948424214068211</c:v>
                </c:pt>
                <c:pt idx="34">
                  <c:v>50.623245881382601</c:v>
                </c:pt>
                <c:pt idx="35">
                  <c:v>52.33464901277155</c:v>
                </c:pt>
                <c:pt idx="36">
                  <c:v>54.082633608235042</c:v>
                </c:pt>
                <c:pt idx="37">
                  <c:v>55.867199667773093</c:v>
                </c:pt>
                <c:pt idx="38">
                  <c:v>57.688347191385688</c:v>
                </c:pt>
                <c:pt idx="39">
                  <c:v>59.546076179072834</c:v>
                </c:pt>
                <c:pt idx="40">
                  <c:v>61.440386630834546</c:v>
                </c:pt>
                <c:pt idx="41">
                  <c:v>63.371278546670794</c:v>
                </c:pt>
                <c:pt idx="42">
                  <c:v>65.338751926581608</c:v>
                </c:pt>
                <c:pt idx="43">
                  <c:v>67.342806770566966</c:v>
                </c:pt>
                <c:pt idx="44">
                  <c:v>69.383443078626883</c:v>
                </c:pt>
                <c:pt idx="45">
                  <c:v>71.460660850761343</c:v>
                </c:pt>
                <c:pt idx="46">
                  <c:v>73.574460086970348</c:v>
                </c:pt>
                <c:pt idx="47">
                  <c:v>75.724840787253925</c:v>
                </c:pt>
                <c:pt idx="48">
                  <c:v>77.911802951612032</c:v>
                </c:pt>
                <c:pt idx="49">
                  <c:v>80.135346580044725</c:v>
                </c:pt>
                <c:pt idx="50">
                  <c:v>82.395471672551935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8827-4A37-BB93-78B8FCC8438F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/>
            <a:effectLst/>
            <a:sp3d/>
          </c:spPr>
          <c:val>
            <c:numRef>
              <c:f>'2.123 Нелин. поверхность'!$G$32:$BE$32</c:f>
              <c:numCache>
                <c:formatCode>General</c:formatCode>
                <c:ptCount val="51"/>
                <c:pt idx="0">
                  <c:v>15.136968542692484</c:v>
                </c:pt>
                <c:pt idx="1">
                  <c:v>15.621965561444522</c:v>
                </c:pt>
                <c:pt idx="2">
                  <c:v>16.14354404427111</c:v>
                </c:pt>
                <c:pt idx="3">
                  <c:v>16.701703991172252</c:v>
                </c:pt>
                <c:pt idx="4">
                  <c:v>17.296445402147945</c:v>
                </c:pt>
                <c:pt idx="5">
                  <c:v>17.92776827719819</c:v>
                </c:pt>
                <c:pt idx="6">
                  <c:v>18.59567261632299</c:v>
                </c:pt>
                <c:pt idx="7">
                  <c:v>19.30015841952234</c:v>
                </c:pt>
                <c:pt idx="8">
                  <c:v>20.041225686796242</c:v>
                </c:pt>
                <c:pt idx="9">
                  <c:v>20.818874418144695</c:v>
                </c:pt>
                <c:pt idx="10">
                  <c:v>21.633104613567703</c:v>
                </c:pt>
                <c:pt idx="11">
                  <c:v>22.483916273065262</c:v>
                </c:pt>
                <c:pt idx="12">
                  <c:v>23.371309396637372</c:v>
                </c:pt>
                <c:pt idx="13">
                  <c:v>24.295283984284033</c:v>
                </c:pt>
                <c:pt idx="14">
                  <c:v>25.255840036005246</c:v>
                </c:pt>
                <c:pt idx="15">
                  <c:v>26.252977551801013</c:v>
                </c:pt>
                <c:pt idx="16">
                  <c:v>27.286696531671332</c:v>
                </c:pt>
                <c:pt idx="17">
                  <c:v>28.356996975616202</c:v>
                </c:pt>
                <c:pt idx="18">
                  <c:v>29.463878883635626</c:v>
                </c:pt>
                <c:pt idx="19">
                  <c:v>30.607342255729598</c:v>
                </c:pt>
                <c:pt idx="20">
                  <c:v>31.787387091898125</c:v>
                </c:pt>
                <c:pt idx="21">
                  <c:v>33.004013392141204</c:v>
                </c:pt>
                <c:pt idx="22">
                  <c:v>34.25722115645884</c:v>
                </c:pt>
                <c:pt idx="23">
                  <c:v>35.547010384851013</c:v>
                </c:pt>
                <c:pt idx="24">
                  <c:v>36.873381077317752</c:v>
                </c:pt>
                <c:pt idx="25">
                  <c:v>38.236333233859042</c:v>
                </c:pt>
                <c:pt idx="26">
                  <c:v>39.635866854474884</c:v>
                </c:pt>
                <c:pt idx="27">
                  <c:v>41.071981939165269</c:v>
                </c:pt>
                <c:pt idx="28">
                  <c:v>42.544678487930213</c:v>
                </c:pt>
                <c:pt idx="29">
                  <c:v>44.053956500769708</c:v>
                </c:pt>
                <c:pt idx="30">
                  <c:v>45.599815977683754</c:v>
                </c:pt>
                <c:pt idx="31">
                  <c:v>47.182256918672351</c:v>
                </c:pt>
                <c:pt idx="32">
                  <c:v>48.801279323735514</c:v>
                </c:pt>
                <c:pt idx="33">
                  <c:v>50.4568831928732</c:v>
                </c:pt>
                <c:pt idx="34">
                  <c:v>52.149068526085465</c:v>
                </c:pt>
                <c:pt idx="35">
                  <c:v>53.877835323372267</c:v>
                </c:pt>
                <c:pt idx="36">
                  <c:v>55.643183584733634</c:v>
                </c:pt>
                <c:pt idx="37">
                  <c:v>57.445113310169539</c:v>
                </c:pt>
                <c:pt idx="38">
                  <c:v>59.283624499680002</c:v>
                </c:pt>
                <c:pt idx="39">
                  <c:v>61.158717153265016</c:v>
                </c:pt>
                <c:pt idx="40">
                  <c:v>63.070391270924588</c:v>
                </c:pt>
                <c:pt idx="41">
                  <c:v>65.018646852658705</c:v>
                </c:pt>
                <c:pt idx="42">
                  <c:v>67.00348389846738</c:v>
                </c:pt>
                <c:pt idx="43">
                  <c:v>69.024902408350599</c:v>
                </c:pt>
                <c:pt idx="44">
                  <c:v>71.08290238230839</c:v>
                </c:pt>
                <c:pt idx="45">
                  <c:v>73.177483820340711</c:v>
                </c:pt>
                <c:pt idx="46">
                  <c:v>75.308646722447577</c:v>
                </c:pt>
                <c:pt idx="47">
                  <c:v>77.476391088629029</c:v>
                </c:pt>
                <c:pt idx="48">
                  <c:v>79.680716918884997</c:v>
                </c:pt>
                <c:pt idx="49">
                  <c:v>81.921624213215551</c:v>
                </c:pt>
                <c:pt idx="50">
                  <c:v>84.199112971620636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8827-4A37-BB93-78B8FCC8438F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/>
            <a:effectLst/>
            <a:sp3d/>
          </c:spPr>
          <c:val>
            <c:numRef>
              <c:f>'2.123 Нелин. поверхность'!$G$33:$BE$33</c:f>
              <c:numCache>
                <c:formatCode>General</c:formatCode>
                <c:ptCount val="51"/>
                <c:pt idx="0">
                  <c:v>16.108998624957167</c:v>
                </c:pt>
                <c:pt idx="1">
                  <c:v>16.611359309607067</c:v>
                </c:pt>
                <c:pt idx="2">
                  <c:v>17.150301458331523</c:v>
                </c:pt>
                <c:pt idx="3">
                  <c:v>17.725825071130529</c:v>
                </c:pt>
                <c:pt idx="4">
                  <c:v>18.337930148004091</c:v>
                </c:pt>
                <c:pt idx="5">
                  <c:v>18.9866166889522</c:v>
                </c:pt>
                <c:pt idx="6">
                  <c:v>19.67188469397486</c:v>
                </c:pt>
                <c:pt idx="7">
                  <c:v>20.393734163072075</c:v>
                </c:pt>
                <c:pt idx="8">
                  <c:v>21.152165096243845</c:v>
                </c:pt>
                <c:pt idx="9">
                  <c:v>21.947177493490162</c:v>
                </c:pt>
                <c:pt idx="10">
                  <c:v>22.778771354811035</c:v>
                </c:pt>
                <c:pt idx="11">
                  <c:v>23.646946680206455</c:v>
                </c:pt>
                <c:pt idx="12">
                  <c:v>24.551703469676433</c:v>
                </c:pt>
                <c:pt idx="13">
                  <c:v>25.493041723220959</c:v>
                </c:pt>
                <c:pt idx="14">
                  <c:v>26.470961440840036</c:v>
                </c:pt>
                <c:pt idx="15">
                  <c:v>27.485462622533667</c:v>
                </c:pt>
                <c:pt idx="16">
                  <c:v>28.536545268301854</c:v>
                </c:pt>
                <c:pt idx="17">
                  <c:v>29.624209378144585</c:v>
                </c:pt>
                <c:pt idx="18">
                  <c:v>30.748454952061877</c:v>
                </c:pt>
                <c:pt idx="19">
                  <c:v>31.909281990053714</c:v>
                </c:pt>
                <c:pt idx="20">
                  <c:v>33.106690492120109</c:v>
                </c:pt>
                <c:pt idx="21">
                  <c:v>34.340680458261048</c:v>
                </c:pt>
                <c:pt idx="22">
                  <c:v>35.611251888476545</c:v>
                </c:pt>
                <c:pt idx="23">
                  <c:v>36.918404782766586</c:v>
                </c:pt>
                <c:pt idx="24">
                  <c:v>38.262139141131193</c:v>
                </c:pt>
                <c:pt idx="25">
                  <c:v>39.642454963570344</c:v>
                </c:pt>
                <c:pt idx="26">
                  <c:v>41.059352250084046</c:v>
                </c:pt>
                <c:pt idx="27">
                  <c:v>42.512831000672307</c:v>
                </c:pt>
                <c:pt idx="28">
                  <c:v>44.002891215335111</c:v>
                </c:pt>
                <c:pt idx="29">
                  <c:v>45.529532894072474</c:v>
                </c:pt>
                <c:pt idx="30">
                  <c:v>47.092756036884381</c:v>
                </c:pt>
                <c:pt idx="31">
                  <c:v>48.692560643770847</c:v>
                </c:pt>
                <c:pt idx="32">
                  <c:v>50.32894671473187</c:v>
                </c:pt>
                <c:pt idx="33">
                  <c:v>52.001914249767431</c:v>
                </c:pt>
                <c:pt idx="34">
                  <c:v>53.71146324887755</c:v>
                </c:pt>
                <c:pt idx="35">
                  <c:v>55.457593712062227</c:v>
                </c:pt>
                <c:pt idx="36">
                  <c:v>57.240305639321448</c:v>
                </c:pt>
                <c:pt idx="37">
                  <c:v>59.059599030655228</c:v>
                </c:pt>
                <c:pt idx="38">
                  <c:v>60.915473886063552</c:v>
                </c:pt>
                <c:pt idx="39">
                  <c:v>62.807930205546434</c:v>
                </c:pt>
                <c:pt idx="40">
                  <c:v>64.736967989103874</c:v>
                </c:pt>
                <c:pt idx="41">
                  <c:v>66.702587236735852</c:v>
                </c:pt>
                <c:pt idx="42">
                  <c:v>68.704787948442387</c:v>
                </c:pt>
                <c:pt idx="43">
                  <c:v>70.743570124223481</c:v>
                </c:pt>
                <c:pt idx="44">
                  <c:v>72.818933764079134</c:v>
                </c:pt>
                <c:pt idx="45">
                  <c:v>74.930878868009316</c:v>
                </c:pt>
                <c:pt idx="46">
                  <c:v>77.079405436014042</c:v>
                </c:pt>
                <c:pt idx="47">
                  <c:v>79.264513468093355</c:v>
                </c:pt>
                <c:pt idx="48">
                  <c:v>81.486202964247212</c:v>
                </c:pt>
                <c:pt idx="49">
                  <c:v>83.744473924475614</c:v>
                </c:pt>
                <c:pt idx="50">
                  <c:v>86.039326348778559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827-4A37-BB93-78B8FCC8438F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/>
            <a:effectLst/>
            <a:sp3d/>
          </c:spPr>
          <c:val>
            <c:numRef>
              <c:f>'2.123 Нелин. поверхность'!$G$34:$BE$34</c:f>
              <c:numCache>
                <c:formatCode>General</c:formatCode>
                <c:ptCount val="51"/>
                <c:pt idx="0">
                  <c:v>17.11760078531108</c:v>
                </c:pt>
                <c:pt idx="1">
                  <c:v>17.637325135858848</c:v>
                </c:pt>
                <c:pt idx="2">
                  <c:v>18.193630950481165</c:v>
                </c:pt>
                <c:pt idx="3">
                  <c:v>18.786518229178036</c:v>
                </c:pt>
                <c:pt idx="4">
                  <c:v>19.415986971949458</c:v>
                </c:pt>
                <c:pt idx="5">
                  <c:v>20.082037178795439</c:v>
                </c:pt>
                <c:pt idx="6">
                  <c:v>20.784668849715967</c:v>
                </c:pt>
                <c:pt idx="7">
                  <c:v>21.523881984711043</c:v>
                </c:pt>
                <c:pt idx="8">
                  <c:v>22.299676583780677</c:v>
                </c:pt>
                <c:pt idx="9">
                  <c:v>23.112052646924859</c:v>
                </c:pt>
                <c:pt idx="10">
                  <c:v>23.961010174143595</c:v>
                </c:pt>
                <c:pt idx="11">
                  <c:v>24.846549165436883</c:v>
                </c:pt>
                <c:pt idx="12">
                  <c:v>25.768669620804722</c:v>
                </c:pt>
                <c:pt idx="13">
                  <c:v>26.727371540247116</c:v>
                </c:pt>
                <c:pt idx="14">
                  <c:v>27.722654923764061</c:v>
                </c:pt>
                <c:pt idx="15">
                  <c:v>28.754519771355557</c:v>
                </c:pt>
                <c:pt idx="16">
                  <c:v>29.822966083021605</c:v>
                </c:pt>
                <c:pt idx="17">
                  <c:v>30.927993858762203</c:v>
                </c:pt>
                <c:pt idx="18">
                  <c:v>32.069603098577353</c:v>
                </c:pt>
                <c:pt idx="19">
                  <c:v>33.247793802467065</c:v>
                </c:pt>
                <c:pt idx="20">
                  <c:v>34.462565970431314</c:v>
                </c:pt>
                <c:pt idx="21">
                  <c:v>35.713919602470128</c:v>
                </c:pt>
                <c:pt idx="22">
                  <c:v>37.001854698583486</c:v>
                </c:pt>
                <c:pt idx="23">
                  <c:v>38.326371258771395</c:v>
                </c:pt>
                <c:pt idx="24">
                  <c:v>39.687469283033863</c:v>
                </c:pt>
                <c:pt idx="25">
                  <c:v>41.085148771370882</c:v>
                </c:pt>
                <c:pt idx="26">
                  <c:v>42.519409723782452</c:v>
                </c:pt>
                <c:pt idx="27">
                  <c:v>43.990252140268574</c:v>
                </c:pt>
                <c:pt idx="28">
                  <c:v>45.497676020829239</c:v>
                </c:pt>
                <c:pt idx="29">
                  <c:v>47.041681365464463</c:v>
                </c:pt>
                <c:pt idx="30">
                  <c:v>48.622268174174245</c:v>
                </c:pt>
                <c:pt idx="31">
                  <c:v>50.239436446958578</c:v>
                </c:pt>
                <c:pt idx="32">
                  <c:v>51.893186183817456</c:v>
                </c:pt>
                <c:pt idx="33">
                  <c:v>53.583517384750891</c:v>
                </c:pt>
                <c:pt idx="34">
                  <c:v>55.310430049758871</c:v>
                </c:pt>
                <c:pt idx="35">
                  <c:v>57.073924178841409</c:v>
                </c:pt>
                <c:pt idx="36">
                  <c:v>58.873999771998498</c:v>
                </c:pt>
                <c:pt idx="37">
                  <c:v>60.710656829230146</c:v>
                </c:pt>
                <c:pt idx="38">
                  <c:v>62.583895350536338</c:v>
                </c:pt>
                <c:pt idx="39">
                  <c:v>64.493715335917074</c:v>
                </c:pt>
                <c:pt idx="40">
                  <c:v>66.440116785372382</c:v>
                </c:pt>
                <c:pt idx="41">
                  <c:v>68.42309969890222</c:v>
                </c:pt>
                <c:pt idx="42">
                  <c:v>70.442664076506631</c:v>
                </c:pt>
                <c:pt idx="43">
                  <c:v>72.498809918185572</c:v>
                </c:pt>
                <c:pt idx="44">
                  <c:v>74.591537223939099</c:v>
                </c:pt>
                <c:pt idx="45">
                  <c:v>76.720845993767142</c:v>
                </c:pt>
                <c:pt idx="46">
                  <c:v>78.886736227669743</c:v>
                </c:pt>
                <c:pt idx="47">
                  <c:v>81.089207925646932</c:v>
                </c:pt>
                <c:pt idx="48">
                  <c:v>83.328261087698635</c:v>
                </c:pt>
                <c:pt idx="49">
                  <c:v>85.603895713824912</c:v>
                </c:pt>
                <c:pt idx="50">
                  <c:v>87.916111804025718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8827-4A37-BB93-78B8FCC8438F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/>
            <a:effectLst/>
            <a:sp3d/>
          </c:spPr>
          <c:val>
            <c:numRef>
              <c:f>'2.123 Нелин. поверхность'!$G$35:$BE$35</c:f>
              <c:numCache>
                <c:formatCode>General</c:formatCode>
                <c:ptCount val="51"/>
                <c:pt idx="0">
                  <c:v>18.162775023754222</c:v>
                </c:pt>
                <c:pt idx="1">
                  <c:v>18.699863040199851</c:v>
                </c:pt>
                <c:pt idx="2">
                  <c:v>19.273532520720039</c:v>
                </c:pt>
                <c:pt idx="3">
                  <c:v>19.883783465314774</c:v>
                </c:pt>
                <c:pt idx="4">
                  <c:v>20.530615873984065</c:v>
                </c:pt>
                <c:pt idx="5">
                  <c:v>21.214029746727903</c:v>
                </c:pt>
                <c:pt idx="6">
                  <c:v>21.934025083546295</c:v>
                </c:pt>
                <c:pt idx="7">
                  <c:v>22.690601884439239</c:v>
                </c:pt>
                <c:pt idx="8">
                  <c:v>23.483760149406738</c:v>
                </c:pt>
                <c:pt idx="9">
                  <c:v>24.313499878448784</c:v>
                </c:pt>
                <c:pt idx="10">
                  <c:v>25.179821071565385</c:v>
                </c:pt>
                <c:pt idx="11">
                  <c:v>26.082723728756541</c:v>
                </c:pt>
                <c:pt idx="12">
                  <c:v>27.022207850022244</c:v>
                </c:pt>
                <c:pt idx="13">
                  <c:v>27.998273435362503</c:v>
                </c:pt>
                <c:pt idx="14">
                  <c:v>29.010920484777309</c:v>
                </c:pt>
                <c:pt idx="15">
                  <c:v>30.060148998266669</c:v>
                </c:pt>
                <c:pt idx="16">
                  <c:v>31.145958975830585</c:v>
                </c:pt>
                <c:pt idx="17">
                  <c:v>32.268350417469051</c:v>
                </c:pt>
                <c:pt idx="18">
                  <c:v>33.427323323182065</c:v>
                </c:pt>
                <c:pt idx="19">
                  <c:v>34.622877692969631</c:v>
                </c:pt>
                <c:pt idx="20">
                  <c:v>35.855013526831755</c:v>
                </c:pt>
                <c:pt idx="21">
                  <c:v>37.12373082476843</c:v>
                </c:pt>
                <c:pt idx="22">
                  <c:v>38.429029586779656</c:v>
                </c:pt>
                <c:pt idx="23">
                  <c:v>39.770909812865433</c:v>
                </c:pt>
                <c:pt idx="24">
                  <c:v>41.149371503025762</c:v>
                </c:pt>
                <c:pt idx="25">
                  <c:v>42.564414657260642</c:v>
                </c:pt>
                <c:pt idx="26">
                  <c:v>44.01603927557008</c:v>
                </c:pt>
                <c:pt idx="27">
                  <c:v>45.504245357954062</c:v>
                </c:pt>
                <c:pt idx="28">
                  <c:v>47.029032904412603</c:v>
                </c:pt>
                <c:pt idx="29">
                  <c:v>48.590401914945687</c:v>
                </c:pt>
                <c:pt idx="30">
                  <c:v>50.18835238955333</c:v>
                </c:pt>
                <c:pt idx="31">
                  <c:v>51.822884328235524</c:v>
                </c:pt>
                <c:pt idx="32">
                  <c:v>53.493997730992277</c:v>
                </c:pt>
                <c:pt idx="33">
                  <c:v>55.201692597823566</c:v>
                </c:pt>
                <c:pt idx="34">
                  <c:v>56.945968928729414</c:v>
                </c:pt>
                <c:pt idx="35">
                  <c:v>58.72682672370982</c:v>
                </c:pt>
                <c:pt idx="36">
                  <c:v>60.54426598276477</c:v>
                </c:pt>
                <c:pt idx="37">
                  <c:v>62.398286705894293</c:v>
                </c:pt>
                <c:pt idx="38">
                  <c:v>64.288888893098331</c:v>
                </c:pt>
                <c:pt idx="39">
                  <c:v>66.216072544376956</c:v>
                </c:pt>
                <c:pt idx="40">
                  <c:v>68.179837659730111</c:v>
                </c:pt>
                <c:pt idx="41">
                  <c:v>70.180184239157825</c:v>
                </c:pt>
                <c:pt idx="42">
                  <c:v>72.217112282660096</c:v>
                </c:pt>
                <c:pt idx="43">
                  <c:v>74.290621790236912</c:v>
                </c:pt>
                <c:pt idx="44">
                  <c:v>76.4007127618883</c:v>
                </c:pt>
                <c:pt idx="45">
                  <c:v>78.547385197614204</c:v>
                </c:pt>
                <c:pt idx="46">
                  <c:v>80.730639097414681</c:v>
                </c:pt>
                <c:pt idx="47">
                  <c:v>82.95047446128973</c:v>
                </c:pt>
                <c:pt idx="48">
                  <c:v>85.20689128923928</c:v>
                </c:pt>
                <c:pt idx="49">
                  <c:v>87.499889581263432</c:v>
                </c:pt>
                <c:pt idx="50">
                  <c:v>89.829469337362099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8827-4A37-BB93-78B8FCC8438F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/>
            <a:effectLst/>
            <a:sp3d/>
          </c:spPr>
          <c:val>
            <c:numRef>
              <c:f>'2.123 Нелин. поверхность'!$G$36:$BE$36</c:f>
              <c:numCache>
                <c:formatCode>General</c:formatCode>
                <c:ptCount val="51"/>
                <c:pt idx="0">
                  <c:v>19.244521340286589</c:v>
                </c:pt>
                <c:pt idx="1">
                  <c:v>19.798973022630083</c:v>
                </c:pt>
                <c:pt idx="2">
                  <c:v>20.390006169048139</c:v>
                </c:pt>
                <c:pt idx="3">
                  <c:v>21.017620779540735</c:v>
                </c:pt>
                <c:pt idx="4">
                  <c:v>21.68181685410789</c:v>
                </c:pt>
                <c:pt idx="5">
                  <c:v>22.382594392749596</c:v>
                </c:pt>
                <c:pt idx="6">
                  <c:v>23.119953395465853</c:v>
                </c:pt>
                <c:pt idx="7">
                  <c:v>23.893893862256657</c:v>
                </c:pt>
                <c:pt idx="8">
                  <c:v>24.704415793122024</c:v>
                </c:pt>
                <c:pt idx="9">
                  <c:v>25.551519188061935</c:v>
                </c:pt>
                <c:pt idx="10">
                  <c:v>26.435204047076404</c:v>
                </c:pt>
                <c:pt idx="11">
                  <c:v>27.35547037016542</c:v>
                </c:pt>
                <c:pt idx="12">
                  <c:v>28.312318157328988</c:v>
                </c:pt>
                <c:pt idx="13">
                  <c:v>29.305747408567115</c:v>
                </c:pt>
                <c:pt idx="14">
                  <c:v>30.335758123879781</c:v>
                </c:pt>
                <c:pt idx="15">
                  <c:v>31.402350303267006</c:v>
                </c:pt>
                <c:pt idx="16">
                  <c:v>32.505523946728786</c:v>
                </c:pt>
                <c:pt idx="17">
                  <c:v>33.645279054265117</c:v>
                </c:pt>
                <c:pt idx="18">
                  <c:v>34.821615625875999</c:v>
                </c:pt>
                <c:pt idx="19">
                  <c:v>36.034533661561433</c:v>
                </c:pt>
                <c:pt idx="20">
                  <c:v>37.284033161321418</c:v>
                </c:pt>
                <c:pt idx="21">
                  <c:v>38.570114125155953</c:v>
                </c:pt>
                <c:pt idx="22">
                  <c:v>39.892776553065048</c:v>
                </c:pt>
                <c:pt idx="23">
                  <c:v>41.252020445048686</c:v>
                </c:pt>
                <c:pt idx="24">
                  <c:v>42.647845801106882</c:v>
                </c:pt>
                <c:pt idx="25">
                  <c:v>44.08025262123963</c:v>
                </c:pt>
                <c:pt idx="26">
                  <c:v>45.549240905446936</c:v>
                </c:pt>
                <c:pt idx="27">
                  <c:v>47.054810653728779</c:v>
                </c:pt>
                <c:pt idx="28">
                  <c:v>48.596961866085181</c:v>
                </c:pt>
                <c:pt idx="29">
                  <c:v>50.17569454251614</c:v>
                </c:pt>
                <c:pt idx="30">
                  <c:v>51.791008683021644</c:v>
                </c:pt>
                <c:pt idx="31">
                  <c:v>53.442904287601706</c:v>
                </c:pt>
                <c:pt idx="32">
                  <c:v>55.13138135625632</c:v>
                </c:pt>
                <c:pt idx="33">
                  <c:v>56.85643988898547</c:v>
                </c:pt>
                <c:pt idx="34">
                  <c:v>58.618079885789186</c:v>
                </c:pt>
                <c:pt idx="35">
                  <c:v>60.416301346667453</c:v>
                </c:pt>
                <c:pt idx="36">
                  <c:v>62.251104271620278</c:v>
                </c:pt>
                <c:pt idx="37">
                  <c:v>64.122488660647647</c:v>
                </c:pt>
                <c:pt idx="38">
                  <c:v>66.030454513749575</c:v>
                </c:pt>
                <c:pt idx="39">
                  <c:v>67.975001830926047</c:v>
                </c:pt>
                <c:pt idx="40">
                  <c:v>69.956130612177077</c:v>
                </c:pt>
                <c:pt idx="41">
                  <c:v>71.973840857502651</c:v>
                </c:pt>
                <c:pt idx="42">
                  <c:v>74.028132566902784</c:v>
                </c:pt>
                <c:pt idx="43">
                  <c:v>76.119005740377474</c:v>
                </c:pt>
                <c:pt idx="44">
                  <c:v>78.246460377926709</c:v>
                </c:pt>
                <c:pt idx="45">
                  <c:v>80.410496479550488</c:v>
                </c:pt>
                <c:pt idx="46">
                  <c:v>82.611114045248826</c:v>
                </c:pt>
                <c:pt idx="47">
                  <c:v>84.848313075021736</c:v>
                </c:pt>
                <c:pt idx="48">
                  <c:v>87.122093568869161</c:v>
                </c:pt>
                <c:pt idx="49">
                  <c:v>89.432455526791173</c:v>
                </c:pt>
                <c:pt idx="50">
                  <c:v>91.779398948787701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8827-4A37-BB93-78B8FCC8438F}"/>
            </c:ext>
          </c:extLst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/>
            <a:effectLst/>
            <a:sp3d/>
          </c:spPr>
          <c:val>
            <c:numRef>
              <c:f>'2.123 Нелин. поверхность'!$G$37:$BE$37</c:f>
              <c:numCache>
                <c:formatCode>General</c:formatCode>
                <c:ptCount val="51"/>
                <c:pt idx="0">
                  <c:v>20.362839734908192</c:v>
                </c:pt>
                <c:pt idx="1">
                  <c:v>20.934655083149554</c:v>
                </c:pt>
                <c:pt idx="2">
                  <c:v>21.543051895465471</c:v>
                </c:pt>
                <c:pt idx="3">
                  <c:v>22.188030171855932</c:v>
                </c:pt>
                <c:pt idx="4">
                  <c:v>22.869589912320954</c:v>
                </c:pt>
                <c:pt idx="5">
                  <c:v>23.587731116860521</c:v>
                </c:pt>
                <c:pt idx="6">
                  <c:v>24.342453785474646</c:v>
                </c:pt>
                <c:pt idx="7">
                  <c:v>25.133757918163319</c:v>
                </c:pt>
                <c:pt idx="8">
                  <c:v>25.961643514926546</c:v>
                </c:pt>
                <c:pt idx="9">
                  <c:v>26.826110575764321</c:v>
                </c:pt>
                <c:pt idx="10">
                  <c:v>27.727159100676655</c:v>
                </c:pt>
                <c:pt idx="11">
                  <c:v>28.664789089663536</c:v>
                </c:pt>
                <c:pt idx="12">
                  <c:v>29.639000542724972</c:v>
                </c:pt>
                <c:pt idx="13">
                  <c:v>30.649793459860959</c:v>
                </c:pt>
                <c:pt idx="14">
                  <c:v>31.697167841071497</c:v>
                </c:pt>
                <c:pt idx="15">
                  <c:v>32.781123686356587</c:v>
                </c:pt>
                <c:pt idx="16">
                  <c:v>33.901660995716227</c:v>
                </c:pt>
                <c:pt idx="17">
                  <c:v>35.058779769150419</c:v>
                </c:pt>
                <c:pt idx="18">
                  <c:v>36.252480006659169</c:v>
                </c:pt>
                <c:pt idx="19">
                  <c:v>37.482761708242464</c:v>
                </c:pt>
                <c:pt idx="20">
                  <c:v>38.749624873900324</c:v>
                </c:pt>
                <c:pt idx="21">
                  <c:v>40.053069503632727</c:v>
                </c:pt>
                <c:pt idx="22">
                  <c:v>41.393095597439682</c:v>
                </c:pt>
                <c:pt idx="23">
                  <c:v>42.769703155321181</c:v>
                </c:pt>
                <c:pt idx="24">
                  <c:v>44.182892177277246</c:v>
                </c:pt>
                <c:pt idx="25">
                  <c:v>45.632662663307855</c:v>
                </c:pt>
                <c:pt idx="26">
                  <c:v>47.119014613413022</c:v>
                </c:pt>
                <c:pt idx="27">
                  <c:v>48.641948027592733</c:v>
                </c:pt>
                <c:pt idx="28">
                  <c:v>50.201462905846995</c:v>
                </c:pt>
                <c:pt idx="29">
                  <c:v>51.797559248175823</c:v>
                </c:pt>
                <c:pt idx="30">
                  <c:v>53.430237054579187</c:v>
                </c:pt>
                <c:pt idx="31">
                  <c:v>55.099496325057117</c:v>
                </c:pt>
                <c:pt idx="32">
                  <c:v>56.805337059609599</c:v>
                </c:pt>
                <c:pt idx="33">
                  <c:v>58.54775925823661</c:v>
                </c:pt>
                <c:pt idx="34">
                  <c:v>60.326762920938194</c:v>
                </c:pt>
                <c:pt idx="35">
                  <c:v>62.142348047714336</c:v>
                </c:pt>
                <c:pt idx="36">
                  <c:v>63.994514638565022</c:v>
                </c:pt>
                <c:pt idx="37">
                  <c:v>65.883262693490252</c:v>
                </c:pt>
                <c:pt idx="38">
                  <c:v>67.808592212490041</c:v>
                </c:pt>
                <c:pt idx="39">
                  <c:v>69.770503195564373</c:v>
                </c:pt>
                <c:pt idx="40">
                  <c:v>71.768995642713264</c:v>
                </c:pt>
                <c:pt idx="41">
                  <c:v>73.804069553936714</c:v>
                </c:pt>
                <c:pt idx="42">
                  <c:v>75.875724929234707</c:v>
                </c:pt>
                <c:pt idx="43">
                  <c:v>77.983961768607259</c:v>
                </c:pt>
                <c:pt idx="44">
                  <c:v>80.128780072054369</c:v>
                </c:pt>
                <c:pt idx="45">
                  <c:v>82.310179839576008</c:v>
                </c:pt>
                <c:pt idx="46">
                  <c:v>84.528161071172207</c:v>
                </c:pt>
                <c:pt idx="47">
                  <c:v>86.782723766842977</c:v>
                </c:pt>
                <c:pt idx="48">
                  <c:v>89.073867926588292</c:v>
                </c:pt>
                <c:pt idx="49">
                  <c:v>91.401593550408151</c:v>
                </c:pt>
                <c:pt idx="50">
                  <c:v>93.765900638302554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8827-4A37-BB93-78B8FCC8438F}"/>
            </c:ext>
          </c:extLst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/>
            <a:effectLst/>
            <a:sp3d/>
          </c:spPr>
          <c:val>
            <c:numRef>
              <c:f>'2.123 Нелин. поверхность'!$G$38:$BE$38</c:f>
              <c:numCache>
                <c:formatCode>General</c:formatCode>
                <c:ptCount val="51"/>
                <c:pt idx="0">
                  <c:v>21.517730207619024</c:v>
                </c:pt>
                <c:pt idx="1">
                  <c:v>22.106909221758251</c:v>
                </c:pt>
                <c:pt idx="2">
                  <c:v>22.732669699972028</c:v>
                </c:pt>
                <c:pt idx="3">
                  <c:v>23.395011642260361</c:v>
                </c:pt>
                <c:pt idx="4">
                  <c:v>24.093935048623244</c:v>
                </c:pt>
                <c:pt idx="5">
                  <c:v>24.829439919060679</c:v>
                </c:pt>
                <c:pt idx="6">
                  <c:v>25.601526253572665</c:v>
                </c:pt>
                <c:pt idx="7">
                  <c:v>26.410194052159202</c:v>
                </c:pt>
                <c:pt idx="8">
                  <c:v>27.255443314820297</c:v>
                </c:pt>
                <c:pt idx="9">
                  <c:v>28.137274041555941</c:v>
                </c:pt>
                <c:pt idx="10">
                  <c:v>29.055686232366135</c:v>
                </c:pt>
                <c:pt idx="11">
                  <c:v>30.01067988725088</c:v>
                </c:pt>
                <c:pt idx="12">
                  <c:v>31.002255006210181</c:v>
                </c:pt>
                <c:pt idx="13">
                  <c:v>32.030411589244032</c:v>
                </c:pt>
                <c:pt idx="14">
                  <c:v>33.095149636352431</c:v>
                </c:pt>
                <c:pt idx="15">
                  <c:v>34.196469147535389</c:v>
                </c:pt>
                <c:pt idx="16">
                  <c:v>35.334370122792897</c:v>
                </c:pt>
                <c:pt idx="17">
                  <c:v>36.508852562124957</c:v>
                </c:pt>
                <c:pt idx="18">
                  <c:v>37.719916465531568</c:v>
                </c:pt>
                <c:pt idx="19">
                  <c:v>38.967561833012731</c:v>
                </c:pt>
                <c:pt idx="20">
                  <c:v>40.251788664568451</c:v>
                </c:pt>
                <c:pt idx="21">
                  <c:v>41.572596960198716</c:v>
                </c:pt>
                <c:pt idx="22">
                  <c:v>42.929986719903539</c:v>
                </c:pt>
                <c:pt idx="23">
                  <c:v>44.323957943682899</c:v>
                </c:pt>
                <c:pt idx="24">
                  <c:v>45.754510631536832</c:v>
                </c:pt>
                <c:pt idx="25">
                  <c:v>47.221644783465308</c:v>
                </c:pt>
                <c:pt idx="26">
                  <c:v>48.725360399468336</c:v>
                </c:pt>
                <c:pt idx="27">
                  <c:v>50.265657479545922</c:v>
                </c:pt>
                <c:pt idx="28">
                  <c:v>51.842536023698045</c:v>
                </c:pt>
                <c:pt idx="29">
                  <c:v>53.455996031924734</c:v>
                </c:pt>
                <c:pt idx="30">
                  <c:v>55.106037504225966</c:v>
                </c:pt>
                <c:pt idx="31">
                  <c:v>56.792660440601757</c:v>
                </c:pt>
                <c:pt idx="32">
                  <c:v>58.515864841052107</c:v>
                </c:pt>
                <c:pt idx="33">
                  <c:v>60.275650705576993</c:v>
                </c:pt>
                <c:pt idx="34">
                  <c:v>62.07201803417643</c:v>
                </c:pt>
                <c:pt idx="35">
                  <c:v>63.904966826850433</c:v>
                </c:pt>
                <c:pt idx="36">
                  <c:v>65.774497083598988</c:v>
                </c:pt>
                <c:pt idx="37">
                  <c:v>67.680608804422079</c:v>
                </c:pt>
                <c:pt idx="38">
                  <c:v>69.623301989319728</c:v>
                </c:pt>
                <c:pt idx="39">
                  <c:v>71.602576638291936</c:v>
                </c:pt>
                <c:pt idx="40">
                  <c:v>73.618432751338702</c:v>
                </c:pt>
                <c:pt idx="41">
                  <c:v>75.670870328459998</c:v>
                </c:pt>
                <c:pt idx="42">
                  <c:v>77.759889369655866</c:v>
                </c:pt>
                <c:pt idx="43">
                  <c:v>79.885489874926279</c:v>
                </c:pt>
                <c:pt idx="44">
                  <c:v>82.04767184427125</c:v>
                </c:pt>
                <c:pt idx="45">
                  <c:v>84.246435277690765</c:v>
                </c:pt>
                <c:pt idx="46">
                  <c:v>86.481780175184824</c:v>
                </c:pt>
                <c:pt idx="47">
                  <c:v>88.753706536753455</c:v>
                </c:pt>
                <c:pt idx="48">
                  <c:v>91.062214362396631</c:v>
                </c:pt>
                <c:pt idx="49">
                  <c:v>93.407303652114365</c:v>
                </c:pt>
                <c:pt idx="50">
                  <c:v>95.788974405906629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8827-4A37-BB93-78B8FCC8438F}"/>
            </c:ext>
          </c:extLst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/>
            <a:effectLst/>
            <a:sp3d/>
          </c:spPr>
          <c:val>
            <c:numRef>
              <c:f>'2.123 Нелин. поверхность'!$G$39:$BE$39</c:f>
              <c:numCache>
                <c:formatCode>General</c:formatCode>
                <c:ptCount val="51"/>
                <c:pt idx="0">
                  <c:v>22.709192758419086</c:v>
                </c:pt>
                <c:pt idx="1">
                  <c:v>23.31573543845618</c:v>
                </c:pt>
                <c:pt idx="2">
                  <c:v>23.958859582567822</c:v>
                </c:pt>
                <c:pt idx="3">
                  <c:v>24.638565190754019</c:v>
                </c:pt>
                <c:pt idx="4">
                  <c:v>25.354852263014767</c:v>
                </c:pt>
                <c:pt idx="5">
                  <c:v>26.107720799350069</c:v>
                </c:pt>
                <c:pt idx="6">
                  <c:v>26.897170799759916</c:v>
                </c:pt>
                <c:pt idx="7">
                  <c:v>27.723202264244321</c:v>
                </c:pt>
                <c:pt idx="8">
                  <c:v>28.585815192803278</c:v>
                </c:pt>
                <c:pt idx="9">
                  <c:v>29.485009585436785</c:v>
                </c:pt>
                <c:pt idx="10">
                  <c:v>30.420785442144844</c:v>
                </c:pt>
                <c:pt idx="11">
                  <c:v>31.393142762927457</c:v>
                </c:pt>
                <c:pt idx="12">
                  <c:v>32.402081547784618</c:v>
                </c:pt>
                <c:pt idx="13">
                  <c:v>33.447601796716341</c:v>
                </c:pt>
                <c:pt idx="14">
                  <c:v>34.529703509722609</c:v>
                </c:pt>
                <c:pt idx="15">
                  <c:v>35.648386686803427</c:v>
                </c:pt>
                <c:pt idx="16">
                  <c:v>36.803651327958804</c:v>
                </c:pt>
                <c:pt idx="17">
                  <c:v>37.995497433188724</c:v>
                </c:pt>
                <c:pt idx="18">
                  <c:v>39.223925002493203</c:v>
                </c:pt>
                <c:pt idx="19">
                  <c:v>40.488934035872227</c:v>
                </c:pt>
                <c:pt idx="20">
                  <c:v>41.790524533325808</c:v>
                </c:pt>
                <c:pt idx="21">
                  <c:v>43.128696494853941</c:v>
                </c:pt>
                <c:pt idx="22">
                  <c:v>44.503449920456632</c:v>
                </c:pt>
                <c:pt idx="23">
                  <c:v>45.91478481013386</c:v>
                </c:pt>
                <c:pt idx="24">
                  <c:v>47.362701163885653</c:v>
                </c:pt>
                <c:pt idx="25">
                  <c:v>48.847198981711998</c:v>
                </c:pt>
                <c:pt idx="26">
                  <c:v>50.368278263612893</c:v>
                </c:pt>
                <c:pt idx="27">
                  <c:v>51.92593900958834</c:v>
                </c:pt>
                <c:pt idx="28">
                  <c:v>53.520181219638324</c:v>
                </c:pt>
                <c:pt idx="29">
                  <c:v>55.151004893762874</c:v>
                </c:pt>
                <c:pt idx="30">
                  <c:v>56.818410031961982</c:v>
                </c:pt>
                <c:pt idx="31">
                  <c:v>58.522396634235633</c:v>
                </c:pt>
                <c:pt idx="32">
                  <c:v>60.262964700583836</c:v>
                </c:pt>
                <c:pt idx="33">
                  <c:v>62.040114231006591</c:v>
                </c:pt>
                <c:pt idx="34">
                  <c:v>63.853845225503903</c:v>
                </c:pt>
                <c:pt idx="35">
                  <c:v>65.704157684075767</c:v>
                </c:pt>
                <c:pt idx="36">
                  <c:v>67.591051606722175</c:v>
                </c:pt>
                <c:pt idx="37">
                  <c:v>69.514526993443141</c:v>
                </c:pt>
                <c:pt idx="38">
                  <c:v>71.474583844238666</c:v>
                </c:pt>
                <c:pt idx="39">
                  <c:v>73.47122215910872</c:v>
                </c:pt>
                <c:pt idx="40">
                  <c:v>75.504441938053347</c:v>
                </c:pt>
                <c:pt idx="41">
                  <c:v>77.574243181072518</c:v>
                </c:pt>
                <c:pt idx="42">
                  <c:v>79.680625888166261</c:v>
                </c:pt>
                <c:pt idx="43">
                  <c:v>81.823590059334521</c:v>
                </c:pt>
                <c:pt idx="44">
                  <c:v>84.003135694577367</c:v>
                </c:pt>
                <c:pt idx="45">
                  <c:v>86.219262793894742</c:v>
                </c:pt>
                <c:pt idx="46">
                  <c:v>88.471971357286662</c:v>
                </c:pt>
                <c:pt idx="47">
                  <c:v>90.761261384753169</c:v>
                </c:pt>
                <c:pt idx="48">
                  <c:v>93.087132876294206</c:v>
                </c:pt>
                <c:pt idx="49">
                  <c:v>95.449585831909815</c:v>
                </c:pt>
                <c:pt idx="50">
                  <c:v>97.848620251599939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8827-4A37-BB93-78B8FCC8438F}"/>
            </c:ext>
          </c:extLst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/>
            <a:effectLst/>
            <a:sp3d/>
          </c:spPr>
          <c:val>
            <c:numRef>
              <c:f>'2.123 Нелин. поверхность'!$G$40:$BE$40</c:f>
              <c:numCache>
                <c:formatCode>General</c:formatCode>
                <c:ptCount val="51"/>
                <c:pt idx="0">
                  <c:v>23.937227387308379</c:v>
                </c:pt>
                <c:pt idx="1">
                  <c:v>24.561133733243338</c:v>
                </c:pt>
                <c:pt idx="2">
                  <c:v>25.221621543252844</c:v>
                </c:pt>
                <c:pt idx="3">
                  <c:v>25.918690817336909</c:v>
                </c:pt>
                <c:pt idx="4">
                  <c:v>26.652341555495518</c:v>
                </c:pt>
                <c:pt idx="5">
                  <c:v>27.422573757728681</c:v>
                </c:pt>
                <c:pt idx="6">
                  <c:v>28.2293874240364</c:v>
                </c:pt>
                <c:pt idx="7">
                  <c:v>29.072782554418669</c:v>
                </c:pt>
                <c:pt idx="8">
                  <c:v>29.95275914887549</c:v>
                </c:pt>
                <c:pt idx="9">
                  <c:v>30.869317207406862</c:v>
                </c:pt>
                <c:pt idx="10">
                  <c:v>31.822456730012789</c:v>
                </c:pt>
                <c:pt idx="11">
                  <c:v>32.812177716693263</c:v>
                </c:pt>
                <c:pt idx="12">
                  <c:v>33.838480167448296</c:v>
                </c:pt>
                <c:pt idx="13">
                  <c:v>34.901364082277873</c:v>
                </c:pt>
                <c:pt idx="14">
                  <c:v>36.000829461182008</c:v>
                </c:pt>
                <c:pt idx="15">
                  <c:v>37.136876304160694</c:v>
                </c:pt>
                <c:pt idx="16">
                  <c:v>38.309504611213931</c:v>
                </c:pt>
                <c:pt idx="17">
                  <c:v>39.51871438234172</c:v>
                </c:pt>
                <c:pt idx="18">
                  <c:v>40.76450561754406</c:v>
                </c:pt>
                <c:pt idx="19">
                  <c:v>42.046878316820951</c:v>
                </c:pt>
                <c:pt idx="20">
                  <c:v>43.365832480172401</c:v>
                </c:pt>
                <c:pt idx="21">
                  <c:v>44.721368107598394</c:v>
                </c:pt>
                <c:pt idx="22">
                  <c:v>46.113485199098946</c:v>
                </c:pt>
                <c:pt idx="23">
                  <c:v>47.542183754674042</c:v>
                </c:pt>
                <c:pt idx="24">
                  <c:v>49.007463774323696</c:v>
                </c:pt>
                <c:pt idx="25">
                  <c:v>50.509325258047909</c:v>
                </c:pt>
                <c:pt idx="26">
                  <c:v>52.047768205846666</c:v>
                </c:pt>
                <c:pt idx="27">
                  <c:v>53.622792617719981</c:v>
                </c:pt>
                <c:pt idx="28">
                  <c:v>55.23439849366784</c:v>
                </c:pt>
                <c:pt idx="29">
                  <c:v>56.882585833690257</c:v>
                </c:pt>
                <c:pt idx="30">
                  <c:v>58.567354637787219</c:v>
                </c:pt>
                <c:pt idx="31">
                  <c:v>60.288704905958738</c:v>
                </c:pt>
                <c:pt idx="32">
                  <c:v>62.046636638204816</c:v>
                </c:pt>
                <c:pt idx="33">
                  <c:v>63.841149834525424</c:v>
                </c:pt>
                <c:pt idx="34">
                  <c:v>65.672244494920605</c:v>
                </c:pt>
                <c:pt idx="35">
                  <c:v>67.53992061939033</c:v>
                </c:pt>
                <c:pt idx="36">
                  <c:v>69.444178207934613</c:v>
                </c:pt>
                <c:pt idx="37">
                  <c:v>71.38501726055344</c:v>
                </c:pt>
                <c:pt idx="38">
                  <c:v>73.362437777246811</c:v>
                </c:pt>
                <c:pt idx="39">
                  <c:v>75.376439758014754</c:v>
                </c:pt>
                <c:pt idx="40">
                  <c:v>77.427023202857242</c:v>
                </c:pt>
                <c:pt idx="41">
                  <c:v>79.514188111774274</c:v>
                </c:pt>
                <c:pt idx="42">
                  <c:v>81.637934484765879</c:v>
                </c:pt>
                <c:pt idx="43">
                  <c:v>83.798262321832013</c:v>
                </c:pt>
                <c:pt idx="44">
                  <c:v>85.99517162297272</c:v>
                </c:pt>
                <c:pt idx="45">
                  <c:v>88.228662388187956</c:v>
                </c:pt>
                <c:pt idx="46">
                  <c:v>90.498734617477737</c:v>
                </c:pt>
                <c:pt idx="47">
                  <c:v>92.805388310842105</c:v>
                </c:pt>
                <c:pt idx="48">
                  <c:v>95.148623468281002</c:v>
                </c:pt>
                <c:pt idx="49">
                  <c:v>97.528440089794472</c:v>
                </c:pt>
                <c:pt idx="50">
                  <c:v>99.944838175382472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8827-4A37-BB93-78B8FCC8438F}"/>
            </c:ext>
          </c:extLst>
        </c:ser>
        <c:ser>
          <c:idx val="32"/>
          <c:order val="32"/>
          <c:spPr>
            <a:solidFill>
              <a:schemeClr val="accent3">
                <a:lumMod val="50000"/>
              </a:schemeClr>
            </a:solidFill>
            <a:ln/>
            <a:effectLst/>
            <a:sp3d/>
          </c:spPr>
          <c:val>
            <c:numRef>
              <c:f>'2.123 Нелин. поверхность'!$G$41:$BE$41</c:f>
              <c:numCache>
                <c:formatCode>General</c:formatCode>
                <c:ptCount val="51"/>
                <c:pt idx="0">
                  <c:v>25.201834094286895</c:v>
                </c:pt>
                <c:pt idx="1">
                  <c:v>25.843104106119714</c:v>
                </c:pt>
                <c:pt idx="2">
                  <c:v>26.520955582027089</c:v>
                </c:pt>
                <c:pt idx="3">
                  <c:v>27.235388522009014</c:v>
                </c:pt>
                <c:pt idx="4">
                  <c:v>27.986402926065491</c:v>
                </c:pt>
                <c:pt idx="5">
                  <c:v>28.773998794196519</c:v>
                </c:pt>
                <c:pt idx="6">
                  <c:v>29.598176126402102</c:v>
                </c:pt>
                <c:pt idx="7">
                  <c:v>30.458934922682232</c:v>
                </c:pt>
                <c:pt idx="8">
                  <c:v>31.356275183036921</c:v>
                </c:pt>
                <c:pt idx="9">
                  <c:v>32.290196907466161</c:v>
                </c:pt>
                <c:pt idx="10">
                  <c:v>33.260700095969952</c:v>
                </c:pt>
                <c:pt idx="11">
                  <c:v>34.267784748548287</c:v>
                </c:pt>
                <c:pt idx="12">
                  <c:v>35.311450865201181</c:v>
                </c:pt>
                <c:pt idx="13">
                  <c:v>36.391698445928633</c:v>
                </c:pt>
                <c:pt idx="14">
                  <c:v>37.508527490730629</c:v>
                </c:pt>
                <c:pt idx="15">
                  <c:v>38.661937999607176</c:v>
                </c:pt>
                <c:pt idx="16">
                  <c:v>39.851929972558281</c:v>
                </c:pt>
                <c:pt idx="17">
                  <c:v>41.078503409583931</c:v>
                </c:pt>
                <c:pt idx="18">
                  <c:v>42.341658310684139</c:v>
                </c:pt>
                <c:pt idx="19">
                  <c:v>43.641394675858898</c:v>
                </c:pt>
                <c:pt idx="20">
                  <c:v>44.977712505108215</c:v>
                </c:pt>
                <c:pt idx="21">
                  <c:v>46.35061179843207</c:v>
                </c:pt>
                <c:pt idx="22">
                  <c:v>47.760092555830482</c:v>
                </c:pt>
                <c:pt idx="23">
                  <c:v>49.206154777303446</c:v>
                </c:pt>
                <c:pt idx="24">
                  <c:v>50.688798462850961</c:v>
                </c:pt>
                <c:pt idx="25">
                  <c:v>52.208023612473042</c:v>
                </c:pt>
                <c:pt idx="26">
                  <c:v>53.763830226169659</c:v>
                </c:pt>
                <c:pt idx="27">
                  <c:v>55.356218303940842</c:v>
                </c:pt>
                <c:pt idx="28">
                  <c:v>56.985187845786562</c:v>
                </c:pt>
                <c:pt idx="29">
                  <c:v>58.650738851706848</c:v>
                </c:pt>
                <c:pt idx="30">
                  <c:v>60.35287132170167</c:v>
                </c:pt>
                <c:pt idx="31">
                  <c:v>62.091585255771058</c:v>
                </c:pt>
                <c:pt idx="32">
                  <c:v>63.866880653915004</c:v>
                </c:pt>
                <c:pt idx="33">
                  <c:v>65.678757516133473</c:v>
                </c:pt>
                <c:pt idx="34">
                  <c:v>67.527215842426514</c:v>
                </c:pt>
                <c:pt idx="35">
                  <c:v>69.4122556327941</c:v>
                </c:pt>
                <c:pt idx="36">
                  <c:v>71.333876887236244</c:v>
                </c:pt>
                <c:pt idx="37">
                  <c:v>73.29207960575296</c:v>
                </c:pt>
                <c:pt idx="38">
                  <c:v>75.286863788344192</c:v>
                </c:pt>
                <c:pt idx="39">
                  <c:v>77.318229435009982</c:v>
                </c:pt>
                <c:pt idx="40">
                  <c:v>79.386176545750345</c:v>
                </c:pt>
                <c:pt idx="41">
                  <c:v>81.490705120565252</c:v>
                </c:pt>
                <c:pt idx="42">
                  <c:v>83.631815159454703</c:v>
                </c:pt>
                <c:pt idx="43">
                  <c:v>85.809506662418713</c:v>
                </c:pt>
                <c:pt idx="44">
                  <c:v>88.023779629457266</c:v>
                </c:pt>
                <c:pt idx="45">
                  <c:v>90.274634060570392</c:v>
                </c:pt>
                <c:pt idx="46">
                  <c:v>92.562069955758048</c:v>
                </c:pt>
                <c:pt idx="47">
                  <c:v>94.886087315020262</c:v>
                </c:pt>
                <c:pt idx="48">
                  <c:v>97.24668613835702</c:v>
                </c:pt>
                <c:pt idx="49">
                  <c:v>99.643866425768366</c:v>
                </c:pt>
                <c:pt idx="50">
                  <c:v>102.07762817725423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8827-4A37-BB93-78B8FCC8438F}"/>
            </c:ext>
          </c:extLst>
        </c:ser>
        <c:ser>
          <c:idx val="33"/>
          <c:order val="33"/>
          <c:spPr>
            <a:solidFill>
              <a:schemeClr val="accent4">
                <a:lumMod val="50000"/>
              </a:schemeClr>
            </a:solidFill>
            <a:ln/>
            <a:effectLst/>
            <a:sp3d/>
          </c:spPr>
          <c:val>
            <c:numRef>
              <c:f>'2.123 Нелин. поверхность'!$G$42:$BE$42</c:f>
              <c:numCache>
                <c:formatCode>General</c:formatCode>
                <c:ptCount val="51"/>
                <c:pt idx="0">
                  <c:v>26.503012879354642</c:v>
                </c:pt>
                <c:pt idx="1">
                  <c:v>27.16164655708533</c:v>
                </c:pt>
                <c:pt idx="2">
                  <c:v>27.856861698890569</c:v>
                </c:pt>
                <c:pt idx="3">
                  <c:v>28.588658304770355</c:v>
                </c:pt>
                <c:pt idx="4">
                  <c:v>29.3570363747247</c:v>
                </c:pt>
                <c:pt idx="5">
                  <c:v>30.161995908753592</c:v>
                </c:pt>
                <c:pt idx="6">
                  <c:v>31.00353690685704</c:v>
                </c:pt>
                <c:pt idx="7">
                  <c:v>31.881659369035042</c:v>
                </c:pt>
                <c:pt idx="8">
                  <c:v>32.796363295287591</c:v>
                </c:pt>
                <c:pt idx="9">
                  <c:v>33.747648685614692</c:v>
                </c:pt>
                <c:pt idx="10">
                  <c:v>34.735515540016344</c:v>
                </c:pt>
                <c:pt idx="11">
                  <c:v>35.759963858492554</c:v>
                </c:pt>
                <c:pt idx="12">
                  <c:v>36.820993641043309</c:v>
                </c:pt>
                <c:pt idx="13">
                  <c:v>37.918604887668621</c:v>
                </c:pt>
                <c:pt idx="14">
                  <c:v>39.052797598368485</c:v>
                </c:pt>
                <c:pt idx="15">
                  <c:v>40.223571773142901</c:v>
                </c:pt>
                <c:pt idx="16">
                  <c:v>41.430927411991867</c:v>
                </c:pt>
                <c:pt idx="17">
                  <c:v>42.674864514915384</c:v>
                </c:pt>
                <c:pt idx="18">
                  <c:v>43.95538308191346</c:v>
                </c:pt>
                <c:pt idx="19">
                  <c:v>45.27248311298608</c:v>
                </c:pt>
                <c:pt idx="20">
                  <c:v>46.626164608133259</c:v>
                </c:pt>
                <c:pt idx="21">
                  <c:v>48.016427567354981</c:v>
                </c:pt>
                <c:pt idx="22">
                  <c:v>49.443271990651262</c:v>
                </c:pt>
                <c:pt idx="23">
                  <c:v>50.906697878022094</c:v>
                </c:pt>
                <c:pt idx="24">
                  <c:v>52.406705229467477</c:v>
                </c:pt>
                <c:pt idx="25">
                  <c:v>53.943294044987411</c:v>
                </c:pt>
                <c:pt idx="26">
                  <c:v>55.516464324581904</c:v>
                </c:pt>
                <c:pt idx="27">
                  <c:v>57.12621606825094</c:v>
                </c:pt>
                <c:pt idx="28">
                  <c:v>58.772549275994528</c:v>
                </c:pt>
                <c:pt idx="29">
                  <c:v>60.455463947812675</c:v>
                </c:pt>
                <c:pt idx="30">
                  <c:v>62.174960083705365</c:v>
                </c:pt>
                <c:pt idx="31">
                  <c:v>63.931037683672621</c:v>
                </c:pt>
                <c:pt idx="32">
                  <c:v>65.723696747714428</c:v>
                </c:pt>
                <c:pt idx="33">
                  <c:v>67.552937275830772</c:v>
                </c:pt>
                <c:pt idx="34">
                  <c:v>69.41875926802166</c:v>
                </c:pt>
                <c:pt idx="35">
                  <c:v>71.321162724287134</c:v>
                </c:pt>
                <c:pt idx="36">
                  <c:v>73.260147644627139</c:v>
                </c:pt>
                <c:pt idx="37">
                  <c:v>75.235714029041702</c:v>
                </c:pt>
                <c:pt idx="38">
                  <c:v>77.247861877530809</c:v>
                </c:pt>
                <c:pt idx="39">
                  <c:v>79.296591190094475</c:v>
                </c:pt>
                <c:pt idx="40">
                  <c:v>81.381901966732684</c:v>
                </c:pt>
                <c:pt idx="41">
                  <c:v>83.503794207445452</c:v>
                </c:pt>
                <c:pt idx="42">
                  <c:v>85.662267912232778</c:v>
                </c:pt>
                <c:pt idx="43">
                  <c:v>87.857323081094648</c:v>
                </c:pt>
                <c:pt idx="44">
                  <c:v>90.088959714031077</c:v>
                </c:pt>
                <c:pt idx="45">
                  <c:v>92.35717781104205</c:v>
                </c:pt>
                <c:pt idx="46">
                  <c:v>94.661977372127581</c:v>
                </c:pt>
                <c:pt idx="47">
                  <c:v>97.003358397287684</c:v>
                </c:pt>
                <c:pt idx="48">
                  <c:v>99.381320886522289</c:v>
                </c:pt>
                <c:pt idx="49">
                  <c:v>101.79586483983149</c:v>
                </c:pt>
                <c:pt idx="50">
                  <c:v>104.24699025721522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8827-4A37-BB93-78B8FCC8438F}"/>
            </c:ext>
          </c:extLst>
        </c:ser>
        <c:ser>
          <c:idx val="34"/>
          <c:order val="34"/>
          <c:spPr>
            <a:solidFill>
              <a:schemeClr val="accent5">
                <a:lumMod val="50000"/>
              </a:schemeClr>
            </a:solidFill>
            <a:ln/>
            <a:effectLst/>
            <a:sp3d/>
          </c:spPr>
          <c:val>
            <c:numRef>
              <c:f>'2.123 Нелин. поверхность'!$G$43:$BE$43</c:f>
              <c:numCache>
                <c:formatCode>General</c:formatCode>
                <c:ptCount val="51"/>
                <c:pt idx="0">
                  <c:v>27.840763742511626</c:v>
                </c:pt>
                <c:pt idx="1">
                  <c:v>28.516761086140175</c:v>
                </c:pt>
                <c:pt idx="2">
                  <c:v>29.229339893843278</c:v>
                </c:pt>
                <c:pt idx="3">
                  <c:v>29.978500165620936</c:v>
                </c:pt>
                <c:pt idx="4">
                  <c:v>30.764241901473145</c:v>
                </c:pt>
                <c:pt idx="5">
                  <c:v>31.586565101399902</c:v>
                </c:pt>
                <c:pt idx="6">
                  <c:v>32.445469765401214</c:v>
                </c:pt>
                <c:pt idx="7">
                  <c:v>33.340955893477073</c:v>
                </c:pt>
                <c:pt idx="8">
                  <c:v>34.27302348562749</c:v>
                </c:pt>
                <c:pt idx="9">
                  <c:v>35.241672541852459</c:v>
                </c:pt>
                <c:pt idx="10">
                  <c:v>36.246903062151979</c:v>
                </c:pt>
                <c:pt idx="11">
                  <c:v>37.28871504652605</c:v>
                </c:pt>
                <c:pt idx="12">
                  <c:v>38.367108494974673</c:v>
                </c:pt>
                <c:pt idx="13">
                  <c:v>39.482083407497846</c:v>
                </c:pt>
                <c:pt idx="14">
                  <c:v>40.633639784095571</c:v>
                </c:pt>
                <c:pt idx="15">
                  <c:v>41.821777624767854</c:v>
                </c:pt>
                <c:pt idx="16">
                  <c:v>43.046496929514689</c:v>
                </c:pt>
                <c:pt idx="17">
                  <c:v>44.307797698336067</c:v>
                </c:pt>
                <c:pt idx="18">
                  <c:v>45.605679931232011</c:v>
                </c:pt>
                <c:pt idx="19">
                  <c:v>46.940143628202492</c:v>
                </c:pt>
                <c:pt idx="20">
                  <c:v>48.311188789247538</c:v>
                </c:pt>
                <c:pt idx="21">
                  <c:v>49.718815414367128</c:v>
                </c:pt>
                <c:pt idx="22">
                  <c:v>51.16302350356127</c:v>
                </c:pt>
                <c:pt idx="23">
                  <c:v>52.643813056829963</c:v>
                </c:pt>
                <c:pt idx="24">
                  <c:v>54.161184074173214</c:v>
                </c:pt>
                <c:pt idx="25">
                  <c:v>55.715136555591016</c:v>
                </c:pt>
                <c:pt idx="26">
                  <c:v>57.30567050108337</c:v>
                </c:pt>
                <c:pt idx="27">
                  <c:v>58.932785910650281</c:v>
                </c:pt>
                <c:pt idx="28">
                  <c:v>60.596482784291723</c:v>
                </c:pt>
                <c:pt idx="29">
                  <c:v>62.296761122007737</c:v>
                </c:pt>
                <c:pt idx="30">
                  <c:v>64.033620923798296</c:v>
                </c:pt>
                <c:pt idx="31">
                  <c:v>65.807062189663412</c:v>
                </c:pt>
                <c:pt idx="32">
                  <c:v>67.617084919603087</c:v>
                </c:pt>
                <c:pt idx="33">
                  <c:v>69.463689113617292</c:v>
                </c:pt>
                <c:pt idx="34">
                  <c:v>71.346874771706055</c:v>
                </c:pt>
                <c:pt idx="35">
                  <c:v>73.266641893869377</c:v>
                </c:pt>
                <c:pt idx="36">
                  <c:v>75.222990480107256</c:v>
                </c:pt>
                <c:pt idx="37">
                  <c:v>77.21592053041968</c:v>
                </c:pt>
                <c:pt idx="38">
                  <c:v>79.245432044806648</c:v>
                </c:pt>
                <c:pt idx="39">
                  <c:v>81.311525023268189</c:v>
                </c:pt>
                <c:pt idx="40">
                  <c:v>83.414199465804273</c:v>
                </c:pt>
                <c:pt idx="41">
                  <c:v>85.553455372414902</c:v>
                </c:pt>
                <c:pt idx="42">
                  <c:v>87.729292743100089</c:v>
                </c:pt>
                <c:pt idx="43">
                  <c:v>89.94171157785982</c:v>
                </c:pt>
                <c:pt idx="44">
                  <c:v>92.190711876694124</c:v>
                </c:pt>
                <c:pt idx="45">
                  <c:v>94.476293639602957</c:v>
                </c:pt>
                <c:pt idx="46">
                  <c:v>96.798456866586335</c:v>
                </c:pt>
                <c:pt idx="47">
                  <c:v>99.157201557644299</c:v>
                </c:pt>
                <c:pt idx="48">
                  <c:v>101.55252771277679</c:v>
                </c:pt>
                <c:pt idx="49">
                  <c:v>103.98443533198385</c:v>
                </c:pt>
                <c:pt idx="50">
                  <c:v>106.45292441526544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8827-4A37-BB93-78B8FCC8438F}"/>
            </c:ext>
          </c:extLst>
        </c:ser>
        <c:ser>
          <c:idx val="35"/>
          <c:order val="35"/>
          <c:spPr>
            <a:solidFill>
              <a:schemeClr val="accent6">
                <a:lumMod val="50000"/>
              </a:schemeClr>
            </a:solidFill>
            <a:ln/>
            <a:effectLst/>
            <a:sp3d/>
          </c:spPr>
          <c:val>
            <c:numRef>
              <c:f>'2.123 Нелин. поверхность'!$G$44:$BE$44</c:f>
              <c:numCache>
                <c:formatCode>General</c:formatCode>
                <c:ptCount val="51"/>
                <c:pt idx="0">
                  <c:v>29.215086683757839</c:v>
                </c:pt>
                <c:pt idx="1">
                  <c:v>29.908447693284252</c:v>
                </c:pt>
                <c:pt idx="2">
                  <c:v>30.638390166885223</c:v>
                </c:pt>
                <c:pt idx="3">
                  <c:v>31.404914104560742</c:v>
                </c:pt>
                <c:pt idx="4">
                  <c:v>32.208019506310812</c:v>
                </c:pt>
                <c:pt idx="5">
                  <c:v>33.047706372135437</c:v>
                </c:pt>
                <c:pt idx="6">
                  <c:v>33.923974702034613</c:v>
                </c:pt>
                <c:pt idx="7">
                  <c:v>34.83682449600834</c:v>
                </c:pt>
                <c:pt idx="8">
                  <c:v>35.786255754056619</c:v>
                </c:pt>
                <c:pt idx="9">
                  <c:v>36.772268476179455</c:v>
                </c:pt>
                <c:pt idx="10">
                  <c:v>37.794862662376836</c:v>
                </c:pt>
                <c:pt idx="11">
                  <c:v>38.854038312648775</c:v>
                </c:pt>
                <c:pt idx="12">
                  <c:v>39.949795426995266</c:v>
                </c:pt>
                <c:pt idx="13">
                  <c:v>41.082134005416307</c:v>
                </c:pt>
                <c:pt idx="14">
                  <c:v>42.251054047911893</c:v>
                </c:pt>
                <c:pt idx="15">
                  <c:v>43.456555554482037</c:v>
                </c:pt>
                <c:pt idx="16">
                  <c:v>44.698638525126739</c:v>
                </c:pt>
                <c:pt idx="17">
                  <c:v>45.977302959845986</c:v>
                </c:pt>
                <c:pt idx="18">
                  <c:v>47.292548858639783</c:v>
                </c:pt>
                <c:pt idx="19">
                  <c:v>48.644376221508139</c:v>
                </c:pt>
                <c:pt idx="20">
                  <c:v>50.032785048451039</c:v>
                </c:pt>
                <c:pt idx="21">
                  <c:v>51.457775339468498</c:v>
                </c:pt>
                <c:pt idx="22">
                  <c:v>52.919347094560514</c:v>
                </c:pt>
                <c:pt idx="23">
                  <c:v>54.417500313727075</c:v>
                </c:pt>
                <c:pt idx="24">
                  <c:v>55.952234996968187</c:v>
                </c:pt>
                <c:pt idx="25">
                  <c:v>57.52355114428385</c:v>
                </c:pt>
                <c:pt idx="26">
                  <c:v>59.131448755674072</c:v>
                </c:pt>
                <c:pt idx="27">
                  <c:v>60.775927831138844</c:v>
                </c:pt>
                <c:pt idx="28">
                  <c:v>62.456988370678147</c:v>
                </c:pt>
                <c:pt idx="29">
                  <c:v>64.174630374292022</c:v>
                </c:pt>
                <c:pt idx="30">
                  <c:v>65.928853841980455</c:v>
                </c:pt>
                <c:pt idx="31">
                  <c:v>67.719658773743433</c:v>
                </c:pt>
                <c:pt idx="32">
                  <c:v>69.547045169580969</c:v>
                </c:pt>
                <c:pt idx="33">
                  <c:v>71.411013029493034</c:v>
                </c:pt>
                <c:pt idx="34">
                  <c:v>73.311562353479673</c:v>
                </c:pt>
                <c:pt idx="35">
                  <c:v>75.248693141540869</c:v>
                </c:pt>
                <c:pt idx="36">
                  <c:v>77.22240539367661</c:v>
                </c:pt>
                <c:pt idx="37">
                  <c:v>79.232699109886894</c:v>
                </c:pt>
                <c:pt idx="38">
                  <c:v>81.279574290171723</c:v>
                </c:pt>
                <c:pt idx="39">
                  <c:v>83.363030934531125</c:v>
                </c:pt>
                <c:pt idx="40">
                  <c:v>85.48306904296507</c:v>
                </c:pt>
                <c:pt idx="41">
                  <c:v>87.63968861547356</c:v>
                </c:pt>
                <c:pt idx="42">
                  <c:v>89.832889652056622</c:v>
                </c:pt>
                <c:pt idx="43">
                  <c:v>92.062672152714214</c:v>
                </c:pt>
                <c:pt idx="44">
                  <c:v>94.329036117446392</c:v>
                </c:pt>
                <c:pt idx="45">
                  <c:v>96.631981546253087</c:v>
                </c:pt>
                <c:pt idx="46">
                  <c:v>98.97150843913434</c:v>
                </c:pt>
                <c:pt idx="47">
                  <c:v>101.34761679609016</c:v>
                </c:pt>
                <c:pt idx="48">
                  <c:v>103.76030661712052</c:v>
                </c:pt>
                <c:pt idx="49">
                  <c:v>106.20957790222545</c:v>
                </c:pt>
                <c:pt idx="50">
                  <c:v>108.69543065140491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8827-4A37-BB93-78B8FCC8438F}"/>
            </c:ext>
          </c:extLst>
        </c:ser>
        <c:ser>
          <c:idx val="36"/>
          <c:order val="36"/>
          <c:spPr>
            <a:solidFill>
              <a:schemeClr val="accent1">
                <a:lumMod val="70000"/>
                <a:lumOff val="30000"/>
              </a:schemeClr>
            </a:solidFill>
            <a:ln/>
            <a:effectLst/>
            <a:sp3d/>
          </c:spPr>
          <c:val>
            <c:numRef>
              <c:f>'2.123 Нелин. поверхность'!$G$45:$BE$45</c:f>
              <c:numCache>
                <c:formatCode>General</c:formatCode>
                <c:ptCount val="51"/>
                <c:pt idx="0">
                  <c:v>30.625981703093277</c:v>
                </c:pt>
                <c:pt idx="1">
                  <c:v>31.336706378517558</c:v>
                </c:pt>
                <c:pt idx="2">
                  <c:v>32.084012518016387</c:v>
                </c:pt>
                <c:pt idx="3">
                  <c:v>32.867900121589777</c:v>
                </c:pt>
                <c:pt idx="4">
                  <c:v>33.688369189237712</c:v>
                </c:pt>
                <c:pt idx="5">
                  <c:v>34.545419720960204</c:v>
                </c:pt>
                <c:pt idx="6">
                  <c:v>35.439051716757241</c:v>
                </c:pt>
                <c:pt idx="7">
                  <c:v>36.369265176628836</c:v>
                </c:pt>
                <c:pt idx="8">
                  <c:v>37.336060100574983</c:v>
                </c:pt>
                <c:pt idx="9">
                  <c:v>38.33943648859568</c:v>
                </c:pt>
                <c:pt idx="10">
                  <c:v>39.379394340690929</c:v>
                </c:pt>
                <c:pt idx="11">
                  <c:v>40.455933656860729</c:v>
                </c:pt>
                <c:pt idx="12">
                  <c:v>41.569054437105088</c:v>
                </c:pt>
                <c:pt idx="13">
                  <c:v>42.718756681423983</c:v>
                </c:pt>
                <c:pt idx="14">
                  <c:v>43.905040389817444</c:v>
                </c:pt>
                <c:pt idx="15">
                  <c:v>45.127905562285456</c:v>
                </c:pt>
                <c:pt idx="16">
                  <c:v>46.387352198828019</c:v>
                </c:pt>
                <c:pt idx="17">
                  <c:v>47.683380299445126</c:v>
                </c:pt>
                <c:pt idx="18">
                  <c:v>49.015989864136792</c:v>
                </c:pt>
                <c:pt idx="19">
                  <c:v>50.385180892903008</c:v>
                </c:pt>
                <c:pt idx="20">
                  <c:v>51.790953385743776</c:v>
                </c:pt>
                <c:pt idx="21">
                  <c:v>53.233307342659103</c:v>
                </c:pt>
                <c:pt idx="22">
                  <c:v>54.71224276364898</c:v>
                </c:pt>
                <c:pt idx="23">
                  <c:v>56.227759648713402</c:v>
                </c:pt>
                <c:pt idx="24">
                  <c:v>57.779857997852382</c:v>
                </c:pt>
                <c:pt idx="25">
                  <c:v>59.368537811065906</c:v>
                </c:pt>
                <c:pt idx="26">
                  <c:v>60.993799088353995</c:v>
                </c:pt>
                <c:pt idx="27">
                  <c:v>62.655641829716629</c:v>
                </c:pt>
                <c:pt idx="28">
                  <c:v>64.354066035153807</c:v>
                </c:pt>
                <c:pt idx="29">
                  <c:v>66.089071704665542</c:v>
                </c:pt>
                <c:pt idx="30">
                  <c:v>67.860658838251851</c:v>
                </c:pt>
                <c:pt idx="31">
                  <c:v>69.668827435912689</c:v>
                </c:pt>
                <c:pt idx="32">
                  <c:v>71.513577497648086</c:v>
                </c:pt>
                <c:pt idx="33">
                  <c:v>73.394909023458027</c:v>
                </c:pt>
                <c:pt idx="34">
                  <c:v>75.312822013342526</c:v>
                </c:pt>
                <c:pt idx="35">
                  <c:v>77.267316467301583</c:v>
                </c:pt>
                <c:pt idx="36">
                  <c:v>79.258392385335185</c:v>
                </c:pt>
                <c:pt idx="37">
                  <c:v>81.28604976744333</c:v>
                </c:pt>
                <c:pt idx="38">
                  <c:v>83.350288613626034</c:v>
                </c:pt>
                <c:pt idx="39">
                  <c:v>85.451108923883297</c:v>
                </c:pt>
                <c:pt idx="40">
                  <c:v>87.588510698215117</c:v>
                </c:pt>
                <c:pt idx="41">
                  <c:v>89.762493936621468</c:v>
                </c:pt>
                <c:pt idx="42">
                  <c:v>91.973058639102376</c:v>
                </c:pt>
                <c:pt idx="43">
                  <c:v>94.220204805657858</c:v>
                </c:pt>
                <c:pt idx="44">
                  <c:v>96.503932436287883</c:v>
                </c:pt>
                <c:pt idx="45">
                  <c:v>98.824241530992438</c:v>
                </c:pt>
                <c:pt idx="46">
                  <c:v>101.18113208977155</c:v>
                </c:pt>
                <c:pt idx="47">
                  <c:v>103.57460411262525</c:v>
                </c:pt>
                <c:pt idx="48">
                  <c:v>106.00465759955345</c:v>
                </c:pt>
                <c:pt idx="49">
                  <c:v>108.47129255055627</c:v>
                </c:pt>
                <c:pt idx="50">
                  <c:v>110.97450896563359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8827-4A37-BB93-78B8FCC8438F}"/>
            </c:ext>
          </c:extLst>
        </c:ser>
        <c:ser>
          <c:idx val="37"/>
          <c:order val="37"/>
          <c:spPr>
            <a:solidFill>
              <a:schemeClr val="accent2">
                <a:lumMod val="70000"/>
                <a:lumOff val="30000"/>
              </a:schemeClr>
            </a:solidFill>
            <a:ln/>
            <a:effectLst/>
            <a:sp3d/>
          </c:spPr>
          <c:val>
            <c:numRef>
              <c:f>'2.123 Нелин. поверхность'!$G$46:$BE$46</c:f>
              <c:numCache>
                <c:formatCode>General</c:formatCode>
                <c:ptCount val="51"/>
                <c:pt idx="0">
                  <c:v>32.073448800517944</c:v>
                </c:pt>
                <c:pt idx="1">
                  <c:v>32.801537141840086</c:v>
                </c:pt>
                <c:pt idx="2">
                  <c:v>33.566206947236786</c:v>
                </c:pt>
                <c:pt idx="3">
                  <c:v>34.367458216708037</c:v>
                </c:pt>
                <c:pt idx="4">
                  <c:v>35.20529095025384</c:v>
                </c:pt>
                <c:pt idx="5">
                  <c:v>36.079705147874186</c:v>
                </c:pt>
                <c:pt idx="6">
                  <c:v>36.990700809569098</c:v>
                </c:pt>
                <c:pt idx="7">
                  <c:v>37.938277935338554</c:v>
                </c:pt>
                <c:pt idx="8">
                  <c:v>38.922436525182562</c:v>
                </c:pt>
                <c:pt idx="9">
                  <c:v>39.94317657910112</c:v>
                </c:pt>
                <c:pt idx="10">
                  <c:v>41.000498097094244</c:v>
                </c:pt>
                <c:pt idx="11">
                  <c:v>42.094401079161905</c:v>
                </c:pt>
                <c:pt idx="12">
                  <c:v>43.224885525304124</c:v>
                </c:pt>
                <c:pt idx="13">
                  <c:v>44.391951435520895</c:v>
                </c:pt>
                <c:pt idx="14">
                  <c:v>45.595598809812216</c:v>
                </c:pt>
                <c:pt idx="15">
                  <c:v>46.835827648178089</c:v>
                </c:pt>
                <c:pt idx="16">
                  <c:v>48.11263795061852</c:v>
                </c:pt>
                <c:pt idx="17">
                  <c:v>49.426029717133495</c:v>
                </c:pt>
                <c:pt idx="18">
                  <c:v>50.776002947723022</c:v>
                </c:pt>
                <c:pt idx="19">
                  <c:v>52.162557642387107</c:v>
                </c:pt>
                <c:pt idx="20">
                  <c:v>53.585693801125743</c:v>
                </c:pt>
                <c:pt idx="21">
                  <c:v>55.04541142393893</c:v>
                </c:pt>
                <c:pt idx="22">
                  <c:v>56.541710510826668</c:v>
                </c:pt>
                <c:pt idx="23">
                  <c:v>58.074591061788958</c:v>
                </c:pt>
                <c:pt idx="24">
                  <c:v>59.644053076825799</c:v>
                </c:pt>
                <c:pt idx="25">
                  <c:v>61.250096555937198</c:v>
                </c:pt>
                <c:pt idx="26">
                  <c:v>62.892721499123148</c:v>
                </c:pt>
                <c:pt idx="27">
                  <c:v>64.571927906383635</c:v>
                </c:pt>
                <c:pt idx="28">
                  <c:v>66.287715777718688</c:v>
                </c:pt>
                <c:pt idx="29">
                  <c:v>68.040085113128299</c:v>
                </c:pt>
                <c:pt idx="30">
                  <c:v>69.829035912612454</c:v>
                </c:pt>
                <c:pt idx="31">
                  <c:v>71.654568176171168</c:v>
                </c:pt>
                <c:pt idx="32">
                  <c:v>73.516681903804425</c:v>
                </c:pt>
                <c:pt idx="33">
                  <c:v>75.415377095512227</c:v>
                </c:pt>
                <c:pt idx="34">
                  <c:v>77.350653751294587</c:v>
                </c:pt>
                <c:pt idx="35">
                  <c:v>79.322511871151505</c:v>
                </c:pt>
                <c:pt idx="36">
                  <c:v>81.330951455082982</c:v>
                </c:pt>
                <c:pt idx="37">
                  <c:v>83.375972503089002</c:v>
                </c:pt>
                <c:pt idx="38">
                  <c:v>85.457575015169567</c:v>
                </c:pt>
                <c:pt idx="39">
                  <c:v>87.57575899132469</c:v>
                </c:pt>
                <c:pt idx="40">
                  <c:v>89.730524431554358</c:v>
                </c:pt>
                <c:pt idx="41">
                  <c:v>91.921871335858583</c:v>
                </c:pt>
                <c:pt idx="42">
                  <c:v>94.149799704237381</c:v>
                </c:pt>
                <c:pt idx="43">
                  <c:v>96.414309536690695</c:v>
                </c:pt>
                <c:pt idx="44">
                  <c:v>98.715400833218595</c:v>
                </c:pt>
                <c:pt idx="45">
                  <c:v>101.05307359382103</c:v>
                </c:pt>
                <c:pt idx="46">
                  <c:v>103.427327818498</c:v>
                </c:pt>
                <c:pt idx="47">
                  <c:v>105.83816350724956</c:v>
                </c:pt>
                <c:pt idx="48">
                  <c:v>108.28558066007565</c:v>
                </c:pt>
                <c:pt idx="49">
                  <c:v>110.76957927697629</c:v>
                </c:pt>
                <c:pt idx="50">
                  <c:v>113.29015935795148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8827-4A37-BB93-78B8FCC8438F}"/>
            </c:ext>
          </c:extLst>
        </c:ser>
        <c:ser>
          <c:idx val="38"/>
          <c:order val="38"/>
          <c:spPr>
            <a:solidFill>
              <a:schemeClr val="accent3">
                <a:lumMod val="70000"/>
                <a:lumOff val="30000"/>
              </a:schemeClr>
            </a:solidFill>
            <a:ln/>
            <a:effectLst/>
            <a:sp3d/>
          </c:spPr>
          <c:val>
            <c:numRef>
              <c:f>'2.123 Нелин. поверхность'!$G$47:$BE$47</c:f>
              <c:numCache>
                <c:formatCode>General</c:formatCode>
                <c:ptCount val="51"/>
                <c:pt idx="0">
                  <c:v>33.557487976031844</c:v>
                </c:pt>
                <c:pt idx="1">
                  <c:v>34.302939983251854</c:v>
                </c:pt>
                <c:pt idx="2">
                  <c:v>35.084973454546414</c:v>
                </c:pt>
                <c:pt idx="3">
                  <c:v>35.903588389915527</c:v>
                </c:pt>
                <c:pt idx="4">
                  <c:v>36.75878478935919</c:v>
                </c:pt>
                <c:pt idx="5">
                  <c:v>37.650562652877412</c:v>
                </c:pt>
                <c:pt idx="6">
                  <c:v>38.578921980470184</c:v>
                </c:pt>
                <c:pt idx="7">
                  <c:v>39.543862772137508</c:v>
                </c:pt>
                <c:pt idx="8">
                  <c:v>40.545385027879384</c:v>
                </c:pt>
                <c:pt idx="9">
                  <c:v>41.58348874769581</c:v>
                </c:pt>
                <c:pt idx="10">
                  <c:v>42.658173931586788</c:v>
                </c:pt>
                <c:pt idx="11">
                  <c:v>43.769440579552317</c:v>
                </c:pt>
                <c:pt idx="12">
                  <c:v>44.917288691592404</c:v>
                </c:pt>
                <c:pt idx="13">
                  <c:v>46.101718267707035</c:v>
                </c:pt>
                <c:pt idx="14">
                  <c:v>47.322729307896225</c:v>
                </c:pt>
                <c:pt idx="15">
                  <c:v>48.580321812159966</c:v>
                </c:pt>
                <c:pt idx="16">
                  <c:v>49.87449578049825</c:v>
                </c:pt>
                <c:pt idx="17">
                  <c:v>51.205251212911094</c:v>
                </c:pt>
                <c:pt idx="18">
                  <c:v>52.572588109398488</c:v>
                </c:pt>
                <c:pt idx="19">
                  <c:v>53.976506469960434</c:v>
                </c:pt>
                <c:pt idx="20">
                  <c:v>55.417006294596938</c:v>
                </c:pt>
                <c:pt idx="21">
                  <c:v>56.894087583307993</c:v>
                </c:pt>
                <c:pt idx="22">
                  <c:v>58.407750336093599</c:v>
                </c:pt>
                <c:pt idx="23">
                  <c:v>59.95799455295375</c:v>
                </c:pt>
                <c:pt idx="24">
                  <c:v>61.544820233888458</c:v>
                </c:pt>
                <c:pt idx="25">
                  <c:v>63.168227378897711</c:v>
                </c:pt>
                <c:pt idx="26">
                  <c:v>64.828215987981537</c:v>
                </c:pt>
                <c:pt idx="27">
                  <c:v>66.524786061139892</c:v>
                </c:pt>
                <c:pt idx="28">
                  <c:v>68.257937598372806</c:v>
                </c:pt>
                <c:pt idx="29">
                  <c:v>70.027670599680278</c:v>
                </c:pt>
                <c:pt idx="30">
                  <c:v>71.833985065062294</c:v>
                </c:pt>
                <c:pt idx="31">
                  <c:v>73.676880994518882</c:v>
                </c:pt>
                <c:pt idx="32">
                  <c:v>75.55635838805</c:v>
                </c:pt>
                <c:pt idx="33">
                  <c:v>77.472417245655663</c:v>
                </c:pt>
                <c:pt idx="34">
                  <c:v>79.425057567335884</c:v>
                </c:pt>
                <c:pt idx="35">
                  <c:v>81.414279353090677</c:v>
                </c:pt>
                <c:pt idx="36">
                  <c:v>83.440082602920015</c:v>
                </c:pt>
                <c:pt idx="37">
                  <c:v>85.502467316823896</c:v>
                </c:pt>
                <c:pt idx="38">
                  <c:v>87.601433494802336</c:v>
                </c:pt>
                <c:pt idx="39">
                  <c:v>89.73698113685532</c:v>
                </c:pt>
                <c:pt idx="40">
                  <c:v>91.909110242982862</c:v>
                </c:pt>
                <c:pt idx="41">
                  <c:v>94.117820813184949</c:v>
                </c:pt>
                <c:pt idx="42">
                  <c:v>96.363112847461608</c:v>
                </c:pt>
                <c:pt idx="43">
                  <c:v>98.644986345812782</c:v>
                </c:pt>
                <c:pt idx="44">
                  <c:v>100.96344130823854</c:v>
                </c:pt>
                <c:pt idx="45">
                  <c:v>103.31847773473883</c:v>
                </c:pt>
                <c:pt idx="46">
                  <c:v>105.71009562531368</c:v>
                </c:pt>
                <c:pt idx="47">
                  <c:v>108.13829497996311</c:v>
                </c:pt>
                <c:pt idx="48">
                  <c:v>110.60307579868706</c:v>
                </c:pt>
                <c:pt idx="49">
                  <c:v>113.10443808148558</c:v>
                </c:pt>
                <c:pt idx="50">
                  <c:v>115.64238182835862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8827-4A37-BB93-78B8FCC8438F}"/>
            </c:ext>
          </c:extLst>
        </c:ser>
        <c:ser>
          <c:idx val="39"/>
          <c:order val="39"/>
          <c:spPr>
            <a:solidFill>
              <a:schemeClr val="accent4">
                <a:lumMod val="70000"/>
                <a:lumOff val="30000"/>
              </a:schemeClr>
            </a:solidFill>
            <a:ln/>
            <a:effectLst/>
            <a:sp3d/>
          </c:spPr>
          <c:val>
            <c:numRef>
              <c:f>'2.123 Нелин. поверхность'!$G$48:$BE$48</c:f>
              <c:numCache>
                <c:formatCode>General</c:formatCode>
                <c:ptCount val="51"/>
                <c:pt idx="0">
                  <c:v>35.078099229634972</c:v>
                </c:pt>
                <c:pt idx="1">
                  <c:v>35.840914902752843</c:v>
                </c:pt>
                <c:pt idx="2">
                  <c:v>36.640312039945279</c:v>
                </c:pt>
                <c:pt idx="3">
                  <c:v>37.476290641212252</c:v>
                </c:pt>
                <c:pt idx="4">
                  <c:v>38.34885070655379</c:v>
                </c:pt>
                <c:pt idx="5">
                  <c:v>39.257992235969866</c:v>
                </c:pt>
                <c:pt idx="6">
                  <c:v>40.203715229460499</c:v>
                </c:pt>
                <c:pt idx="7">
                  <c:v>41.186019687025691</c:v>
                </c:pt>
                <c:pt idx="8">
                  <c:v>42.204905608665428</c:v>
                </c:pt>
                <c:pt idx="9">
                  <c:v>43.260372994379722</c:v>
                </c:pt>
                <c:pt idx="10">
                  <c:v>44.352421844168568</c:v>
                </c:pt>
                <c:pt idx="11">
                  <c:v>45.481052158031957</c:v>
                </c:pt>
                <c:pt idx="12">
                  <c:v>46.646263935969912</c:v>
                </c:pt>
                <c:pt idx="13">
                  <c:v>47.848057177982405</c:v>
                </c:pt>
                <c:pt idx="14">
                  <c:v>49.086431884069455</c:v>
                </c:pt>
                <c:pt idx="15">
                  <c:v>50.361388054231064</c:v>
                </c:pt>
                <c:pt idx="16">
                  <c:v>51.672925688467217</c:v>
                </c:pt>
                <c:pt idx="17">
                  <c:v>53.021044786777928</c:v>
                </c:pt>
                <c:pt idx="18">
                  <c:v>54.40574534916319</c:v>
                </c:pt>
                <c:pt idx="19">
                  <c:v>55.827027375623004</c:v>
                </c:pt>
                <c:pt idx="20">
                  <c:v>57.284890866157369</c:v>
                </c:pt>
                <c:pt idx="21">
                  <c:v>58.779335820766278</c:v>
                </c:pt>
                <c:pt idx="22">
                  <c:v>60.310362239449752</c:v>
                </c:pt>
                <c:pt idx="23">
                  <c:v>61.877970122207763</c:v>
                </c:pt>
                <c:pt idx="24">
                  <c:v>63.48215946904034</c:v>
                </c:pt>
                <c:pt idx="25">
                  <c:v>65.122930279947468</c:v>
                </c:pt>
                <c:pt idx="26">
                  <c:v>66.80028255492914</c:v>
                </c:pt>
                <c:pt idx="27">
                  <c:v>68.514216293985385</c:v>
                </c:pt>
                <c:pt idx="28">
                  <c:v>70.264731497116145</c:v>
                </c:pt>
                <c:pt idx="29">
                  <c:v>72.051828164321492</c:v>
                </c:pt>
                <c:pt idx="30">
                  <c:v>73.875506295601369</c:v>
                </c:pt>
                <c:pt idx="31">
                  <c:v>75.735765890955804</c:v>
                </c:pt>
                <c:pt idx="32">
                  <c:v>77.632606950384798</c:v>
                </c:pt>
                <c:pt idx="33">
                  <c:v>79.566029473888335</c:v>
                </c:pt>
                <c:pt idx="34">
                  <c:v>81.536033461466431</c:v>
                </c:pt>
                <c:pt idx="35">
                  <c:v>83.542618913119071</c:v>
                </c:pt>
                <c:pt idx="36">
                  <c:v>85.585785828846269</c:v>
                </c:pt>
                <c:pt idx="37">
                  <c:v>87.665534208648026</c:v>
                </c:pt>
                <c:pt idx="38">
                  <c:v>89.781864052524327</c:v>
                </c:pt>
                <c:pt idx="39">
                  <c:v>91.934775360475172</c:v>
                </c:pt>
                <c:pt idx="40">
                  <c:v>94.124268132500589</c:v>
                </c:pt>
                <c:pt idx="41">
                  <c:v>96.350342368600536</c:v>
                </c:pt>
                <c:pt idx="42">
                  <c:v>98.612998068775056</c:v>
                </c:pt>
                <c:pt idx="43">
                  <c:v>100.91223523302412</c:v>
                </c:pt>
                <c:pt idx="44">
                  <c:v>103.24805386134774</c:v>
                </c:pt>
                <c:pt idx="45">
                  <c:v>105.62045395374589</c:v>
                </c:pt>
                <c:pt idx="46">
                  <c:v>108.02943551021859</c:v>
                </c:pt>
                <c:pt idx="47">
                  <c:v>110.47499853076587</c:v>
                </c:pt>
                <c:pt idx="48">
                  <c:v>112.95714301538769</c:v>
                </c:pt>
                <c:pt idx="49">
                  <c:v>115.47586896408409</c:v>
                </c:pt>
                <c:pt idx="50">
                  <c:v>118.031176376855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8827-4A37-BB93-78B8FCC8438F}"/>
            </c:ext>
          </c:extLst>
        </c:ser>
        <c:ser>
          <c:idx val="40"/>
          <c:order val="40"/>
          <c:spPr>
            <a:solidFill>
              <a:schemeClr val="accent5">
                <a:lumMod val="70000"/>
                <a:lumOff val="30000"/>
              </a:schemeClr>
            </a:solidFill>
            <a:ln/>
            <a:effectLst/>
            <a:sp3d/>
          </c:spPr>
          <c:val>
            <c:numRef>
              <c:f>'2.123 Нелин. поверхность'!$G$49:$BE$49</c:f>
              <c:numCache>
                <c:formatCode>General</c:formatCode>
                <c:ptCount val="51"/>
                <c:pt idx="0">
                  <c:v>36.63528256132733</c:v>
                </c:pt>
                <c:pt idx="1">
                  <c:v>37.415461900343068</c:v>
                </c:pt>
                <c:pt idx="2">
                  <c:v>38.232222703433358</c:v>
                </c:pt>
                <c:pt idx="3">
                  <c:v>39.085564970598206</c:v>
                </c:pt>
                <c:pt idx="4">
                  <c:v>39.975488701837605</c:v>
                </c:pt>
                <c:pt idx="5">
                  <c:v>40.901993897151549</c:v>
                </c:pt>
                <c:pt idx="6">
                  <c:v>41.86508055654005</c:v>
                </c:pt>
                <c:pt idx="7">
                  <c:v>42.864748680003103</c:v>
                </c:pt>
                <c:pt idx="8">
                  <c:v>43.900998267540707</c:v>
                </c:pt>
                <c:pt idx="9">
                  <c:v>44.973829319152863</c:v>
                </c:pt>
                <c:pt idx="10">
                  <c:v>46.083241834839569</c:v>
                </c:pt>
                <c:pt idx="11">
                  <c:v>47.229235814600827</c:v>
                </c:pt>
                <c:pt idx="12">
                  <c:v>48.411811258436636</c:v>
                </c:pt>
                <c:pt idx="13">
                  <c:v>49.630968166347003</c:v>
                </c:pt>
                <c:pt idx="14">
                  <c:v>50.886706538331921</c:v>
                </c:pt>
                <c:pt idx="15">
                  <c:v>52.179026374391391</c:v>
                </c:pt>
                <c:pt idx="16">
                  <c:v>53.507927674525412</c:v>
                </c:pt>
                <c:pt idx="17">
                  <c:v>54.873410438733984</c:v>
                </c:pt>
                <c:pt idx="18">
                  <c:v>56.275474667017114</c:v>
                </c:pt>
                <c:pt idx="19">
                  <c:v>57.714120359374789</c:v>
                </c:pt>
                <c:pt idx="20">
                  <c:v>59.189347515807022</c:v>
                </c:pt>
                <c:pt idx="21">
                  <c:v>60.701156136313799</c:v>
                </c:pt>
                <c:pt idx="22">
                  <c:v>62.249546220895134</c:v>
                </c:pt>
                <c:pt idx="23">
                  <c:v>63.834517769551013</c:v>
                </c:pt>
                <c:pt idx="24">
                  <c:v>65.456070782281444</c:v>
                </c:pt>
                <c:pt idx="25">
                  <c:v>67.114205259086447</c:v>
                </c:pt>
                <c:pt idx="26">
                  <c:v>68.808921199965994</c:v>
                </c:pt>
                <c:pt idx="27">
                  <c:v>70.540218604920085</c:v>
                </c:pt>
                <c:pt idx="28">
                  <c:v>72.30809747394872</c:v>
                </c:pt>
                <c:pt idx="29">
                  <c:v>74.112557807051928</c:v>
                </c:pt>
                <c:pt idx="30">
                  <c:v>75.953599604229666</c:v>
                </c:pt>
                <c:pt idx="31">
                  <c:v>77.831222865481976</c:v>
                </c:pt>
                <c:pt idx="32">
                  <c:v>79.745427590808831</c:v>
                </c:pt>
                <c:pt idx="33">
                  <c:v>81.696213780210229</c:v>
                </c:pt>
                <c:pt idx="34">
                  <c:v>83.683581433686186</c:v>
                </c:pt>
                <c:pt idx="35">
                  <c:v>85.707530551236687</c:v>
                </c:pt>
                <c:pt idx="36">
                  <c:v>87.76806113286176</c:v>
                </c:pt>
                <c:pt idx="37">
                  <c:v>89.865173178561378</c:v>
                </c:pt>
                <c:pt idx="38">
                  <c:v>91.998866688335539</c:v>
                </c:pt>
                <c:pt idx="39">
                  <c:v>94.169141662184245</c:v>
                </c:pt>
                <c:pt idx="40">
                  <c:v>96.375998100107537</c:v>
                </c:pt>
                <c:pt idx="41">
                  <c:v>98.619436002105331</c:v>
                </c:pt>
                <c:pt idx="42">
                  <c:v>100.89945536817773</c:v>
                </c:pt>
                <c:pt idx="43">
                  <c:v>103.21605619832465</c:v>
                </c:pt>
                <c:pt idx="44">
                  <c:v>105.56923849254615</c:v>
                </c:pt>
                <c:pt idx="45">
                  <c:v>107.95900225084216</c:v>
                </c:pt>
                <c:pt idx="46">
                  <c:v>110.38534747321273</c:v>
                </c:pt>
                <c:pt idx="47">
                  <c:v>112.84827415965788</c:v>
                </c:pt>
                <c:pt idx="48">
                  <c:v>115.34778231017756</c:v>
                </c:pt>
                <c:pt idx="49">
                  <c:v>117.88387192477182</c:v>
                </c:pt>
                <c:pt idx="50">
                  <c:v>120.4565430034406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8827-4A37-BB93-78B8FCC8438F}"/>
            </c:ext>
          </c:extLst>
        </c:ser>
        <c:ser>
          <c:idx val="41"/>
          <c:order val="41"/>
          <c:spPr>
            <a:solidFill>
              <a:schemeClr val="accent6">
                <a:lumMod val="70000"/>
                <a:lumOff val="30000"/>
              </a:schemeClr>
            </a:solidFill>
            <a:ln/>
            <a:effectLst/>
            <a:sp3d/>
          </c:spPr>
          <c:val>
            <c:numRef>
              <c:f>'2.123 Нелин. поверхность'!$G$50:$BE$50</c:f>
              <c:numCache>
                <c:formatCode>General</c:formatCode>
                <c:ptCount val="51"/>
                <c:pt idx="0">
                  <c:v>38.229037971108923</c:v>
                </c:pt>
                <c:pt idx="1">
                  <c:v>39.02658097602253</c:v>
                </c:pt>
                <c:pt idx="2">
                  <c:v>39.86070544501068</c:v>
                </c:pt>
                <c:pt idx="3">
                  <c:v>40.731411378073396</c:v>
                </c:pt>
                <c:pt idx="4">
                  <c:v>41.638698775210649</c:v>
                </c:pt>
                <c:pt idx="5">
                  <c:v>42.582567636422468</c:v>
                </c:pt>
                <c:pt idx="6">
                  <c:v>43.56301796170883</c:v>
                </c:pt>
                <c:pt idx="7">
                  <c:v>44.580049751069751</c:v>
                </c:pt>
                <c:pt idx="8">
                  <c:v>45.633663004505216</c:v>
                </c:pt>
                <c:pt idx="9">
                  <c:v>46.723857722015239</c:v>
                </c:pt>
                <c:pt idx="10">
                  <c:v>47.850633903599807</c:v>
                </c:pt>
                <c:pt idx="11">
                  <c:v>49.01399154925894</c:v>
                </c:pt>
                <c:pt idx="12">
                  <c:v>50.213930658992609</c:v>
                </c:pt>
                <c:pt idx="13">
                  <c:v>51.450451232800845</c:v>
                </c:pt>
                <c:pt idx="14">
                  <c:v>52.723553270683624</c:v>
                </c:pt>
                <c:pt idx="15">
                  <c:v>54.033236772640961</c:v>
                </c:pt>
                <c:pt idx="16">
                  <c:v>55.379501738672843</c:v>
                </c:pt>
                <c:pt idx="17">
                  <c:v>56.762348168779283</c:v>
                </c:pt>
                <c:pt idx="18">
                  <c:v>58.181776062960282</c:v>
                </c:pt>
                <c:pt idx="19">
                  <c:v>59.637785421215817</c:v>
                </c:pt>
                <c:pt idx="20">
                  <c:v>61.130376243545911</c:v>
                </c:pt>
                <c:pt idx="21">
                  <c:v>62.659548529950555</c:v>
                </c:pt>
                <c:pt idx="22">
                  <c:v>64.225302280429759</c:v>
                </c:pt>
                <c:pt idx="23">
                  <c:v>65.827637494983492</c:v>
                </c:pt>
                <c:pt idx="24">
                  <c:v>67.466554173611797</c:v>
                </c:pt>
                <c:pt idx="25">
                  <c:v>69.142052316314661</c:v>
                </c:pt>
                <c:pt idx="26">
                  <c:v>70.854131923092069</c:v>
                </c:pt>
                <c:pt idx="27">
                  <c:v>72.602792993944036</c:v>
                </c:pt>
                <c:pt idx="28">
                  <c:v>74.388035528870532</c:v>
                </c:pt>
                <c:pt idx="29">
                  <c:v>76.2098595278716</c:v>
                </c:pt>
                <c:pt idx="30">
                  <c:v>78.068264990947213</c:v>
                </c:pt>
                <c:pt idx="31">
                  <c:v>79.963251918097384</c:v>
                </c:pt>
                <c:pt idx="32">
                  <c:v>81.894820309322114</c:v>
                </c:pt>
                <c:pt idx="33">
                  <c:v>83.862970164621359</c:v>
                </c:pt>
                <c:pt idx="34">
                  <c:v>85.867701483995191</c:v>
                </c:pt>
                <c:pt idx="35">
                  <c:v>87.909014267443567</c:v>
                </c:pt>
                <c:pt idx="36">
                  <c:v>89.986908514966501</c:v>
                </c:pt>
                <c:pt idx="37">
                  <c:v>92.101384226563979</c:v>
                </c:pt>
                <c:pt idx="38">
                  <c:v>94.252441402236002</c:v>
                </c:pt>
                <c:pt idx="39">
                  <c:v>96.440080041982597</c:v>
                </c:pt>
                <c:pt idx="40">
                  <c:v>98.664300145803708</c:v>
                </c:pt>
                <c:pt idx="41">
                  <c:v>100.92510171369941</c:v>
                </c:pt>
                <c:pt idx="42">
                  <c:v>103.22248474566965</c:v>
                </c:pt>
                <c:pt idx="43">
                  <c:v>105.55644924171443</c:v>
                </c:pt>
                <c:pt idx="44">
                  <c:v>107.92699520183379</c:v>
                </c:pt>
                <c:pt idx="45">
                  <c:v>110.33412262602769</c:v>
                </c:pt>
                <c:pt idx="46">
                  <c:v>112.77783151429612</c:v>
                </c:pt>
                <c:pt idx="47">
                  <c:v>115.25812186663913</c:v>
                </c:pt>
                <c:pt idx="48">
                  <c:v>117.77499368305666</c:v>
                </c:pt>
                <c:pt idx="49">
                  <c:v>120.3284469635488</c:v>
                </c:pt>
                <c:pt idx="50">
                  <c:v>122.91848170811544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8827-4A37-BB93-78B8FCC8438F}"/>
            </c:ext>
          </c:extLst>
        </c:ser>
        <c:ser>
          <c:idx val="42"/>
          <c:order val="42"/>
          <c:spPr>
            <a:solidFill>
              <a:schemeClr val="accent1">
                <a:lumMod val="70000"/>
              </a:schemeClr>
            </a:solidFill>
            <a:ln/>
            <a:effectLst/>
            <a:sp3d/>
          </c:spPr>
          <c:val>
            <c:numRef>
              <c:f>'2.123 Нелин. поверхность'!$G$51:$BE$51</c:f>
              <c:numCache>
                <c:formatCode>General</c:formatCode>
                <c:ptCount val="51"/>
                <c:pt idx="0">
                  <c:v>39.859365458979731</c:v>
                </c:pt>
                <c:pt idx="1">
                  <c:v>40.674272129791206</c:v>
                </c:pt>
                <c:pt idx="2">
                  <c:v>41.525760264677224</c:v>
                </c:pt>
                <c:pt idx="3">
                  <c:v>42.413829863637801</c:v>
                </c:pt>
                <c:pt idx="4">
                  <c:v>43.338480926672922</c:v>
                </c:pt>
                <c:pt idx="5">
                  <c:v>44.299713453782601</c:v>
                </c:pt>
                <c:pt idx="6">
                  <c:v>45.297527444966832</c:v>
                </c:pt>
                <c:pt idx="7">
                  <c:v>46.331922900225607</c:v>
                </c:pt>
                <c:pt idx="8">
                  <c:v>47.402899819558954</c:v>
                </c:pt>
                <c:pt idx="9">
                  <c:v>48.510458202966838</c:v>
                </c:pt>
                <c:pt idx="10">
                  <c:v>49.654598050449273</c:v>
                </c:pt>
                <c:pt idx="11">
                  <c:v>50.835319362006267</c:v>
                </c:pt>
                <c:pt idx="12">
                  <c:v>52.052622137637805</c:v>
                </c:pt>
                <c:pt idx="13">
                  <c:v>53.306506377343901</c:v>
                </c:pt>
                <c:pt idx="14">
                  <c:v>54.596972081124541</c:v>
                </c:pt>
                <c:pt idx="15">
                  <c:v>55.924019248979739</c:v>
                </c:pt>
                <c:pt idx="16">
                  <c:v>57.287647880909496</c:v>
                </c:pt>
                <c:pt idx="17">
                  <c:v>58.687857976913797</c:v>
                </c:pt>
                <c:pt idx="18">
                  <c:v>60.124649536992649</c:v>
                </c:pt>
                <c:pt idx="19">
                  <c:v>61.59802256114606</c:v>
                </c:pt>
                <c:pt idx="20">
                  <c:v>63.107977049374014</c:v>
                </c:pt>
                <c:pt idx="21">
                  <c:v>64.654513001676534</c:v>
                </c:pt>
                <c:pt idx="22">
                  <c:v>66.237630418053598</c:v>
                </c:pt>
                <c:pt idx="23">
                  <c:v>67.857329298505206</c:v>
                </c:pt>
                <c:pt idx="24">
                  <c:v>69.513609643031373</c:v>
                </c:pt>
                <c:pt idx="25">
                  <c:v>71.206471451632098</c:v>
                </c:pt>
                <c:pt idx="26">
                  <c:v>72.935914724307366</c:v>
                </c:pt>
                <c:pt idx="27">
                  <c:v>74.701939461057179</c:v>
                </c:pt>
                <c:pt idx="28">
                  <c:v>76.504545661881565</c:v>
                </c:pt>
                <c:pt idx="29">
                  <c:v>78.343733326780495</c:v>
                </c:pt>
                <c:pt idx="30">
                  <c:v>80.219502455753968</c:v>
                </c:pt>
                <c:pt idx="31">
                  <c:v>82.131853048802</c:v>
                </c:pt>
                <c:pt idx="32">
                  <c:v>84.080785105924591</c:v>
                </c:pt>
                <c:pt idx="33">
                  <c:v>86.066298627121711</c:v>
                </c:pt>
                <c:pt idx="34">
                  <c:v>88.088393612393403</c:v>
                </c:pt>
                <c:pt idx="35">
                  <c:v>90.14707006173964</c:v>
                </c:pt>
                <c:pt idx="36">
                  <c:v>92.242327975160435</c:v>
                </c:pt>
                <c:pt idx="37">
                  <c:v>94.374167352655775</c:v>
                </c:pt>
                <c:pt idx="38">
                  <c:v>96.542588194225672</c:v>
                </c:pt>
                <c:pt idx="39">
                  <c:v>98.747590499870114</c:v>
                </c:pt>
                <c:pt idx="40">
                  <c:v>100.98917426958914</c:v>
                </c:pt>
                <c:pt idx="41">
                  <c:v>103.26733950338266</c:v>
                </c:pt>
                <c:pt idx="42">
                  <c:v>105.58208620125079</c:v>
                </c:pt>
                <c:pt idx="43">
                  <c:v>107.93341436319344</c:v>
                </c:pt>
                <c:pt idx="44">
                  <c:v>110.32132398921067</c:v>
                </c:pt>
                <c:pt idx="45">
                  <c:v>112.74581507930239</c:v>
                </c:pt>
                <c:pt idx="46">
                  <c:v>115.20688763346871</c:v>
                </c:pt>
                <c:pt idx="47">
                  <c:v>117.70454165170959</c:v>
                </c:pt>
                <c:pt idx="48">
                  <c:v>120.23877713402499</c:v>
                </c:pt>
                <c:pt idx="49">
                  <c:v>122.80959408041498</c:v>
                </c:pt>
                <c:pt idx="50">
                  <c:v>125.41699249087949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8827-4A37-BB93-78B8FCC8438F}"/>
            </c:ext>
          </c:extLst>
        </c:ser>
        <c:ser>
          <c:idx val="43"/>
          <c:order val="43"/>
          <c:spPr>
            <a:solidFill>
              <a:schemeClr val="accent2">
                <a:lumMod val="70000"/>
              </a:schemeClr>
            </a:solidFill>
            <a:ln/>
            <a:effectLst/>
            <a:sp3d/>
          </c:spPr>
          <c:val>
            <c:numRef>
              <c:f>'2.123 Нелин. поверхность'!$G$52:$BE$52</c:f>
              <c:numCache>
                <c:formatCode>General</c:formatCode>
                <c:ptCount val="51"/>
                <c:pt idx="0">
                  <c:v>41.526265024939789</c:v>
                </c:pt>
                <c:pt idx="1">
                  <c:v>42.358535361649125</c:v>
                </c:pt>
                <c:pt idx="2">
                  <c:v>43.227387162433011</c:v>
                </c:pt>
                <c:pt idx="3">
                  <c:v>44.132820427291449</c:v>
                </c:pt>
                <c:pt idx="4">
                  <c:v>45.074835156224445</c:v>
                </c:pt>
                <c:pt idx="5">
                  <c:v>46.053431349231985</c:v>
                </c:pt>
                <c:pt idx="6">
                  <c:v>47.068609006314077</c:v>
                </c:pt>
                <c:pt idx="7">
                  <c:v>48.120368127470726</c:v>
                </c:pt>
                <c:pt idx="8">
                  <c:v>49.208708712701927</c:v>
                </c:pt>
                <c:pt idx="9">
                  <c:v>50.333630762007679</c:v>
                </c:pt>
                <c:pt idx="10">
                  <c:v>51.495134275387983</c:v>
                </c:pt>
                <c:pt idx="11">
                  <c:v>52.69321925284283</c:v>
                </c:pt>
                <c:pt idx="12">
                  <c:v>53.927885694372243</c:v>
                </c:pt>
                <c:pt idx="13">
                  <c:v>55.199133599976207</c:v>
                </c:pt>
                <c:pt idx="14">
                  <c:v>56.506962969654715</c:v>
                </c:pt>
                <c:pt idx="15">
                  <c:v>57.851373803407782</c:v>
                </c:pt>
                <c:pt idx="16">
                  <c:v>59.232366101235385</c:v>
                </c:pt>
                <c:pt idx="17">
                  <c:v>60.649939863137554</c:v>
                </c:pt>
                <c:pt idx="18">
                  <c:v>62.104095089114281</c:v>
                </c:pt>
                <c:pt idx="19">
                  <c:v>63.594831779165546</c:v>
                </c:pt>
                <c:pt idx="20">
                  <c:v>65.122149933291382</c:v>
                </c:pt>
                <c:pt idx="21">
                  <c:v>66.686049551491749</c:v>
                </c:pt>
                <c:pt idx="22">
                  <c:v>68.286530633766674</c:v>
                </c:pt>
                <c:pt idx="23">
                  <c:v>69.923593180116157</c:v>
                </c:pt>
                <c:pt idx="24">
                  <c:v>71.597237190540184</c:v>
                </c:pt>
                <c:pt idx="25">
                  <c:v>73.30746266503877</c:v>
                </c:pt>
                <c:pt idx="26">
                  <c:v>75.054269603611914</c:v>
                </c:pt>
                <c:pt idx="27">
                  <c:v>76.837658006259602</c:v>
                </c:pt>
                <c:pt idx="28">
                  <c:v>78.657627872981834</c:v>
                </c:pt>
                <c:pt idx="29">
                  <c:v>80.514179203778639</c:v>
                </c:pt>
                <c:pt idx="30">
                  <c:v>82.407311998649973</c:v>
                </c:pt>
                <c:pt idx="31">
                  <c:v>84.33702625759588</c:v>
                </c:pt>
                <c:pt idx="32">
                  <c:v>86.303321980616317</c:v>
                </c:pt>
                <c:pt idx="33">
                  <c:v>88.306199167711313</c:v>
                </c:pt>
                <c:pt idx="34">
                  <c:v>90.345657818880866</c:v>
                </c:pt>
                <c:pt idx="35">
                  <c:v>92.421697934124978</c:v>
                </c:pt>
                <c:pt idx="36">
                  <c:v>94.534319513443648</c:v>
                </c:pt>
                <c:pt idx="37">
                  <c:v>96.683522556836834</c:v>
                </c:pt>
                <c:pt idx="38">
                  <c:v>98.869307064304593</c:v>
                </c:pt>
                <c:pt idx="39">
                  <c:v>101.09167303584691</c:v>
                </c:pt>
                <c:pt idx="40">
                  <c:v>103.35062047146378</c:v>
                </c:pt>
                <c:pt idx="41">
                  <c:v>105.64614937115519</c:v>
                </c:pt>
                <c:pt idx="42">
                  <c:v>107.97825973492118</c:v>
                </c:pt>
                <c:pt idx="43">
                  <c:v>110.34695156276169</c:v>
                </c:pt>
                <c:pt idx="44">
                  <c:v>112.75222485467677</c:v>
                </c:pt>
                <c:pt idx="45">
                  <c:v>115.19407961066639</c:v>
                </c:pt>
                <c:pt idx="46">
                  <c:v>117.67251583073055</c:v>
                </c:pt>
                <c:pt idx="47">
                  <c:v>120.1875335148693</c:v>
                </c:pt>
                <c:pt idx="48">
                  <c:v>122.73913266308259</c:v>
                </c:pt>
                <c:pt idx="49">
                  <c:v>125.32731327537041</c:v>
                </c:pt>
                <c:pt idx="50">
                  <c:v>127.95207535173279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8827-4A37-BB93-78B8FCC8438F}"/>
            </c:ext>
          </c:extLst>
        </c:ser>
        <c:ser>
          <c:idx val="44"/>
          <c:order val="44"/>
          <c:spPr>
            <a:solidFill>
              <a:schemeClr val="accent3">
                <a:lumMod val="70000"/>
              </a:schemeClr>
            </a:solidFill>
            <a:ln/>
            <a:effectLst/>
            <a:sp3d/>
          </c:spPr>
          <c:val>
            <c:numRef>
              <c:f>'2.123 Нелин. поверхность'!$G$53:$BE$53</c:f>
              <c:numCache>
                <c:formatCode>General</c:formatCode>
                <c:ptCount val="51"/>
                <c:pt idx="0">
                  <c:v>43.229736668989062</c:v>
                </c:pt>
                <c:pt idx="1">
                  <c:v>44.079370671596259</c:v>
                </c:pt>
                <c:pt idx="2">
                  <c:v>44.965586138278013</c:v>
                </c:pt>
                <c:pt idx="3">
                  <c:v>45.888383069034319</c:v>
                </c:pt>
                <c:pt idx="4">
                  <c:v>46.847761463865176</c:v>
                </c:pt>
                <c:pt idx="5">
                  <c:v>47.843721322770577</c:v>
                </c:pt>
                <c:pt idx="6">
                  <c:v>48.876262645750536</c:v>
                </c:pt>
                <c:pt idx="7">
                  <c:v>49.945385432805047</c:v>
                </c:pt>
                <c:pt idx="8">
                  <c:v>51.051089683934116</c:v>
                </c:pt>
                <c:pt idx="9">
                  <c:v>52.193375399137729</c:v>
                </c:pt>
                <c:pt idx="10">
                  <c:v>53.3722425784159</c:v>
                </c:pt>
                <c:pt idx="11">
                  <c:v>54.587691221768615</c:v>
                </c:pt>
                <c:pt idx="12">
                  <c:v>55.839721329195889</c:v>
                </c:pt>
                <c:pt idx="13">
                  <c:v>57.128332900697714</c:v>
                </c:pt>
                <c:pt idx="14">
                  <c:v>58.45352593627409</c:v>
                </c:pt>
                <c:pt idx="15">
                  <c:v>59.815300435925018</c:v>
                </c:pt>
                <c:pt idx="16">
                  <c:v>61.213656399650496</c:v>
                </c:pt>
                <c:pt idx="17">
                  <c:v>62.648593827450526</c:v>
                </c:pt>
                <c:pt idx="18">
                  <c:v>64.120112719325121</c:v>
                </c:pt>
                <c:pt idx="19">
                  <c:v>65.628213075274246</c:v>
                </c:pt>
                <c:pt idx="20">
                  <c:v>67.172894895297944</c:v>
                </c:pt>
                <c:pt idx="21">
                  <c:v>68.754158179396185</c:v>
                </c:pt>
                <c:pt idx="22">
                  <c:v>70.372002927568971</c:v>
                </c:pt>
                <c:pt idx="23">
                  <c:v>72.026429139816315</c:v>
                </c:pt>
                <c:pt idx="24">
                  <c:v>73.717436816138218</c:v>
                </c:pt>
                <c:pt idx="25">
                  <c:v>75.445025956534664</c:v>
                </c:pt>
                <c:pt idx="26">
                  <c:v>77.209196561005669</c:v>
                </c:pt>
                <c:pt idx="27">
                  <c:v>79.009948629551218</c:v>
                </c:pt>
                <c:pt idx="28">
                  <c:v>80.847282162171325</c:v>
                </c:pt>
                <c:pt idx="29">
                  <c:v>82.721197158865976</c:v>
                </c:pt>
                <c:pt idx="30">
                  <c:v>84.631693619635186</c:v>
                </c:pt>
                <c:pt idx="31">
                  <c:v>86.578771544478954</c:v>
                </c:pt>
                <c:pt idx="32">
                  <c:v>88.562430933397266</c:v>
                </c:pt>
                <c:pt idx="33">
                  <c:v>90.582671786390122</c:v>
                </c:pt>
                <c:pt idx="34">
                  <c:v>92.639494103457537</c:v>
                </c:pt>
                <c:pt idx="35">
                  <c:v>94.73289788459951</c:v>
                </c:pt>
                <c:pt idx="36">
                  <c:v>96.862883129816041</c:v>
                </c:pt>
                <c:pt idx="37">
                  <c:v>99.029449839107102</c:v>
                </c:pt>
                <c:pt idx="38">
                  <c:v>101.23259801247274</c:v>
                </c:pt>
                <c:pt idx="39">
                  <c:v>103.4723276499129</c:v>
                </c:pt>
                <c:pt idx="40">
                  <c:v>105.74863875142765</c:v>
                </c:pt>
                <c:pt idx="41">
                  <c:v>108.06153131701691</c:v>
                </c:pt>
                <c:pt idx="42">
                  <c:v>110.41100534668075</c:v>
                </c:pt>
                <c:pt idx="43">
                  <c:v>112.79706084041914</c:v>
                </c:pt>
                <c:pt idx="44">
                  <c:v>115.21969779823209</c:v>
                </c:pt>
                <c:pt idx="45">
                  <c:v>117.67891622011958</c:v>
                </c:pt>
                <c:pt idx="46">
                  <c:v>120.1747161060816</c:v>
                </c:pt>
                <c:pt idx="47">
                  <c:v>122.70709745611822</c:v>
                </c:pt>
                <c:pt idx="48">
                  <c:v>125.27606027022935</c:v>
                </c:pt>
                <c:pt idx="49">
                  <c:v>127.88160454841505</c:v>
                </c:pt>
                <c:pt idx="50">
                  <c:v>130.5237302906753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8827-4A37-BB93-78B8FCC8438F}"/>
            </c:ext>
          </c:extLst>
        </c:ser>
        <c:ser>
          <c:idx val="45"/>
          <c:order val="45"/>
          <c:spPr>
            <a:solidFill>
              <a:schemeClr val="accent4">
                <a:lumMod val="70000"/>
              </a:schemeClr>
            </a:solidFill>
            <a:ln/>
            <a:effectLst/>
            <a:sp3d/>
          </c:spPr>
          <c:val>
            <c:numRef>
              <c:f>'2.123 Нелин. поверхность'!$G$54:$BE$54</c:f>
              <c:numCache>
                <c:formatCode>General</c:formatCode>
                <c:ptCount val="51"/>
                <c:pt idx="0">
                  <c:v>44.969780391127564</c:v>
                </c:pt>
                <c:pt idx="1">
                  <c:v>45.836778059632628</c:v>
                </c:pt>
                <c:pt idx="2">
                  <c:v>46.740357192212244</c:v>
                </c:pt>
                <c:pt idx="3">
                  <c:v>47.68051778886641</c:v>
                </c:pt>
                <c:pt idx="4">
                  <c:v>48.657259849595128</c:v>
                </c:pt>
                <c:pt idx="5">
                  <c:v>49.670583374398404</c:v>
                </c:pt>
                <c:pt idx="6">
                  <c:v>50.720488363276232</c:v>
                </c:pt>
                <c:pt idx="7">
                  <c:v>51.806974816228603</c:v>
                </c:pt>
                <c:pt idx="8">
                  <c:v>52.930042733255533</c:v>
                </c:pt>
                <c:pt idx="9">
                  <c:v>54.089692114357014</c:v>
                </c:pt>
                <c:pt idx="10">
                  <c:v>55.285922959533053</c:v>
                </c:pt>
                <c:pt idx="11">
                  <c:v>56.51873526878363</c:v>
                </c:pt>
                <c:pt idx="12">
                  <c:v>57.788129042108771</c:v>
                </c:pt>
                <c:pt idx="13">
                  <c:v>59.094104279508457</c:v>
                </c:pt>
                <c:pt idx="14">
                  <c:v>60.436660980982694</c:v>
                </c:pt>
                <c:pt idx="15">
                  <c:v>61.815799146531489</c:v>
                </c:pt>
                <c:pt idx="16">
                  <c:v>63.231518776154836</c:v>
                </c:pt>
                <c:pt idx="17">
                  <c:v>64.683819869852726</c:v>
                </c:pt>
                <c:pt idx="18">
                  <c:v>66.172702427625183</c:v>
                </c:pt>
                <c:pt idx="19">
                  <c:v>67.698166449472183</c:v>
                </c:pt>
                <c:pt idx="20">
                  <c:v>69.260211935393727</c:v>
                </c:pt>
                <c:pt idx="21">
                  <c:v>70.858838885389844</c:v>
                </c:pt>
                <c:pt idx="22">
                  <c:v>72.494047299460505</c:v>
                </c:pt>
                <c:pt idx="23">
                  <c:v>74.165837177605709</c:v>
                </c:pt>
                <c:pt idx="24">
                  <c:v>75.874208519825473</c:v>
                </c:pt>
                <c:pt idx="25">
                  <c:v>77.61916132611978</c:v>
                </c:pt>
                <c:pt idx="26">
                  <c:v>79.400695596488646</c:v>
                </c:pt>
                <c:pt idx="27">
                  <c:v>81.21881133093207</c:v>
                </c:pt>
                <c:pt idx="28">
                  <c:v>83.073508529450038</c:v>
                </c:pt>
                <c:pt idx="29">
                  <c:v>84.96478719204255</c:v>
                </c:pt>
                <c:pt idx="30">
                  <c:v>86.892647318709635</c:v>
                </c:pt>
                <c:pt idx="31">
                  <c:v>88.857088909451264</c:v>
                </c:pt>
                <c:pt idx="32">
                  <c:v>90.858111964267437</c:v>
                </c:pt>
                <c:pt idx="33">
                  <c:v>92.895716483158168</c:v>
                </c:pt>
                <c:pt idx="34">
                  <c:v>94.969902466123443</c:v>
                </c:pt>
                <c:pt idx="35">
                  <c:v>97.080669913163291</c:v>
                </c:pt>
                <c:pt idx="36">
                  <c:v>99.228018824277683</c:v>
                </c:pt>
                <c:pt idx="37">
                  <c:v>101.41194919946662</c:v>
                </c:pt>
                <c:pt idx="38">
                  <c:v>103.63246103873009</c:v>
                </c:pt>
                <c:pt idx="39">
                  <c:v>105.88955434206814</c:v>
                </c:pt>
                <c:pt idx="40">
                  <c:v>108.18322910948073</c:v>
                </c:pt>
                <c:pt idx="41">
                  <c:v>110.51348534096786</c:v>
                </c:pt>
                <c:pt idx="42">
                  <c:v>112.88032303652959</c:v>
                </c:pt>
                <c:pt idx="43">
                  <c:v>115.28374219616583</c:v>
                </c:pt>
                <c:pt idx="44">
                  <c:v>117.72374281987663</c:v>
                </c:pt>
                <c:pt idx="45">
                  <c:v>120.20032490766198</c:v>
                </c:pt>
                <c:pt idx="46">
                  <c:v>122.71348845952188</c:v>
                </c:pt>
                <c:pt idx="47">
                  <c:v>125.26323347545636</c:v>
                </c:pt>
                <c:pt idx="48">
                  <c:v>127.84955995546537</c:v>
                </c:pt>
                <c:pt idx="49">
                  <c:v>130.47246789954892</c:v>
                </c:pt>
                <c:pt idx="50">
                  <c:v>133.13195730770704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8827-4A37-BB93-78B8FCC8438F}"/>
            </c:ext>
          </c:extLst>
        </c:ser>
        <c:ser>
          <c:idx val="46"/>
          <c:order val="46"/>
          <c:spPr>
            <a:solidFill>
              <a:schemeClr val="accent5">
                <a:lumMod val="70000"/>
              </a:schemeClr>
            </a:solidFill>
            <a:ln/>
            <a:effectLst/>
            <a:sp3d/>
          </c:spPr>
          <c:val>
            <c:numRef>
              <c:f>'2.123 Нелин. поверхность'!$G$55:$BE$55</c:f>
              <c:numCache>
                <c:formatCode>General</c:formatCode>
                <c:ptCount val="51"/>
                <c:pt idx="0">
                  <c:v>46.746396191355316</c:v>
                </c:pt>
                <c:pt idx="1">
                  <c:v>47.630757525758241</c:v>
                </c:pt>
                <c:pt idx="2">
                  <c:v>48.551700324235725</c:v>
                </c:pt>
                <c:pt idx="3">
                  <c:v>49.509224586787759</c:v>
                </c:pt>
                <c:pt idx="4">
                  <c:v>50.503330313414338</c:v>
                </c:pt>
                <c:pt idx="5">
                  <c:v>51.534017504115482</c:v>
                </c:pt>
                <c:pt idx="6">
                  <c:v>52.60128615889117</c:v>
                </c:pt>
                <c:pt idx="7">
                  <c:v>53.70513627774141</c:v>
                </c:pt>
                <c:pt idx="8">
                  <c:v>54.845567860666208</c:v>
                </c:pt>
                <c:pt idx="9">
                  <c:v>56.022580907665549</c:v>
                </c:pt>
                <c:pt idx="10">
                  <c:v>57.236175418739442</c:v>
                </c:pt>
                <c:pt idx="11">
                  <c:v>58.486351393887901</c:v>
                </c:pt>
                <c:pt idx="12">
                  <c:v>59.773108833110896</c:v>
                </c:pt>
                <c:pt idx="13">
                  <c:v>61.09644773640845</c:v>
                </c:pt>
                <c:pt idx="14">
                  <c:v>62.456368103780562</c:v>
                </c:pt>
                <c:pt idx="15">
                  <c:v>63.852869935227218</c:v>
                </c:pt>
                <c:pt idx="16">
                  <c:v>65.285953230748433</c:v>
                </c:pt>
                <c:pt idx="17">
                  <c:v>66.755617990344192</c:v>
                </c:pt>
                <c:pt idx="18">
                  <c:v>68.261864214014508</c:v>
                </c:pt>
                <c:pt idx="19">
                  <c:v>69.804691901759369</c:v>
                </c:pt>
                <c:pt idx="20">
                  <c:v>71.384101053578789</c:v>
                </c:pt>
                <c:pt idx="21">
                  <c:v>73.000091669472766</c:v>
                </c:pt>
                <c:pt idx="22">
                  <c:v>74.652663749441288</c:v>
                </c:pt>
                <c:pt idx="23">
                  <c:v>76.341817293484354</c:v>
                </c:pt>
                <c:pt idx="24">
                  <c:v>78.067552301601978</c:v>
                </c:pt>
                <c:pt idx="25">
                  <c:v>79.829868773794161</c:v>
                </c:pt>
                <c:pt idx="26">
                  <c:v>81.628766710060887</c:v>
                </c:pt>
                <c:pt idx="27">
                  <c:v>83.464246110402172</c:v>
                </c:pt>
                <c:pt idx="28">
                  <c:v>85.336306974818001</c:v>
                </c:pt>
                <c:pt idx="29">
                  <c:v>87.244949303308402</c:v>
                </c:pt>
                <c:pt idx="30">
                  <c:v>89.190173095873334</c:v>
                </c:pt>
                <c:pt idx="31">
                  <c:v>91.171978352512824</c:v>
                </c:pt>
                <c:pt idx="32">
                  <c:v>93.190365073226872</c:v>
                </c:pt>
                <c:pt idx="33">
                  <c:v>95.245333258015449</c:v>
                </c:pt>
                <c:pt idx="34">
                  <c:v>97.3368829068786</c:v>
                </c:pt>
                <c:pt idx="35">
                  <c:v>99.465014019816309</c:v>
                </c:pt>
                <c:pt idx="36">
                  <c:v>101.62972659682856</c:v>
                </c:pt>
                <c:pt idx="37">
                  <c:v>103.83102063791537</c:v>
                </c:pt>
                <c:pt idx="38">
                  <c:v>106.06889614307671</c:v>
                </c:pt>
                <c:pt idx="39">
                  <c:v>108.34335311231261</c:v>
                </c:pt>
                <c:pt idx="40">
                  <c:v>110.65439154562307</c:v>
                </c:pt>
                <c:pt idx="41">
                  <c:v>113.00201144300809</c:v>
                </c:pt>
                <c:pt idx="42">
                  <c:v>115.38621280446766</c:v>
                </c:pt>
                <c:pt idx="43">
                  <c:v>117.80699563000177</c:v>
                </c:pt>
                <c:pt idx="44">
                  <c:v>120.26435991961046</c:v>
                </c:pt>
                <c:pt idx="45">
                  <c:v>122.75830567329368</c:v>
                </c:pt>
                <c:pt idx="46">
                  <c:v>125.28883289105144</c:v>
                </c:pt>
                <c:pt idx="47">
                  <c:v>127.85594157288375</c:v>
                </c:pt>
                <c:pt idx="48">
                  <c:v>130.45963171879063</c:v>
                </c:pt>
                <c:pt idx="49">
                  <c:v>133.09990332877209</c:v>
                </c:pt>
                <c:pt idx="50">
                  <c:v>135.77675640282803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8827-4A37-BB93-78B8FCC8438F}"/>
            </c:ext>
          </c:extLst>
        </c:ser>
        <c:ser>
          <c:idx val="47"/>
          <c:order val="47"/>
          <c:spPr>
            <a:solidFill>
              <a:schemeClr val="accent6">
                <a:lumMod val="70000"/>
              </a:schemeClr>
            </a:solidFill>
            <a:ln/>
            <a:effectLst/>
            <a:sp3d/>
          </c:spPr>
          <c:val>
            <c:numRef>
              <c:f>'2.123 Нелин. поверхность'!$G$56:$BE$56</c:f>
              <c:numCache>
                <c:formatCode>General</c:formatCode>
                <c:ptCount val="51"/>
                <c:pt idx="0">
                  <c:v>48.559584069672269</c:v>
                </c:pt>
                <c:pt idx="1">
                  <c:v>49.461309069973062</c:v>
                </c:pt>
                <c:pt idx="2">
                  <c:v>50.399615534348413</c:v>
                </c:pt>
                <c:pt idx="3">
                  <c:v>51.374503462798309</c:v>
                </c:pt>
                <c:pt idx="4">
                  <c:v>52.385972855322763</c:v>
                </c:pt>
                <c:pt idx="5">
                  <c:v>53.43402371192176</c:v>
                </c:pt>
                <c:pt idx="6">
                  <c:v>54.518656032595317</c:v>
                </c:pt>
                <c:pt idx="7">
                  <c:v>55.639869817343424</c:v>
                </c:pt>
                <c:pt idx="8">
                  <c:v>56.797665066166083</c:v>
                </c:pt>
                <c:pt idx="9">
                  <c:v>57.992041779063292</c:v>
                </c:pt>
                <c:pt idx="10">
                  <c:v>59.222999956035054</c:v>
                </c:pt>
                <c:pt idx="11">
                  <c:v>60.490539597081373</c:v>
                </c:pt>
                <c:pt idx="12">
                  <c:v>61.794660702202236</c:v>
                </c:pt>
                <c:pt idx="13">
                  <c:v>63.135363271397651</c:v>
                </c:pt>
                <c:pt idx="14">
                  <c:v>64.512647304667624</c:v>
                </c:pt>
                <c:pt idx="15">
                  <c:v>65.926512802012155</c:v>
                </c:pt>
                <c:pt idx="16">
                  <c:v>67.376959763431216</c:v>
                </c:pt>
                <c:pt idx="17">
                  <c:v>68.86398818892485</c:v>
                </c:pt>
                <c:pt idx="18">
                  <c:v>70.387598078493028</c:v>
                </c:pt>
                <c:pt idx="19">
                  <c:v>71.94778943213575</c:v>
                </c:pt>
                <c:pt idx="20">
                  <c:v>73.544562249853044</c:v>
                </c:pt>
                <c:pt idx="21">
                  <c:v>75.177916531644868</c:v>
                </c:pt>
                <c:pt idx="22">
                  <c:v>76.847852277511265</c:v>
                </c:pt>
                <c:pt idx="23">
                  <c:v>78.554369487452192</c:v>
                </c:pt>
                <c:pt idx="24">
                  <c:v>80.297468161467691</c:v>
                </c:pt>
                <c:pt idx="25">
                  <c:v>82.077148299557734</c:v>
                </c:pt>
                <c:pt idx="26">
                  <c:v>83.893409901722336</c:v>
                </c:pt>
                <c:pt idx="27">
                  <c:v>85.746252967961482</c:v>
                </c:pt>
                <c:pt idx="28">
                  <c:v>87.635677498275172</c:v>
                </c:pt>
                <c:pt idx="29">
                  <c:v>89.561683492663434</c:v>
                </c:pt>
                <c:pt idx="30">
                  <c:v>91.52427095112624</c:v>
                </c:pt>
                <c:pt idx="31">
                  <c:v>93.523439873663591</c:v>
                </c:pt>
                <c:pt idx="32">
                  <c:v>95.5591902602755</c:v>
                </c:pt>
                <c:pt idx="33">
                  <c:v>97.631522110961939</c:v>
                </c:pt>
                <c:pt idx="34">
                  <c:v>99.740435425722964</c:v>
                </c:pt>
                <c:pt idx="35">
                  <c:v>101.88593020455852</c:v>
                </c:pt>
                <c:pt idx="36">
                  <c:v>104.06800644746866</c:v>
                </c:pt>
                <c:pt idx="37">
                  <c:v>106.28666415445332</c:v>
                </c:pt>
                <c:pt idx="38">
                  <c:v>108.54190332551252</c:v>
                </c:pt>
                <c:pt idx="39">
                  <c:v>110.83372396064631</c:v>
                </c:pt>
                <c:pt idx="40">
                  <c:v>113.16212605985464</c:v>
                </c:pt>
                <c:pt idx="41">
                  <c:v>115.52710962313751</c:v>
                </c:pt>
                <c:pt idx="42">
                  <c:v>117.92867465049494</c:v>
                </c:pt>
                <c:pt idx="43">
                  <c:v>120.36682114192692</c:v>
                </c:pt>
                <c:pt idx="44">
                  <c:v>122.84154909743347</c:v>
                </c:pt>
                <c:pt idx="45">
                  <c:v>125.35285851701454</c:v>
                </c:pt>
                <c:pt idx="46">
                  <c:v>127.90074940067016</c:v>
                </c:pt>
                <c:pt idx="47">
                  <c:v>130.48522174840036</c:v>
                </c:pt>
                <c:pt idx="48">
                  <c:v>133.10627556020512</c:v>
                </c:pt>
                <c:pt idx="49">
                  <c:v>135.76391083608439</c:v>
                </c:pt>
                <c:pt idx="50">
                  <c:v>138.45812757603824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8827-4A37-BB93-78B8FCC8438F}"/>
            </c:ext>
          </c:extLst>
        </c:ser>
        <c:ser>
          <c:idx val="48"/>
          <c:order val="48"/>
          <c:spPr>
            <a:solidFill>
              <a:schemeClr val="accent1">
                <a:lumMod val="50000"/>
                <a:lumOff val="50000"/>
              </a:schemeClr>
            </a:solidFill>
            <a:ln/>
            <a:effectLst/>
            <a:sp3d/>
          </c:spPr>
          <c:val>
            <c:numRef>
              <c:f>'2.123 Нелин. поверхность'!$G$57:$BE$57</c:f>
              <c:numCache>
                <c:formatCode>General</c:formatCode>
                <c:ptCount val="51"/>
                <c:pt idx="0">
                  <c:v>50.409344026078479</c:v>
                </c:pt>
                <c:pt idx="1">
                  <c:v>51.32843269227714</c:v>
                </c:pt>
                <c:pt idx="2">
                  <c:v>52.284102822550352</c:v>
                </c:pt>
                <c:pt idx="3">
                  <c:v>53.276354416898108</c:v>
                </c:pt>
                <c:pt idx="4">
                  <c:v>54.30518747532043</c:v>
                </c:pt>
                <c:pt idx="5">
                  <c:v>55.370601997817296</c:v>
                </c:pt>
                <c:pt idx="6">
                  <c:v>56.472597984388713</c:v>
                </c:pt>
                <c:pt idx="7">
                  <c:v>57.611175435034681</c:v>
                </c:pt>
                <c:pt idx="8">
                  <c:v>58.786334349755208</c:v>
                </c:pt>
                <c:pt idx="9">
                  <c:v>59.998074728550286</c:v>
                </c:pt>
                <c:pt idx="10">
                  <c:v>61.246396571419908</c:v>
                </c:pt>
                <c:pt idx="11">
                  <c:v>62.531299878364095</c:v>
                </c:pt>
                <c:pt idx="12">
                  <c:v>63.852784649382819</c:v>
                </c:pt>
                <c:pt idx="13">
                  <c:v>65.210850884476116</c:v>
                </c:pt>
                <c:pt idx="14">
                  <c:v>66.605498583643936</c:v>
                </c:pt>
                <c:pt idx="15">
                  <c:v>68.036727746886328</c:v>
                </c:pt>
                <c:pt idx="16">
                  <c:v>69.504538374203278</c:v>
                </c:pt>
                <c:pt idx="17">
                  <c:v>71.008930465594759</c:v>
                </c:pt>
                <c:pt idx="18">
                  <c:v>72.549904021060811</c:v>
                </c:pt>
                <c:pt idx="19">
                  <c:v>74.127459040601394</c:v>
                </c:pt>
                <c:pt idx="20">
                  <c:v>75.74159552421655</c:v>
                </c:pt>
                <c:pt idx="21">
                  <c:v>77.392313471906249</c:v>
                </c:pt>
                <c:pt idx="22">
                  <c:v>79.079612883670507</c:v>
                </c:pt>
                <c:pt idx="23">
                  <c:v>80.803493759509308</c:v>
                </c:pt>
                <c:pt idx="24">
                  <c:v>82.563956099422654</c:v>
                </c:pt>
                <c:pt idx="25">
                  <c:v>84.360999903410573</c:v>
                </c:pt>
                <c:pt idx="26">
                  <c:v>86.194625171473035</c:v>
                </c:pt>
                <c:pt idx="27">
                  <c:v>88.064831903610042</c:v>
                </c:pt>
                <c:pt idx="28">
                  <c:v>89.971620099821592</c:v>
                </c:pt>
                <c:pt idx="29">
                  <c:v>91.91498976010773</c:v>
                </c:pt>
                <c:pt idx="30">
                  <c:v>93.894940884468397</c:v>
                </c:pt>
                <c:pt idx="31">
                  <c:v>95.911473472903623</c:v>
                </c:pt>
                <c:pt idx="32">
                  <c:v>97.964587525413393</c:v>
                </c:pt>
                <c:pt idx="33">
                  <c:v>100.05428304199771</c:v>
                </c:pt>
                <c:pt idx="34">
                  <c:v>102.18056002265658</c:v>
                </c:pt>
                <c:pt idx="35">
                  <c:v>104.34341846739002</c:v>
                </c:pt>
                <c:pt idx="36">
                  <c:v>106.542858376198</c:v>
                </c:pt>
                <c:pt idx="37">
                  <c:v>108.77887974908053</c:v>
                </c:pt>
                <c:pt idx="38">
                  <c:v>111.05148258603762</c:v>
                </c:pt>
                <c:pt idx="39">
                  <c:v>113.36066688706924</c:v>
                </c:pt>
                <c:pt idx="40">
                  <c:v>115.70643265217544</c:v>
                </c:pt>
                <c:pt idx="41">
                  <c:v>118.08877988135617</c:v>
                </c:pt>
                <c:pt idx="42">
                  <c:v>120.50770857461148</c:v>
                </c:pt>
                <c:pt idx="43">
                  <c:v>122.96321873194131</c:v>
                </c:pt>
                <c:pt idx="44">
                  <c:v>125.45531035334572</c:v>
                </c:pt>
                <c:pt idx="45">
                  <c:v>127.98398343882465</c:v>
                </c:pt>
                <c:pt idx="46">
                  <c:v>130.54923798837814</c:v>
                </c:pt>
                <c:pt idx="47">
                  <c:v>133.15107400200623</c:v>
                </c:pt>
                <c:pt idx="48">
                  <c:v>135.78949147970883</c:v>
                </c:pt>
                <c:pt idx="49">
                  <c:v>138.464490421486</c:v>
                </c:pt>
                <c:pt idx="50">
                  <c:v>141.1760708273377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8827-4A37-BB93-78B8FCC8438F}"/>
            </c:ext>
          </c:extLst>
        </c:ser>
        <c:ser>
          <c:idx val="49"/>
          <c:order val="49"/>
          <c:spPr>
            <a:solidFill>
              <a:schemeClr val="accent2">
                <a:lumMod val="50000"/>
                <a:lumOff val="50000"/>
              </a:schemeClr>
            </a:solidFill>
            <a:ln/>
            <a:effectLst/>
            <a:sp3d/>
          </c:spPr>
          <c:val>
            <c:numRef>
              <c:f>'2.123 Нелин. поверхность'!$G$58:$BE$58</c:f>
              <c:numCache>
                <c:formatCode>General</c:formatCode>
                <c:ptCount val="51"/>
                <c:pt idx="0">
                  <c:v>52.295676060573896</c:v>
                </c:pt>
                <c:pt idx="1">
                  <c:v>53.232128392670418</c:v>
                </c:pt>
                <c:pt idx="2">
                  <c:v>54.205162188841499</c:v>
                </c:pt>
                <c:pt idx="3">
                  <c:v>55.214777449087123</c:v>
                </c:pt>
                <c:pt idx="4">
                  <c:v>56.260974173407305</c:v>
                </c:pt>
                <c:pt idx="5">
                  <c:v>57.343752361802032</c:v>
                </c:pt>
                <c:pt idx="6">
                  <c:v>58.463112014271317</c:v>
                </c:pt>
                <c:pt idx="7">
                  <c:v>59.619053130815153</c:v>
                </c:pt>
                <c:pt idx="8">
                  <c:v>60.811575711433548</c:v>
                </c:pt>
                <c:pt idx="9">
                  <c:v>62.04067975612648</c:v>
                </c:pt>
                <c:pt idx="10">
                  <c:v>63.306365264893977</c:v>
                </c:pt>
                <c:pt idx="11">
                  <c:v>64.608632237736018</c:v>
                </c:pt>
                <c:pt idx="12">
                  <c:v>65.94748067465261</c:v>
                </c:pt>
                <c:pt idx="13">
                  <c:v>67.32291057564376</c:v>
                </c:pt>
                <c:pt idx="14">
                  <c:v>68.734921940709455</c:v>
                </c:pt>
                <c:pt idx="15">
                  <c:v>70.183514769849722</c:v>
                </c:pt>
                <c:pt idx="16">
                  <c:v>71.668689063064519</c:v>
                </c:pt>
                <c:pt idx="17">
                  <c:v>73.190444820353875</c:v>
                </c:pt>
                <c:pt idx="18">
                  <c:v>74.748782041717789</c:v>
                </c:pt>
                <c:pt idx="19">
                  <c:v>76.343700727156246</c:v>
                </c:pt>
                <c:pt idx="20">
                  <c:v>77.975200876669263</c:v>
                </c:pt>
                <c:pt idx="21">
                  <c:v>79.643282490256823</c:v>
                </c:pt>
                <c:pt idx="22">
                  <c:v>81.347945567918941</c:v>
                </c:pt>
                <c:pt idx="23">
                  <c:v>83.089190109655604</c:v>
                </c:pt>
                <c:pt idx="24">
                  <c:v>84.867016115466839</c:v>
                </c:pt>
                <c:pt idx="25">
                  <c:v>86.681423585352604</c:v>
                </c:pt>
                <c:pt idx="26">
                  <c:v>88.532412519312928</c:v>
                </c:pt>
                <c:pt idx="27">
                  <c:v>90.419982917347809</c:v>
                </c:pt>
                <c:pt idx="28">
                  <c:v>92.344134779457235</c:v>
                </c:pt>
                <c:pt idx="29">
                  <c:v>94.304868105641219</c:v>
                </c:pt>
                <c:pt idx="30">
                  <c:v>96.302182895899747</c:v>
                </c:pt>
                <c:pt idx="31">
                  <c:v>98.336079150232834</c:v>
                </c:pt>
                <c:pt idx="32">
                  <c:v>100.40655686864048</c:v>
                </c:pt>
                <c:pt idx="33">
                  <c:v>102.51361605112265</c:v>
                </c:pt>
                <c:pt idx="34">
                  <c:v>104.6572566976794</c:v>
                </c:pt>
                <c:pt idx="35">
                  <c:v>106.83747880831069</c:v>
                </c:pt>
                <c:pt idx="36">
                  <c:v>109.05428238301654</c:v>
                </c:pt>
                <c:pt idx="37">
                  <c:v>111.30766742179694</c:v>
                </c:pt>
                <c:pt idx="38">
                  <c:v>113.59763392465189</c:v>
                </c:pt>
                <c:pt idx="39">
                  <c:v>115.92418189158138</c:v>
                </c:pt>
                <c:pt idx="40">
                  <c:v>118.28731132258545</c:v>
                </c:pt>
                <c:pt idx="41">
                  <c:v>120.68702221766405</c:v>
                </c:pt>
                <c:pt idx="42">
                  <c:v>123.12331457681721</c:v>
                </c:pt>
                <c:pt idx="43">
                  <c:v>125.59618840004492</c:v>
                </c:pt>
                <c:pt idx="44">
                  <c:v>128.1056436873472</c:v>
                </c:pt>
                <c:pt idx="45">
                  <c:v>130.65168043872399</c:v>
                </c:pt>
                <c:pt idx="46">
                  <c:v>133.23429865417535</c:v>
                </c:pt>
                <c:pt idx="47">
                  <c:v>135.85349833370128</c:v>
                </c:pt>
                <c:pt idx="48">
                  <c:v>138.50927947730173</c:v>
                </c:pt>
                <c:pt idx="49">
                  <c:v>141.20164208497678</c:v>
                </c:pt>
                <c:pt idx="50">
                  <c:v>143.93058615672635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8827-4A37-BB93-78B8FCC8438F}"/>
            </c:ext>
          </c:extLst>
        </c:ser>
        <c:ser>
          <c:idx val="50"/>
          <c:order val="50"/>
          <c:spPr>
            <a:solidFill>
              <a:schemeClr val="accent3">
                <a:lumMod val="50000"/>
                <a:lumOff val="50000"/>
              </a:schemeClr>
            </a:solidFill>
            <a:ln/>
            <a:effectLst/>
            <a:sp3d/>
          </c:spPr>
          <c:val>
            <c:numRef>
              <c:f>'2.123 Нелин. поверхность'!$G$59:$BE$59</c:f>
              <c:numCache>
                <c:formatCode>General</c:formatCode>
                <c:ptCount val="51"/>
                <c:pt idx="0">
                  <c:v>2.7798699951090384</c:v>
                </c:pt>
                <c:pt idx="1">
                  <c:v>2.8481390323123197</c:v>
                </c:pt>
                <c:pt idx="2">
                  <c:v>2.952989533590153</c:v>
                </c:pt>
                <c:pt idx="3">
                  <c:v>3.0944214989425385</c:v>
                </c:pt>
                <c:pt idx="4">
                  <c:v>3.272434928369476</c:v>
                </c:pt>
                <c:pt idx="5">
                  <c:v>3.4870298218709648</c:v>
                </c:pt>
                <c:pt idx="6">
                  <c:v>3.7382061794470065</c:v>
                </c:pt>
                <c:pt idx="7">
                  <c:v>4.0259640010975994</c:v>
                </c:pt>
                <c:pt idx="8">
                  <c:v>4.3503032868227454</c:v>
                </c:pt>
                <c:pt idx="9">
                  <c:v>4.7112240366224434</c:v>
                </c:pt>
                <c:pt idx="10">
                  <c:v>5.1087262504966926</c:v>
                </c:pt>
                <c:pt idx="11">
                  <c:v>5.5428099284454948</c:v>
                </c:pt>
                <c:pt idx="12">
                  <c:v>6.0134750704688482</c:v>
                </c:pt>
                <c:pt idx="13">
                  <c:v>6.5207216765667546</c:v>
                </c:pt>
                <c:pt idx="14">
                  <c:v>7.0645497467392122</c:v>
                </c:pt>
                <c:pt idx="15">
                  <c:v>7.6449592809862228</c:v>
                </c:pt>
                <c:pt idx="16">
                  <c:v>8.2619502793077864</c:v>
                </c:pt>
                <c:pt idx="17">
                  <c:v>8.9155227417038976</c:v>
                </c:pt>
                <c:pt idx="18">
                  <c:v>9.6056766681745653</c:v>
                </c:pt>
                <c:pt idx="19">
                  <c:v>10.332412058719783</c:v>
                </c:pt>
                <c:pt idx="20">
                  <c:v>11.095728913339553</c:v>
                </c:pt>
                <c:pt idx="21">
                  <c:v>11.895627232033876</c:v>
                </c:pt>
                <c:pt idx="22">
                  <c:v>12.732107014802752</c:v>
                </c:pt>
                <c:pt idx="23">
                  <c:v>13.605168261646174</c:v>
                </c:pt>
                <c:pt idx="24">
                  <c:v>14.514810972564154</c:v>
                </c:pt>
                <c:pt idx="25">
                  <c:v>15.461035147556686</c:v>
                </c:pt>
                <c:pt idx="26">
                  <c:v>16.44384078662377</c:v>
                </c:pt>
                <c:pt idx="27">
                  <c:v>17.463227889765406</c:v>
                </c:pt>
                <c:pt idx="28">
                  <c:v>18.519196456981589</c:v>
                </c:pt>
                <c:pt idx="29">
                  <c:v>19.611746488272331</c:v>
                </c:pt>
                <c:pt idx="30">
                  <c:v>20.74087798363762</c:v>
                </c:pt>
                <c:pt idx="31">
                  <c:v>21.906590943077465</c:v>
                </c:pt>
                <c:pt idx="32">
                  <c:v>23.108885366591863</c:v>
                </c:pt>
                <c:pt idx="33">
                  <c:v>24.347761254180803</c:v>
                </c:pt>
                <c:pt idx="34">
                  <c:v>25.623218605844301</c:v>
                </c:pt>
                <c:pt idx="35">
                  <c:v>26.935257421582357</c:v>
                </c:pt>
                <c:pt idx="36">
                  <c:v>28.28387770139496</c:v>
                </c:pt>
                <c:pt idx="37">
                  <c:v>29.669079445282115</c:v>
                </c:pt>
                <c:pt idx="38">
                  <c:v>31.090862653243818</c:v>
                </c:pt>
                <c:pt idx="39">
                  <c:v>32.549227325280079</c:v>
                </c:pt>
                <c:pt idx="40">
                  <c:v>34.044173461390891</c:v>
                </c:pt>
                <c:pt idx="41">
                  <c:v>35.575701061576254</c:v>
                </c:pt>
                <c:pt idx="42">
                  <c:v>37.143810125836168</c:v>
                </c:pt>
                <c:pt idx="43">
                  <c:v>38.748500654170634</c:v>
                </c:pt>
                <c:pt idx="44">
                  <c:v>40.389772646579665</c:v>
                </c:pt>
                <c:pt idx="45">
                  <c:v>42.067626103063233</c:v>
                </c:pt>
                <c:pt idx="46">
                  <c:v>43.782061023621345</c:v>
                </c:pt>
                <c:pt idx="47">
                  <c:v>45.533077408254037</c:v>
                </c:pt>
                <c:pt idx="48">
                  <c:v>47.320675256961259</c:v>
                </c:pt>
                <c:pt idx="49">
                  <c:v>49.144854569743046</c:v>
                </c:pt>
                <c:pt idx="50">
                  <c:v>51.00561534659937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8827-4A37-BB93-78B8FCC8438F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2088541711"/>
        <c:axId val="2088535951"/>
        <c:axId val="2035968031"/>
      </c:surface3DChart>
      <c:catAx>
        <c:axId val="2088541711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88535951"/>
        <c:crosses val="autoZero"/>
        <c:auto val="1"/>
        <c:lblAlgn val="ctr"/>
        <c:lblOffset val="100"/>
        <c:noMultiLvlLbl val="0"/>
      </c:catAx>
      <c:valAx>
        <c:axId val="2088535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88541711"/>
        <c:crosses val="autoZero"/>
        <c:crossBetween val="midCat"/>
      </c:valAx>
      <c:serAx>
        <c:axId val="2035968031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88535951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324971</xdr:colOff>
      <xdr:row>0</xdr:row>
      <xdr:rowOff>1</xdr:rowOff>
    </xdr:from>
    <xdr:to>
      <xdr:col>29</xdr:col>
      <xdr:colOff>593912</xdr:colOff>
      <xdr:row>24</xdr:row>
      <xdr:rowOff>33619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9D7885D0-E19B-E828-F8A5-3BA469D467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447675</xdr:colOff>
      <xdr:row>0</xdr:row>
      <xdr:rowOff>57149</xdr:rowOff>
    </xdr:from>
    <xdr:to>
      <xdr:col>28</xdr:col>
      <xdr:colOff>581024</xdr:colOff>
      <xdr:row>24</xdr:row>
      <xdr:rowOff>142874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5C840EA1-5118-05C9-FD7A-CD6B040EC8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614361</xdr:colOff>
      <xdr:row>0</xdr:row>
      <xdr:rowOff>171450</xdr:rowOff>
    </xdr:from>
    <xdr:to>
      <xdr:col>19</xdr:col>
      <xdr:colOff>400049</xdr:colOff>
      <xdr:row>16</xdr:row>
      <xdr:rowOff>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36B3D4A-149B-698A-F544-789E6FB091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238125</xdr:colOff>
      <xdr:row>1</xdr:row>
      <xdr:rowOff>47625</xdr:rowOff>
    </xdr:from>
    <xdr:to>
      <xdr:col>12</xdr:col>
      <xdr:colOff>85725</xdr:colOff>
      <xdr:row>13</xdr:row>
      <xdr:rowOff>28575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C48A28D5-07FF-4E5F-BA7F-8033F4390C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560294</xdr:colOff>
      <xdr:row>13</xdr:row>
      <xdr:rowOff>51547</xdr:rowOff>
    </xdr:from>
    <xdr:to>
      <xdr:col>24</xdr:col>
      <xdr:colOff>224116</xdr:colOff>
      <xdr:row>48</xdr:row>
      <xdr:rowOff>56029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29A1FAA6-18EA-0AC2-9D23-52B7497D78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86629-BC80-48BF-B2F3-A9C88D96401F}">
  <dimension ref="A1:U135"/>
  <sheetViews>
    <sheetView zoomScale="85" zoomScaleNormal="85" workbookViewId="0">
      <selection activeCell="U29" sqref="U29"/>
    </sheetView>
  </sheetViews>
  <sheetFormatPr defaultRowHeight="14.25"/>
  <cols>
    <col min="2" max="2" width="8.625" customWidth="1"/>
    <col min="3" max="3" width="10.625" customWidth="1"/>
    <col min="6" max="6" width="11.375" customWidth="1"/>
    <col min="10" max="10" width="9.625" bestFit="1" customWidth="1"/>
  </cols>
  <sheetData>
    <row r="1" spans="1:14" ht="15">
      <c r="A1" s="11" t="s">
        <v>2</v>
      </c>
    </row>
    <row r="3" spans="1:14" ht="15">
      <c r="A3" s="2">
        <v>1</v>
      </c>
      <c r="B3" s="4" t="s">
        <v>0</v>
      </c>
      <c r="C3" s="4"/>
      <c r="F3" s="1">
        <v>5</v>
      </c>
      <c r="G3" s="13" t="s">
        <v>11</v>
      </c>
      <c r="H3" s="13"/>
    </row>
    <row r="4" spans="1:14">
      <c r="A4" t="s">
        <v>3</v>
      </c>
      <c r="C4">
        <v>122.80037842951751</v>
      </c>
      <c r="F4" s="19" t="s">
        <v>12</v>
      </c>
      <c r="G4" s="19"/>
      <c r="H4" s="19"/>
    </row>
    <row r="5" spans="1:14">
      <c r="A5" t="s">
        <v>8</v>
      </c>
      <c r="B5" s="14" t="s">
        <v>23</v>
      </c>
      <c r="F5" t="s">
        <v>5</v>
      </c>
      <c r="G5">
        <v>2.14600746581403</v>
      </c>
    </row>
    <row r="6" spans="1:14">
      <c r="A6" t="s">
        <v>4</v>
      </c>
      <c r="F6" t="s">
        <v>6</v>
      </c>
      <c r="G6">
        <v>0.44713969512137874</v>
      </c>
    </row>
    <row r="7" spans="1:14">
      <c r="A7" t="s">
        <v>5</v>
      </c>
      <c r="B7" s="10">
        <v>2.5236025824851822</v>
      </c>
      <c r="F7" s="19" t="s">
        <v>13</v>
      </c>
      <c r="G7" s="19"/>
      <c r="H7" s="19"/>
    </row>
    <row r="8" spans="1:14">
      <c r="A8" t="s">
        <v>6</v>
      </c>
      <c r="B8" s="10">
        <v>0.44018296496942638</v>
      </c>
      <c r="F8" t="s">
        <v>14</v>
      </c>
      <c r="G8">
        <f>SUM(K13:K135)</f>
        <v>9935.3094932991844</v>
      </c>
    </row>
    <row r="9" spans="1:14">
      <c r="A9" t="s">
        <v>7</v>
      </c>
      <c r="B9" s="10">
        <v>9.7958377712639049</v>
      </c>
    </row>
    <row r="11" spans="1:14" ht="15">
      <c r="A11" s="1">
        <v>2</v>
      </c>
      <c r="B11" s="3" t="s">
        <v>9</v>
      </c>
      <c r="G11" s="16">
        <v>3</v>
      </c>
      <c r="H11" s="9" t="s">
        <v>18</v>
      </c>
      <c r="J11" s="16">
        <v>4</v>
      </c>
      <c r="K11" s="9" t="s">
        <v>20</v>
      </c>
      <c r="M11" s="16">
        <v>6</v>
      </c>
      <c r="N11" s="9" t="s">
        <v>24</v>
      </c>
    </row>
    <row r="12" spans="1:14">
      <c r="A12" s="17" t="s">
        <v>10</v>
      </c>
      <c r="B12" s="17" t="s">
        <v>1</v>
      </c>
      <c r="C12" s="18" t="s">
        <v>15</v>
      </c>
      <c r="D12" s="18" t="s">
        <v>16</v>
      </c>
      <c r="E12" s="18" t="s">
        <v>17</v>
      </c>
      <c r="G12" s="18" t="s">
        <v>19</v>
      </c>
      <c r="J12" s="18" t="s">
        <v>21</v>
      </c>
      <c r="K12" s="18" t="s">
        <v>22</v>
      </c>
      <c r="M12" t="s">
        <v>25</v>
      </c>
    </row>
    <row r="13" spans="1:14" ht="15" thickBot="1">
      <c r="A13">
        <v>1</v>
      </c>
      <c r="B13">
        <f>A13</f>
        <v>1</v>
      </c>
      <c r="C13">
        <f>$B$7 + $B$8 *B13</f>
        <v>2.9637855474546084</v>
      </c>
      <c r="D13">
        <v>-0.78438688433379866</v>
      </c>
      <c r="E13">
        <f>C13+$B$9*D13</f>
        <v>-4.7199411213864284</v>
      </c>
      <c r="G13">
        <f>$G$5+$G$6*B13</f>
        <v>2.5931471609354086</v>
      </c>
      <c r="J13">
        <f>E13-G13</f>
        <v>-7.3130882823218375</v>
      </c>
      <c r="K13">
        <f>J13^2</f>
        <v>53.481260225032962</v>
      </c>
    </row>
    <row r="14" spans="1:14" ht="15">
      <c r="A14">
        <v>2</v>
      </c>
      <c r="B14">
        <f t="shared" ref="B14:B77" si="0">A14</f>
        <v>2</v>
      </c>
      <c r="C14">
        <f t="shared" ref="C14:C77" si="1">$B$7 + $B$8 *B14</f>
        <v>3.4039685124240351</v>
      </c>
      <c r="D14">
        <v>0.90069988800678402</v>
      </c>
      <c r="E14">
        <f t="shared" ref="E14:E77" si="2">C14+$B$9*D14</f>
        <v>12.227078495934059</v>
      </c>
      <c r="G14">
        <f t="shared" ref="G14:G77" si="3">$G$5+$G$6*B14</f>
        <v>3.0402868560567873</v>
      </c>
      <c r="J14">
        <f t="shared" ref="J14:J77" si="4">E14-G14</f>
        <v>9.1867916398772707</v>
      </c>
      <c r="K14">
        <f t="shared" ref="K14:K77" si="5">J14^2</f>
        <v>84.397140634518905</v>
      </c>
      <c r="M14" s="20" t="s">
        <v>26</v>
      </c>
      <c r="N14" s="20"/>
    </row>
    <row r="15" spans="1:14">
      <c r="A15">
        <v>3</v>
      </c>
      <c r="B15">
        <f t="shared" si="0"/>
        <v>3</v>
      </c>
      <c r="C15">
        <f t="shared" si="1"/>
        <v>3.8441514773934613</v>
      </c>
      <c r="D15">
        <v>-0.24031805878621526</v>
      </c>
      <c r="E15">
        <f t="shared" si="2"/>
        <v>1.4900347600186343</v>
      </c>
      <c r="G15">
        <f t="shared" si="3"/>
        <v>3.4874265511781664</v>
      </c>
      <c r="J15">
        <f t="shared" si="4"/>
        <v>-1.997391791159532</v>
      </c>
      <c r="K15">
        <f t="shared" si="5"/>
        <v>3.9895739673914834</v>
      </c>
      <c r="M15" s="5" t="s">
        <v>27</v>
      </c>
      <c r="N15" s="5">
        <v>0.87023283395132711</v>
      </c>
    </row>
    <row r="16" spans="1:14">
      <c r="A16">
        <v>4</v>
      </c>
      <c r="B16">
        <f t="shared" si="0"/>
        <v>4</v>
      </c>
      <c r="C16">
        <f t="shared" si="1"/>
        <v>4.284334442362888</v>
      </c>
      <c r="D16">
        <v>-0.59327703638700768</v>
      </c>
      <c r="E16">
        <f t="shared" si="2"/>
        <v>-1.5273111595004716</v>
      </c>
      <c r="G16">
        <f t="shared" si="3"/>
        <v>3.934566246299545</v>
      </c>
      <c r="J16">
        <f t="shared" si="4"/>
        <v>-5.461877405800017</v>
      </c>
      <c r="K16">
        <f t="shared" si="5"/>
        <v>29.832104795988723</v>
      </c>
      <c r="M16" s="5" t="s">
        <v>28</v>
      </c>
      <c r="N16" s="5">
        <v>0.757305185286958</v>
      </c>
    </row>
    <row r="17" spans="1:21">
      <c r="A17">
        <v>5</v>
      </c>
      <c r="B17">
        <f t="shared" si="0"/>
        <v>5</v>
      </c>
      <c r="C17">
        <f t="shared" si="1"/>
        <v>4.7245174073323142</v>
      </c>
      <c r="D17">
        <v>0.99693352240137756</v>
      </c>
      <c r="E17">
        <f t="shared" si="2"/>
        <v>14.490316461510899</v>
      </c>
      <c r="G17">
        <f t="shared" si="3"/>
        <v>4.3817059414209236</v>
      </c>
      <c r="J17">
        <f t="shared" si="4"/>
        <v>10.108610520089975</v>
      </c>
      <c r="K17">
        <f t="shared" si="5"/>
        <v>102.18400664687371</v>
      </c>
      <c r="M17" s="5" t="s">
        <v>29</v>
      </c>
      <c r="N17" s="5">
        <v>0.75529944301660235</v>
      </c>
    </row>
    <row r="18" spans="1:21">
      <c r="A18">
        <v>6</v>
      </c>
      <c r="B18">
        <f t="shared" si="0"/>
        <v>6</v>
      </c>
      <c r="C18">
        <f t="shared" si="1"/>
        <v>5.1647003723017404</v>
      </c>
      <c r="D18">
        <v>0.9662221600592602</v>
      </c>
      <c r="E18">
        <f t="shared" si="2"/>
        <v>14.62965590324244</v>
      </c>
      <c r="G18">
        <f t="shared" si="3"/>
        <v>4.8288456365423027</v>
      </c>
      <c r="J18">
        <f t="shared" si="4"/>
        <v>9.8008102667001378</v>
      </c>
      <c r="K18">
        <f t="shared" si="5"/>
        <v>96.055881883854823</v>
      </c>
      <c r="M18" s="5" t="s">
        <v>30</v>
      </c>
      <c r="N18" s="5">
        <v>9.061456605446498</v>
      </c>
    </row>
    <row r="19" spans="1:21" ht="15" thickBot="1">
      <c r="A19">
        <v>7</v>
      </c>
      <c r="B19">
        <f t="shared" si="0"/>
        <v>7</v>
      </c>
      <c r="C19">
        <f t="shared" si="1"/>
        <v>5.6048833372711666</v>
      </c>
      <c r="D19">
        <v>0.36116261981078424</v>
      </c>
      <c r="E19">
        <f t="shared" si="2"/>
        <v>9.1427737699822718</v>
      </c>
      <c r="G19">
        <f t="shared" si="3"/>
        <v>5.2759853316636818</v>
      </c>
      <c r="J19">
        <f t="shared" si="4"/>
        <v>3.86678843831859</v>
      </c>
      <c r="K19">
        <f t="shared" si="5"/>
        <v>14.95205282671432</v>
      </c>
      <c r="M19" s="6" t="s">
        <v>31</v>
      </c>
      <c r="N19" s="6">
        <v>123</v>
      </c>
    </row>
    <row r="20" spans="1:21">
      <c r="A20">
        <v>8</v>
      </c>
      <c r="B20">
        <f t="shared" si="0"/>
        <v>8</v>
      </c>
      <c r="C20">
        <f t="shared" si="1"/>
        <v>6.0450663022405937</v>
      </c>
      <c r="D20">
        <v>1.0078065315610729</v>
      </c>
      <c r="E20">
        <f t="shared" si="2"/>
        <v>15.91737559023302</v>
      </c>
      <c r="G20">
        <f t="shared" si="3"/>
        <v>5.72312502678506</v>
      </c>
      <c r="J20">
        <f t="shared" si="4"/>
        <v>10.194250563447959</v>
      </c>
      <c r="K20">
        <f t="shared" si="5"/>
        <v>103.92274455035903</v>
      </c>
    </row>
    <row r="21" spans="1:21" ht="15" thickBot="1">
      <c r="A21">
        <v>9</v>
      </c>
      <c r="B21">
        <f t="shared" si="0"/>
        <v>9</v>
      </c>
      <c r="C21">
        <f t="shared" si="1"/>
        <v>6.485249267210019</v>
      </c>
      <c r="D21">
        <v>1.3553744793171063</v>
      </c>
      <c r="E21">
        <f t="shared" si="2"/>
        <v>19.762277785911678</v>
      </c>
      <c r="G21">
        <f t="shared" si="3"/>
        <v>6.170264721906439</v>
      </c>
      <c r="J21">
        <f t="shared" si="4"/>
        <v>13.59201306400524</v>
      </c>
      <c r="K21">
        <f t="shared" si="5"/>
        <v>184.7428191320891</v>
      </c>
      <c r="M21" t="s">
        <v>32</v>
      </c>
    </row>
    <row r="22" spans="1:21" ht="15">
      <c r="A22">
        <v>10</v>
      </c>
      <c r="B22">
        <f t="shared" si="0"/>
        <v>10</v>
      </c>
      <c r="C22">
        <f t="shared" si="1"/>
        <v>6.9254322321794461</v>
      </c>
      <c r="D22">
        <v>3.7455265555763617E-2</v>
      </c>
      <c r="E22">
        <f t="shared" si="2"/>
        <v>7.2923379372433157</v>
      </c>
      <c r="G22">
        <f t="shared" si="3"/>
        <v>6.6174044170278172</v>
      </c>
      <c r="J22">
        <f t="shared" si="4"/>
        <v>0.67493352021549846</v>
      </c>
      <c r="K22">
        <f t="shared" si="5"/>
        <v>0.45553525671048467</v>
      </c>
      <c r="M22" s="7"/>
      <c r="N22" s="7" t="s">
        <v>37</v>
      </c>
      <c r="O22" s="7" t="s">
        <v>38</v>
      </c>
      <c r="P22" s="7" t="s">
        <v>39</v>
      </c>
      <c r="Q22" s="7" t="s">
        <v>40</v>
      </c>
      <c r="R22" s="7" t="s">
        <v>41</v>
      </c>
    </row>
    <row r="23" spans="1:21">
      <c r="A23">
        <v>11</v>
      </c>
      <c r="B23">
        <f t="shared" si="0"/>
        <v>11</v>
      </c>
      <c r="C23">
        <f t="shared" si="1"/>
        <v>7.3656151971488724</v>
      </c>
      <c r="D23">
        <v>-0.62784238252788782</v>
      </c>
      <c r="E23">
        <f t="shared" si="2"/>
        <v>1.2153730719818681</v>
      </c>
      <c r="G23">
        <f t="shared" si="3"/>
        <v>7.0645441121491963</v>
      </c>
      <c r="J23">
        <f t="shared" si="4"/>
        <v>-5.8491710401673283</v>
      </c>
      <c r="K23">
        <f t="shared" si="5"/>
        <v>34.212801857132142</v>
      </c>
      <c r="M23" s="5" t="s">
        <v>33</v>
      </c>
      <c r="N23" s="5">
        <v>1</v>
      </c>
      <c r="O23" s="5">
        <v>31002.151428750265</v>
      </c>
      <c r="P23" s="5">
        <v>31002.151428750265</v>
      </c>
      <c r="Q23" s="5">
        <v>377.5685423195722</v>
      </c>
      <c r="R23" s="5">
        <v>5.1886015721790014E-39</v>
      </c>
    </row>
    <row r="24" spans="1:21">
      <c r="A24">
        <v>12</v>
      </c>
      <c r="B24">
        <f t="shared" si="0"/>
        <v>12</v>
      </c>
      <c r="C24">
        <f t="shared" si="1"/>
        <v>7.8057981621182986</v>
      </c>
      <c r="D24">
        <v>1.1634756447165273</v>
      </c>
      <c r="E24">
        <f t="shared" si="2"/>
        <v>19.203016828578079</v>
      </c>
      <c r="G24">
        <f t="shared" si="3"/>
        <v>7.5116838072705754</v>
      </c>
      <c r="J24">
        <f t="shared" si="4"/>
        <v>11.691333021307504</v>
      </c>
      <c r="K24">
        <f t="shared" si="5"/>
        <v>136.68726781511523</v>
      </c>
      <c r="M24" s="5" t="s">
        <v>34</v>
      </c>
      <c r="N24" s="5">
        <v>121</v>
      </c>
      <c r="O24" s="5">
        <v>9935.309493299188</v>
      </c>
      <c r="P24" s="5">
        <v>82.109995812389982</v>
      </c>
      <c r="Q24" s="5"/>
      <c r="R24" s="5"/>
    </row>
    <row r="25" spans="1:21" ht="15" thickBot="1">
      <c r="A25">
        <v>13</v>
      </c>
      <c r="B25">
        <f t="shared" si="0"/>
        <v>13</v>
      </c>
      <c r="C25">
        <f t="shared" si="1"/>
        <v>8.2459811270877239</v>
      </c>
      <c r="D25">
        <v>-0.40911572796176188</v>
      </c>
      <c r="E25">
        <f t="shared" si="2"/>
        <v>4.2383498263017687</v>
      </c>
      <c r="G25">
        <f t="shared" si="3"/>
        <v>7.9588235023919536</v>
      </c>
      <c r="J25">
        <f t="shared" si="4"/>
        <v>-3.7204736760901849</v>
      </c>
      <c r="K25">
        <f t="shared" si="5"/>
        <v>13.841924374480014</v>
      </c>
      <c r="M25" s="6" t="s">
        <v>35</v>
      </c>
      <c r="N25" s="6">
        <v>122</v>
      </c>
      <c r="O25" s="6">
        <v>40937.460922049453</v>
      </c>
      <c r="P25" s="6"/>
      <c r="Q25" s="6"/>
      <c r="R25" s="6"/>
    </row>
    <row r="26" spans="1:21" ht="15" thickBot="1">
      <c r="A26">
        <v>14</v>
      </c>
      <c r="B26">
        <f t="shared" si="0"/>
        <v>14</v>
      </c>
      <c r="C26">
        <f t="shared" si="1"/>
        <v>8.686164092057151</v>
      </c>
      <c r="D26">
        <v>1.1546399036888033</v>
      </c>
      <c r="E26">
        <f t="shared" si="2"/>
        <v>19.996829272820449</v>
      </c>
      <c r="G26">
        <f t="shared" si="3"/>
        <v>8.4059631975133335</v>
      </c>
      <c r="J26">
        <f t="shared" si="4"/>
        <v>11.590866075307115</v>
      </c>
      <c r="K26">
        <f t="shared" si="5"/>
        <v>134.34817637570538</v>
      </c>
    </row>
    <row r="27" spans="1:21" ht="15">
      <c r="A27">
        <v>15</v>
      </c>
      <c r="B27">
        <f t="shared" si="0"/>
        <v>15</v>
      </c>
      <c r="C27">
        <f t="shared" si="1"/>
        <v>9.1263470570265781</v>
      </c>
      <c r="D27">
        <v>1.8015953173744492E-2</v>
      </c>
      <c r="E27">
        <f t="shared" si="2"/>
        <v>9.3028284116112658</v>
      </c>
      <c r="G27">
        <f t="shared" si="3"/>
        <v>8.8531028926347108</v>
      </c>
      <c r="J27">
        <f t="shared" si="4"/>
        <v>0.44972551897655499</v>
      </c>
      <c r="K27">
        <f t="shared" si="5"/>
        <v>0.20225304241873174</v>
      </c>
      <c r="M27" s="7"/>
      <c r="N27" s="7" t="s">
        <v>42</v>
      </c>
      <c r="O27" s="7" t="s">
        <v>30</v>
      </c>
      <c r="P27" s="7" t="s">
        <v>43</v>
      </c>
      <c r="Q27" s="7" t="s">
        <v>44</v>
      </c>
      <c r="R27" s="7" t="s">
        <v>45</v>
      </c>
      <c r="S27" s="7" t="s">
        <v>46</v>
      </c>
      <c r="T27" s="7" t="s">
        <v>47</v>
      </c>
      <c r="U27" s="7" t="s">
        <v>48</v>
      </c>
    </row>
    <row r="28" spans="1:21">
      <c r="A28">
        <v>16</v>
      </c>
      <c r="B28">
        <f t="shared" si="0"/>
        <v>16</v>
      </c>
      <c r="C28">
        <f t="shared" si="1"/>
        <v>9.5665300219960052</v>
      </c>
      <c r="D28">
        <v>-0.3215882315998897</v>
      </c>
      <c r="E28">
        <f t="shared" si="2"/>
        <v>6.4163038760958413</v>
      </c>
      <c r="G28">
        <f t="shared" si="3"/>
        <v>9.3002425877560899</v>
      </c>
      <c r="J28">
        <f t="shared" si="4"/>
        <v>-2.8839387116602486</v>
      </c>
      <c r="K28">
        <f t="shared" si="5"/>
        <v>8.3171024926125749</v>
      </c>
      <c r="M28" s="5" t="s">
        <v>36</v>
      </c>
      <c r="N28" s="5">
        <v>2.1460074648314738</v>
      </c>
      <c r="O28" s="5">
        <v>1.6441029871133834</v>
      </c>
      <c r="P28" s="5">
        <v>1.305275570722795</v>
      </c>
      <c r="Q28" s="5">
        <v>0.19427563250489341</v>
      </c>
      <c r="R28" s="5">
        <v>-1.108928050882461</v>
      </c>
      <c r="S28" s="5">
        <v>5.400942980545409</v>
      </c>
      <c r="T28" s="5">
        <v>-1.108928050882461</v>
      </c>
      <c r="U28" s="5">
        <v>5.400942980545409</v>
      </c>
    </row>
    <row r="29" spans="1:21" ht="15" thickBot="1">
      <c r="A29">
        <v>17</v>
      </c>
      <c r="B29">
        <f t="shared" si="0"/>
        <v>17</v>
      </c>
      <c r="C29">
        <f t="shared" si="1"/>
        <v>10.006712986965431</v>
      </c>
      <c r="D29">
        <v>0.23465304366254713</v>
      </c>
      <c r="E29">
        <f t="shared" si="2"/>
        <v>12.305336135217047</v>
      </c>
      <c r="G29">
        <f t="shared" si="3"/>
        <v>9.747382282877469</v>
      </c>
      <c r="J29">
        <f t="shared" si="4"/>
        <v>2.5579538523395779</v>
      </c>
      <c r="K29">
        <f t="shared" si="5"/>
        <v>6.5431279106988871</v>
      </c>
      <c r="M29" s="6" t="s">
        <v>49</v>
      </c>
      <c r="N29" s="6">
        <v>0.44713969475191589</v>
      </c>
      <c r="O29" s="6">
        <v>2.3011520949916826E-2</v>
      </c>
      <c r="P29" s="6">
        <v>19.431123032896792</v>
      </c>
      <c r="Q29" s="6">
        <v>5.1886015721789277E-39</v>
      </c>
      <c r="R29" s="6">
        <v>0.40158231945513706</v>
      </c>
      <c r="S29" s="6">
        <v>0.49269707004869473</v>
      </c>
      <c r="T29" s="6">
        <v>0.40158231945513706</v>
      </c>
      <c r="U29" s="6">
        <v>0.49269707004869473</v>
      </c>
    </row>
    <row r="30" spans="1:21">
      <c r="A30">
        <v>18</v>
      </c>
      <c r="B30">
        <f t="shared" si="0"/>
        <v>18</v>
      </c>
      <c r="C30">
        <f t="shared" si="1"/>
        <v>10.446895951934856</v>
      </c>
      <c r="D30">
        <v>0.45650040192413144</v>
      </c>
      <c r="E30">
        <f t="shared" si="2"/>
        <v>14.918699831700415</v>
      </c>
      <c r="G30">
        <f t="shared" si="3"/>
        <v>10.194521977998848</v>
      </c>
      <c r="J30">
        <f t="shared" si="4"/>
        <v>4.7241778537015673</v>
      </c>
      <c r="K30">
        <f t="shared" si="5"/>
        <v>22.317856393404348</v>
      </c>
    </row>
    <row r="31" spans="1:21">
      <c r="A31">
        <v>19</v>
      </c>
      <c r="B31">
        <f t="shared" si="0"/>
        <v>19</v>
      </c>
      <c r="C31">
        <f t="shared" si="1"/>
        <v>10.887078916904283</v>
      </c>
      <c r="D31">
        <v>-1.192411218653433</v>
      </c>
      <c r="E31">
        <f t="shared" si="2"/>
        <v>-0.79358793765983826</v>
      </c>
      <c r="G31">
        <f t="shared" si="3"/>
        <v>10.641661673120225</v>
      </c>
      <c r="J31">
        <f t="shared" si="4"/>
        <v>-11.435249610780064</v>
      </c>
      <c r="K31">
        <f t="shared" si="5"/>
        <v>130.7649336608456</v>
      </c>
    </row>
    <row r="32" spans="1:21">
      <c r="A32">
        <v>20</v>
      </c>
      <c r="B32">
        <f t="shared" si="0"/>
        <v>20</v>
      </c>
      <c r="C32">
        <f t="shared" si="1"/>
        <v>11.32726188187371</v>
      </c>
      <c r="D32">
        <v>-1.2202008292661048E-2</v>
      </c>
      <c r="E32">
        <f t="shared" si="2"/>
        <v>11.207732988155186</v>
      </c>
      <c r="G32">
        <f t="shared" si="3"/>
        <v>11.088801368241604</v>
      </c>
      <c r="J32">
        <f t="shared" si="4"/>
        <v>0.1189316199135817</v>
      </c>
      <c r="K32">
        <f t="shared" si="5"/>
        <v>1.4144730215268663E-2</v>
      </c>
    </row>
    <row r="33" spans="1:18">
      <c r="A33">
        <v>21</v>
      </c>
      <c r="B33">
        <f t="shared" si="0"/>
        <v>21</v>
      </c>
      <c r="C33">
        <f t="shared" si="1"/>
        <v>11.767444846843135</v>
      </c>
      <c r="D33">
        <v>-0.13740191207034513</v>
      </c>
      <c r="E33">
        <f t="shared" si="2"/>
        <v>10.421478006740568</v>
      </c>
      <c r="G33">
        <f t="shared" si="3"/>
        <v>11.535941063362984</v>
      </c>
      <c r="J33">
        <f t="shared" si="4"/>
        <v>-1.1144630566224158</v>
      </c>
      <c r="K33">
        <f t="shared" si="5"/>
        <v>1.2420279045761782</v>
      </c>
    </row>
    <row r="34" spans="1:18">
      <c r="A34">
        <v>22</v>
      </c>
      <c r="B34">
        <f t="shared" si="0"/>
        <v>22</v>
      </c>
      <c r="C34">
        <f t="shared" si="1"/>
        <v>12.207627811812563</v>
      </c>
      <c r="D34">
        <v>-0.59519379647099413</v>
      </c>
      <c r="E34">
        <f t="shared" si="2"/>
        <v>6.3772059391200369</v>
      </c>
      <c r="G34">
        <f t="shared" si="3"/>
        <v>11.983080758484363</v>
      </c>
      <c r="J34">
        <f t="shared" si="4"/>
        <v>-5.6058748193643257</v>
      </c>
      <c r="K34">
        <f t="shared" si="5"/>
        <v>31.425832490383012</v>
      </c>
    </row>
    <row r="35" spans="1:18">
      <c r="A35">
        <v>23</v>
      </c>
      <c r="B35">
        <f t="shared" si="0"/>
        <v>23</v>
      </c>
      <c r="C35">
        <f t="shared" si="1"/>
        <v>12.64781077678199</v>
      </c>
      <c r="D35">
        <v>-0.19145318219671026</v>
      </c>
      <c r="E35">
        <f t="shared" si="2"/>
        <v>10.772366463190785</v>
      </c>
      <c r="G35">
        <f t="shared" si="3"/>
        <v>12.430220453605742</v>
      </c>
      <c r="J35">
        <f t="shared" si="4"/>
        <v>-1.6578539904149565</v>
      </c>
      <c r="K35">
        <f t="shared" si="5"/>
        <v>2.7484798535347945</v>
      </c>
    </row>
    <row r="36" spans="1:18">
      <c r="A36">
        <v>24</v>
      </c>
      <c r="B36">
        <f t="shared" si="0"/>
        <v>24</v>
      </c>
      <c r="C36">
        <f t="shared" si="1"/>
        <v>13.087993741751415</v>
      </c>
      <c r="D36">
        <v>2.7350779419066384E-2</v>
      </c>
      <c r="E36">
        <f t="shared" si="2"/>
        <v>13.355917539858213</v>
      </c>
      <c r="G36">
        <f t="shared" si="3"/>
        <v>12.877360148727121</v>
      </c>
      <c r="J36">
        <f t="shared" si="4"/>
        <v>0.4785573911310923</v>
      </c>
      <c r="K36">
        <f t="shared" si="5"/>
        <v>0.22901717660619725</v>
      </c>
    </row>
    <row r="37" spans="1:18">
      <c r="A37">
        <v>25</v>
      </c>
      <c r="B37">
        <f t="shared" si="0"/>
        <v>25</v>
      </c>
      <c r="C37">
        <f t="shared" si="1"/>
        <v>13.528176706720842</v>
      </c>
      <c r="D37">
        <v>0.85570036389981396</v>
      </c>
      <c r="E37">
        <f t="shared" si="2"/>
        <v>21.910478652294906</v>
      </c>
      <c r="G37">
        <f t="shared" si="3"/>
        <v>13.324499843848498</v>
      </c>
      <c r="J37">
        <f t="shared" si="4"/>
        <v>8.5859788084464075</v>
      </c>
      <c r="K37">
        <f t="shared" si="5"/>
        <v>73.719032099090796</v>
      </c>
    </row>
    <row r="38" spans="1:18">
      <c r="A38">
        <v>26</v>
      </c>
      <c r="B38">
        <f t="shared" si="0"/>
        <v>26</v>
      </c>
      <c r="C38">
        <f t="shared" si="1"/>
        <v>13.968359671690267</v>
      </c>
      <c r="D38">
        <v>-0.4659455044020433</v>
      </c>
      <c r="E38">
        <f t="shared" si="2"/>
        <v>9.4040331003181201</v>
      </c>
      <c r="G38">
        <f t="shared" si="3"/>
        <v>13.771639538969877</v>
      </c>
      <c r="J38">
        <f t="shared" si="4"/>
        <v>-4.367606438651757</v>
      </c>
      <c r="K38">
        <f t="shared" si="5"/>
        <v>19.075986002952284</v>
      </c>
    </row>
    <row r="39" spans="1:18">
      <c r="A39">
        <v>27</v>
      </c>
      <c r="B39">
        <f t="shared" si="0"/>
        <v>27</v>
      </c>
      <c r="C39">
        <f t="shared" si="1"/>
        <v>14.408542636659694</v>
      </c>
      <c r="D39">
        <v>1.370872269035317</v>
      </c>
      <c r="E39">
        <f t="shared" si="2"/>
        <v>27.837384989254105</v>
      </c>
      <c r="G39">
        <f t="shared" si="3"/>
        <v>14.218779234091256</v>
      </c>
      <c r="J39">
        <f t="shared" si="4"/>
        <v>13.618605755162848</v>
      </c>
      <c r="K39">
        <f t="shared" si="5"/>
        <v>185.46642271455465</v>
      </c>
    </row>
    <row r="40" spans="1:18">
      <c r="A40">
        <v>28</v>
      </c>
      <c r="B40">
        <f t="shared" si="0"/>
        <v>28</v>
      </c>
      <c r="C40">
        <f t="shared" si="1"/>
        <v>14.848725601629122</v>
      </c>
      <c r="D40">
        <v>-0.8247775440395344</v>
      </c>
      <c r="E40">
        <f t="shared" si="2"/>
        <v>6.7693385828363724</v>
      </c>
      <c r="G40">
        <f t="shared" si="3"/>
        <v>14.665918929212635</v>
      </c>
      <c r="J40">
        <f t="shared" si="4"/>
        <v>-7.8965803463762629</v>
      </c>
      <c r="K40">
        <f t="shared" si="5"/>
        <v>62.355981166775862</v>
      </c>
    </row>
    <row r="41" spans="1:18">
      <c r="A41">
        <v>29</v>
      </c>
      <c r="B41">
        <f t="shared" si="0"/>
        <v>29</v>
      </c>
      <c r="C41">
        <f t="shared" si="1"/>
        <v>15.288908566598547</v>
      </c>
      <c r="D41">
        <v>-1.2740588317683432</v>
      </c>
      <c r="E41">
        <f t="shared" si="2"/>
        <v>2.808434939549846</v>
      </c>
      <c r="G41">
        <f t="shared" si="3"/>
        <v>15.113058624334014</v>
      </c>
      <c r="J41">
        <f t="shared" si="4"/>
        <v>-12.304623684784168</v>
      </c>
      <c r="K41">
        <f t="shared" si="5"/>
        <v>151.40376402415151</v>
      </c>
    </row>
    <row r="42" spans="1:18">
      <c r="A42">
        <v>30</v>
      </c>
      <c r="B42">
        <f t="shared" si="0"/>
        <v>30</v>
      </c>
      <c r="C42">
        <f t="shared" si="1"/>
        <v>15.729091531567974</v>
      </c>
      <c r="D42">
        <v>0.41377802517672535</v>
      </c>
      <c r="E42">
        <f t="shared" si="2"/>
        <v>19.782393939513128</v>
      </c>
      <c r="G42">
        <f t="shared" si="3"/>
        <v>15.560198319455392</v>
      </c>
      <c r="J42">
        <f t="shared" si="4"/>
        <v>4.222195620057736</v>
      </c>
      <c r="K42">
        <f t="shared" si="5"/>
        <v>17.82693585403473</v>
      </c>
    </row>
    <row r="43" spans="1:18">
      <c r="A43">
        <v>31</v>
      </c>
      <c r="B43">
        <f t="shared" si="0"/>
        <v>31</v>
      </c>
      <c r="C43">
        <f t="shared" si="1"/>
        <v>16.169274496537398</v>
      </c>
      <c r="D43">
        <v>-1.3327235137694515</v>
      </c>
      <c r="E43">
        <f t="shared" si="2"/>
        <v>3.1141311617030532</v>
      </c>
      <c r="G43">
        <f t="shared" si="3"/>
        <v>16.007338014576771</v>
      </c>
      <c r="J43">
        <f t="shared" si="4"/>
        <v>-12.893206852873718</v>
      </c>
      <c r="K43">
        <f t="shared" si="5"/>
        <v>166.2347829509898</v>
      </c>
    </row>
    <row r="44" spans="1:18">
      <c r="A44">
        <v>32</v>
      </c>
      <c r="B44">
        <f t="shared" si="0"/>
        <v>32</v>
      </c>
      <c r="C44">
        <f t="shared" si="1"/>
        <v>16.609457461506828</v>
      </c>
      <c r="D44">
        <v>-0.22962353796174284</v>
      </c>
      <c r="E44">
        <f t="shared" si="2"/>
        <v>14.360102535169936</v>
      </c>
      <c r="G44">
        <f t="shared" si="3"/>
        <v>16.45447770969815</v>
      </c>
      <c r="J44">
        <f t="shared" si="4"/>
        <v>-2.0943751745282135</v>
      </c>
      <c r="K44">
        <f t="shared" si="5"/>
        <v>4.3864073716800851</v>
      </c>
    </row>
    <row r="45" spans="1:18">
      <c r="A45">
        <v>33</v>
      </c>
      <c r="B45">
        <f t="shared" si="0"/>
        <v>33</v>
      </c>
      <c r="C45">
        <f t="shared" si="1"/>
        <v>17.049640426476252</v>
      </c>
      <c r="D45">
        <v>-0.46995637603686191</v>
      </c>
      <c r="E45">
        <f t="shared" si="2"/>
        <v>12.446024007248056</v>
      </c>
      <c r="G45">
        <f t="shared" si="3"/>
        <v>16.901617404819529</v>
      </c>
      <c r="J45">
        <f t="shared" si="4"/>
        <v>-4.455593397571473</v>
      </c>
      <c r="K45">
        <f t="shared" si="5"/>
        <v>19.852312524482503</v>
      </c>
      <c r="O45" s="12"/>
      <c r="P45" s="12"/>
      <c r="Q45" s="12"/>
      <c r="R45" s="12"/>
    </row>
    <row r="46" spans="1:18">
      <c r="A46">
        <v>34</v>
      </c>
      <c r="B46">
        <f t="shared" si="0"/>
        <v>34</v>
      </c>
      <c r="C46">
        <f t="shared" si="1"/>
        <v>17.489823391445679</v>
      </c>
      <c r="D46">
        <v>-0.21777964320790488</v>
      </c>
      <c r="E46">
        <f t="shared" si="2"/>
        <v>15.356489336697308</v>
      </c>
      <c r="G46">
        <f t="shared" si="3"/>
        <v>17.348757099940908</v>
      </c>
      <c r="J46">
        <f t="shared" si="4"/>
        <v>-1.9922677632435999</v>
      </c>
      <c r="K46">
        <f t="shared" si="5"/>
        <v>3.9691308404596564</v>
      </c>
      <c r="O46" s="12"/>
      <c r="P46" s="12"/>
      <c r="Q46" s="12"/>
      <c r="R46" s="12"/>
    </row>
    <row r="47" spans="1:18">
      <c r="A47">
        <v>35</v>
      </c>
      <c r="B47">
        <f t="shared" si="0"/>
        <v>35</v>
      </c>
      <c r="C47">
        <f t="shared" si="1"/>
        <v>17.930006356415106</v>
      </c>
      <c r="D47">
        <v>1.3377598406805191</v>
      </c>
      <c r="E47">
        <f t="shared" si="2"/>
        <v>31.034484732633317</v>
      </c>
      <c r="G47">
        <f t="shared" si="3"/>
        <v>17.795896795062284</v>
      </c>
      <c r="J47">
        <f t="shared" si="4"/>
        <v>13.238587937571033</v>
      </c>
      <c r="K47">
        <f t="shared" si="5"/>
        <v>175.26021058080127</v>
      </c>
      <c r="O47" s="12"/>
      <c r="P47" s="12"/>
      <c r="Q47" s="12"/>
      <c r="R47" s="12"/>
    </row>
    <row r="48" spans="1:18">
      <c r="A48">
        <v>36</v>
      </c>
      <c r="B48">
        <f t="shared" si="0"/>
        <v>36</v>
      </c>
      <c r="C48">
        <f t="shared" si="1"/>
        <v>18.37018932138453</v>
      </c>
      <c r="D48">
        <v>0.9291829883295577</v>
      </c>
      <c r="E48">
        <f t="shared" si="2"/>
        <v>27.472315134879079</v>
      </c>
      <c r="G48">
        <f t="shared" si="3"/>
        <v>18.243036490183666</v>
      </c>
      <c r="J48">
        <f t="shared" si="4"/>
        <v>9.2292786446954125</v>
      </c>
      <c r="K48">
        <f t="shared" si="5"/>
        <v>85.179584301430793</v>
      </c>
      <c r="O48" s="12"/>
      <c r="P48" s="12"/>
      <c r="Q48" s="12"/>
      <c r="R48" s="12"/>
    </row>
    <row r="49" spans="1:11">
      <c r="A49">
        <v>37</v>
      </c>
      <c r="B49">
        <f t="shared" si="0"/>
        <v>37</v>
      </c>
      <c r="C49">
        <f t="shared" si="1"/>
        <v>18.810372286353957</v>
      </c>
      <c r="D49">
        <v>-1.0002099770645145</v>
      </c>
      <c r="E49">
        <f t="shared" si="2"/>
        <v>9.0124776138303808</v>
      </c>
      <c r="G49">
        <f t="shared" si="3"/>
        <v>18.690176185305045</v>
      </c>
      <c r="J49">
        <f t="shared" si="4"/>
        <v>-9.6776985714746644</v>
      </c>
      <c r="K49">
        <f t="shared" si="5"/>
        <v>93.657849640322766</v>
      </c>
    </row>
    <row r="50" spans="1:11">
      <c r="A50">
        <v>38</v>
      </c>
      <c r="B50">
        <f t="shared" si="0"/>
        <v>38</v>
      </c>
      <c r="C50">
        <f t="shared" si="1"/>
        <v>19.250555251323384</v>
      </c>
      <c r="D50">
        <v>0.19979665921709966</v>
      </c>
      <c r="E50">
        <f t="shared" si="2"/>
        <v>21.20773091225459</v>
      </c>
      <c r="G50">
        <f t="shared" si="3"/>
        <v>19.137315880426421</v>
      </c>
      <c r="J50">
        <f t="shared" si="4"/>
        <v>2.0704150318281691</v>
      </c>
      <c r="K50">
        <f t="shared" si="5"/>
        <v>4.2866184040200386</v>
      </c>
    </row>
    <row r="51" spans="1:11">
      <c r="A51">
        <v>39</v>
      </c>
      <c r="B51">
        <f t="shared" si="0"/>
        <v>39</v>
      </c>
      <c r="C51">
        <f t="shared" si="1"/>
        <v>19.690738216292811</v>
      </c>
      <c r="D51">
        <v>0.1701471319393022</v>
      </c>
      <c r="E51">
        <f t="shared" si="2"/>
        <v>21.357471918016049</v>
      </c>
      <c r="G51">
        <f t="shared" si="3"/>
        <v>19.5844555755478</v>
      </c>
      <c r="J51">
        <f t="shared" si="4"/>
        <v>1.7730163424682495</v>
      </c>
      <c r="K51">
        <f t="shared" si="5"/>
        <v>3.1435869506594889</v>
      </c>
    </row>
    <row r="52" spans="1:11">
      <c r="A52">
        <v>40</v>
      </c>
      <c r="B52">
        <f t="shared" si="0"/>
        <v>40</v>
      </c>
      <c r="C52">
        <f t="shared" si="1"/>
        <v>20.130921181262238</v>
      </c>
      <c r="D52">
        <v>0.74452827902860008</v>
      </c>
      <c r="E52">
        <f t="shared" si="2"/>
        <v>27.42419941874471</v>
      </c>
      <c r="G52">
        <f t="shared" si="3"/>
        <v>20.031595270669179</v>
      </c>
      <c r="J52">
        <f t="shared" si="4"/>
        <v>7.3926041480755309</v>
      </c>
      <c r="K52">
        <f t="shared" si="5"/>
        <v>54.650596090143544</v>
      </c>
    </row>
    <row r="53" spans="1:11">
      <c r="A53">
        <v>41</v>
      </c>
      <c r="B53">
        <f t="shared" si="0"/>
        <v>41</v>
      </c>
      <c r="C53">
        <f t="shared" si="1"/>
        <v>20.571104146231665</v>
      </c>
      <c r="D53">
        <v>-0.27122496248921379</v>
      </c>
      <c r="E53">
        <f t="shared" si="2"/>
        <v>17.914228414170189</v>
      </c>
      <c r="G53">
        <f t="shared" si="3"/>
        <v>20.478734965790558</v>
      </c>
      <c r="J53">
        <f t="shared" si="4"/>
        <v>-2.5645065516203687</v>
      </c>
      <c r="K53">
        <f t="shared" si="5"/>
        <v>6.5766938533037944</v>
      </c>
    </row>
    <row r="54" spans="1:11">
      <c r="A54">
        <v>42</v>
      </c>
      <c r="B54">
        <f t="shared" si="0"/>
        <v>42</v>
      </c>
      <c r="C54">
        <f t="shared" si="1"/>
        <v>21.011287111201089</v>
      </c>
      <c r="D54">
        <v>-1.268908818019554</v>
      </c>
      <c r="E54">
        <f t="shared" si="2"/>
        <v>8.5812621833553049</v>
      </c>
      <c r="G54">
        <f t="shared" si="3"/>
        <v>20.925874660911937</v>
      </c>
      <c r="J54">
        <f t="shared" si="4"/>
        <v>-12.344612477556632</v>
      </c>
      <c r="K54">
        <f t="shared" si="5"/>
        <v>152.38945722104688</v>
      </c>
    </row>
    <row r="55" spans="1:11">
      <c r="A55">
        <v>43</v>
      </c>
      <c r="B55">
        <f t="shared" si="0"/>
        <v>43</v>
      </c>
      <c r="C55">
        <f t="shared" si="1"/>
        <v>21.451470076170516</v>
      </c>
      <c r="D55">
        <v>1.4768602341064252</v>
      </c>
      <c r="E55">
        <f t="shared" si="2"/>
        <v>35.918553340307888</v>
      </c>
      <c r="G55">
        <f t="shared" si="3"/>
        <v>21.373014356033316</v>
      </c>
      <c r="J55">
        <f t="shared" si="4"/>
        <v>14.545538984274572</v>
      </c>
      <c r="K55">
        <f t="shared" si="5"/>
        <v>211.57270434305133</v>
      </c>
    </row>
    <row r="56" spans="1:11">
      <c r="A56">
        <v>44</v>
      </c>
      <c r="B56">
        <f t="shared" si="0"/>
        <v>44</v>
      </c>
      <c r="C56">
        <f t="shared" si="1"/>
        <v>21.891653041139943</v>
      </c>
      <c r="D56">
        <v>-1.6009926184779033</v>
      </c>
      <c r="E56">
        <f t="shared" si="2"/>
        <v>6.2085890775393953</v>
      </c>
      <c r="G56">
        <f t="shared" si="3"/>
        <v>21.820154051154695</v>
      </c>
      <c r="J56">
        <f t="shared" si="4"/>
        <v>-15.6115649736153</v>
      </c>
      <c r="K56">
        <f t="shared" si="5"/>
        <v>243.72096092541207</v>
      </c>
    </row>
    <row r="57" spans="1:11">
      <c r="A57">
        <v>45</v>
      </c>
      <c r="B57">
        <f t="shared" si="0"/>
        <v>45</v>
      </c>
      <c r="C57">
        <f t="shared" si="1"/>
        <v>22.33183600610937</v>
      </c>
      <c r="D57">
        <v>1.5061732483445667</v>
      </c>
      <c r="E57">
        <f t="shared" si="2"/>
        <v>37.086064802310325</v>
      </c>
      <c r="G57">
        <f t="shared" si="3"/>
        <v>22.267293746276074</v>
      </c>
      <c r="J57">
        <f t="shared" si="4"/>
        <v>14.818771056034251</v>
      </c>
      <c r="K57">
        <f t="shared" si="5"/>
        <v>219.59597561115848</v>
      </c>
    </row>
    <row r="58" spans="1:11">
      <c r="A58">
        <v>46</v>
      </c>
      <c r="B58">
        <f t="shared" si="0"/>
        <v>46</v>
      </c>
      <c r="C58">
        <f t="shared" si="1"/>
        <v>22.772018971078797</v>
      </c>
      <c r="D58">
        <v>0.85680539996246807</v>
      </c>
      <c r="E58">
        <f t="shared" si="2"/>
        <v>31.16514567065402</v>
      </c>
      <c r="G58">
        <f t="shared" si="3"/>
        <v>22.714433441397453</v>
      </c>
      <c r="J58">
        <f t="shared" si="4"/>
        <v>8.4507122292565668</v>
      </c>
      <c r="K58">
        <f t="shared" si="5"/>
        <v>71.414537181706493</v>
      </c>
    </row>
    <row r="59" spans="1:11">
      <c r="A59">
        <v>47</v>
      </c>
      <c r="B59">
        <f t="shared" si="0"/>
        <v>47</v>
      </c>
      <c r="C59">
        <f t="shared" si="1"/>
        <v>23.212201936048221</v>
      </c>
      <c r="D59">
        <v>-0.33685182643239386</v>
      </c>
      <c r="E59">
        <f t="shared" si="2"/>
        <v>19.912456091362543</v>
      </c>
      <c r="G59">
        <f t="shared" si="3"/>
        <v>23.161573136518832</v>
      </c>
      <c r="J59">
        <f t="shared" si="4"/>
        <v>-3.2491170451562894</v>
      </c>
      <c r="K59">
        <f t="shared" si="5"/>
        <v>10.556761573125137</v>
      </c>
    </row>
    <row r="60" spans="1:11">
      <c r="A60">
        <v>48</v>
      </c>
      <c r="B60">
        <f t="shared" si="0"/>
        <v>48</v>
      </c>
      <c r="C60">
        <f t="shared" si="1"/>
        <v>23.652384901017648</v>
      </c>
      <c r="D60">
        <v>0.14180500329530332</v>
      </c>
      <c r="E60">
        <f t="shared" si="2"/>
        <v>25.041483708451981</v>
      </c>
      <c r="G60">
        <f t="shared" si="3"/>
        <v>23.608712831640212</v>
      </c>
      <c r="J60">
        <f t="shared" si="4"/>
        <v>1.4327708768117695</v>
      </c>
      <c r="K60">
        <f t="shared" si="5"/>
        <v>2.0528323854399666</v>
      </c>
    </row>
    <row r="61" spans="1:11">
      <c r="A61">
        <v>49</v>
      </c>
      <c r="B61">
        <f t="shared" si="0"/>
        <v>49</v>
      </c>
      <c r="C61">
        <f t="shared" si="1"/>
        <v>24.092567865987075</v>
      </c>
      <c r="D61">
        <v>0.35879565984942019</v>
      </c>
      <c r="E61">
        <f t="shared" si="2"/>
        <v>27.60727194290558</v>
      </c>
      <c r="G61">
        <f t="shared" si="3"/>
        <v>24.055852526761587</v>
      </c>
      <c r="J61">
        <f t="shared" si="4"/>
        <v>3.5514194161439931</v>
      </c>
      <c r="K61">
        <f t="shared" si="5"/>
        <v>12.612579869364541</v>
      </c>
    </row>
    <row r="62" spans="1:11">
      <c r="A62">
        <v>50</v>
      </c>
      <c r="B62">
        <f t="shared" si="0"/>
        <v>50</v>
      </c>
      <c r="C62">
        <f t="shared" si="1"/>
        <v>24.532750830956502</v>
      </c>
      <c r="D62">
        <v>-1.4211332199920435</v>
      </c>
      <c r="E62">
        <f t="shared" si="2"/>
        <v>10.611560356560547</v>
      </c>
      <c r="G62">
        <f t="shared" si="3"/>
        <v>24.502992221882966</v>
      </c>
      <c r="J62">
        <f t="shared" si="4"/>
        <v>-13.891431865322419</v>
      </c>
      <c r="K62">
        <f t="shared" si="5"/>
        <v>192.97187926889509</v>
      </c>
    </row>
    <row r="63" spans="1:11">
      <c r="A63">
        <v>51</v>
      </c>
      <c r="B63">
        <f t="shared" si="0"/>
        <v>51</v>
      </c>
      <c r="C63">
        <f t="shared" si="1"/>
        <v>24.972933795925929</v>
      </c>
      <c r="D63">
        <v>-0.53585381465381943</v>
      </c>
      <c r="E63">
        <f t="shared" si="2"/>
        <v>19.723796758464196</v>
      </c>
      <c r="G63">
        <f t="shared" si="3"/>
        <v>24.950131917004345</v>
      </c>
      <c r="J63">
        <f t="shared" si="4"/>
        <v>-5.2263351585401487</v>
      </c>
      <c r="K63">
        <f t="shared" si="5"/>
        <v>27.31457918939288</v>
      </c>
    </row>
    <row r="64" spans="1:11">
      <c r="A64">
        <v>52</v>
      </c>
      <c r="B64">
        <f t="shared" si="0"/>
        <v>52</v>
      </c>
      <c r="C64">
        <f t="shared" si="1"/>
        <v>25.413116760895353</v>
      </c>
      <c r="D64">
        <v>0.6948698683117982</v>
      </c>
      <c r="E64">
        <f t="shared" si="2"/>
        <v>32.219949263017241</v>
      </c>
      <c r="G64">
        <f t="shared" si="3"/>
        <v>25.397271612125724</v>
      </c>
      <c r="J64">
        <f t="shared" si="4"/>
        <v>6.8226776508915172</v>
      </c>
      <c r="K64">
        <f t="shared" si="5"/>
        <v>46.548930327974595</v>
      </c>
    </row>
    <row r="65" spans="1:11">
      <c r="A65">
        <v>53</v>
      </c>
      <c r="B65">
        <f t="shared" si="0"/>
        <v>53</v>
      </c>
      <c r="C65">
        <f t="shared" si="1"/>
        <v>25.85329972586478</v>
      </c>
      <c r="D65">
        <v>-0.24551809474360198</v>
      </c>
      <c r="E65">
        <f t="shared" si="2"/>
        <v>23.448244299846653</v>
      </c>
      <c r="G65">
        <f t="shared" si="3"/>
        <v>25.844411307247103</v>
      </c>
      <c r="J65">
        <f t="shared" si="4"/>
        <v>-2.3961670074004502</v>
      </c>
      <c r="K65">
        <f t="shared" si="5"/>
        <v>5.7416163273544294</v>
      </c>
    </row>
    <row r="66" spans="1:11">
      <c r="A66">
        <v>54</v>
      </c>
      <c r="B66">
        <f t="shared" si="0"/>
        <v>54</v>
      </c>
      <c r="C66">
        <f t="shared" si="1"/>
        <v>26.293482690834207</v>
      </c>
      <c r="D66">
        <v>0.69457883000723086</v>
      </c>
      <c r="E66">
        <f t="shared" si="2"/>
        <v>33.09746422893933</v>
      </c>
      <c r="G66">
        <f t="shared" si="3"/>
        <v>26.291551002368482</v>
      </c>
      <c r="J66">
        <f t="shared" si="4"/>
        <v>6.8059132265708477</v>
      </c>
      <c r="K66">
        <f t="shared" si="5"/>
        <v>46.320454847612005</v>
      </c>
    </row>
    <row r="67" spans="1:11">
      <c r="A67">
        <v>55</v>
      </c>
      <c r="B67">
        <f t="shared" si="0"/>
        <v>55</v>
      </c>
      <c r="C67">
        <f t="shared" si="1"/>
        <v>26.733665655803634</v>
      </c>
      <c r="D67">
        <v>-0.8865583822625922</v>
      </c>
      <c r="E67">
        <f t="shared" si="2"/>
        <v>18.049083568405109</v>
      </c>
      <c r="G67">
        <f t="shared" si="3"/>
        <v>26.738690697489861</v>
      </c>
      <c r="J67">
        <f t="shared" si="4"/>
        <v>-8.6896071290847523</v>
      </c>
      <c r="K67">
        <f t="shared" si="5"/>
        <v>75.509272057840548</v>
      </c>
    </row>
    <row r="68" spans="1:11">
      <c r="A68">
        <v>56</v>
      </c>
      <c r="B68">
        <f t="shared" si="0"/>
        <v>56</v>
      </c>
      <c r="C68">
        <f t="shared" si="1"/>
        <v>27.173848620773061</v>
      </c>
      <c r="D68">
        <v>0.87125044956337661</v>
      </c>
      <c r="E68">
        <f t="shared" si="2"/>
        <v>35.708476682836647</v>
      </c>
      <c r="G68">
        <f t="shared" si="3"/>
        <v>27.185830392611241</v>
      </c>
      <c r="J68">
        <f t="shared" si="4"/>
        <v>8.5226462902254063</v>
      </c>
      <c r="K68">
        <f t="shared" si="5"/>
        <v>72.635499788292876</v>
      </c>
    </row>
    <row r="69" spans="1:11">
      <c r="A69">
        <v>57</v>
      </c>
      <c r="B69">
        <f t="shared" si="0"/>
        <v>57</v>
      </c>
      <c r="C69">
        <f t="shared" si="1"/>
        <v>27.614031585742485</v>
      </c>
      <c r="D69">
        <v>9.6883923106361181E-2</v>
      </c>
      <c r="E69">
        <f t="shared" si="2"/>
        <v>28.563090779136004</v>
      </c>
      <c r="G69">
        <f t="shared" si="3"/>
        <v>27.63297008773262</v>
      </c>
      <c r="J69">
        <f t="shared" si="4"/>
        <v>0.93012069140338482</v>
      </c>
      <c r="K69">
        <f t="shared" si="5"/>
        <v>0.86512450057671064</v>
      </c>
    </row>
    <row r="70" spans="1:11">
      <c r="A70">
        <v>58</v>
      </c>
      <c r="B70">
        <f t="shared" si="0"/>
        <v>58</v>
      </c>
      <c r="C70">
        <f t="shared" si="1"/>
        <v>28.054214550711912</v>
      </c>
      <c r="D70">
        <v>-1.5138266462599859</v>
      </c>
      <c r="E70">
        <f t="shared" si="2"/>
        <v>13.225014310132581</v>
      </c>
      <c r="G70">
        <f t="shared" si="3"/>
        <v>28.080109782853999</v>
      </c>
      <c r="J70">
        <f t="shared" si="4"/>
        <v>-14.855095472721418</v>
      </c>
      <c r="K70">
        <f t="shared" si="5"/>
        <v>220.67386150366838</v>
      </c>
    </row>
    <row r="71" spans="1:11">
      <c r="A71">
        <v>59</v>
      </c>
      <c r="B71">
        <f t="shared" si="0"/>
        <v>59</v>
      </c>
      <c r="C71">
        <f t="shared" si="1"/>
        <v>28.494397515681339</v>
      </c>
      <c r="D71">
        <v>-0.38099415178294294</v>
      </c>
      <c r="E71">
        <f t="shared" si="2"/>
        <v>24.762240613015333</v>
      </c>
      <c r="G71">
        <f t="shared" si="3"/>
        <v>28.527249477975374</v>
      </c>
      <c r="J71">
        <f t="shared" si="4"/>
        <v>-3.7650088649600413</v>
      </c>
      <c r="K71">
        <f t="shared" si="5"/>
        <v>14.175291753227699</v>
      </c>
    </row>
    <row r="72" spans="1:11">
      <c r="A72">
        <v>60</v>
      </c>
      <c r="B72">
        <f t="shared" si="0"/>
        <v>60</v>
      </c>
      <c r="C72">
        <f t="shared" si="1"/>
        <v>28.934580480650766</v>
      </c>
      <c r="D72">
        <v>-0.42045485315611586</v>
      </c>
      <c r="E72">
        <f t="shared" si="2"/>
        <v>24.815872948992869</v>
      </c>
      <c r="G72">
        <f t="shared" si="3"/>
        <v>28.974389173096753</v>
      </c>
      <c r="J72">
        <f t="shared" si="4"/>
        <v>-4.1585162241038844</v>
      </c>
      <c r="K72">
        <f t="shared" si="5"/>
        <v>17.293257186135229</v>
      </c>
    </row>
    <row r="73" spans="1:11">
      <c r="A73">
        <v>61</v>
      </c>
      <c r="B73">
        <f t="shared" si="0"/>
        <v>61</v>
      </c>
      <c r="C73">
        <f t="shared" si="1"/>
        <v>29.374763445620193</v>
      </c>
      <c r="D73">
        <v>-2.1288724383339286</v>
      </c>
      <c r="E73">
        <f t="shared" si="2"/>
        <v>8.520674403986007</v>
      </c>
      <c r="G73">
        <f t="shared" si="3"/>
        <v>29.421528868218132</v>
      </c>
      <c r="J73">
        <f t="shared" si="4"/>
        <v>-20.900854464232125</v>
      </c>
      <c r="K73">
        <f t="shared" si="5"/>
        <v>436.84571733501195</v>
      </c>
    </row>
    <row r="74" spans="1:11">
      <c r="A74">
        <v>62</v>
      </c>
      <c r="B74">
        <f t="shared" si="0"/>
        <v>62</v>
      </c>
      <c r="C74">
        <f t="shared" si="1"/>
        <v>29.814946410589616</v>
      </c>
      <c r="D74">
        <v>-1.5916930351522751</v>
      </c>
      <c r="E74">
        <f t="shared" si="2"/>
        <v>14.222979656587274</v>
      </c>
      <c r="G74">
        <f t="shared" si="3"/>
        <v>29.868668563339511</v>
      </c>
      <c r="J74">
        <f t="shared" si="4"/>
        <v>-15.645688906752238</v>
      </c>
      <c r="K74">
        <f t="shared" si="5"/>
        <v>244.78758136687003</v>
      </c>
    </row>
    <row r="75" spans="1:11">
      <c r="A75">
        <v>63</v>
      </c>
      <c r="B75">
        <f t="shared" si="0"/>
        <v>63</v>
      </c>
      <c r="C75">
        <f t="shared" si="1"/>
        <v>30.255129375559044</v>
      </c>
      <c r="D75">
        <v>-0.68149347498547286</v>
      </c>
      <c r="E75">
        <f t="shared" si="2"/>
        <v>23.579329852426454</v>
      </c>
      <c r="G75">
        <f t="shared" si="3"/>
        <v>30.315808258460891</v>
      </c>
      <c r="J75">
        <f t="shared" si="4"/>
        <v>-6.7364784060344363</v>
      </c>
      <c r="K75">
        <f t="shared" si="5"/>
        <v>45.380141314968256</v>
      </c>
    </row>
    <row r="76" spans="1:11">
      <c r="A76">
        <v>64</v>
      </c>
      <c r="B76">
        <f t="shared" si="0"/>
        <v>64</v>
      </c>
      <c r="C76">
        <f t="shared" si="1"/>
        <v>30.695312340528471</v>
      </c>
      <c r="D76">
        <v>0.29543343771365471</v>
      </c>
      <c r="E76">
        <f t="shared" si="2"/>
        <v>33.589330368578231</v>
      </c>
      <c r="G76">
        <f t="shared" si="3"/>
        <v>30.76294795358227</v>
      </c>
      <c r="J76">
        <f t="shared" si="4"/>
        <v>2.8263824149959618</v>
      </c>
      <c r="K76">
        <f t="shared" si="5"/>
        <v>7.9884375557984049</v>
      </c>
    </row>
    <row r="77" spans="1:11">
      <c r="A77">
        <v>65</v>
      </c>
      <c r="B77">
        <f t="shared" si="0"/>
        <v>65</v>
      </c>
      <c r="C77">
        <f t="shared" si="1"/>
        <v>31.135495305497898</v>
      </c>
      <c r="D77">
        <v>0.15023260857560672</v>
      </c>
      <c r="E77">
        <f t="shared" si="2"/>
        <v>32.607149567058329</v>
      </c>
      <c r="G77">
        <f t="shared" si="3"/>
        <v>31.210087648703649</v>
      </c>
      <c r="J77">
        <f t="shared" si="4"/>
        <v>1.3970619183546802</v>
      </c>
      <c r="K77">
        <f t="shared" si="5"/>
        <v>1.9517820037168592</v>
      </c>
    </row>
    <row r="78" spans="1:11">
      <c r="A78">
        <v>66</v>
      </c>
      <c r="B78">
        <f t="shared" ref="B78:B135" si="6">A78</f>
        <v>66</v>
      </c>
      <c r="C78">
        <f t="shared" ref="C78:C135" si="7">$B$7 + $B$8 *B78</f>
        <v>31.575678270467325</v>
      </c>
      <c r="D78">
        <v>-0.1606849764357321</v>
      </c>
      <c r="E78">
        <f t="shared" ref="E78:E135" si="8">C78+$B$9*D78</f>
        <v>30.00163430902353</v>
      </c>
      <c r="G78">
        <f t="shared" ref="G78:G135" si="9">$G$5+$G$6*B78</f>
        <v>31.657227343825028</v>
      </c>
      <c r="J78">
        <f t="shared" ref="J78:J135" si="10">E78-G78</f>
        <v>-1.6555930348014982</v>
      </c>
      <c r="K78">
        <f t="shared" ref="K78:K135" si="11">J78^2</f>
        <v>2.7409882968832351</v>
      </c>
    </row>
    <row r="79" spans="1:11">
      <c r="A79">
        <v>67</v>
      </c>
      <c r="B79">
        <f t="shared" si="6"/>
        <v>67</v>
      </c>
      <c r="C79">
        <f t="shared" si="7"/>
        <v>32.015861235436745</v>
      </c>
      <c r="D79">
        <v>0.32223283596977126</v>
      </c>
      <c r="E79">
        <f t="shared" si="8"/>
        <v>35.172401821170915</v>
      </c>
      <c r="G79">
        <f t="shared" si="9"/>
        <v>32.104367038946407</v>
      </c>
      <c r="J79">
        <f t="shared" si="10"/>
        <v>3.0680347822245082</v>
      </c>
      <c r="K79">
        <f t="shared" si="11"/>
        <v>9.4128374249393847</v>
      </c>
    </row>
    <row r="80" spans="1:11">
      <c r="A80">
        <v>68</v>
      </c>
      <c r="B80">
        <f t="shared" si="6"/>
        <v>68</v>
      </c>
      <c r="C80">
        <f t="shared" si="7"/>
        <v>32.456044200406176</v>
      </c>
      <c r="D80">
        <v>-0.59930925999651663</v>
      </c>
      <c r="E80">
        <f t="shared" si="8"/>
        <v>26.585307914664078</v>
      </c>
      <c r="G80">
        <f t="shared" si="9"/>
        <v>32.551506734067786</v>
      </c>
      <c r="J80">
        <f t="shared" si="10"/>
        <v>-5.9661988194037079</v>
      </c>
      <c r="K80">
        <f t="shared" si="11"/>
        <v>35.595528352654199</v>
      </c>
    </row>
    <row r="81" spans="1:11">
      <c r="A81">
        <v>69</v>
      </c>
      <c r="B81">
        <f t="shared" si="6"/>
        <v>69</v>
      </c>
      <c r="C81">
        <f t="shared" si="7"/>
        <v>32.896227165375606</v>
      </c>
      <c r="D81">
        <v>-1.0702797226258554</v>
      </c>
      <c r="E81">
        <f t="shared" si="8"/>
        <v>22.411940632659395</v>
      </c>
      <c r="G81">
        <f t="shared" si="9"/>
        <v>32.998646429189165</v>
      </c>
      <c r="J81">
        <f t="shared" si="10"/>
        <v>-10.58670579652977</v>
      </c>
      <c r="K81">
        <f t="shared" si="11"/>
        <v>112.07833962227704</v>
      </c>
    </row>
    <row r="82" spans="1:11">
      <c r="A82">
        <v>70</v>
      </c>
      <c r="B82">
        <f t="shared" si="6"/>
        <v>70</v>
      </c>
      <c r="C82">
        <f t="shared" si="7"/>
        <v>33.33641013034503</v>
      </c>
      <c r="D82">
        <v>-0.85019792095408775</v>
      </c>
      <c r="E82">
        <f t="shared" si="8"/>
        <v>25.008009223212934</v>
      </c>
      <c r="G82">
        <f t="shared" si="9"/>
        <v>33.445786124310544</v>
      </c>
      <c r="J82">
        <f t="shared" si="10"/>
        <v>-8.4377769010976102</v>
      </c>
      <c r="K82">
        <f t="shared" si="11"/>
        <v>71.196079032696389</v>
      </c>
    </row>
    <row r="83" spans="1:11">
      <c r="A83">
        <v>71</v>
      </c>
      <c r="B83">
        <f t="shared" si="6"/>
        <v>71</v>
      </c>
      <c r="C83">
        <f t="shared" si="7"/>
        <v>33.776593095314453</v>
      </c>
      <c r="D83">
        <v>-0.61346781876636669</v>
      </c>
      <c r="E83">
        <f t="shared" si="8"/>
        <v>27.767161864787997</v>
      </c>
      <c r="G83">
        <f t="shared" si="9"/>
        <v>33.892925819431923</v>
      </c>
      <c r="J83">
        <f t="shared" si="10"/>
        <v>-6.1257639546439258</v>
      </c>
      <c r="K83">
        <f t="shared" si="11"/>
        <v>37.524984028014785</v>
      </c>
    </row>
    <row r="84" spans="1:11">
      <c r="A84">
        <v>72</v>
      </c>
      <c r="B84">
        <f t="shared" si="6"/>
        <v>72</v>
      </c>
      <c r="C84">
        <f t="shared" si="7"/>
        <v>34.216776060283877</v>
      </c>
      <c r="D84">
        <v>-0.85813098849030212</v>
      </c>
      <c r="E84">
        <f t="shared" si="8"/>
        <v>25.810664110538546</v>
      </c>
      <c r="G84">
        <f t="shared" si="9"/>
        <v>34.340065514553302</v>
      </c>
      <c r="J84">
        <f t="shared" si="10"/>
        <v>-8.5294014040147559</v>
      </c>
      <c r="K84">
        <f t="shared" si="11"/>
        <v>72.750688310808883</v>
      </c>
    </row>
    <row r="85" spans="1:11">
      <c r="A85">
        <v>73</v>
      </c>
      <c r="B85">
        <f t="shared" si="6"/>
        <v>73</v>
      </c>
      <c r="C85">
        <f t="shared" si="7"/>
        <v>34.656959025253308</v>
      </c>
      <c r="D85">
        <v>1.4142369764158502</v>
      </c>
      <c r="E85">
        <f t="shared" si="8"/>
        <v>48.510595016345754</v>
      </c>
      <c r="G85">
        <f t="shared" si="9"/>
        <v>34.787205209674681</v>
      </c>
      <c r="J85">
        <f t="shared" si="10"/>
        <v>13.723389806671072</v>
      </c>
      <c r="K85">
        <f t="shared" si="11"/>
        <v>188.33142778584349</v>
      </c>
    </row>
    <row r="86" spans="1:11">
      <c r="A86">
        <v>74</v>
      </c>
      <c r="B86">
        <f t="shared" si="6"/>
        <v>74</v>
      </c>
      <c r="C86">
        <f t="shared" si="7"/>
        <v>35.097141990222731</v>
      </c>
      <c r="D86">
        <v>1.6211561160162091</v>
      </c>
      <c r="E86">
        <f t="shared" si="8"/>
        <v>50.977724304609801</v>
      </c>
      <c r="G86">
        <f t="shared" si="9"/>
        <v>35.23434490479606</v>
      </c>
      <c r="J86">
        <f t="shared" si="10"/>
        <v>15.74337939981374</v>
      </c>
      <c r="K86">
        <f t="shared" si="11"/>
        <v>247.85399492647966</v>
      </c>
    </row>
    <row r="87" spans="1:11">
      <c r="A87">
        <v>75</v>
      </c>
      <c r="B87">
        <f t="shared" si="6"/>
        <v>75</v>
      </c>
      <c r="C87">
        <f t="shared" si="7"/>
        <v>35.537324955192162</v>
      </c>
      <c r="D87">
        <v>0.30591877475671936</v>
      </c>
      <c r="E87">
        <f t="shared" si="8"/>
        <v>38.534055643892806</v>
      </c>
      <c r="G87">
        <f t="shared" si="9"/>
        <v>35.681484599917432</v>
      </c>
      <c r="J87">
        <f t="shared" si="10"/>
        <v>2.8525710439753738</v>
      </c>
      <c r="K87">
        <f t="shared" si="11"/>
        <v>8.1371615609267529</v>
      </c>
    </row>
    <row r="88" spans="1:11">
      <c r="A88">
        <v>76</v>
      </c>
      <c r="B88">
        <f t="shared" si="6"/>
        <v>76</v>
      </c>
      <c r="C88">
        <f t="shared" si="7"/>
        <v>35.977507920161585</v>
      </c>
      <c r="D88">
        <v>0.70739133661845699</v>
      </c>
      <c r="E88">
        <f t="shared" si="8"/>
        <v>42.906998694473529</v>
      </c>
      <c r="G88">
        <f t="shared" si="9"/>
        <v>36.128624295038811</v>
      </c>
      <c r="J88">
        <f t="shared" si="10"/>
        <v>6.7783743994347176</v>
      </c>
      <c r="K88">
        <f t="shared" si="11"/>
        <v>45.946359498911967</v>
      </c>
    </row>
    <row r="89" spans="1:11">
      <c r="A89">
        <v>77</v>
      </c>
      <c r="B89">
        <f t="shared" si="6"/>
        <v>77</v>
      </c>
      <c r="C89">
        <f t="shared" si="7"/>
        <v>36.417690885131016</v>
      </c>
      <c r="D89">
        <v>-1.1246197573200334</v>
      </c>
      <c r="E89">
        <f t="shared" si="8"/>
        <v>25.401098188065788</v>
      </c>
      <c r="G89">
        <f t="shared" si="9"/>
        <v>36.575763990160191</v>
      </c>
      <c r="J89">
        <f t="shared" si="10"/>
        <v>-11.174665802094403</v>
      </c>
      <c r="K89">
        <f t="shared" si="11"/>
        <v>124.87315578849814</v>
      </c>
    </row>
    <row r="90" spans="1:11">
      <c r="A90">
        <v>78</v>
      </c>
      <c r="B90">
        <f t="shared" si="6"/>
        <v>78</v>
      </c>
      <c r="C90">
        <f t="shared" si="7"/>
        <v>36.857873850100439</v>
      </c>
      <c r="D90">
        <v>-0.37672066355298739</v>
      </c>
      <c r="E90">
        <f t="shared" si="8"/>
        <v>33.167579344852484</v>
      </c>
      <c r="G90">
        <f t="shared" si="9"/>
        <v>37.02290368528157</v>
      </c>
      <c r="J90">
        <f t="shared" si="10"/>
        <v>-3.8553243404290853</v>
      </c>
      <c r="K90">
        <f t="shared" si="11"/>
        <v>14.863525769904962</v>
      </c>
    </row>
    <row r="91" spans="1:11">
      <c r="A91">
        <v>79</v>
      </c>
      <c r="B91">
        <f t="shared" si="6"/>
        <v>79</v>
      </c>
      <c r="C91">
        <f t="shared" si="7"/>
        <v>37.298056815069863</v>
      </c>
      <c r="D91">
        <v>-1.4599936548620462</v>
      </c>
      <c r="E91">
        <f t="shared" si="8"/>
        <v>22.996195824966591</v>
      </c>
      <c r="G91">
        <f t="shared" si="9"/>
        <v>37.470043380402949</v>
      </c>
      <c r="J91">
        <f t="shared" si="10"/>
        <v>-14.473847555436357</v>
      </c>
      <c r="K91">
        <f t="shared" si="11"/>
        <v>209.49226305801102</v>
      </c>
    </row>
    <row r="92" spans="1:11">
      <c r="A92">
        <v>80</v>
      </c>
      <c r="B92">
        <f t="shared" si="6"/>
        <v>80</v>
      </c>
      <c r="C92">
        <f t="shared" si="7"/>
        <v>37.738239780039294</v>
      </c>
      <c r="D92">
        <v>-1.314901965088211</v>
      </c>
      <c r="E92">
        <f t="shared" si="8"/>
        <v>24.857673444919065</v>
      </c>
      <c r="G92">
        <f t="shared" si="9"/>
        <v>37.917183075524328</v>
      </c>
      <c r="J92">
        <f t="shared" si="10"/>
        <v>-13.059509630605262</v>
      </c>
      <c r="K92">
        <f t="shared" si="11"/>
        <v>170.5507917918716</v>
      </c>
    </row>
    <row r="93" spans="1:11">
      <c r="A93">
        <v>81</v>
      </c>
      <c r="B93">
        <f t="shared" si="6"/>
        <v>81</v>
      </c>
      <c r="C93">
        <f t="shared" si="7"/>
        <v>38.178422745008717</v>
      </c>
      <c r="D93">
        <v>1.8377249944023788</v>
      </c>
      <c r="E93">
        <f t="shared" si="8"/>
        <v>56.180478658371285</v>
      </c>
      <c r="G93">
        <f t="shared" si="9"/>
        <v>38.364322770645707</v>
      </c>
      <c r="J93">
        <f t="shared" si="10"/>
        <v>17.816155887725579</v>
      </c>
      <c r="K93">
        <f t="shared" si="11"/>
        <v>317.41541061573878</v>
      </c>
    </row>
    <row r="94" spans="1:11">
      <c r="A94">
        <v>82</v>
      </c>
      <c r="B94">
        <f t="shared" si="6"/>
        <v>82</v>
      </c>
      <c r="C94">
        <f t="shared" si="7"/>
        <v>38.618605709978148</v>
      </c>
      <c r="D94">
        <v>0.26313955459045246</v>
      </c>
      <c r="E94">
        <f t="shared" si="8"/>
        <v>41.196278097948863</v>
      </c>
      <c r="G94">
        <f t="shared" si="9"/>
        <v>38.811462465767086</v>
      </c>
      <c r="J94">
        <f t="shared" si="10"/>
        <v>2.3848156321817768</v>
      </c>
      <c r="K94">
        <f t="shared" si="11"/>
        <v>5.6873455994985678</v>
      </c>
    </row>
    <row r="95" spans="1:11">
      <c r="A95">
        <v>83</v>
      </c>
      <c r="B95">
        <f t="shared" si="6"/>
        <v>83</v>
      </c>
      <c r="C95">
        <f t="shared" si="7"/>
        <v>39.058788674947571</v>
      </c>
      <c r="D95">
        <v>-0.79462438407063019</v>
      </c>
      <c r="E95">
        <f t="shared" si="8"/>
        <v>31.274777119501177</v>
      </c>
      <c r="G95">
        <f t="shared" si="9"/>
        <v>39.258602160888465</v>
      </c>
      <c r="J95">
        <f t="shared" si="10"/>
        <v>-7.9838250413872878</v>
      </c>
      <c r="K95">
        <f t="shared" si="11"/>
        <v>63.741462291482726</v>
      </c>
    </row>
    <row r="96" spans="1:11">
      <c r="A96">
        <v>84</v>
      </c>
      <c r="B96">
        <f t="shared" si="6"/>
        <v>84</v>
      </c>
      <c r="C96">
        <f t="shared" si="7"/>
        <v>39.498971639916995</v>
      </c>
      <c r="D96">
        <v>-7.5383468356449157E-2</v>
      </c>
      <c r="E96">
        <f t="shared" si="8"/>
        <v>38.760527413262011</v>
      </c>
      <c r="G96">
        <f t="shared" si="9"/>
        <v>39.705741856009844</v>
      </c>
      <c r="J96">
        <f t="shared" si="10"/>
        <v>-0.94521444274783306</v>
      </c>
      <c r="K96">
        <f t="shared" si="11"/>
        <v>0.89343034277909661</v>
      </c>
    </row>
    <row r="97" spans="1:11">
      <c r="A97">
        <v>85</v>
      </c>
      <c r="B97">
        <f t="shared" si="6"/>
        <v>85</v>
      </c>
      <c r="C97">
        <f t="shared" si="7"/>
        <v>39.939154604886426</v>
      </c>
      <c r="D97">
        <v>-2.5168264983221889</v>
      </c>
      <c r="E97">
        <f t="shared" si="8"/>
        <v>15.284730528904056</v>
      </c>
      <c r="G97">
        <f t="shared" si="9"/>
        <v>40.152881551131223</v>
      </c>
      <c r="J97">
        <f t="shared" si="10"/>
        <v>-24.868151022227167</v>
      </c>
      <c r="K97">
        <f t="shared" si="11"/>
        <v>618.42493526429814</v>
      </c>
    </row>
    <row r="98" spans="1:11">
      <c r="A98">
        <v>86</v>
      </c>
      <c r="B98">
        <f t="shared" si="6"/>
        <v>86</v>
      </c>
      <c r="C98">
        <f t="shared" si="7"/>
        <v>40.379337569855849</v>
      </c>
      <c r="D98">
        <v>-0.53806388677912764</v>
      </c>
      <c r="E98">
        <f t="shared" si="8"/>
        <v>35.108551024391808</v>
      </c>
      <c r="G98">
        <f t="shared" si="9"/>
        <v>40.600021246252602</v>
      </c>
      <c r="J98">
        <f t="shared" si="10"/>
        <v>-5.4914702218607943</v>
      </c>
      <c r="K98">
        <f t="shared" si="11"/>
        <v>30.156245197583839</v>
      </c>
    </row>
    <row r="99" spans="1:11">
      <c r="A99">
        <v>87</v>
      </c>
      <c r="B99">
        <f t="shared" si="6"/>
        <v>87</v>
      </c>
      <c r="C99">
        <f t="shared" si="7"/>
        <v>40.81952053482528</v>
      </c>
      <c r="D99">
        <v>0.81845200838870369</v>
      </c>
      <c r="E99">
        <f t="shared" si="8"/>
        <v>48.836943632566147</v>
      </c>
      <c r="G99">
        <f t="shared" si="9"/>
        <v>41.047160941373981</v>
      </c>
      <c r="J99">
        <f t="shared" si="10"/>
        <v>7.7897826911921655</v>
      </c>
      <c r="K99">
        <f t="shared" si="11"/>
        <v>60.680714375997056</v>
      </c>
    </row>
    <row r="100" spans="1:11">
      <c r="A100">
        <v>88</v>
      </c>
      <c r="B100">
        <f t="shared" si="6"/>
        <v>88</v>
      </c>
      <c r="C100">
        <f t="shared" si="7"/>
        <v>41.259703499794703</v>
      </c>
      <c r="D100">
        <v>6.549043973791413E-2</v>
      </c>
      <c r="E100">
        <f t="shared" si="8"/>
        <v>41.901237223036048</v>
      </c>
      <c r="G100">
        <f t="shared" si="9"/>
        <v>41.49430063649536</v>
      </c>
      <c r="J100">
        <f t="shared" si="10"/>
        <v>0.40693658654068798</v>
      </c>
      <c r="K100">
        <f t="shared" si="11"/>
        <v>0.16559738546538685</v>
      </c>
    </row>
    <row r="101" spans="1:11">
      <c r="A101">
        <v>89</v>
      </c>
      <c r="B101">
        <f t="shared" si="6"/>
        <v>89</v>
      </c>
      <c r="C101">
        <f t="shared" si="7"/>
        <v>41.699886464764127</v>
      </c>
      <c r="D101">
        <v>-0.95614268502686173</v>
      </c>
      <c r="E101">
        <f t="shared" si="8"/>
        <v>32.333667836060307</v>
      </c>
      <c r="G101">
        <f t="shared" si="9"/>
        <v>41.941440331616739</v>
      </c>
      <c r="J101">
        <f t="shared" si="10"/>
        <v>-9.6077724955564321</v>
      </c>
      <c r="K101">
        <f t="shared" si="11"/>
        <v>92.309292326370667</v>
      </c>
    </row>
    <row r="102" spans="1:11">
      <c r="A102">
        <v>90</v>
      </c>
      <c r="B102">
        <f t="shared" si="6"/>
        <v>90</v>
      </c>
      <c r="C102">
        <f t="shared" si="7"/>
        <v>42.140069429733558</v>
      </c>
      <c r="D102">
        <v>0.37507788874791004</v>
      </c>
      <c r="E102">
        <f t="shared" si="8"/>
        <v>45.814271579496257</v>
      </c>
      <c r="G102">
        <f t="shared" si="9"/>
        <v>42.388580026738119</v>
      </c>
      <c r="J102">
        <f t="shared" si="10"/>
        <v>3.4256915527581384</v>
      </c>
      <c r="K102">
        <f t="shared" si="11"/>
        <v>11.735362614638465</v>
      </c>
    </row>
    <row r="103" spans="1:11">
      <c r="A103">
        <v>91</v>
      </c>
      <c r="B103">
        <f t="shared" si="6"/>
        <v>91</v>
      </c>
      <c r="C103">
        <f t="shared" si="7"/>
        <v>42.580252394702981</v>
      </c>
      <c r="D103">
        <v>0.53065150495967828</v>
      </c>
      <c r="E103">
        <f t="shared" si="8"/>
        <v>47.778428450365034</v>
      </c>
      <c r="G103">
        <f t="shared" si="9"/>
        <v>42.835719721859498</v>
      </c>
      <c r="J103">
        <f t="shared" si="10"/>
        <v>4.9427087285055364</v>
      </c>
      <c r="K103">
        <f t="shared" si="11"/>
        <v>24.430369574844818</v>
      </c>
    </row>
    <row r="104" spans="1:11">
      <c r="A104">
        <v>92</v>
      </c>
      <c r="B104">
        <f t="shared" si="6"/>
        <v>92</v>
      </c>
      <c r="C104">
        <f t="shared" si="7"/>
        <v>43.020435359672412</v>
      </c>
      <c r="D104">
        <v>-0.1088801582227461</v>
      </c>
      <c r="E104">
        <f t="shared" si="8"/>
        <v>41.953862993212844</v>
      </c>
      <c r="G104">
        <f t="shared" si="9"/>
        <v>43.282859416980877</v>
      </c>
      <c r="J104">
        <f t="shared" si="10"/>
        <v>-1.3289964237680323</v>
      </c>
      <c r="K104">
        <f t="shared" si="11"/>
        <v>1.7662314943882194</v>
      </c>
    </row>
    <row r="105" spans="1:11">
      <c r="A105">
        <v>93</v>
      </c>
      <c r="B105">
        <f t="shared" si="6"/>
        <v>93</v>
      </c>
      <c r="C105">
        <f t="shared" si="7"/>
        <v>43.460618324641835</v>
      </c>
      <c r="D105">
        <v>0.78834546002326533</v>
      </c>
      <c r="E105">
        <f t="shared" si="8"/>
        <v>51.183122558742156</v>
      </c>
      <c r="G105">
        <f t="shared" si="9"/>
        <v>43.729999112102256</v>
      </c>
      <c r="J105">
        <f t="shared" si="10"/>
        <v>7.4531234466398999</v>
      </c>
      <c r="K105">
        <f t="shared" si="11"/>
        <v>55.549049110853417</v>
      </c>
    </row>
    <row r="106" spans="1:11">
      <c r="A106">
        <v>94</v>
      </c>
      <c r="B106">
        <f t="shared" si="6"/>
        <v>94</v>
      </c>
      <c r="C106">
        <f t="shared" si="7"/>
        <v>43.900801289611259</v>
      </c>
      <c r="D106">
        <v>-0.1276771399716381</v>
      </c>
      <c r="E106">
        <f t="shared" si="8"/>
        <v>42.65009673935014</v>
      </c>
      <c r="G106">
        <f t="shared" si="9"/>
        <v>44.177138807223635</v>
      </c>
      <c r="J106">
        <f t="shared" si="10"/>
        <v>-1.5270420678734951</v>
      </c>
      <c r="K106">
        <f t="shared" si="11"/>
        <v>2.33185747705536</v>
      </c>
    </row>
    <row r="107" spans="1:11">
      <c r="A107">
        <v>95</v>
      </c>
      <c r="B107">
        <f t="shared" si="6"/>
        <v>95</v>
      </c>
      <c r="C107">
        <f t="shared" si="7"/>
        <v>44.34098425458069</v>
      </c>
      <c r="D107">
        <v>0.64244431996485218</v>
      </c>
      <c r="E107">
        <f t="shared" si="8"/>
        <v>50.634264590026341</v>
      </c>
      <c r="G107">
        <f t="shared" si="9"/>
        <v>44.624278502345014</v>
      </c>
      <c r="J107">
        <f t="shared" si="10"/>
        <v>6.0099860876813267</v>
      </c>
      <c r="K107">
        <f t="shared" si="11"/>
        <v>36.1199327741231</v>
      </c>
    </row>
    <row r="108" spans="1:11">
      <c r="A108">
        <v>96</v>
      </c>
      <c r="B108">
        <f t="shared" si="6"/>
        <v>96</v>
      </c>
      <c r="C108">
        <f t="shared" si="7"/>
        <v>44.781167219550113</v>
      </c>
      <c r="D108">
        <v>0.9407904144609347</v>
      </c>
      <c r="E108">
        <f t="shared" si="8"/>
        <v>53.996997496369559</v>
      </c>
      <c r="G108">
        <f t="shared" si="9"/>
        <v>45.071418197466393</v>
      </c>
      <c r="J108">
        <f t="shared" si="10"/>
        <v>8.9255792989031661</v>
      </c>
      <c r="K108">
        <f t="shared" si="11"/>
        <v>79.66596582100874</v>
      </c>
    </row>
    <row r="109" spans="1:11">
      <c r="A109">
        <v>97</v>
      </c>
      <c r="B109">
        <f t="shared" si="6"/>
        <v>97</v>
      </c>
      <c r="C109">
        <f t="shared" si="7"/>
        <v>45.221350184519544</v>
      </c>
      <c r="D109">
        <v>0.70798023443785496</v>
      </c>
      <c r="E109">
        <f t="shared" si="8"/>
        <v>52.156609706334159</v>
      </c>
      <c r="G109">
        <f t="shared" si="9"/>
        <v>45.518557892587765</v>
      </c>
      <c r="J109">
        <f t="shared" si="10"/>
        <v>6.6380518137463937</v>
      </c>
      <c r="K109">
        <f t="shared" si="11"/>
        <v>44.063731881981788</v>
      </c>
    </row>
    <row r="110" spans="1:11">
      <c r="A110">
        <v>98</v>
      </c>
      <c r="B110">
        <f t="shared" si="6"/>
        <v>98</v>
      </c>
      <c r="C110">
        <f t="shared" si="7"/>
        <v>45.661533149488967</v>
      </c>
      <c r="D110">
        <v>0.42781948650372215</v>
      </c>
      <c r="E110">
        <f t="shared" si="8"/>
        <v>49.852383434664858</v>
      </c>
      <c r="G110">
        <f t="shared" si="9"/>
        <v>45.965697587709144</v>
      </c>
      <c r="J110">
        <f t="shared" si="10"/>
        <v>3.8866858469557144</v>
      </c>
      <c r="K110">
        <f t="shared" si="11"/>
        <v>15.106326872925859</v>
      </c>
    </row>
    <row r="111" spans="1:11">
      <c r="A111">
        <v>99</v>
      </c>
      <c r="B111">
        <f t="shared" si="6"/>
        <v>99</v>
      </c>
      <c r="C111">
        <f t="shared" si="7"/>
        <v>46.101716114458391</v>
      </c>
      <c r="D111">
        <v>-0.10495682545297313</v>
      </c>
      <c r="E111">
        <f t="shared" si="8"/>
        <v>45.073576079334202</v>
      </c>
      <c r="G111">
        <f t="shared" si="9"/>
        <v>46.412837282830523</v>
      </c>
      <c r="J111">
        <f t="shared" si="10"/>
        <v>-1.3392612034963207</v>
      </c>
      <c r="K111">
        <f t="shared" si="11"/>
        <v>1.7936205711904134</v>
      </c>
    </row>
    <row r="112" spans="1:11">
      <c r="A112">
        <v>100</v>
      </c>
      <c r="B112">
        <f t="shared" si="6"/>
        <v>100</v>
      </c>
      <c r="C112">
        <f t="shared" si="7"/>
        <v>46.541899079427822</v>
      </c>
      <c r="D112">
        <v>-0.94879851531004533</v>
      </c>
      <c r="E112">
        <f t="shared" si="8"/>
        <v>37.247622745834562</v>
      </c>
      <c r="G112">
        <f t="shared" si="9"/>
        <v>46.859976977951902</v>
      </c>
      <c r="J112">
        <f t="shared" si="10"/>
        <v>-9.6123542321173403</v>
      </c>
      <c r="K112">
        <f t="shared" si="11"/>
        <v>92.397353883704142</v>
      </c>
    </row>
    <row r="113" spans="1:11">
      <c r="A113">
        <v>101</v>
      </c>
      <c r="B113">
        <f t="shared" si="6"/>
        <v>101</v>
      </c>
      <c r="C113">
        <f t="shared" si="7"/>
        <v>46.982082044397245</v>
      </c>
      <c r="D113">
        <v>-0.21527284843614325</v>
      </c>
      <c r="E113">
        <f t="shared" si="8"/>
        <v>44.873304144558901</v>
      </c>
      <c r="G113">
        <f t="shared" si="9"/>
        <v>47.307116673073281</v>
      </c>
      <c r="J113">
        <f t="shared" si="10"/>
        <v>-2.4338125285143803</v>
      </c>
      <c r="K113">
        <f t="shared" si="11"/>
        <v>5.9234434239535618</v>
      </c>
    </row>
    <row r="114" spans="1:11">
      <c r="A114">
        <v>102</v>
      </c>
      <c r="B114">
        <f t="shared" si="6"/>
        <v>102</v>
      </c>
      <c r="C114">
        <f t="shared" si="7"/>
        <v>47.422265009366676</v>
      </c>
      <c r="D114">
        <v>-1.4871829989715479</v>
      </c>
      <c r="E114">
        <f t="shared" si="8"/>
        <v>32.85406161525966</v>
      </c>
      <c r="G114">
        <f t="shared" si="9"/>
        <v>47.75425636819466</v>
      </c>
      <c r="J114">
        <f t="shared" si="10"/>
        <v>-14.900194752935001</v>
      </c>
      <c r="K114">
        <f t="shared" si="11"/>
        <v>222.01580367539171</v>
      </c>
    </row>
    <row r="115" spans="1:11">
      <c r="A115">
        <v>103</v>
      </c>
      <c r="B115">
        <f t="shared" si="6"/>
        <v>103</v>
      </c>
      <c r="C115">
        <f t="shared" si="7"/>
        <v>47.862447974336099</v>
      </c>
      <c r="D115">
        <v>1.0683834261726588</v>
      </c>
      <c r="E115">
        <f t="shared" si="8"/>
        <v>58.328158694630574</v>
      </c>
      <c r="G115">
        <f t="shared" si="9"/>
        <v>48.201396063316039</v>
      </c>
      <c r="J115">
        <f t="shared" si="10"/>
        <v>10.126762631314534</v>
      </c>
      <c r="K115">
        <f t="shared" si="11"/>
        <v>102.55132139098846</v>
      </c>
    </row>
    <row r="116" spans="1:11">
      <c r="A116">
        <v>104</v>
      </c>
      <c r="B116">
        <f t="shared" si="6"/>
        <v>104</v>
      </c>
      <c r="C116">
        <f t="shared" si="7"/>
        <v>48.302630939305523</v>
      </c>
      <c r="D116">
        <v>-1.8051741790259257</v>
      </c>
      <c r="E116">
        <f t="shared" si="8"/>
        <v>30.619437532693048</v>
      </c>
      <c r="G116">
        <f t="shared" si="9"/>
        <v>48.648535758437419</v>
      </c>
      <c r="J116">
        <f t="shared" si="10"/>
        <v>-18.02909822574437</v>
      </c>
      <c r="K116">
        <f t="shared" si="11"/>
        <v>325.04838283353882</v>
      </c>
    </row>
    <row r="117" spans="1:11">
      <c r="A117">
        <v>105</v>
      </c>
      <c r="B117">
        <f t="shared" si="6"/>
        <v>105</v>
      </c>
      <c r="C117">
        <f t="shared" si="7"/>
        <v>48.742813904274954</v>
      </c>
      <c r="D117">
        <v>2.1355481294449419</v>
      </c>
      <c r="E117">
        <f t="shared" si="8"/>
        <v>69.662296933043692</v>
      </c>
      <c r="G117">
        <f t="shared" si="9"/>
        <v>49.095675453558798</v>
      </c>
      <c r="J117">
        <f t="shared" si="10"/>
        <v>20.566621479484894</v>
      </c>
      <c r="K117">
        <f t="shared" si="11"/>
        <v>422.98591908040942</v>
      </c>
    </row>
    <row r="118" spans="1:11">
      <c r="A118">
        <v>106</v>
      </c>
      <c r="B118">
        <f t="shared" si="6"/>
        <v>106</v>
      </c>
      <c r="C118">
        <f t="shared" si="7"/>
        <v>49.182996869244377</v>
      </c>
      <c r="D118">
        <v>0.99857061286456883</v>
      </c>
      <c r="E118">
        <f t="shared" si="8"/>
        <v>58.964832596017267</v>
      </c>
      <c r="G118">
        <f t="shared" si="9"/>
        <v>49.542815148680177</v>
      </c>
      <c r="J118">
        <f t="shared" si="10"/>
        <v>9.4220174473370903</v>
      </c>
      <c r="K118">
        <f t="shared" si="11"/>
        <v>88.774412777924539</v>
      </c>
    </row>
    <row r="119" spans="1:11">
      <c r="A119">
        <v>107</v>
      </c>
      <c r="B119">
        <f t="shared" si="6"/>
        <v>107</v>
      </c>
      <c r="C119">
        <f t="shared" si="7"/>
        <v>49.623179834213808</v>
      </c>
      <c r="D119">
        <v>-0.7914809430076275</v>
      </c>
      <c r="E119">
        <f t="shared" si="8"/>
        <v>41.869960917464113</v>
      </c>
      <c r="G119">
        <f t="shared" si="9"/>
        <v>49.989954843801556</v>
      </c>
      <c r="J119">
        <f t="shared" si="10"/>
        <v>-8.1199939263374432</v>
      </c>
      <c r="K119">
        <f t="shared" si="11"/>
        <v>65.934301363756973</v>
      </c>
    </row>
    <row r="120" spans="1:11">
      <c r="A120">
        <v>108</v>
      </c>
      <c r="B120">
        <f t="shared" si="6"/>
        <v>108</v>
      </c>
      <c r="C120">
        <f t="shared" si="7"/>
        <v>50.063362799183231</v>
      </c>
      <c r="D120">
        <v>0.27186047191207763</v>
      </c>
      <c r="E120">
        <f t="shared" si="8"/>
        <v>52.726463878453188</v>
      </c>
      <c r="G120">
        <f t="shared" si="9"/>
        <v>50.437094538922935</v>
      </c>
      <c r="J120">
        <f t="shared" si="10"/>
        <v>2.2893693395302535</v>
      </c>
      <c r="K120">
        <f t="shared" si="11"/>
        <v>5.2412119727811888</v>
      </c>
    </row>
    <row r="121" spans="1:11">
      <c r="A121">
        <v>109</v>
      </c>
      <c r="B121">
        <f t="shared" si="6"/>
        <v>109</v>
      </c>
      <c r="C121">
        <f t="shared" si="7"/>
        <v>50.503545764152655</v>
      </c>
      <c r="D121">
        <v>-0.40487748265150003</v>
      </c>
      <c r="E121">
        <f t="shared" si="8"/>
        <v>46.537431626860844</v>
      </c>
      <c r="G121">
        <f t="shared" si="9"/>
        <v>50.884234234044314</v>
      </c>
      <c r="J121">
        <f t="shared" si="10"/>
        <v>-4.34680260718347</v>
      </c>
      <c r="K121">
        <f t="shared" si="11"/>
        <v>18.894692905817013</v>
      </c>
    </row>
    <row r="122" spans="1:11">
      <c r="A122">
        <v>110</v>
      </c>
      <c r="B122">
        <f t="shared" si="6"/>
        <v>110</v>
      </c>
      <c r="C122">
        <f t="shared" si="7"/>
        <v>50.943728729122085</v>
      </c>
      <c r="D122">
        <v>8.9814875536831096E-2</v>
      </c>
      <c r="E122">
        <f t="shared" si="8"/>
        <v>51.823540679327145</v>
      </c>
      <c r="G122">
        <f t="shared" si="9"/>
        <v>51.331373929165693</v>
      </c>
      <c r="J122">
        <f t="shared" si="10"/>
        <v>0.49216675016145217</v>
      </c>
      <c r="K122">
        <f t="shared" si="11"/>
        <v>0.24222810996448529</v>
      </c>
    </row>
    <row r="123" spans="1:11">
      <c r="A123">
        <v>111</v>
      </c>
      <c r="B123">
        <f t="shared" si="6"/>
        <v>111</v>
      </c>
      <c r="C123">
        <f t="shared" si="7"/>
        <v>51.383911694091509</v>
      </c>
      <c r="D123">
        <v>0.95626546681160107</v>
      </c>
      <c r="E123">
        <f t="shared" si="8"/>
        <v>60.751333073239898</v>
      </c>
      <c r="G123">
        <f t="shared" si="9"/>
        <v>51.778513624287072</v>
      </c>
      <c r="J123">
        <f t="shared" si="10"/>
        <v>8.9728194489528263</v>
      </c>
      <c r="K123">
        <f t="shared" si="11"/>
        <v>80.511488863506102</v>
      </c>
    </row>
    <row r="124" spans="1:11">
      <c r="A124">
        <v>112</v>
      </c>
      <c r="B124">
        <f t="shared" si="6"/>
        <v>112</v>
      </c>
      <c r="C124">
        <f t="shared" si="7"/>
        <v>51.82409465906094</v>
      </c>
      <c r="D124">
        <v>0.26377279027656186</v>
      </c>
      <c r="E124">
        <f t="shared" si="8"/>
        <v>54.407970121083757</v>
      </c>
      <c r="G124">
        <f t="shared" si="9"/>
        <v>52.225653319408451</v>
      </c>
      <c r="J124">
        <f t="shared" si="10"/>
        <v>2.1823168016753058</v>
      </c>
      <c r="K124">
        <f t="shared" si="11"/>
        <v>4.7625066228743362</v>
      </c>
    </row>
    <row r="125" spans="1:11">
      <c r="A125">
        <v>113</v>
      </c>
      <c r="B125">
        <f t="shared" si="6"/>
        <v>113</v>
      </c>
      <c r="C125">
        <f t="shared" si="7"/>
        <v>52.264277624030363</v>
      </c>
      <c r="D125">
        <v>1.9410890672588721</v>
      </c>
      <c r="E125">
        <f t="shared" si="8"/>
        <v>71.278871226472248</v>
      </c>
      <c r="G125">
        <f t="shared" si="9"/>
        <v>52.67279301452983</v>
      </c>
      <c r="J125">
        <f t="shared" si="10"/>
        <v>18.606078211942418</v>
      </c>
      <c r="K125">
        <f t="shared" si="11"/>
        <v>346.18614642891833</v>
      </c>
    </row>
    <row r="126" spans="1:11">
      <c r="A126">
        <v>114</v>
      </c>
      <c r="B126">
        <f t="shared" si="6"/>
        <v>114</v>
      </c>
      <c r="C126">
        <f t="shared" si="7"/>
        <v>52.704460588999787</v>
      </c>
      <c r="D126">
        <v>-0.51731262828980107</v>
      </c>
      <c r="E126">
        <f t="shared" si="8"/>
        <v>47.636950005246746</v>
      </c>
      <c r="G126">
        <f t="shared" si="9"/>
        <v>53.119932709651209</v>
      </c>
      <c r="J126">
        <f t="shared" si="10"/>
        <v>-5.4829827044044634</v>
      </c>
      <c r="K126">
        <f t="shared" si="11"/>
        <v>30.063099336798484</v>
      </c>
    </row>
    <row r="127" spans="1:11">
      <c r="A127">
        <v>115</v>
      </c>
      <c r="B127">
        <f t="shared" si="6"/>
        <v>115</v>
      </c>
      <c r="C127">
        <f t="shared" si="7"/>
        <v>53.144643553969217</v>
      </c>
      <c r="D127">
        <v>1.9512481230776757</v>
      </c>
      <c r="E127">
        <f t="shared" si="8"/>
        <v>72.258753619121308</v>
      </c>
      <c r="G127">
        <f t="shared" si="9"/>
        <v>53.567072404772588</v>
      </c>
      <c r="J127">
        <f t="shared" si="10"/>
        <v>18.691681214348719</v>
      </c>
      <c r="K127">
        <f t="shared" si="11"/>
        <v>349.37894661883684</v>
      </c>
    </row>
    <row r="128" spans="1:11">
      <c r="A128">
        <v>116</v>
      </c>
      <c r="B128">
        <f t="shared" si="6"/>
        <v>116</v>
      </c>
      <c r="C128">
        <f t="shared" si="7"/>
        <v>53.584826518938641</v>
      </c>
      <c r="D128">
        <v>0.17278580344282091</v>
      </c>
      <c r="E128">
        <f t="shared" si="8"/>
        <v>55.277408218642009</v>
      </c>
      <c r="G128">
        <f t="shared" si="9"/>
        <v>54.014212099893967</v>
      </c>
      <c r="J128">
        <f t="shared" si="10"/>
        <v>1.2631961187480414</v>
      </c>
      <c r="K128">
        <f t="shared" si="11"/>
        <v>1.5956644344201159</v>
      </c>
    </row>
    <row r="129" spans="1:11">
      <c r="A129">
        <v>117</v>
      </c>
      <c r="B129">
        <f t="shared" si="6"/>
        <v>117</v>
      </c>
      <c r="C129">
        <f t="shared" si="7"/>
        <v>54.025009483908072</v>
      </c>
      <c r="D129">
        <v>0.54027509577281307</v>
      </c>
      <c r="E129">
        <f t="shared" si="8"/>
        <v>59.31745667395262</v>
      </c>
      <c r="G129">
        <f t="shared" si="9"/>
        <v>54.461351795015347</v>
      </c>
      <c r="J129">
        <f t="shared" si="10"/>
        <v>4.8561048789372734</v>
      </c>
      <c r="K129">
        <f t="shared" si="11"/>
        <v>23.58175459523839</v>
      </c>
    </row>
    <row r="130" spans="1:11">
      <c r="A130">
        <v>118</v>
      </c>
      <c r="B130">
        <f t="shared" si="6"/>
        <v>118</v>
      </c>
      <c r="C130">
        <f t="shared" si="7"/>
        <v>54.465192448877495</v>
      </c>
      <c r="D130">
        <v>0.80103973232326098</v>
      </c>
      <c r="E130">
        <f t="shared" si="8"/>
        <v>62.31204771505282</v>
      </c>
      <c r="G130">
        <f t="shared" si="9"/>
        <v>54.908491490136718</v>
      </c>
      <c r="J130">
        <f t="shared" si="10"/>
        <v>7.4035562249161018</v>
      </c>
      <c r="K130">
        <f t="shared" si="11"/>
        <v>54.812644775493958</v>
      </c>
    </row>
    <row r="131" spans="1:11">
      <c r="A131">
        <v>119</v>
      </c>
      <c r="B131">
        <f t="shared" si="6"/>
        <v>119</v>
      </c>
      <c r="C131">
        <f t="shared" si="7"/>
        <v>54.905375413846919</v>
      </c>
      <c r="D131">
        <v>0.85669398686150089</v>
      </c>
      <c r="E131">
        <f t="shared" si="8"/>
        <v>63.297410728759473</v>
      </c>
      <c r="G131">
        <f t="shared" si="9"/>
        <v>55.355631185258098</v>
      </c>
      <c r="J131">
        <f t="shared" si="10"/>
        <v>7.9417795435013758</v>
      </c>
      <c r="K131">
        <f t="shared" si="11"/>
        <v>63.071862317576922</v>
      </c>
    </row>
    <row r="132" spans="1:11">
      <c r="A132">
        <v>120</v>
      </c>
      <c r="B132">
        <f t="shared" si="6"/>
        <v>120</v>
      </c>
      <c r="C132">
        <f t="shared" si="7"/>
        <v>55.345558378816349</v>
      </c>
      <c r="D132">
        <v>-0.75049683800898492</v>
      </c>
      <c r="E132">
        <f t="shared" si="8"/>
        <v>47.993813105833809</v>
      </c>
      <c r="G132">
        <f t="shared" si="9"/>
        <v>55.802770880379477</v>
      </c>
      <c r="J132">
        <f t="shared" si="10"/>
        <v>-7.808957774545668</v>
      </c>
      <c r="K132">
        <f t="shared" si="11"/>
        <v>60.979821524637231</v>
      </c>
    </row>
    <row r="133" spans="1:11">
      <c r="A133">
        <v>121</v>
      </c>
      <c r="B133">
        <f t="shared" si="6"/>
        <v>121</v>
      </c>
      <c r="C133">
        <f t="shared" si="7"/>
        <v>55.785741343785773</v>
      </c>
      <c r="D133">
        <v>-0.63915649661794305</v>
      </c>
      <c r="E133">
        <f t="shared" si="8"/>
        <v>49.524667992467016</v>
      </c>
      <c r="G133">
        <f t="shared" si="9"/>
        <v>56.249910575500856</v>
      </c>
      <c r="J133">
        <f t="shared" si="10"/>
        <v>-6.7252425830338396</v>
      </c>
      <c r="K133">
        <f t="shared" si="11"/>
        <v>45.22888780065167</v>
      </c>
    </row>
    <row r="134" spans="1:11">
      <c r="A134">
        <v>122</v>
      </c>
      <c r="B134">
        <f t="shared" si="6"/>
        <v>122</v>
      </c>
      <c r="C134">
        <f t="shared" si="7"/>
        <v>56.225924308755204</v>
      </c>
      <c r="D134">
        <v>0.30527758099196944</v>
      </c>
      <c r="E134">
        <f t="shared" si="8"/>
        <v>59.216373967356411</v>
      </c>
      <c r="G134">
        <f t="shared" si="9"/>
        <v>56.697050270622235</v>
      </c>
      <c r="J134">
        <f t="shared" si="10"/>
        <v>2.5193236967341761</v>
      </c>
      <c r="K134">
        <f t="shared" si="11"/>
        <v>6.3469918889263548</v>
      </c>
    </row>
    <row r="135" spans="1:11">
      <c r="A135">
        <v>123</v>
      </c>
      <c r="B135">
        <f t="shared" si="6"/>
        <v>123</v>
      </c>
      <c r="C135">
        <f t="shared" si="7"/>
        <v>56.666107273724627</v>
      </c>
      <c r="D135">
        <v>0.12258851711521856</v>
      </c>
      <c r="E135">
        <f t="shared" si="8"/>
        <v>57.866964500005118</v>
      </c>
      <c r="G135">
        <f t="shared" si="9"/>
        <v>57.144189965743614</v>
      </c>
      <c r="J135">
        <f t="shared" si="10"/>
        <v>0.72277453426150373</v>
      </c>
      <c r="K135">
        <f t="shared" si="11"/>
        <v>0.52240302737693367</v>
      </c>
    </row>
  </sheetData>
  <mergeCells count="7">
    <mergeCell ref="G3:H3"/>
    <mergeCell ref="F4:H4"/>
    <mergeCell ref="F7:H7"/>
    <mergeCell ref="O45:R45"/>
    <mergeCell ref="O46:R46"/>
    <mergeCell ref="O47:R47"/>
    <mergeCell ref="O48:R4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24040-63BF-45A5-9EBE-E96D1557E570}">
  <dimension ref="A1:U135"/>
  <sheetViews>
    <sheetView topLeftCell="I9" workbookViewId="0">
      <selection activeCell="U50" sqref="U50"/>
    </sheetView>
  </sheetViews>
  <sheetFormatPr defaultRowHeight="14.25"/>
  <cols>
    <col min="2" max="2" width="8.625" customWidth="1"/>
    <col min="3" max="3" width="10.625" customWidth="1"/>
    <col min="6" max="6" width="11.375" customWidth="1"/>
    <col min="7" max="7" width="9.375" bestFit="1" customWidth="1"/>
    <col min="10" max="10" width="9.625" bestFit="1" customWidth="1"/>
    <col min="13" max="13" width="15.625" customWidth="1"/>
  </cols>
  <sheetData>
    <row r="1" spans="1:14" ht="15">
      <c r="A1" s="11" t="s">
        <v>50</v>
      </c>
    </row>
    <row r="3" spans="1:14" ht="15">
      <c r="A3" s="2">
        <v>1</v>
      </c>
      <c r="B3" s="4" t="s">
        <v>0</v>
      </c>
      <c r="C3" s="4"/>
      <c r="F3" s="1">
        <v>5</v>
      </c>
      <c r="G3" s="13" t="s">
        <v>11</v>
      </c>
      <c r="H3" s="13"/>
    </row>
    <row r="4" spans="1:14">
      <c r="A4" t="s">
        <v>3</v>
      </c>
      <c r="C4">
        <v>122.80037842951751</v>
      </c>
      <c r="F4" s="19" t="s">
        <v>12</v>
      </c>
      <c r="G4" s="19"/>
      <c r="H4" s="19"/>
    </row>
    <row r="5" spans="1:14">
      <c r="A5" t="s">
        <v>8</v>
      </c>
      <c r="B5" s="14" t="s">
        <v>23</v>
      </c>
      <c r="F5" t="s">
        <v>5</v>
      </c>
      <c r="G5">
        <v>39.998140228085326</v>
      </c>
    </row>
    <row r="6" spans="1:14">
      <c r="A6" t="s">
        <v>4</v>
      </c>
      <c r="F6" t="s">
        <v>6</v>
      </c>
      <c r="G6">
        <v>-1.4826910850051074</v>
      </c>
    </row>
    <row r="7" spans="1:14">
      <c r="A7" t="s">
        <v>5</v>
      </c>
      <c r="B7">
        <v>4.3276257959660143</v>
      </c>
      <c r="F7" t="s">
        <v>53</v>
      </c>
      <c r="G7" s="15">
        <v>3.9775185770274127E-2</v>
      </c>
    </row>
    <row r="8" spans="1:14">
      <c r="A8" t="s">
        <v>6</v>
      </c>
      <c r="B8">
        <v>0.32688668701011919</v>
      </c>
      <c r="F8" s="19" t="s">
        <v>13</v>
      </c>
      <c r="G8" s="19"/>
      <c r="H8" s="19"/>
    </row>
    <row r="9" spans="1:14">
      <c r="A9" t="s">
        <v>7</v>
      </c>
      <c r="B9">
        <v>85.481391528737731</v>
      </c>
      <c r="F9" t="s">
        <v>14</v>
      </c>
      <c r="G9">
        <f>SUM(K13:K135)</f>
        <v>720903.84471183189</v>
      </c>
    </row>
    <row r="10" spans="1:14">
      <c r="A10" t="s">
        <v>53</v>
      </c>
      <c r="B10">
        <v>2.4691515894373878E-2</v>
      </c>
    </row>
    <row r="11" spans="1:14" ht="15">
      <c r="A11" s="1">
        <v>2</v>
      </c>
      <c r="B11" s="8" t="s">
        <v>9</v>
      </c>
      <c r="G11" s="16">
        <v>3</v>
      </c>
      <c r="H11" s="9" t="s">
        <v>18</v>
      </c>
      <c r="J11" s="16">
        <v>4</v>
      </c>
      <c r="K11" s="9" t="s">
        <v>20</v>
      </c>
      <c r="M11" s="16">
        <v>6</v>
      </c>
      <c r="N11" s="9" t="s">
        <v>24</v>
      </c>
    </row>
    <row r="12" spans="1:14">
      <c r="A12" s="17" t="s">
        <v>1</v>
      </c>
      <c r="B12" s="17" t="s">
        <v>51</v>
      </c>
      <c r="C12" s="18" t="s">
        <v>52</v>
      </c>
      <c r="D12" s="18" t="s">
        <v>16</v>
      </c>
      <c r="E12" s="18" t="s">
        <v>17</v>
      </c>
      <c r="G12" s="18" t="s">
        <v>19</v>
      </c>
      <c r="J12" s="18" t="s">
        <v>21</v>
      </c>
      <c r="K12" s="18" t="s">
        <v>22</v>
      </c>
      <c r="M12" t="s">
        <v>25</v>
      </c>
    </row>
    <row r="13" spans="1:14" ht="15" thickBot="1">
      <c r="A13">
        <v>1</v>
      </c>
      <c r="B13">
        <f>A13^2</f>
        <v>1</v>
      </c>
      <c r="C13">
        <f>$B$7 + $B$8 *A13 + $B$10*B13</f>
        <v>4.6792039988705074</v>
      </c>
      <c r="D13">
        <v>-0.78438688433379899</v>
      </c>
      <c r="E13">
        <f>C13+$B$9*D13</f>
        <v>-62.371278370873682</v>
      </c>
      <c r="G13">
        <f>$G$5 + $G$6 *A13 + $G$7*B13</f>
        <v>38.555224328850493</v>
      </c>
      <c r="J13">
        <f>E13-G13</f>
        <v>-100.92650269972418</v>
      </c>
      <c r="K13">
        <f>J13^2</f>
        <v>10186.158947197433</v>
      </c>
    </row>
    <row r="14" spans="1:14" ht="15">
      <c r="A14">
        <v>2</v>
      </c>
      <c r="B14">
        <f t="shared" ref="B14:B77" si="0">A14^2</f>
        <v>4</v>
      </c>
      <c r="C14">
        <f t="shared" ref="C14:C77" si="1">$B$7 + $B$8 *A14 + $B$10*B14</f>
        <v>5.0801652335637479</v>
      </c>
      <c r="D14">
        <v>0.90069988800678402</v>
      </c>
      <c r="E14">
        <f t="shared" ref="E14:E77" si="2">C14+$B$9*D14</f>
        <v>82.073245010161884</v>
      </c>
      <c r="G14">
        <f t="shared" ref="G14:G77" si="3">$G$5 + $G$6 *A14 + $G$7*B14</f>
        <v>37.191858801156208</v>
      </c>
      <c r="J14">
        <f t="shared" ref="J14:J77" si="4">E14-G14</f>
        <v>44.881386209005676</v>
      </c>
      <c r="K14">
        <f t="shared" ref="K14:K77" si="5">J14^2</f>
        <v>2014.3388280419249</v>
      </c>
      <c r="M14" s="20" t="s">
        <v>26</v>
      </c>
      <c r="N14" s="20"/>
    </row>
    <row r="15" spans="1:14">
      <c r="A15">
        <v>3</v>
      </c>
      <c r="B15">
        <f t="shared" si="0"/>
        <v>9</v>
      </c>
      <c r="C15">
        <f t="shared" si="1"/>
        <v>5.5305095000457367</v>
      </c>
      <c r="D15">
        <v>-0.24031805878621526</v>
      </c>
      <c r="E15">
        <f t="shared" si="2"/>
        <v>-15.01221257448494</v>
      </c>
      <c r="G15">
        <f t="shared" si="3"/>
        <v>35.908043645002472</v>
      </c>
      <c r="J15">
        <f t="shared" si="4"/>
        <v>-50.920256219487413</v>
      </c>
      <c r="K15">
        <f t="shared" si="5"/>
        <v>2592.8724934582465</v>
      </c>
      <c r="M15" s="5" t="s">
        <v>27</v>
      </c>
      <c r="N15" s="5">
        <v>0.80979178408036567</v>
      </c>
    </row>
    <row r="16" spans="1:14">
      <c r="A16">
        <v>4</v>
      </c>
      <c r="B16">
        <f t="shared" si="0"/>
        <v>16</v>
      </c>
      <c r="C16">
        <f t="shared" si="1"/>
        <v>6.0302367983164729</v>
      </c>
      <c r="D16">
        <v>-0.59327703638700768</v>
      </c>
      <c r="E16">
        <f t="shared" si="2"/>
        <v>-44.683909834090514</v>
      </c>
      <c r="G16">
        <f t="shared" si="3"/>
        <v>34.703778860389278</v>
      </c>
      <c r="J16">
        <f t="shared" si="4"/>
        <v>-79.387688694479792</v>
      </c>
      <c r="K16">
        <f t="shared" si="5"/>
        <v>6302.4051162516344</v>
      </c>
      <c r="M16" s="5" t="s">
        <v>28</v>
      </c>
      <c r="N16" s="5">
        <v>0.65576273356406156</v>
      </c>
    </row>
    <row r="17" spans="1:21">
      <c r="A17">
        <v>5</v>
      </c>
      <c r="B17">
        <f t="shared" si="0"/>
        <v>25</v>
      </c>
      <c r="C17">
        <f t="shared" si="1"/>
        <v>6.5793471283759573</v>
      </c>
      <c r="D17">
        <v>0.99693352240137756</v>
      </c>
      <c r="E17">
        <f t="shared" si="2"/>
        <v>91.798611884891741</v>
      </c>
      <c r="G17">
        <f t="shared" si="3"/>
        <v>33.57906444731664</v>
      </c>
      <c r="J17">
        <f t="shared" si="4"/>
        <v>58.219547437575102</v>
      </c>
      <c r="K17">
        <f t="shared" si="5"/>
        <v>3389.5157038360576</v>
      </c>
      <c r="M17" s="5" t="s">
        <v>29</v>
      </c>
      <c r="N17" s="5">
        <v>0.65291779747781409</v>
      </c>
    </row>
    <row r="18" spans="1:21">
      <c r="A18">
        <v>6</v>
      </c>
      <c r="B18">
        <f t="shared" si="0"/>
        <v>36</v>
      </c>
      <c r="C18">
        <f t="shared" si="1"/>
        <v>7.177840490224189</v>
      </c>
      <c r="D18">
        <v>0.9662221600592602</v>
      </c>
      <c r="E18">
        <f t="shared" si="2"/>
        <v>89.771855257992499</v>
      </c>
      <c r="G18">
        <f t="shared" si="3"/>
        <v>32.53390040578455</v>
      </c>
      <c r="J18">
        <f t="shared" si="4"/>
        <v>57.237954852207949</v>
      </c>
      <c r="K18">
        <f t="shared" si="5"/>
        <v>3276.1834756633953</v>
      </c>
      <c r="M18" s="5" t="s">
        <v>30</v>
      </c>
      <c r="N18" s="5">
        <v>89.46470430197715</v>
      </c>
    </row>
    <row r="19" spans="1:21" ht="15" thickBot="1">
      <c r="A19">
        <v>7</v>
      </c>
      <c r="B19">
        <f t="shared" si="0"/>
        <v>49</v>
      </c>
      <c r="C19">
        <f t="shared" si="1"/>
        <v>7.8257168838611681</v>
      </c>
      <c r="D19">
        <v>0.36116261981078424</v>
      </c>
      <c r="E19">
        <f t="shared" si="2"/>
        <v>38.698400193451462</v>
      </c>
      <c r="G19">
        <f t="shared" si="3"/>
        <v>31.568286735793006</v>
      </c>
      <c r="J19">
        <f t="shared" si="4"/>
        <v>7.1301134576584566</v>
      </c>
      <c r="K19">
        <f t="shared" si="5"/>
        <v>50.838517919082229</v>
      </c>
      <c r="M19" s="6" t="s">
        <v>31</v>
      </c>
      <c r="N19" s="6">
        <v>123</v>
      </c>
    </row>
    <row r="20" spans="1:21">
      <c r="A20">
        <v>8</v>
      </c>
      <c r="B20">
        <f t="shared" si="0"/>
        <v>64</v>
      </c>
      <c r="C20">
        <f t="shared" si="1"/>
        <v>8.5229763092868964</v>
      </c>
      <c r="D20">
        <v>1.0078065315610729</v>
      </c>
      <c r="E20">
        <f t="shared" si="2"/>
        <v>94.671681018878161</v>
      </c>
      <c r="G20">
        <f t="shared" si="3"/>
        <v>30.68222343734201</v>
      </c>
      <c r="J20">
        <f t="shared" si="4"/>
        <v>63.989457581536151</v>
      </c>
      <c r="K20">
        <f t="shared" si="5"/>
        <v>4094.6506815792145</v>
      </c>
    </row>
    <row r="21" spans="1:21" ht="15" thickBot="1">
      <c r="A21">
        <v>9</v>
      </c>
      <c r="B21">
        <f t="shared" si="0"/>
        <v>81</v>
      </c>
      <c r="C21">
        <f t="shared" si="1"/>
        <v>9.2696187665013703</v>
      </c>
      <c r="D21">
        <v>1.3553744793171063</v>
      </c>
      <c r="E21">
        <f t="shared" si="2"/>
        <v>125.12891530106597</v>
      </c>
      <c r="G21">
        <f t="shared" si="3"/>
        <v>29.875710510431563</v>
      </c>
      <c r="J21">
        <f t="shared" si="4"/>
        <v>95.253204790634413</v>
      </c>
      <c r="K21">
        <f t="shared" si="5"/>
        <v>9073.1730228865381</v>
      </c>
      <c r="M21" t="s">
        <v>32</v>
      </c>
    </row>
    <row r="22" spans="1:21" ht="15">
      <c r="A22">
        <v>10</v>
      </c>
      <c r="B22">
        <f t="shared" si="0"/>
        <v>100</v>
      </c>
      <c r="C22">
        <f t="shared" si="1"/>
        <v>10.065644255504594</v>
      </c>
      <c r="D22">
        <v>3.7455265555763617E-2</v>
      </c>
      <c r="E22">
        <f t="shared" si="2"/>
        <v>13.267372475289669</v>
      </c>
      <c r="G22">
        <f t="shared" si="3"/>
        <v>29.148747955061665</v>
      </c>
      <c r="J22">
        <f t="shared" si="4"/>
        <v>-15.881375479771997</v>
      </c>
      <c r="K22">
        <f t="shared" si="5"/>
        <v>252.2180871295032</v>
      </c>
      <c r="M22" s="7"/>
      <c r="N22" s="7" t="s">
        <v>37</v>
      </c>
      <c r="O22" s="7" t="s">
        <v>38</v>
      </c>
      <c r="P22" s="7" t="s">
        <v>39</v>
      </c>
      <c r="Q22" s="7" t="s">
        <v>40</v>
      </c>
      <c r="R22" s="7" t="s">
        <v>41</v>
      </c>
    </row>
    <row r="23" spans="1:21">
      <c r="A23">
        <v>11</v>
      </c>
      <c r="B23">
        <f t="shared" si="0"/>
        <v>121</v>
      </c>
      <c r="C23">
        <f t="shared" si="1"/>
        <v>10.911052776296565</v>
      </c>
      <c r="D23">
        <v>-0.62784238252788782</v>
      </c>
      <c r="E23">
        <f t="shared" si="2"/>
        <v>-42.757787742905343</v>
      </c>
      <c r="G23">
        <f t="shared" si="3"/>
        <v>28.501335771232313</v>
      </c>
      <c r="J23">
        <f t="shared" si="4"/>
        <v>-71.259123514137656</v>
      </c>
      <c r="K23">
        <f t="shared" si="5"/>
        <v>5077.8626840031266</v>
      </c>
      <c r="M23" s="5" t="s">
        <v>33</v>
      </c>
      <c r="N23" s="5">
        <v>1</v>
      </c>
      <c r="O23" s="5">
        <v>1844920.5997393925</v>
      </c>
      <c r="P23" s="5">
        <v>1844920.5997393925</v>
      </c>
      <c r="Q23" s="5">
        <v>230.50174544660393</v>
      </c>
      <c r="R23" s="5">
        <v>8.4985384891193692E-30</v>
      </c>
    </row>
    <row r="24" spans="1:21">
      <c r="A24">
        <v>12</v>
      </c>
      <c r="B24">
        <f t="shared" si="0"/>
        <v>144</v>
      </c>
      <c r="C24">
        <f t="shared" si="1"/>
        <v>11.805844328877283</v>
      </c>
      <c r="D24">
        <v>1.1634756447165273</v>
      </c>
      <c r="E24">
        <f t="shared" si="2"/>
        <v>111.26136144904132</v>
      </c>
      <c r="G24">
        <f t="shared" si="3"/>
        <v>27.933473958943512</v>
      </c>
      <c r="J24">
        <f t="shared" si="4"/>
        <v>83.327887490097808</v>
      </c>
      <c r="K24">
        <f t="shared" si="5"/>
        <v>6943.5368335623989</v>
      </c>
      <c r="M24" s="5" t="s">
        <v>34</v>
      </c>
      <c r="N24" s="5">
        <v>121</v>
      </c>
      <c r="O24" s="5">
        <v>968475.93121666531</v>
      </c>
      <c r="P24" s="5">
        <v>8003.9333158402096</v>
      </c>
      <c r="Q24" s="5"/>
      <c r="R24" s="5"/>
    </row>
    <row r="25" spans="1:21" ht="15" thickBot="1">
      <c r="A25">
        <v>13</v>
      </c>
      <c r="B25">
        <f t="shared" si="0"/>
        <v>169</v>
      </c>
      <c r="C25">
        <f t="shared" si="1"/>
        <v>12.750018913246748</v>
      </c>
      <c r="D25">
        <v>-0.40911572796176188</v>
      </c>
      <c r="E25">
        <f t="shared" si="2"/>
        <v>-22.221762809217175</v>
      </c>
      <c r="G25">
        <f t="shared" si="3"/>
        <v>27.445162518195261</v>
      </c>
      <c r="J25">
        <f t="shared" si="4"/>
        <v>-49.666925327412436</v>
      </c>
      <c r="K25">
        <f t="shared" si="5"/>
        <v>2466.8034714787627</v>
      </c>
      <c r="M25" s="6" t="s">
        <v>35</v>
      </c>
      <c r="N25" s="6">
        <v>122</v>
      </c>
      <c r="O25" s="6">
        <v>2813396.5309560578</v>
      </c>
      <c r="P25" s="6"/>
      <c r="Q25" s="6"/>
      <c r="R25" s="6"/>
    </row>
    <row r="26" spans="1:21" ht="15" thickBot="1">
      <c r="A26">
        <v>14</v>
      </c>
      <c r="B26">
        <f t="shared" si="0"/>
        <v>196</v>
      </c>
      <c r="C26">
        <f t="shared" si="1"/>
        <v>13.743576529404962</v>
      </c>
      <c r="D26">
        <v>1.1546399036888033</v>
      </c>
      <c r="E26">
        <f t="shared" si="2"/>
        <v>112.44380221133159</v>
      </c>
      <c r="G26">
        <f t="shared" si="3"/>
        <v>27.036401448987554</v>
      </c>
      <c r="J26">
        <f t="shared" si="4"/>
        <v>85.407400762344025</v>
      </c>
      <c r="K26">
        <f t="shared" si="5"/>
        <v>7294.4241049796428</v>
      </c>
    </row>
    <row r="27" spans="1:21" ht="15">
      <c r="A27">
        <v>15</v>
      </c>
      <c r="B27">
        <f t="shared" si="0"/>
        <v>225</v>
      </c>
      <c r="C27">
        <f t="shared" si="1"/>
        <v>14.786517177351925</v>
      </c>
      <c r="D27">
        <v>1.8015953173744492E-2</v>
      </c>
      <c r="E27">
        <f t="shared" si="2"/>
        <v>16.326545924360182</v>
      </c>
      <c r="G27">
        <f t="shared" si="3"/>
        <v>26.707190751320397</v>
      </c>
      <c r="J27">
        <f t="shared" si="4"/>
        <v>-10.380644826960214</v>
      </c>
      <c r="K27">
        <f t="shared" si="5"/>
        <v>107.75778702349585</v>
      </c>
      <c r="M27" s="7"/>
      <c r="N27" s="7" t="s">
        <v>42</v>
      </c>
      <c r="O27" s="7" t="s">
        <v>30</v>
      </c>
      <c r="P27" s="7" t="s">
        <v>43</v>
      </c>
      <c r="Q27" s="7" t="s">
        <v>44</v>
      </c>
      <c r="R27" s="7" t="s">
        <v>45</v>
      </c>
      <c r="S27" s="7" t="s">
        <v>46</v>
      </c>
      <c r="T27" s="7" t="s">
        <v>47</v>
      </c>
      <c r="U27" s="7" t="s">
        <v>48</v>
      </c>
    </row>
    <row r="28" spans="1:21">
      <c r="A28">
        <v>16</v>
      </c>
      <c r="B28">
        <f t="shared" si="0"/>
        <v>256</v>
      </c>
      <c r="C28">
        <f t="shared" si="1"/>
        <v>15.878840857087635</v>
      </c>
      <c r="D28">
        <v>-0.3215882315998897</v>
      </c>
      <c r="E28">
        <f t="shared" si="2"/>
        <v>-11.610968679336924</v>
      </c>
      <c r="G28">
        <f t="shared" si="3"/>
        <v>26.457530425193784</v>
      </c>
      <c r="J28">
        <f t="shared" si="4"/>
        <v>-38.068499104530709</v>
      </c>
      <c r="K28">
        <f t="shared" si="5"/>
        <v>1449.2106240716553</v>
      </c>
      <c r="M28" s="5" t="s">
        <v>36</v>
      </c>
      <c r="N28" s="5">
        <v>-62.753797475233966</v>
      </c>
      <c r="O28" s="5">
        <v>16.232399931782101</v>
      </c>
      <c r="P28" s="5">
        <v>-3.8659592998547097</v>
      </c>
      <c r="Q28" s="5">
        <v>1.7947129788325371E-4</v>
      </c>
      <c r="R28" s="5">
        <v>-94.890114638671065</v>
      </c>
      <c r="S28" s="5">
        <v>-30.617480311796875</v>
      </c>
      <c r="T28" s="5">
        <v>-94.890114638671065</v>
      </c>
      <c r="U28" s="5">
        <v>-30.617480311796875</v>
      </c>
    </row>
    <row r="29" spans="1:21" ht="15" thickBot="1">
      <c r="A29">
        <v>17</v>
      </c>
      <c r="B29">
        <f t="shared" si="0"/>
        <v>289</v>
      </c>
      <c r="C29">
        <f t="shared" si="1"/>
        <v>17.020547568612091</v>
      </c>
      <c r="D29">
        <v>0.23465304366254713</v>
      </c>
      <c r="E29">
        <f t="shared" si="2"/>
        <v>37.079016267340272</v>
      </c>
      <c r="G29">
        <f t="shared" si="3"/>
        <v>26.287420470607721</v>
      </c>
      <c r="J29">
        <f t="shared" si="4"/>
        <v>10.791595796732551</v>
      </c>
      <c r="K29">
        <f t="shared" si="5"/>
        <v>116.45853984005566</v>
      </c>
      <c r="M29" s="6" t="s">
        <v>49</v>
      </c>
      <c r="N29" s="6">
        <v>3.449341149402271</v>
      </c>
      <c r="O29" s="6">
        <v>0.22719514168236959</v>
      </c>
      <c r="P29" s="6">
        <v>15.182283933802713</v>
      </c>
      <c r="Q29" s="6">
        <v>8.4985384891193692E-30</v>
      </c>
      <c r="R29" s="6">
        <v>2.999548440882239</v>
      </c>
      <c r="S29" s="6">
        <v>3.8991338579223029</v>
      </c>
      <c r="T29" s="6">
        <v>2.999548440882239</v>
      </c>
      <c r="U29" s="6">
        <v>3.8991338579223029</v>
      </c>
    </row>
    <row r="30" spans="1:21">
      <c r="A30">
        <v>18</v>
      </c>
      <c r="B30">
        <f t="shared" si="0"/>
        <v>324</v>
      </c>
      <c r="C30">
        <f t="shared" si="1"/>
        <v>18.211637311925294</v>
      </c>
      <c r="D30">
        <v>0.45650040192413144</v>
      </c>
      <c r="E30">
        <f t="shared" si="2"/>
        <v>57.233926901828113</v>
      </c>
      <c r="G30">
        <f t="shared" si="3"/>
        <v>26.19686088756221</v>
      </c>
      <c r="J30">
        <f t="shared" si="4"/>
        <v>31.037066014265903</v>
      </c>
      <c r="K30">
        <f t="shared" si="5"/>
        <v>963.29946677389955</v>
      </c>
    </row>
    <row r="31" spans="1:21">
      <c r="A31">
        <v>19</v>
      </c>
      <c r="B31">
        <f t="shared" si="0"/>
        <v>361</v>
      </c>
      <c r="C31">
        <f t="shared" si="1"/>
        <v>19.452110087027251</v>
      </c>
      <c r="D31">
        <v>-1.192411218653433</v>
      </c>
      <c r="E31">
        <f t="shared" si="2"/>
        <v>-82.476860157946149</v>
      </c>
      <c r="G31">
        <f t="shared" si="3"/>
        <v>26.185851676057244</v>
      </c>
      <c r="J31">
        <f t="shared" si="4"/>
        <v>-108.66271183400339</v>
      </c>
      <c r="K31">
        <f t="shared" si="5"/>
        <v>11807.58494311966</v>
      </c>
    </row>
    <row r="32" spans="1:21">
      <c r="A32">
        <v>20</v>
      </c>
      <c r="B32">
        <f t="shared" si="0"/>
        <v>400</v>
      </c>
      <c r="C32">
        <f t="shared" si="1"/>
        <v>20.74196589391795</v>
      </c>
      <c r="D32">
        <v>-1.2202008292661048E-2</v>
      </c>
      <c r="E32">
        <f t="shared" si="2"/>
        <v>19.698921245616088</v>
      </c>
      <c r="G32">
        <f t="shared" si="3"/>
        <v>26.254392836092826</v>
      </c>
      <c r="J32">
        <f t="shared" si="4"/>
        <v>-6.5554715904767384</v>
      </c>
      <c r="K32">
        <f t="shared" si="5"/>
        <v>42.974207773547619</v>
      </c>
      <c r="M32" t="s">
        <v>25</v>
      </c>
    </row>
    <row r="33" spans="1:21" ht="15" thickBot="1">
      <c r="A33">
        <v>21</v>
      </c>
      <c r="B33">
        <f t="shared" si="0"/>
        <v>441</v>
      </c>
      <c r="C33">
        <f t="shared" si="1"/>
        <v>22.081204732597399</v>
      </c>
      <c r="D33">
        <v>-0.13740191207034513</v>
      </c>
      <c r="E33">
        <f t="shared" si="2"/>
        <v>10.335898090115032</v>
      </c>
      <c r="G33">
        <f t="shared" si="3"/>
        <v>26.402484367668961</v>
      </c>
      <c r="J33">
        <f t="shared" si="4"/>
        <v>-16.066586277553931</v>
      </c>
      <c r="K33">
        <f t="shared" si="5"/>
        <v>258.1351946140843</v>
      </c>
    </row>
    <row r="34" spans="1:21" ht="15">
      <c r="A34">
        <v>22</v>
      </c>
      <c r="B34">
        <f t="shared" si="0"/>
        <v>484</v>
      </c>
      <c r="C34">
        <f t="shared" si="1"/>
        <v>23.469826603065592</v>
      </c>
      <c r="D34">
        <v>-0.59519379647099413</v>
      </c>
      <c r="E34">
        <f t="shared" si="2"/>
        <v>-27.408167348547295</v>
      </c>
      <c r="G34">
        <f t="shared" si="3"/>
        <v>26.630126270785638</v>
      </c>
      <c r="J34">
        <f t="shared" si="4"/>
        <v>-54.038293619332933</v>
      </c>
      <c r="K34">
        <f t="shared" si="5"/>
        <v>2920.1371772892385</v>
      </c>
      <c r="M34" s="20" t="s">
        <v>26</v>
      </c>
      <c r="N34" s="20"/>
    </row>
    <row r="35" spans="1:21">
      <c r="A35">
        <v>23</v>
      </c>
      <c r="B35">
        <f t="shared" si="0"/>
        <v>529</v>
      </c>
      <c r="C35">
        <f t="shared" si="1"/>
        <v>24.907831505322534</v>
      </c>
      <c r="D35">
        <v>-0.19145318219671026</v>
      </c>
      <c r="E35">
        <f t="shared" si="2"/>
        <v>8.5421470785427829</v>
      </c>
      <c r="G35">
        <f t="shared" si="3"/>
        <v>26.937318545442867</v>
      </c>
      <c r="J35">
        <f t="shared" si="4"/>
        <v>-18.395171466900084</v>
      </c>
      <c r="K35">
        <f t="shared" si="5"/>
        <v>338.38233329665502</v>
      </c>
      <c r="M35" s="5" t="s">
        <v>27</v>
      </c>
      <c r="N35" s="5">
        <v>0.86241540510261028</v>
      </c>
    </row>
    <row r="36" spans="1:21">
      <c r="A36">
        <v>24</v>
      </c>
      <c r="B36">
        <f t="shared" si="0"/>
        <v>576</v>
      </c>
      <c r="C36">
        <f t="shared" si="1"/>
        <v>26.395219439368226</v>
      </c>
      <c r="D36">
        <v>2.7350779419066384E-2</v>
      </c>
      <c r="E36">
        <f t="shared" si="2"/>
        <v>28.733202123505581</v>
      </c>
      <c r="G36">
        <f t="shared" si="3"/>
        <v>27.324061191640649</v>
      </c>
      <c r="J36">
        <f t="shared" si="4"/>
        <v>1.4091409318649326</v>
      </c>
      <c r="K36">
        <f t="shared" si="5"/>
        <v>1.9856781658571707</v>
      </c>
      <c r="M36" s="5" t="s">
        <v>28</v>
      </c>
      <c r="N36" s="5">
        <v>0.7437603309582993</v>
      </c>
    </row>
    <row r="37" spans="1:21">
      <c r="A37">
        <v>25</v>
      </c>
      <c r="B37">
        <f t="shared" si="0"/>
        <v>625</v>
      </c>
      <c r="C37">
        <f t="shared" si="1"/>
        <v>27.931990405202669</v>
      </c>
      <c r="D37">
        <v>0.85570036389981396</v>
      </c>
      <c r="E37">
        <f t="shared" si="2"/>
        <v>101.07844824300602</v>
      </c>
      <c r="G37">
        <f t="shared" si="3"/>
        <v>27.790354209378975</v>
      </c>
      <c r="J37">
        <f t="shared" si="4"/>
        <v>73.288094033627047</v>
      </c>
      <c r="K37">
        <f t="shared" si="5"/>
        <v>5371.1447270817607</v>
      </c>
      <c r="M37" s="5" t="s">
        <v>29</v>
      </c>
      <c r="N37" s="5">
        <v>0.73948966980760422</v>
      </c>
    </row>
    <row r="38" spans="1:21">
      <c r="A38">
        <v>26</v>
      </c>
      <c r="B38">
        <f t="shared" si="0"/>
        <v>676</v>
      </c>
      <c r="C38">
        <f t="shared" si="1"/>
        <v>29.518144402825854</v>
      </c>
      <c r="D38">
        <v>-0.4659455044020433</v>
      </c>
      <c r="E38">
        <f t="shared" si="2"/>
        <v>-10.311525690020396</v>
      </c>
      <c r="G38">
        <f t="shared" si="3"/>
        <v>28.336197598657847</v>
      </c>
      <c r="J38">
        <f t="shared" si="4"/>
        <v>-38.647723288678243</v>
      </c>
      <c r="K38">
        <f t="shared" si="5"/>
        <v>1493.6465153982426</v>
      </c>
      <c r="M38" s="5" t="s">
        <v>30</v>
      </c>
      <c r="N38" s="5">
        <v>77.508268159771674</v>
      </c>
    </row>
    <row r="39" spans="1:21" ht="15" thickBot="1">
      <c r="A39">
        <v>27</v>
      </c>
      <c r="B39">
        <f t="shared" si="0"/>
        <v>729</v>
      </c>
      <c r="C39">
        <f t="shared" si="1"/>
        <v>31.153681432237789</v>
      </c>
      <c r="D39">
        <v>1.370872269035317</v>
      </c>
      <c r="E39">
        <f t="shared" si="2"/>
        <v>148.33775059753481</v>
      </c>
      <c r="G39">
        <f t="shared" si="3"/>
        <v>28.961591359477268</v>
      </c>
      <c r="J39">
        <f t="shared" si="4"/>
        <v>119.37615923805754</v>
      </c>
      <c r="K39">
        <f t="shared" si="5"/>
        <v>14250.667394430071</v>
      </c>
      <c r="M39" s="6" t="s">
        <v>31</v>
      </c>
      <c r="N39" s="6">
        <v>123</v>
      </c>
    </row>
    <row r="40" spans="1:21">
      <c r="A40">
        <v>28</v>
      </c>
      <c r="B40">
        <f t="shared" si="0"/>
        <v>784</v>
      </c>
      <c r="C40">
        <f t="shared" si="1"/>
        <v>32.838601493438475</v>
      </c>
      <c r="D40">
        <v>-0.8247775440395344</v>
      </c>
      <c r="E40">
        <f t="shared" si="2"/>
        <v>-37.664530672715699</v>
      </c>
      <c r="G40">
        <f t="shared" si="3"/>
        <v>29.666535491837237</v>
      </c>
      <c r="J40">
        <f t="shared" si="4"/>
        <v>-67.331066164552936</v>
      </c>
      <c r="K40">
        <f t="shared" si="5"/>
        <v>4533.4724708554049</v>
      </c>
    </row>
    <row r="41" spans="1:21" ht="15" thickBot="1">
      <c r="A41">
        <v>29</v>
      </c>
      <c r="B41">
        <f t="shared" si="0"/>
        <v>841</v>
      </c>
      <c r="C41">
        <f t="shared" si="1"/>
        <v>34.572904586427903</v>
      </c>
      <c r="D41">
        <v>-1.2740588317683432</v>
      </c>
      <c r="E41">
        <f t="shared" si="2"/>
        <v>-74.335417242608031</v>
      </c>
      <c r="G41">
        <f t="shared" si="3"/>
        <v>30.451029995737755</v>
      </c>
      <c r="J41">
        <f t="shared" si="4"/>
        <v>-104.78644723834579</v>
      </c>
      <c r="K41">
        <f t="shared" si="5"/>
        <v>10980.199524834625</v>
      </c>
      <c r="M41" t="s">
        <v>32</v>
      </c>
    </row>
    <row r="42" spans="1:21" ht="15">
      <c r="A42">
        <v>30</v>
      </c>
      <c r="B42">
        <f t="shared" si="0"/>
        <v>900</v>
      </c>
      <c r="C42">
        <f t="shared" si="1"/>
        <v>36.356590711206081</v>
      </c>
      <c r="D42">
        <v>0.41377802517672535</v>
      </c>
      <c r="E42">
        <f t="shared" si="2"/>
        <v>71.726912087325644</v>
      </c>
      <c r="G42">
        <f t="shared" si="3"/>
        <v>31.315074871178822</v>
      </c>
      <c r="J42">
        <f t="shared" si="4"/>
        <v>40.411837216146822</v>
      </c>
      <c r="K42">
        <f t="shared" si="5"/>
        <v>1633.1165871843493</v>
      </c>
      <c r="M42" s="7"/>
      <c r="N42" s="7" t="s">
        <v>37</v>
      </c>
      <c r="O42" s="7" t="s">
        <v>38</v>
      </c>
      <c r="P42" s="7" t="s">
        <v>39</v>
      </c>
      <c r="Q42" s="7" t="s">
        <v>40</v>
      </c>
      <c r="R42" s="7" t="s">
        <v>41</v>
      </c>
    </row>
    <row r="43" spans="1:21">
      <c r="A43">
        <v>31</v>
      </c>
      <c r="B43">
        <f t="shared" si="0"/>
        <v>961</v>
      </c>
      <c r="C43">
        <f t="shared" si="1"/>
        <v>38.189659867773003</v>
      </c>
      <c r="D43">
        <v>-1.3327235137694515</v>
      </c>
      <c r="E43">
        <f t="shared" si="2"/>
        <v>-75.733400612308571</v>
      </c>
      <c r="G43">
        <f t="shared" si="3"/>
        <v>32.258670118160431</v>
      </c>
      <c r="J43">
        <f t="shared" si="4"/>
        <v>-107.99207073046901</v>
      </c>
      <c r="K43">
        <f t="shared" si="5"/>
        <v>11662.28734065462</v>
      </c>
      <c r="M43" s="5" t="s">
        <v>33</v>
      </c>
      <c r="N43" s="5">
        <v>2</v>
      </c>
      <c r="O43" s="5">
        <v>2092492.7349808088</v>
      </c>
      <c r="P43" s="5">
        <v>1046246.3674904044</v>
      </c>
      <c r="Q43" s="5">
        <v>174.15578167264783</v>
      </c>
      <c r="R43" s="5">
        <v>3.3020366050667672E-36</v>
      </c>
    </row>
    <row r="44" spans="1:21">
      <c r="A44">
        <v>32</v>
      </c>
      <c r="B44">
        <f t="shared" si="0"/>
        <v>1024</v>
      </c>
      <c r="C44">
        <f t="shared" si="1"/>
        <v>40.072112056128681</v>
      </c>
      <c r="D44">
        <v>-0.22962353796174284</v>
      </c>
      <c r="E44">
        <f t="shared" si="2"/>
        <v>20.443572503406969</v>
      </c>
      <c r="G44">
        <f t="shared" si="3"/>
        <v>33.281815736682596</v>
      </c>
      <c r="J44">
        <f t="shared" si="4"/>
        <v>-12.838243233275627</v>
      </c>
      <c r="K44">
        <f t="shared" si="5"/>
        <v>164.82048931674743</v>
      </c>
      <c r="M44" s="5" t="s">
        <v>34</v>
      </c>
      <c r="N44" s="5">
        <v>120</v>
      </c>
      <c r="O44" s="5">
        <v>720903.79597524903</v>
      </c>
      <c r="P44" s="5">
        <v>6007.5316331270751</v>
      </c>
      <c r="Q44" s="5"/>
      <c r="R44" s="5"/>
    </row>
    <row r="45" spans="1:21" ht="15" thickBot="1">
      <c r="A45">
        <v>33</v>
      </c>
      <c r="B45">
        <f t="shared" si="0"/>
        <v>1089</v>
      </c>
      <c r="C45">
        <f t="shared" si="1"/>
        <v>42.003947276273102</v>
      </c>
      <c r="D45">
        <v>-0.46995637603686191</v>
      </c>
      <c r="E45">
        <f t="shared" si="2"/>
        <v>1.8314222948394132</v>
      </c>
      <c r="G45">
        <f t="shared" si="3"/>
        <v>34.384511726745309</v>
      </c>
      <c r="J45">
        <f t="shared" si="4"/>
        <v>-32.553089431905896</v>
      </c>
      <c r="K45">
        <f t="shared" si="5"/>
        <v>1059.7036315616633</v>
      </c>
      <c r="M45" s="6" t="s">
        <v>35</v>
      </c>
      <c r="N45" s="6">
        <v>122</v>
      </c>
      <c r="O45" s="6">
        <v>2813396.5309560578</v>
      </c>
      <c r="P45" s="6"/>
      <c r="Q45" s="6"/>
      <c r="R45" s="6"/>
    </row>
    <row r="46" spans="1:21" ht="15" thickBot="1">
      <c r="A46">
        <v>34</v>
      </c>
      <c r="B46">
        <f t="shared" si="0"/>
        <v>1156</v>
      </c>
      <c r="C46">
        <f t="shared" si="1"/>
        <v>43.985165528206267</v>
      </c>
      <c r="D46">
        <v>-0.21777964320790488</v>
      </c>
      <c r="E46">
        <f t="shared" si="2"/>
        <v>25.369058580162541</v>
      </c>
      <c r="G46">
        <f t="shared" si="3"/>
        <v>35.566758088348564</v>
      </c>
      <c r="J46">
        <f t="shared" si="4"/>
        <v>-10.197699508186023</v>
      </c>
      <c r="K46">
        <f t="shared" si="5"/>
        <v>103.99307525925745</v>
      </c>
    </row>
    <row r="47" spans="1:21" ht="15">
      <c r="A47">
        <v>35</v>
      </c>
      <c r="B47">
        <f t="shared" si="0"/>
        <v>1225</v>
      </c>
      <c r="C47">
        <f t="shared" si="1"/>
        <v>46.015766811928188</v>
      </c>
      <c r="D47">
        <v>1.3377598406805191</v>
      </c>
      <c r="E47">
        <f t="shared" si="2"/>
        <v>160.36933952456144</v>
      </c>
      <c r="G47">
        <f t="shared" si="3"/>
        <v>36.828554821492375</v>
      </c>
      <c r="J47">
        <f t="shared" si="4"/>
        <v>123.54078470306906</v>
      </c>
      <c r="K47">
        <f t="shared" si="5"/>
        <v>15262.325485050063</v>
      </c>
      <c r="M47" s="7"/>
      <c r="N47" s="7" t="s">
        <v>42</v>
      </c>
      <c r="O47" s="7" t="s">
        <v>30</v>
      </c>
      <c r="P47" s="7" t="s">
        <v>43</v>
      </c>
      <c r="Q47" s="7" t="s">
        <v>44</v>
      </c>
      <c r="R47" s="7" t="s">
        <v>45</v>
      </c>
      <c r="S47" s="7" t="s">
        <v>46</v>
      </c>
      <c r="T47" s="7" t="s">
        <v>47</v>
      </c>
      <c r="U47" s="7" t="s">
        <v>48</v>
      </c>
    </row>
    <row r="48" spans="1:21">
      <c r="A48">
        <v>36</v>
      </c>
      <c r="B48">
        <f t="shared" si="0"/>
        <v>1296</v>
      </c>
      <c r="C48">
        <f t="shared" si="1"/>
        <v>48.095751127438845</v>
      </c>
      <c r="D48">
        <v>0.9291829883295577</v>
      </c>
      <c r="E48">
        <f t="shared" si="2"/>
        <v>127.52360595468031</v>
      </c>
      <c r="G48">
        <f t="shared" si="3"/>
        <v>38.169901926176728</v>
      </c>
      <c r="J48">
        <f t="shared" si="4"/>
        <v>89.353704028503586</v>
      </c>
      <c r="K48">
        <f t="shared" si="5"/>
        <v>7984.084423613418</v>
      </c>
      <c r="M48" s="5" t="s">
        <v>36</v>
      </c>
      <c r="N48" s="5">
        <v>40.042287854192551</v>
      </c>
      <c r="O48" s="5">
        <v>21.311647355993905</v>
      </c>
      <c r="P48" s="5">
        <v>1.8788921937998684</v>
      </c>
      <c r="Q48" s="5">
        <v>6.2685312144650701E-2</v>
      </c>
      <c r="R48" s="5">
        <v>-2.1532907283346034</v>
      </c>
      <c r="S48" s="5">
        <v>82.237866436719713</v>
      </c>
      <c r="T48" s="5">
        <v>-2.1532907283346034</v>
      </c>
      <c r="U48" s="5">
        <v>82.237866436719713</v>
      </c>
    </row>
    <row r="49" spans="1:21">
      <c r="A49">
        <v>37</v>
      </c>
      <c r="B49">
        <f t="shared" si="0"/>
        <v>1369</v>
      </c>
      <c r="C49">
        <f t="shared" si="1"/>
        <v>50.225118474738267</v>
      </c>
      <c r="D49">
        <v>-1.0002099770645145</v>
      </c>
      <c r="E49">
        <f t="shared" si="2"/>
        <v>-35.274222185663291</v>
      </c>
      <c r="G49">
        <f t="shared" si="3"/>
        <v>39.590799402401629</v>
      </c>
      <c r="J49">
        <f t="shared" si="4"/>
        <v>-74.86502158806492</v>
      </c>
      <c r="K49">
        <f t="shared" si="5"/>
        <v>5604.7714573814264</v>
      </c>
      <c r="M49" s="5" t="s">
        <v>49</v>
      </c>
      <c r="N49" s="5">
        <v>-1.4848709464102017</v>
      </c>
      <c r="O49" s="5">
        <v>0.79342826536706157</v>
      </c>
      <c r="P49" s="5">
        <v>-1.8714621235774349</v>
      </c>
      <c r="Q49" s="5">
        <v>6.3716124814973685E-2</v>
      </c>
      <c r="R49" s="5">
        <v>-3.0558036932622668</v>
      </c>
      <c r="S49" s="5">
        <v>8.6061800441863401E-2</v>
      </c>
      <c r="T49" s="5">
        <v>-3.0558036932622668</v>
      </c>
      <c r="U49" s="5">
        <v>8.6061800441863401E-2</v>
      </c>
    </row>
    <row r="50" spans="1:21" ht="15" thickBot="1">
      <c r="A50">
        <v>38</v>
      </c>
      <c r="B50">
        <f t="shared" si="0"/>
        <v>1444</v>
      </c>
      <c r="C50">
        <f t="shared" si="1"/>
        <v>52.403868853826424</v>
      </c>
      <c r="D50">
        <v>0.19979665921709966</v>
      </c>
      <c r="E50">
        <f t="shared" si="2"/>
        <v>69.4827653064971</v>
      </c>
      <c r="G50">
        <f t="shared" si="3"/>
        <v>41.091247250167079</v>
      </c>
      <c r="J50">
        <f t="shared" si="4"/>
        <v>28.391518056330021</v>
      </c>
      <c r="K50">
        <f t="shared" si="5"/>
        <v>806.07829754291367</v>
      </c>
      <c r="M50" s="6" t="s">
        <v>54</v>
      </c>
      <c r="N50" s="6">
        <v>3.9792033030745744E-2</v>
      </c>
      <c r="O50" s="6">
        <v>6.1985952681290965E-3</v>
      </c>
      <c r="P50" s="6">
        <v>6.4195243130878028</v>
      </c>
      <c r="Q50" s="6">
        <v>2.8518602916947661E-9</v>
      </c>
      <c r="R50" s="6">
        <v>2.7519245790576796E-2</v>
      </c>
      <c r="S50" s="6">
        <v>5.2064820270914691E-2</v>
      </c>
      <c r="T50" s="6">
        <v>2.7519245790576796E-2</v>
      </c>
      <c r="U50" s="6">
        <v>5.2064820270914691E-2</v>
      </c>
    </row>
    <row r="51" spans="1:21">
      <c r="A51">
        <v>39</v>
      </c>
      <c r="B51">
        <f t="shared" si="0"/>
        <v>1521</v>
      </c>
      <c r="C51">
        <f t="shared" si="1"/>
        <v>54.632002264703331</v>
      </c>
      <c r="D51">
        <v>0.1701471319393022</v>
      </c>
      <c r="E51">
        <f t="shared" si="2"/>
        <v>69.176415867498619</v>
      </c>
      <c r="G51">
        <f t="shared" si="3"/>
        <v>42.671245469473085</v>
      </c>
      <c r="J51">
        <f t="shared" si="4"/>
        <v>26.505170398025534</v>
      </c>
      <c r="K51">
        <f t="shared" si="5"/>
        <v>702.524057828369</v>
      </c>
    </row>
    <row r="52" spans="1:21">
      <c r="A52">
        <v>40</v>
      </c>
      <c r="B52">
        <f t="shared" si="0"/>
        <v>1600</v>
      </c>
      <c r="C52">
        <f t="shared" si="1"/>
        <v>56.909518707368989</v>
      </c>
      <c r="D52">
        <v>0.74452827902860008</v>
      </c>
      <c r="E52">
        <f t="shared" si="2"/>
        <v>120.55283203123005</v>
      </c>
      <c r="G52">
        <f t="shared" si="3"/>
        <v>44.330794060319633</v>
      </c>
      <c r="J52">
        <f t="shared" si="4"/>
        <v>76.222037970910421</v>
      </c>
      <c r="K52">
        <f t="shared" si="5"/>
        <v>5809.7990724389101</v>
      </c>
    </row>
    <row r="53" spans="1:21">
      <c r="A53">
        <v>41</v>
      </c>
      <c r="B53">
        <f t="shared" si="0"/>
        <v>1681</v>
      </c>
      <c r="C53">
        <f t="shared" si="1"/>
        <v>59.236418181823389</v>
      </c>
      <c r="D53">
        <v>-0.27122496248921379</v>
      </c>
      <c r="E53">
        <f t="shared" si="2"/>
        <v>36.051730970915699</v>
      </c>
      <c r="G53">
        <f t="shared" si="3"/>
        <v>46.069893022706729</v>
      </c>
      <c r="J53">
        <f t="shared" si="4"/>
        <v>-10.01816205179103</v>
      </c>
      <c r="K53">
        <f t="shared" si="5"/>
        <v>100.36357089594587</v>
      </c>
    </row>
    <row r="54" spans="1:21">
      <c r="A54">
        <v>42</v>
      </c>
      <c r="B54">
        <f t="shared" si="0"/>
        <v>1764</v>
      </c>
      <c r="C54">
        <f t="shared" si="1"/>
        <v>61.612700688066539</v>
      </c>
      <c r="D54">
        <v>-1.268908818019554</v>
      </c>
      <c r="E54">
        <f t="shared" si="2"/>
        <v>-46.855390799330777</v>
      </c>
      <c r="G54">
        <f t="shared" si="3"/>
        <v>47.888542356634375</v>
      </c>
      <c r="J54">
        <f t="shared" si="4"/>
        <v>-94.743933155965152</v>
      </c>
      <c r="K54">
        <f t="shared" si="5"/>
        <v>8976.4128698619934</v>
      </c>
    </row>
    <row r="55" spans="1:21">
      <c r="A55">
        <v>43</v>
      </c>
      <c r="B55">
        <f t="shared" si="0"/>
        <v>1849</v>
      </c>
      <c r="C55">
        <f t="shared" si="1"/>
        <v>64.038366226098447</v>
      </c>
      <c r="D55">
        <v>1.4768602341064252</v>
      </c>
      <c r="E55">
        <f t="shared" si="2"/>
        <v>190.28243413097306</v>
      </c>
      <c r="G55">
        <f t="shared" si="3"/>
        <v>49.786742062102569</v>
      </c>
      <c r="J55">
        <f t="shared" si="4"/>
        <v>140.49569206887048</v>
      </c>
      <c r="K55">
        <f t="shared" si="5"/>
        <v>19739.039489910876</v>
      </c>
    </row>
    <row r="56" spans="1:21">
      <c r="A56">
        <v>44</v>
      </c>
      <c r="B56">
        <f t="shared" si="0"/>
        <v>1936</v>
      </c>
      <c r="C56">
        <f t="shared" si="1"/>
        <v>66.51341479591909</v>
      </c>
      <c r="D56">
        <v>-1.6009926184779033</v>
      </c>
      <c r="E56">
        <f t="shared" si="2"/>
        <v>-70.34166205880959</v>
      </c>
      <c r="G56">
        <f t="shared" si="3"/>
        <v>51.764492139111304</v>
      </c>
      <c r="J56">
        <f t="shared" si="4"/>
        <v>-122.10615419792089</v>
      </c>
      <c r="K56">
        <f t="shared" si="5"/>
        <v>14909.912893006433</v>
      </c>
    </row>
    <row r="57" spans="1:21">
      <c r="A57">
        <v>45</v>
      </c>
      <c r="B57">
        <f t="shared" si="0"/>
        <v>2025</v>
      </c>
      <c r="C57">
        <f t="shared" si="1"/>
        <v>69.037846397528483</v>
      </c>
      <c r="D57">
        <v>1.5061732483445667</v>
      </c>
      <c r="E57">
        <f t="shared" si="2"/>
        <v>197.7876315493811</v>
      </c>
      <c r="G57">
        <f t="shared" si="3"/>
        <v>53.821792587660603</v>
      </c>
      <c r="J57">
        <f t="shared" si="4"/>
        <v>143.96583896172049</v>
      </c>
      <c r="K57">
        <f t="shared" si="5"/>
        <v>20726.162787952038</v>
      </c>
    </row>
    <row r="58" spans="1:21">
      <c r="A58">
        <v>46</v>
      </c>
      <c r="B58">
        <f t="shared" si="0"/>
        <v>2116</v>
      </c>
      <c r="C58">
        <f t="shared" si="1"/>
        <v>71.611661030926626</v>
      </c>
      <c r="D58">
        <v>0.85680539996246807</v>
      </c>
      <c r="E58">
        <f t="shared" si="2"/>
        <v>144.85257888905508</v>
      </c>
      <c r="G58">
        <f t="shared" si="3"/>
        <v>55.958643407750436</v>
      </c>
      <c r="J58">
        <f t="shared" si="4"/>
        <v>88.893935481304652</v>
      </c>
      <c r="K58">
        <f t="shared" si="5"/>
        <v>7902.1317653543538</v>
      </c>
    </row>
    <row r="59" spans="1:21">
      <c r="A59">
        <v>47</v>
      </c>
      <c r="B59">
        <f t="shared" si="0"/>
        <v>2209</v>
      </c>
      <c r="C59">
        <f t="shared" si="1"/>
        <v>74.23485869611352</v>
      </c>
      <c r="D59">
        <v>-0.33685182643239386</v>
      </c>
      <c r="E59">
        <f t="shared" si="2"/>
        <v>45.440295833675656</v>
      </c>
      <c r="G59">
        <f t="shared" si="3"/>
        <v>58.175044599380833</v>
      </c>
      <c r="J59">
        <f t="shared" si="4"/>
        <v>-12.734748765705177</v>
      </c>
      <c r="K59">
        <f t="shared" si="5"/>
        <v>162.17382612562955</v>
      </c>
    </row>
    <row r="60" spans="1:21">
      <c r="A60">
        <v>48</v>
      </c>
      <c r="B60">
        <f t="shared" si="0"/>
        <v>2304</v>
      </c>
      <c r="C60">
        <f t="shared" si="1"/>
        <v>76.907439393089149</v>
      </c>
      <c r="D60">
        <v>0.14180500329530332</v>
      </c>
      <c r="E60">
        <f t="shared" si="2"/>
        <v>89.02912840050891</v>
      </c>
      <c r="G60">
        <f t="shared" si="3"/>
        <v>60.470996162551764</v>
      </c>
      <c r="J60">
        <f t="shared" si="4"/>
        <v>28.558132237957146</v>
      </c>
      <c r="K60">
        <f t="shared" si="5"/>
        <v>815.56691692064726</v>
      </c>
    </row>
    <row r="61" spans="1:21">
      <c r="A61">
        <v>49</v>
      </c>
      <c r="B61">
        <f t="shared" si="0"/>
        <v>2401</v>
      </c>
      <c r="C61">
        <f t="shared" si="1"/>
        <v>79.629403121853528</v>
      </c>
      <c r="D61">
        <v>0.35879565984942019</v>
      </c>
      <c r="E61">
        <f t="shared" si="2"/>
        <v>110.29975540025362</v>
      </c>
      <c r="G61">
        <f t="shared" si="3"/>
        <v>62.846498097263243</v>
      </c>
      <c r="J61">
        <f t="shared" si="4"/>
        <v>47.453257302990373</v>
      </c>
      <c r="K61">
        <f t="shared" si="5"/>
        <v>2251.8116286638092</v>
      </c>
    </row>
    <row r="62" spans="1:21">
      <c r="A62">
        <v>50</v>
      </c>
      <c r="B62">
        <f t="shared" si="0"/>
        <v>2500</v>
      </c>
      <c r="C62">
        <f t="shared" si="1"/>
        <v>82.400749882406672</v>
      </c>
      <c r="D62">
        <v>-1.4211332199920435</v>
      </c>
      <c r="E62">
        <f t="shared" si="2"/>
        <v>-39.079695310228971</v>
      </c>
      <c r="G62">
        <f t="shared" si="3"/>
        <v>65.301550403515279</v>
      </c>
      <c r="J62">
        <f t="shared" si="4"/>
        <v>-104.38124571374425</v>
      </c>
      <c r="K62">
        <f t="shared" si="5"/>
        <v>10895.444456753052</v>
      </c>
    </row>
    <row r="63" spans="1:21">
      <c r="A63">
        <v>51</v>
      </c>
      <c r="B63">
        <f t="shared" si="0"/>
        <v>2601</v>
      </c>
      <c r="C63">
        <f t="shared" si="1"/>
        <v>85.221479674748551</v>
      </c>
      <c r="D63">
        <v>-0.53585381465381943</v>
      </c>
      <c r="E63">
        <f t="shared" si="2"/>
        <v>39.415949942157752</v>
      </c>
      <c r="G63">
        <f t="shared" si="3"/>
        <v>67.836153081307856</v>
      </c>
      <c r="J63">
        <f t="shared" si="4"/>
        <v>-28.420203139150104</v>
      </c>
      <c r="K63">
        <f t="shared" si="5"/>
        <v>807.70794647055743</v>
      </c>
    </row>
    <row r="64" spans="1:21">
      <c r="A64">
        <v>52</v>
      </c>
      <c r="B64">
        <f t="shared" si="0"/>
        <v>2704</v>
      </c>
      <c r="C64">
        <f t="shared" si="1"/>
        <v>88.091592498879166</v>
      </c>
      <c r="D64">
        <v>0.6948698683117982</v>
      </c>
      <c r="E64">
        <f t="shared" si="2"/>
        <v>147.49003577356243</v>
      </c>
      <c r="G64">
        <f t="shared" si="3"/>
        <v>70.450306130640996</v>
      </c>
      <c r="J64">
        <f t="shared" si="4"/>
        <v>77.039729642921429</v>
      </c>
      <c r="K64">
        <f t="shared" si="5"/>
        <v>5935.1199434544269</v>
      </c>
    </row>
    <row r="65" spans="1:11">
      <c r="A65">
        <v>53</v>
      </c>
      <c r="B65">
        <f t="shared" si="0"/>
        <v>2809</v>
      </c>
      <c r="C65">
        <f t="shared" si="1"/>
        <v>91.011088354798545</v>
      </c>
      <c r="D65">
        <v>-0.24551809474360198</v>
      </c>
      <c r="E65">
        <f t="shared" si="2"/>
        <v>70.02385997063098</v>
      </c>
      <c r="G65">
        <f t="shared" si="3"/>
        <v>73.144009551514642</v>
      </c>
      <c r="J65">
        <f t="shared" si="4"/>
        <v>-3.1201495808836626</v>
      </c>
      <c r="K65">
        <f t="shared" si="5"/>
        <v>9.7353334070884952</v>
      </c>
    </row>
    <row r="66" spans="1:11">
      <c r="A66">
        <v>54</v>
      </c>
      <c r="B66">
        <f t="shared" si="0"/>
        <v>2916</v>
      </c>
      <c r="C66">
        <f t="shared" si="1"/>
        <v>93.979967242506675</v>
      </c>
      <c r="D66">
        <v>0.69457883000723086</v>
      </c>
      <c r="E66">
        <f t="shared" si="2"/>
        <v>153.35353215792733</v>
      </c>
      <c r="G66">
        <f t="shared" si="3"/>
        <v>75.91726334392888</v>
      </c>
      <c r="J66">
        <f t="shared" si="4"/>
        <v>77.436268813998453</v>
      </c>
      <c r="K66">
        <f t="shared" si="5"/>
        <v>5996.3757278338289</v>
      </c>
    </row>
    <row r="67" spans="1:11">
      <c r="A67">
        <v>55</v>
      </c>
      <c r="B67">
        <f t="shared" si="0"/>
        <v>3025</v>
      </c>
      <c r="C67">
        <f t="shared" si="1"/>
        <v>96.998229162003554</v>
      </c>
      <c r="D67">
        <v>-0.8865583822625922</v>
      </c>
      <c r="E67">
        <f t="shared" si="2"/>
        <v>21.213984974730579</v>
      </c>
      <c r="G67">
        <f t="shared" si="3"/>
        <v>78.770067507883653</v>
      </c>
      <c r="J67">
        <f t="shared" si="4"/>
        <v>-57.556082533153074</v>
      </c>
      <c r="K67">
        <f t="shared" si="5"/>
        <v>3312.7026365631282</v>
      </c>
    </row>
    <row r="68" spans="1:11">
      <c r="A68">
        <v>56</v>
      </c>
      <c r="B68">
        <f t="shared" si="0"/>
        <v>3136</v>
      </c>
      <c r="C68">
        <f t="shared" si="1"/>
        <v>100.06587411328917</v>
      </c>
      <c r="D68">
        <v>0.87125044956337661</v>
      </c>
      <c r="E68">
        <f t="shared" si="2"/>
        <v>174.54157491200493</v>
      </c>
      <c r="G68">
        <f t="shared" si="3"/>
        <v>81.702422043378988</v>
      </c>
      <c r="J68">
        <f t="shared" si="4"/>
        <v>92.839152868625945</v>
      </c>
      <c r="K68">
        <f t="shared" si="5"/>
        <v>8619.1083053640978</v>
      </c>
    </row>
    <row r="69" spans="1:11">
      <c r="A69">
        <v>57</v>
      </c>
      <c r="B69">
        <f t="shared" si="0"/>
        <v>3249</v>
      </c>
      <c r="C69">
        <f t="shared" si="1"/>
        <v>103.18290209636353</v>
      </c>
      <c r="D69">
        <v>9.6883923106361181E-2</v>
      </c>
      <c r="E69">
        <f t="shared" si="2"/>
        <v>111.46467466025851</v>
      </c>
      <c r="G69">
        <f t="shared" si="3"/>
        <v>84.714326950414858</v>
      </c>
      <c r="J69">
        <f t="shared" si="4"/>
        <v>26.750347709843652</v>
      </c>
      <c r="K69">
        <f t="shared" si="5"/>
        <v>715.58110259753755</v>
      </c>
    </row>
    <row r="70" spans="1:11">
      <c r="A70">
        <v>58</v>
      </c>
      <c r="B70">
        <f t="shared" si="0"/>
        <v>3364</v>
      </c>
      <c r="C70">
        <f t="shared" si="1"/>
        <v>106.34931311122665</v>
      </c>
      <c r="D70">
        <v>-1.5138266462599859</v>
      </c>
      <c r="E70">
        <f t="shared" si="2"/>
        <v>-23.054695144359158</v>
      </c>
      <c r="G70">
        <f t="shared" si="3"/>
        <v>87.805782228991262</v>
      </c>
      <c r="J70">
        <f t="shared" si="4"/>
        <v>-110.86047737335042</v>
      </c>
      <c r="K70">
        <f t="shared" si="5"/>
        <v>12290.045443447141</v>
      </c>
    </row>
    <row r="71" spans="1:11">
      <c r="A71">
        <v>59</v>
      </c>
      <c r="B71">
        <f t="shared" si="0"/>
        <v>3481</v>
      </c>
      <c r="C71">
        <f t="shared" si="1"/>
        <v>109.56510715787851</v>
      </c>
      <c r="D71">
        <v>-0.38099415178294294</v>
      </c>
      <c r="E71">
        <f t="shared" si="2"/>
        <v>76.997196899161437</v>
      </c>
      <c r="G71">
        <f t="shared" si="3"/>
        <v>90.976787879108201</v>
      </c>
      <c r="J71">
        <f t="shared" si="4"/>
        <v>-13.979590979946764</v>
      </c>
      <c r="K71">
        <f t="shared" si="5"/>
        <v>195.4289639666089</v>
      </c>
    </row>
    <row r="72" spans="1:11">
      <c r="A72">
        <v>60</v>
      </c>
      <c r="B72">
        <f t="shared" si="0"/>
        <v>3600</v>
      </c>
      <c r="C72">
        <f t="shared" si="1"/>
        <v>112.83028423631913</v>
      </c>
      <c r="D72">
        <v>-0.42045485315611586</v>
      </c>
      <c r="E72">
        <f t="shared" si="2"/>
        <v>76.889218313523259</v>
      </c>
      <c r="G72">
        <f t="shared" si="3"/>
        <v>94.22734390076576</v>
      </c>
      <c r="J72">
        <f t="shared" si="4"/>
        <v>-17.338125587242502</v>
      </c>
      <c r="K72">
        <f t="shared" si="5"/>
        <v>300.61059887899313</v>
      </c>
    </row>
    <row r="73" spans="1:11">
      <c r="A73">
        <v>61</v>
      </c>
      <c r="B73">
        <f t="shared" si="0"/>
        <v>3721</v>
      </c>
      <c r="C73">
        <f t="shared" si="1"/>
        <v>116.14484434654848</v>
      </c>
      <c r="D73">
        <v>-2.1288724383339286</v>
      </c>
      <c r="E73">
        <f t="shared" si="2"/>
        <v>-65.834134069412627</v>
      </c>
      <c r="G73">
        <f t="shared" si="3"/>
        <v>97.557450293963797</v>
      </c>
      <c r="J73">
        <f t="shared" si="4"/>
        <v>-163.39158436337641</v>
      </c>
      <c r="K73">
        <f t="shared" si="5"/>
        <v>26696.809840774349</v>
      </c>
    </row>
    <row r="74" spans="1:11">
      <c r="A74">
        <v>62</v>
      </c>
      <c r="B74">
        <f t="shared" si="0"/>
        <v>3844</v>
      </c>
      <c r="C74">
        <f t="shared" si="1"/>
        <v>119.50878748856658</v>
      </c>
      <c r="D74">
        <v>-1.5916930351522751</v>
      </c>
      <c r="E74">
        <f t="shared" si="2"/>
        <v>-16.551348042849952</v>
      </c>
      <c r="G74">
        <f t="shared" si="3"/>
        <v>100.9671070587024</v>
      </c>
      <c r="J74">
        <f t="shared" si="4"/>
        <v>-117.51845510155235</v>
      </c>
      <c r="K74">
        <f t="shared" si="5"/>
        <v>13810.587289455576</v>
      </c>
    </row>
    <row r="75" spans="1:11">
      <c r="A75">
        <v>63</v>
      </c>
      <c r="B75">
        <f t="shared" si="0"/>
        <v>3969</v>
      </c>
      <c r="C75">
        <f t="shared" si="1"/>
        <v>122.92211366237345</v>
      </c>
      <c r="D75">
        <v>-0.68149347498547286</v>
      </c>
      <c r="E75">
        <f t="shared" si="2"/>
        <v>64.66710310286021</v>
      </c>
      <c r="G75">
        <f t="shared" si="3"/>
        <v>104.45631419498156</v>
      </c>
      <c r="J75">
        <f t="shared" si="4"/>
        <v>-39.789211092121349</v>
      </c>
      <c r="K75">
        <f t="shared" si="5"/>
        <v>1583.1813193333926</v>
      </c>
    </row>
    <row r="76" spans="1:11">
      <c r="A76">
        <v>64</v>
      </c>
      <c r="B76">
        <f t="shared" si="0"/>
        <v>4096</v>
      </c>
      <c r="C76">
        <f t="shared" si="1"/>
        <v>126.38482286796905</v>
      </c>
      <c r="D76">
        <v>0.29543343771365471</v>
      </c>
      <c r="E76">
        <f t="shared" si="2"/>
        <v>151.63888422785092</v>
      </c>
      <c r="G76">
        <f t="shared" si="3"/>
        <v>108.02507170280128</v>
      </c>
      <c r="J76">
        <f t="shared" si="4"/>
        <v>43.613812525049639</v>
      </c>
      <c r="K76">
        <f t="shared" si="5"/>
        <v>1902.1646429701768</v>
      </c>
    </row>
    <row r="77" spans="1:11">
      <c r="A77">
        <v>65</v>
      </c>
      <c r="B77">
        <f t="shared" si="0"/>
        <v>4225</v>
      </c>
      <c r="C77">
        <f t="shared" si="1"/>
        <v>129.8969151053534</v>
      </c>
      <c r="D77">
        <v>0.15023260857560672</v>
      </c>
      <c r="E77">
        <f t="shared" si="2"/>
        <v>142.73900753938844</v>
      </c>
      <c r="G77">
        <f t="shared" si="3"/>
        <v>111.67337958216154</v>
      </c>
      <c r="J77">
        <f t="shared" si="4"/>
        <v>31.065627957226894</v>
      </c>
      <c r="K77">
        <f t="shared" si="5"/>
        <v>965.07324037683725</v>
      </c>
    </row>
    <row r="78" spans="1:11">
      <c r="A78">
        <v>66</v>
      </c>
      <c r="B78">
        <f t="shared" ref="B78:B135" si="6">A78^2</f>
        <v>4356</v>
      </c>
      <c r="C78">
        <f t="shared" ref="C78:C135" si="7">$B$7 + $B$8 *A78 + $B$10*B78</f>
        <v>133.45839037452649</v>
      </c>
      <c r="D78">
        <v>-0.1606849764357321</v>
      </c>
      <c r="E78">
        <f t="shared" ref="E78:E135" si="8">C78+$B$9*D78</f>
        <v>119.72281499103768</v>
      </c>
      <c r="G78">
        <f t="shared" ref="G78:G135" si="9">$G$5 + $G$6 *A78 + $G$7*B78</f>
        <v>115.40123783306234</v>
      </c>
      <c r="J78">
        <f t="shared" ref="J78:J135" si="10">E78-G78</f>
        <v>4.3215771579753408</v>
      </c>
      <c r="K78">
        <f t="shared" ref="K78:K135" si="11">J78^2</f>
        <v>18.676029132334225</v>
      </c>
    </row>
    <row r="79" spans="1:11">
      <c r="A79">
        <v>67</v>
      </c>
      <c r="B79">
        <f t="shared" si="6"/>
        <v>4489</v>
      </c>
      <c r="C79">
        <f t="shared" si="7"/>
        <v>137.06924867548835</v>
      </c>
      <c r="D79">
        <v>0.32223283596977126</v>
      </c>
      <c r="E79">
        <f t="shared" si="8"/>
        <v>164.6141598904359</v>
      </c>
      <c r="G79">
        <f t="shared" si="9"/>
        <v>119.2086464555037</v>
      </c>
      <c r="J79">
        <f t="shared" si="10"/>
        <v>45.405513434932203</v>
      </c>
      <c r="K79">
        <f t="shared" si="11"/>
        <v>2061.6606502898089</v>
      </c>
    </row>
    <row r="80" spans="1:11">
      <c r="A80">
        <v>68</v>
      </c>
      <c r="B80">
        <f t="shared" si="6"/>
        <v>4624</v>
      </c>
      <c r="C80">
        <f t="shared" si="7"/>
        <v>140.72949000823894</v>
      </c>
      <c r="D80">
        <v>-0.59930925999651663</v>
      </c>
      <c r="E80">
        <f t="shared" si="8"/>
        <v>89.499700507678625</v>
      </c>
      <c r="G80">
        <f t="shared" si="9"/>
        <v>123.09560544948559</v>
      </c>
      <c r="J80">
        <f t="shared" si="10"/>
        <v>-33.595904941806964</v>
      </c>
      <c r="K80">
        <f t="shared" si="11"/>
        <v>1128.6848288589297</v>
      </c>
    </row>
    <row r="81" spans="1:11">
      <c r="A81">
        <v>69</v>
      </c>
      <c r="B81">
        <f t="shared" si="6"/>
        <v>4761</v>
      </c>
      <c r="C81">
        <f t="shared" si="7"/>
        <v>144.43911437277828</v>
      </c>
      <c r="D81">
        <v>-1.0702797226258554</v>
      </c>
      <c r="E81">
        <f t="shared" si="8"/>
        <v>52.950114357728722</v>
      </c>
      <c r="G81">
        <f t="shared" si="9"/>
        <v>127.06211481500804</v>
      </c>
      <c r="J81">
        <f t="shared" si="10"/>
        <v>-74.112000457279322</v>
      </c>
      <c r="K81">
        <f t="shared" si="11"/>
        <v>5492.5886117797709</v>
      </c>
    </row>
    <row r="82" spans="1:11">
      <c r="A82">
        <v>70</v>
      </c>
      <c r="B82">
        <f t="shared" si="6"/>
        <v>4900</v>
      </c>
      <c r="C82">
        <f t="shared" si="7"/>
        <v>148.19812176910636</v>
      </c>
      <c r="D82">
        <v>-0.85019792095408775</v>
      </c>
      <c r="E82">
        <f t="shared" si="8"/>
        <v>75.522020411111171</v>
      </c>
      <c r="G82">
        <f t="shared" si="9"/>
        <v>131.10817455207103</v>
      </c>
      <c r="J82">
        <f t="shared" si="10"/>
        <v>-55.586154140959863</v>
      </c>
      <c r="K82">
        <f t="shared" si="11"/>
        <v>3089.8205321825494</v>
      </c>
    </row>
    <row r="83" spans="1:11">
      <c r="A83">
        <v>71</v>
      </c>
      <c r="B83">
        <f t="shared" si="6"/>
        <v>5041</v>
      </c>
      <c r="C83">
        <f t="shared" si="7"/>
        <v>152.0065121972232</v>
      </c>
      <c r="D83">
        <v>-0.61346781876636669</v>
      </c>
      <c r="E83">
        <f t="shared" si="8"/>
        <v>99.56642939097469</v>
      </c>
      <c r="G83">
        <f t="shared" si="9"/>
        <v>135.23378466067459</v>
      </c>
      <c r="J83">
        <f t="shared" si="10"/>
        <v>-35.667355269699897</v>
      </c>
      <c r="K83">
        <f t="shared" si="11"/>
        <v>1272.160231934989</v>
      </c>
    </row>
    <row r="84" spans="1:11">
      <c r="A84">
        <v>72</v>
      </c>
      <c r="B84">
        <f t="shared" si="6"/>
        <v>5184</v>
      </c>
      <c r="C84">
        <f t="shared" si="7"/>
        <v>155.86428565712876</v>
      </c>
      <c r="D84">
        <v>-0.85813098849030212</v>
      </c>
      <c r="E84">
        <f t="shared" si="8"/>
        <v>82.510054647046516</v>
      </c>
      <c r="G84">
        <f t="shared" si="9"/>
        <v>139.43894514081867</v>
      </c>
      <c r="J84">
        <f t="shared" si="10"/>
        <v>-56.928890493772158</v>
      </c>
      <c r="K84">
        <f t="shared" si="11"/>
        <v>3240.8985728519019</v>
      </c>
    </row>
    <row r="85" spans="1:11">
      <c r="A85">
        <v>73</v>
      </c>
      <c r="B85">
        <f t="shared" si="6"/>
        <v>5329</v>
      </c>
      <c r="C85">
        <f t="shared" si="7"/>
        <v>159.77144214882313</v>
      </c>
      <c r="D85">
        <v>1.4142369764158502</v>
      </c>
      <c r="E85">
        <f t="shared" si="8"/>
        <v>280.66238684424468</v>
      </c>
      <c r="G85">
        <f t="shared" si="9"/>
        <v>143.7236559925033</v>
      </c>
      <c r="J85">
        <f t="shared" si="10"/>
        <v>136.93873085174138</v>
      </c>
      <c r="K85">
        <f t="shared" si="11"/>
        <v>18752.216007285668</v>
      </c>
    </row>
    <row r="86" spans="1:11">
      <c r="A86">
        <v>74</v>
      </c>
      <c r="B86">
        <f t="shared" si="6"/>
        <v>5476</v>
      </c>
      <c r="C86">
        <f t="shared" si="7"/>
        <v>163.72798167230619</v>
      </c>
      <c r="D86">
        <v>1.6211561160162091</v>
      </c>
      <c r="E86">
        <f t="shared" si="8"/>
        <v>302.3066623546955</v>
      </c>
      <c r="G86">
        <f t="shared" si="9"/>
        <v>148.08791721572848</v>
      </c>
      <c r="J86">
        <f t="shared" si="10"/>
        <v>154.21874513896702</v>
      </c>
      <c r="K86">
        <f t="shared" si="11"/>
        <v>23783.421352237663</v>
      </c>
    </row>
    <row r="87" spans="1:11">
      <c r="A87">
        <v>75</v>
      </c>
      <c r="B87">
        <f t="shared" si="6"/>
        <v>5625</v>
      </c>
      <c r="C87">
        <f t="shared" si="7"/>
        <v>167.73390422757802</v>
      </c>
      <c r="D87">
        <v>0.30591877475671936</v>
      </c>
      <c r="E87">
        <f t="shared" si="8"/>
        <v>193.88426678854887</v>
      </c>
      <c r="G87">
        <f t="shared" si="9"/>
        <v>152.53172881049426</v>
      </c>
      <c r="J87">
        <f t="shared" si="10"/>
        <v>41.352537978054613</v>
      </c>
      <c r="K87">
        <f t="shared" si="11"/>
        <v>1710.0323972264491</v>
      </c>
    </row>
    <row r="88" spans="1:11">
      <c r="A88">
        <v>76</v>
      </c>
      <c r="B88">
        <f t="shared" si="6"/>
        <v>5776</v>
      </c>
      <c r="C88">
        <f t="shared" si="7"/>
        <v>171.78920981463861</v>
      </c>
      <c r="D88">
        <v>0.70739133661845699</v>
      </c>
      <c r="E88">
        <f t="shared" si="8"/>
        <v>232.25800562415805</v>
      </c>
      <c r="G88">
        <f t="shared" si="9"/>
        <v>157.05509077680051</v>
      </c>
      <c r="J88">
        <f t="shared" si="10"/>
        <v>75.202914847357533</v>
      </c>
      <c r="K88">
        <f t="shared" si="11"/>
        <v>5655.4784015389077</v>
      </c>
    </row>
    <row r="89" spans="1:11">
      <c r="A89">
        <v>77</v>
      </c>
      <c r="B89">
        <f t="shared" si="6"/>
        <v>5929</v>
      </c>
      <c r="C89">
        <f t="shared" si="7"/>
        <v>175.89389843348792</v>
      </c>
      <c r="D89">
        <v>-1.1246197573200334</v>
      </c>
      <c r="E89">
        <f t="shared" si="8"/>
        <v>79.759836637060133</v>
      </c>
      <c r="G89">
        <f t="shared" si="9"/>
        <v>161.65800311464736</v>
      </c>
      <c r="J89">
        <f t="shared" si="10"/>
        <v>-81.898166477587225</v>
      </c>
      <c r="K89">
        <f t="shared" si="11"/>
        <v>6707.3096723905919</v>
      </c>
    </row>
    <row r="90" spans="1:11">
      <c r="A90">
        <v>78</v>
      </c>
      <c r="B90">
        <f t="shared" si="6"/>
        <v>6084</v>
      </c>
      <c r="C90">
        <f t="shared" si="7"/>
        <v>180.04797008412598</v>
      </c>
      <c r="D90">
        <v>-0.37672066355298739</v>
      </c>
      <c r="E90">
        <f t="shared" si="8"/>
        <v>147.8453635459872</v>
      </c>
      <c r="G90">
        <f t="shared" si="9"/>
        <v>166.34046582403474</v>
      </c>
      <c r="J90">
        <f t="shared" si="10"/>
        <v>-18.49510227804754</v>
      </c>
      <c r="K90">
        <f t="shared" si="11"/>
        <v>342.06880827543932</v>
      </c>
    </row>
    <row r="91" spans="1:11">
      <c r="A91">
        <v>79</v>
      </c>
      <c r="B91">
        <f t="shared" si="6"/>
        <v>6241</v>
      </c>
      <c r="C91">
        <f t="shared" si="7"/>
        <v>184.25142476655279</v>
      </c>
      <c r="D91">
        <v>-1.4599936548620462</v>
      </c>
      <c r="E91">
        <f t="shared" si="8"/>
        <v>59.449135525817425</v>
      </c>
      <c r="G91">
        <f t="shared" si="9"/>
        <v>171.10247890496268</v>
      </c>
      <c r="J91">
        <f t="shared" si="10"/>
        <v>-111.65334337914526</v>
      </c>
      <c r="K91">
        <f t="shared" si="11"/>
        <v>12466.46908774132</v>
      </c>
    </row>
    <row r="92" spans="1:11">
      <c r="A92">
        <v>80</v>
      </c>
      <c r="B92">
        <f t="shared" si="6"/>
        <v>6400</v>
      </c>
      <c r="C92">
        <f t="shared" si="7"/>
        <v>188.50426248076838</v>
      </c>
      <c r="D92">
        <v>-1.314901965088211</v>
      </c>
      <c r="E92">
        <f t="shared" si="8"/>
        <v>76.104612781156376</v>
      </c>
      <c r="G92">
        <f t="shared" si="9"/>
        <v>175.94404235743116</v>
      </c>
      <c r="J92">
        <f t="shared" si="10"/>
        <v>-99.839429576274782</v>
      </c>
      <c r="K92">
        <f t="shared" si="11"/>
        <v>9967.9116981159314</v>
      </c>
    </row>
    <row r="93" spans="1:11">
      <c r="A93">
        <v>81</v>
      </c>
      <c r="B93">
        <f t="shared" si="6"/>
        <v>6561</v>
      </c>
      <c r="C93">
        <f t="shared" si="7"/>
        <v>192.80648322677268</v>
      </c>
      <c r="D93">
        <v>1.8377249944023788</v>
      </c>
      <c r="E93">
        <f t="shared" si="8"/>
        <v>349.89777299542982</v>
      </c>
      <c r="G93">
        <f t="shared" si="9"/>
        <v>180.86515618144014</v>
      </c>
      <c r="J93">
        <f t="shared" si="10"/>
        <v>169.03261681398968</v>
      </c>
      <c r="K93">
        <f t="shared" si="11"/>
        <v>28572.025546985067</v>
      </c>
    </row>
    <row r="94" spans="1:11">
      <c r="A94">
        <v>82</v>
      </c>
      <c r="B94">
        <f t="shared" si="6"/>
        <v>6724</v>
      </c>
      <c r="C94">
        <f t="shared" si="7"/>
        <v>197.15808700456574</v>
      </c>
      <c r="D94">
        <v>0.26313955459045246</v>
      </c>
      <c r="E94">
        <f t="shared" si="8"/>
        <v>219.65162229720985</v>
      </c>
      <c r="G94">
        <f t="shared" si="9"/>
        <v>185.86582037698975</v>
      </c>
      <c r="J94">
        <f t="shared" si="10"/>
        <v>33.785801920220109</v>
      </c>
      <c r="K94">
        <f t="shared" si="11"/>
        <v>1141.4804113923487</v>
      </c>
    </row>
    <row r="95" spans="1:11">
      <c r="A95">
        <v>83</v>
      </c>
      <c r="B95">
        <f t="shared" si="6"/>
        <v>6889</v>
      </c>
      <c r="C95">
        <f t="shared" si="7"/>
        <v>201.55907381414755</v>
      </c>
      <c r="D95">
        <v>-0.79462438407063019</v>
      </c>
      <c r="E95">
        <f t="shared" si="8"/>
        <v>133.63347572112394</v>
      </c>
      <c r="G95">
        <f t="shared" si="9"/>
        <v>190.94603494407988</v>
      </c>
      <c r="J95">
        <f t="shared" si="10"/>
        <v>-57.31255922295594</v>
      </c>
      <c r="K95">
        <f t="shared" si="11"/>
        <v>3284.7294446848318</v>
      </c>
    </row>
    <row r="96" spans="1:11">
      <c r="A96">
        <v>84</v>
      </c>
      <c r="B96">
        <f t="shared" si="6"/>
        <v>7056</v>
      </c>
      <c r="C96">
        <f t="shared" si="7"/>
        <v>206.00944365551808</v>
      </c>
      <c r="D96">
        <v>-7.5383468356449157E-2</v>
      </c>
      <c r="E96">
        <f t="shared" si="8"/>
        <v>199.56555988214623</v>
      </c>
      <c r="G96">
        <f t="shared" si="9"/>
        <v>196.10579988271053</v>
      </c>
      <c r="J96">
        <f t="shared" si="10"/>
        <v>3.459759999435704</v>
      </c>
      <c r="K96">
        <f t="shared" si="11"/>
        <v>11.969939253695342</v>
      </c>
    </row>
    <row r="97" spans="1:11">
      <c r="A97">
        <v>85</v>
      </c>
      <c r="B97">
        <f t="shared" si="6"/>
        <v>7225</v>
      </c>
      <c r="C97">
        <f t="shared" si="7"/>
        <v>210.50919652867742</v>
      </c>
      <c r="D97">
        <v>-2.5168264983221889</v>
      </c>
      <c r="E97">
        <f t="shared" si="8"/>
        <v>-4.6326347843035762</v>
      </c>
      <c r="G97">
        <f t="shared" si="9"/>
        <v>201.34511519288174</v>
      </c>
      <c r="J97">
        <f t="shared" si="10"/>
        <v>-205.97774997718531</v>
      </c>
      <c r="K97">
        <f t="shared" si="11"/>
        <v>42426.833485663861</v>
      </c>
    </row>
    <row r="98" spans="1:11">
      <c r="A98">
        <v>86</v>
      </c>
      <c r="B98">
        <f t="shared" si="6"/>
        <v>7396</v>
      </c>
      <c r="C98">
        <f t="shared" si="7"/>
        <v>215.05833243362548</v>
      </c>
      <c r="D98">
        <v>-0.53806388677912764</v>
      </c>
      <c r="E98">
        <f t="shared" si="8"/>
        <v>169.06388266038445</v>
      </c>
      <c r="G98">
        <f t="shared" si="9"/>
        <v>206.66398087459353</v>
      </c>
      <c r="J98">
        <f t="shared" si="10"/>
        <v>-37.600098214209083</v>
      </c>
      <c r="K98">
        <f t="shared" si="11"/>
        <v>1413.7673857181692</v>
      </c>
    </row>
    <row r="99" spans="1:11">
      <c r="A99">
        <v>87</v>
      </c>
      <c r="B99">
        <f t="shared" si="6"/>
        <v>7569</v>
      </c>
      <c r="C99">
        <f t="shared" si="7"/>
        <v>219.65685137036226</v>
      </c>
      <c r="D99">
        <v>0.81845200838870369</v>
      </c>
      <c r="E99">
        <f t="shared" si="8"/>
        <v>289.6192679469188</v>
      </c>
      <c r="G99">
        <f t="shared" si="9"/>
        <v>212.06239692784587</v>
      </c>
      <c r="J99">
        <f t="shared" si="10"/>
        <v>77.556871019072929</v>
      </c>
      <c r="K99">
        <f t="shared" si="11"/>
        <v>6015.0682422691143</v>
      </c>
    </row>
    <row r="100" spans="1:11">
      <c r="A100">
        <v>88</v>
      </c>
      <c r="B100">
        <f t="shared" si="6"/>
        <v>7744</v>
      </c>
      <c r="C100">
        <f t="shared" si="7"/>
        <v>224.30475333888782</v>
      </c>
      <c r="D100">
        <v>6.549043973791413E-2</v>
      </c>
      <c r="E100">
        <f t="shared" si="8"/>
        <v>229.90296725951367</v>
      </c>
      <c r="G100">
        <f t="shared" si="9"/>
        <v>217.54036335263871</v>
      </c>
      <c r="J100">
        <f t="shared" si="10"/>
        <v>12.362603906874966</v>
      </c>
      <c r="K100">
        <f t="shared" si="11"/>
        <v>152.83397535828018</v>
      </c>
    </row>
    <row r="101" spans="1:11">
      <c r="A101">
        <v>89</v>
      </c>
      <c r="B101">
        <f t="shared" si="6"/>
        <v>7921</v>
      </c>
      <c r="C101">
        <f t="shared" si="7"/>
        <v>229.0020383392021</v>
      </c>
      <c r="D101">
        <v>-0.95614268502686173</v>
      </c>
      <c r="E101">
        <f t="shared" si="8"/>
        <v>147.26963112308238</v>
      </c>
      <c r="G101">
        <f t="shared" si="9"/>
        <v>223.09788014897214</v>
      </c>
      <c r="J101">
        <f t="shared" si="10"/>
        <v>-75.828249025889761</v>
      </c>
      <c r="K101">
        <f t="shared" si="11"/>
        <v>5749.9233503323512</v>
      </c>
    </row>
    <row r="102" spans="1:11">
      <c r="A102">
        <v>90</v>
      </c>
      <c r="B102">
        <f t="shared" si="6"/>
        <v>8100</v>
      </c>
      <c r="C102">
        <f t="shared" si="7"/>
        <v>233.74870637130516</v>
      </c>
      <c r="D102">
        <v>0.37507788874791004</v>
      </c>
      <c r="E102">
        <f t="shared" si="8"/>
        <v>265.81088623313758</v>
      </c>
      <c r="G102">
        <f t="shared" si="9"/>
        <v>228.7349473168461</v>
      </c>
      <c r="J102">
        <f t="shared" si="10"/>
        <v>37.075938916291477</v>
      </c>
      <c r="K102">
        <f t="shared" si="11"/>
        <v>1374.6252465245768</v>
      </c>
    </row>
    <row r="103" spans="1:11">
      <c r="A103">
        <v>91</v>
      </c>
      <c r="B103">
        <f t="shared" si="6"/>
        <v>8281</v>
      </c>
      <c r="C103">
        <f t="shared" si="7"/>
        <v>238.54475743519691</v>
      </c>
      <c r="D103">
        <v>0.53065150495967828</v>
      </c>
      <c r="E103">
        <f t="shared" si="8"/>
        <v>283.90558649596909</v>
      </c>
      <c r="G103">
        <f t="shared" si="9"/>
        <v>234.45156485626057</v>
      </c>
      <c r="J103">
        <f t="shared" si="10"/>
        <v>49.454021639708515</v>
      </c>
      <c r="K103">
        <f t="shared" si="11"/>
        <v>2445.7002563407582</v>
      </c>
    </row>
    <row r="104" spans="1:11">
      <c r="A104">
        <v>92</v>
      </c>
      <c r="B104">
        <f t="shared" si="6"/>
        <v>8464</v>
      </c>
      <c r="C104">
        <f t="shared" si="7"/>
        <v>243.39019153087747</v>
      </c>
      <c r="D104">
        <v>-0.1088801582227461</v>
      </c>
      <c r="E104">
        <f t="shared" si="8"/>
        <v>234.08296409612799</v>
      </c>
      <c r="G104">
        <f t="shared" si="9"/>
        <v>240.24773276721567</v>
      </c>
      <c r="J104">
        <f t="shared" si="10"/>
        <v>-6.1647686710876712</v>
      </c>
      <c r="K104">
        <f t="shared" si="11"/>
        <v>38.004372768024055</v>
      </c>
    </row>
    <row r="105" spans="1:11">
      <c r="A105">
        <v>93</v>
      </c>
      <c r="B105">
        <f t="shared" si="6"/>
        <v>8649</v>
      </c>
      <c r="C105">
        <f t="shared" si="7"/>
        <v>248.28500865834678</v>
      </c>
      <c r="D105">
        <v>0.78834546002326533</v>
      </c>
      <c r="E105">
        <f t="shared" si="8"/>
        <v>315.67387558649841</v>
      </c>
      <c r="G105">
        <f t="shared" si="9"/>
        <v>246.12345104971129</v>
      </c>
      <c r="J105">
        <f t="shared" si="10"/>
        <v>69.550424536787119</v>
      </c>
      <c r="K105">
        <f t="shared" si="11"/>
        <v>4837.2615532473201</v>
      </c>
    </row>
    <row r="106" spans="1:11">
      <c r="A106">
        <v>94</v>
      </c>
      <c r="B106">
        <f t="shared" si="6"/>
        <v>8836</v>
      </c>
      <c r="C106">
        <f t="shared" si="7"/>
        <v>253.22920881760479</v>
      </c>
      <c r="D106">
        <v>-0.1276771399716381</v>
      </c>
      <c r="E106">
        <f t="shared" si="8"/>
        <v>242.31518922641973</v>
      </c>
      <c r="G106">
        <f t="shared" si="9"/>
        <v>252.07871970374745</v>
      </c>
      <c r="J106">
        <f t="shared" si="10"/>
        <v>-9.7635304773277198</v>
      </c>
      <c r="K106">
        <f t="shared" si="11"/>
        <v>95.326527381707251</v>
      </c>
    </row>
    <row r="107" spans="1:11">
      <c r="A107">
        <v>95</v>
      </c>
      <c r="B107">
        <f t="shared" si="6"/>
        <v>9025</v>
      </c>
      <c r="C107">
        <f t="shared" si="7"/>
        <v>258.2227920086516</v>
      </c>
      <c r="D107">
        <v>0.64244431996485218</v>
      </c>
      <c r="E107">
        <f t="shared" si="8"/>
        <v>313.13982645898079</v>
      </c>
      <c r="G107">
        <f t="shared" si="9"/>
        <v>258.11353872932409</v>
      </c>
      <c r="J107">
        <f t="shared" si="10"/>
        <v>55.026287729656701</v>
      </c>
      <c r="K107">
        <f t="shared" si="11"/>
        <v>3027.8923413069679</v>
      </c>
    </row>
    <row r="108" spans="1:11">
      <c r="A108">
        <v>96</v>
      </c>
      <c r="B108">
        <f t="shared" si="6"/>
        <v>9216</v>
      </c>
      <c r="C108">
        <f t="shared" si="7"/>
        <v>263.2657582314871</v>
      </c>
      <c r="D108">
        <v>0.9407904144609347</v>
      </c>
      <c r="E108">
        <f t="shared" si="8"/>
        <v>343.68583199650573</v>
      </c>
      <c r="G108">
        <f t="shared" si="9"/>
        <v>264.22790812644138</v>
      </c>
      <c r="J108">
        <f t="shared" si="10"/>
        <v>79.457923870064349</v>
      </c>
      <c r="K108">
        <f t="shared" si="11"/>
        <v>6313.5616657409419</v>
      </c>
    </row>
    <row r="109" spans="1:11">
      <c r="A109">
        <v>97</v>
      </c>
      <c r="B109">
        <f t="shared" si="6"/>
        <v>9409</v>
      </c>
      <c r="C109">
        <f t="shared" si="7"/>
        <v>268.35810748611141</v>
      </c>
      <c r="D109">
        <v>0.70798023443785496</v>
      </c>
      <c r="E109">
        <f t="shared" si="8"/>
        <v>328.87724310070121</v>
      </c>
      <c r="G109">
        <f t="shared" si="9"/>
        <v>270.42182789509917</v>
      </c>
      <c r="J109">
        <f t="shared" si="10"/>
        <v>58.455415205602037</v>
      </c>
      <c r="K109">
        <f t="shared" si="11"/>
        <v>3417.0355668593297</v>
      </c>
    </row>
    <row r="110" spans="1:11">
      <c r="A110">
        <v>98</v>
      </c>
      <c r="B110">
        <f t="shared" si="6"/>
        <v>9604</v>
      </c>
      <c r="C110">
        <f t="shared" si="7"/>
        <v>273.49983977252441</v>
      </c>
      <c r="D110">
        <v>0.42781948650372215</v>
      </c>
      <c r="E110">
        <f t="shared" si="8"/>
        <v>310.0704448019726</v>
      </c>
      <c r="G110">
        <f t="shared" si="9"/>
        <v>276.69529803529753</v>
      </c>
      <c r="J110">
        <f t="shared" si="10"/>
        <v>33.375146766675073</v>
      </c>
      <c r="K110">
        <f t="shared" si="11"/>
        <v>1113.9004216971016</v>
      </c>
    </row>
    <row r="111" spans="1:11">
      <c r="A111">
        <v>99</v>
      </c>
      <c r="B111">
        <f t="shared" si="6"/>
        <v>9801</v>
      </c>
      <c r="C111">
        <f t="shared" si="7"/>
        <v>278.69095509072622</v>
      </c>
      <c r="D111">
        <v>-0.10495682545297313</v>
      </c>
      <c r="E111">
        <f t="shared" si="8"/>
        <v>269.71909960056723</v>
      </c>
      <c r="G111">
        <f t="shared" si="9"/>
        <v>283.04831854703639</v>
      </c>
      <c r="J111">
        <f t="shared" si="10"/>
        <v>-13.329218946469155</v>
      </c>
      <c r="K111">
        <f t="shared" si="11"/>
        <v>177.66807772291227</v>
      </c>
    </row>
    <row r="112" spans="1:11">
      <c r="A112">
        <v>100</v>
      </c>
      <c r="B112">
        <f t="shared" si="6"/>
        <v>10000</v>
      </c>
      <c r="C112">
        <f t="shared" si="7"/>
        <v>283.93145344071672</v>
      </c>
      <c r="D112">
        <v>-0.94879851531004533</v>
      </c>
      <c r="E112">
        <f t="shared" si="8"/>
        <v>202.82683607161368</v>
      </c>
      <c r="G112">
        <f t="shared" si="9"/>
        <v>289.48088943031587</v>
      </c>
      <c r="J112">
        <f t="shared" si="10"/>
        <v>-86.654053358702186</v>
      </c>
      <c r="K112">
        <f t="shared" si="11"/>
        <v>7508.9249634928055</v>
      </c>
    </row>
    <row r="113" spans="1:11">
      <c r="A113">
        <v>101</v>
      </c>
      <c r="B113">
        <f t="shared" si="6"/>
        <v>10201</v>
      </c>
      <c r="C113">
        <f t="shared" si="7"/>
        <v>289.22133482249598</v>
      </c>
      <c r="D113">
        <v>-0.21527284843614325</v>
      </c>
      <c r="E113">
        <f t="shared" si="8"/>
        <v>270.81951217981941</v>
      </c>
      <c r="G113">
        <f t="shared" si="9"/>
        <v>295.99301068513591</v>
      </c>
      <c r="J113">
        <f t="shared" si="10"/>
        <v>-25.173498505316502</v>
      </c>
      <c r="K113">
        <f t="shared" si="11"/>
        <v>633.70502699717213</v>
      </c>
    </row>
    <row r="114" spans="1:11">
      <c r="A114">
        <v>102</v>
      </c>
      <c r="B114">
        <f t="shared" si="6"/>
        <v>10404</v>
      </c>
      <c r="C114">
        <f t="shared" si="7"/>
        <v>294.56059923606404</v>
      </c>
      <c r="D114">
        <v>-1.4871829989715479</v>
      </c>
      <c r="E114">
        <f t="shared" si="8"/>
        <v>167.43412702609479</v>
      </c>
      <c r="G114">
        <f t="shared" si="9"/>
        <v>302.58468231149641</v>
      </c>
      <c r="J114">
        <f t="shared" si="10"/>
        <v>-135.15055528540162</v>
      </c>
      <c r="K114">
        <f t="shared" si="11"/>
        <v>18265.6725939524</v>
      </c>
    </row>
    <row r="115" spans="1:11">
      <c r="A115">
        <v>103</v>
      </c>
      <c r="B115">
        <f t="shared" si="6"/>
        <v>10609</v>
      </c>
      <c r="C115">
        <f t="shared" si="7"/>
        <v>299.94924668142073</v>
      </c>
      <c r="D115">
        <v>1.0683834261726588</v>
      </c>
      <c r="E115">
        <f t="shared" si="8"/>
        <v>391.27614863690007</v>
      </c>
      <c r="G115">
        <f t="shared" si="9"/>
        <v>309.25590430939747</v>
      </c>
      <c r="J115">
        <f t="shared" si="10"/>
        <v>82.02024432750261</v>
      </c>
      <c r="K115">
        <f t="shared" si="11"/>
        <v>6727.3204795432239</v>
      </c>
    </row>
    <row r="116" spans="1:11">
      <c r="A116">
        <v>104</v>
      </c>
      <c r="B116">
        <f t="shared" si="6"/>
        <v>10816</v>
      </c>
      <c r="C116">
        <f t="shared" si="7"/>
        <v>305.38727715856623</v>
      </c>
      <c r="D116">
        <v>-1.8051741790259257</v>
      </c>
      <c r="E116">
        <f t="shared" si="8"/>
        <v>151.07847638368338</v>
      </c>
      <c r="G116">
        <f t="shared" si="9"/>
        <v>316.00667667883914</v>
      </c>
      <c r="J116">
        <f t="shared" si="10"/>
        <v>-164.92820029515576</v>
      </c>
      <c r="K116">
        <f t="shared" si="11"/>
        <v>27201.311252599018</v>
      </c>
    </row>
    <row r="117" spans="1:11">
      <c r="A117">
        <v>105</v>
      </c>
      <c r="B117">
        <f t="shared" si="6"/>
        <v>11025</v>
      </c>
      <c r="C117">
        <f t="shared" si="7"/>
        <v>310.87469066750054</v>
      </c>
      <c r="D117">
        <v>2.1355481294449419</v>
      </c>
      <c r="E117">
        <f t="shared" si="8"/>
        <v>493.42431644904707</v>
      </c>
      <c r="G117">
        <f t="shared" si="9"/>
        <v>322.83699941982132</v>
      </c>
      <c r="J117">
        <f t="shared" si="10"/>
        <v>170.58731702922574</v>
      </c>
      <c r="K117">
        <f t="shared" si="11"/>
        <v>29100.03273122957</v>
      </c>
    </row>
    <row r="118" spans="1:11">
      <c r="A118">
        <v>106</v>
      </c>
      <c r="B118">
        <f t="shared" si="6"/>
        <v>11236</v>
      </c>
      <c r="C118">
        <f t="shared" si="7"/>
        <v>316.41148720822355</v>
      </c>
      <c r="D118">
        <v>0.99857061286456883</v>
      </c>
      <c r="E118">
        <f t="shared" si="8"/>
        <v>401.77069273559135</v>
      </c>
      <c r="G118">
        <f t="shared" si="9"/>
        <v>329.74687253234401</v>
      </c>
      <c r="J118">
        <f t="shared" si="10"/>
        <v>72.02382020324734</v>
      </c>
      <c r="K118">
        <f t="shared" si="11"/>
        <v>5187.4306766697</v>
      </c>
    </row>
    <row r="119" spans="1:11">
      <c r="A119">
        <v>107</v>
      </c>
      <c r="B119">
        <f t="shared" si="6"/>
        <v>11449</v>
      </c>
      <c r="C119">
        <f t="shared" si="7"/>
        <v>321.9976667807353</v>
      </c>
      <c r="D119">
        <v>-0.7914809430076275</v>
      </c>
      <c r="E119">
        <f t="shared" si="8"/>
        <v>254.34077440396572</v>
      </c>
      <c r="G119">
        <f t="shared" si="9"/>
        <v>336.73629601640732</v>
      </c>
      <c r="J119">
        <f t="shared" si="10"/>
        <v>-82.395521612441598</v>
      </c>
      <c r="K119">
        <f t="shared" si="11"/>
        <v>6789.0219817863308</v>
      </c>
    </row>
    <row r="120" spans="1:11">
      <c r="A120">
        <v>108</v>
      </c>
      <c r="B120">
        <f t="shared" si="6"/>
        <v>11664</v>
      </c>
      <c r="C120">
        <f t="shared" si="7"/>
        <v>327.63322938503575</v>
      </c>
      <c r="D120">
        <v>0.27186047191207763</v>
      </c>
      <c r="E120">
        <f t="shared" si="8"/>
        <v>350.87224082573948</v>
      </c>
      <c r="G120">
        <f t="shared" si="9"/>
        <v>343.80526987201119</v>
      </c>
      <c r="J120">
        <f t="shared" si="10"/>
        <v>7.066970953728287</v>
      </c>
      <c r="K120">
        <f t="shared" si="11"/>
        <v>49.942078460839291</v>
      </c>
    </row>
    <row r="121" spans="1:11">
      <c r="A121">
        <v>109</v>
      </c>
      <c r="B121">
        <f t="shared" si="6"/>
        <v>11881</v>
      </c>
      <c r="C121">
        <f t="shared" si="7"/>
        <v>333.31817502112506</v>
      </c>
      <c r="D121">
        <v>-0.40487748265150003</v>
      </c>
      <c r="E121">
        <f t="shared" si="8"/>
        <v>298.70868440542245</v>
      </c>
      <c r="G121">
        <f t="shared" si="9"/>
        <v>350.95379409915552</v>
      </c>
      <c r="J121">
        <f t="shared" si="10"/>
        <v>-52.24510969373307</v>
      </c>
      <c r="K121">
        <f t="shared" si="11"/>
        <v>2729.5514869102012</v>
      </c>
    </row>
    <row r="122" spans="1:11">
      <c r="A122">
        <v>110</v>
      </c>
      <c r="B122">
        <f t="shared" si="6"/>
        <v>12100</v>
      </c>
      <c r="C122">
        <f t="shared" si="7"/>
        <v>339.05250368900306</v>
      </c>
      <c r="D122">
        <v>8.9814875536831096E-2</v>
      </c>
      <c r="E122">
        <f t="shared" si="8"/>
        <v>346.73000422987178</v>
      </c>
      <c r="G122">
        <f t="shared" si="9"/>
        <v>358.1818686978404</v>
      </c>
      <c r="J122">
        <f t="shared" si="10"/>
        <v>-11.451864467968619</v>
      </c>
      <c r="K122">
        <f t="shared" si="11"/>
        <v>131.1451997927222</v>
      </c>
    </row>
    <row r="123" spans="1:11">
      <c r="A123">
        <v>111</v>
      </c>
      <c r="B123">
        <f t="shared" si="6"/>
        <v>12321</v>
      </c>
      <c r="C123">
        <f t="shared" si="7"/>
        <v>344.83621538866981</v>
      </c>
      <c r="D123">
        <v>0.95626546681160107</v>
      </c>
      <c r="E123">
        <f t="shared" si="8"/>
        <v>426.57911816260344</v>
      </c>
      <c r="G123">
        <f t="shared" si="9"/>
        <v>365.48949366806596</v>
      </c>
      <c r="J123">
        <f t="shared" si="10"/>
        <v>61.089624494537475</v>
      </c>
      <c r="K123">
        <f t="shared" si="11"/>
        <v>3731.9422208835931</v>
      </c>
    </row>
    <row r="124" spans="1:11">
      <c r="A124">
        <v>112</v>
      </c>
      <c r="B124">
        <f t="shared" si="6"/>
        <v>12544</v>
      </c>
      <c r="C124">
        <f t="shared" si="7"/>
        <v>350.66931012012532</v>
      </c>
      <c r="D124">
        <v>0.26377279027656186</v>
      </c>
      <c r="E124">
        <f t="shared" si="8"/>
        <v>373.21697528038374</v>
      </c>
      <c r="G124">
        <f t="shared" si="9"/>
        <v>372.87666900983197</v>
      </c>
      <c r="J124">
        <f t="shared" si="10"/>
        <v>0.3403062705517641</v>
      </c>
      <c r="K124">
        <f t="shared" si="11"/>
        <v>0.11580835777685046</v>
      </c>
    </row>
    <row r="125" spans="1:11">
      <c r="A125">
        <v>113</v>
      </c>
      <c r="B125">
        <f t="shared" si="6"/>
        <v>12769</v>
      </c>
      <c r="C125">
        <f t="shared" si="7"/>
        <v>356.55178788336951</v>
      </c>
      <c r="D125">
        <v>1.9410890672588721</v>
      </c>
      <c r="E125">
        <f t="shared" si="8"/>
        <v>522.47878243387754</v>
      </c>
      <c r="G125">
        <f t="shared" si="9"/>
        <v>380.34339472313854</v>
      </c>
      <c r="J125">
        <f t="shared" si="10"/>
        <v>142.135387710739</v>
      </c>
      <c r="K125">
        <f t="shared" si="11"/>
        <v>20202.468439682096</v>
      </c>
    </row>
    <row r="126" spans="1:11">
      <c r="A126">
        <v>114</v>
      </c>
      <c r="B126">
        <f t="shared" si="6"/>
        <v>12996</v>
      </c>
      <c r="C126">
        <f t="shared" si="7"/>
        <v>362.48364867840252</v>
      </c>
      <c r="D126">
        <v>-0.51731262828980107</v>
      </c>
      <c r="E126">
        <f t="shared" si="8"/>
        <v>318.26304535680168</v>
      </c>
      <c r="G126">
        <f t="shared" si="9"/>
        <v>387.88967080798568</v>
      </c>
      <c r="J126">
        <f t="shared" si="10"/>
        <v>-69.626625451183997</v>
      </c>
      <c r="K126">
        <f t="shared" si="11"/>
        <v>4847.8669717194634</v>
      </c>
    </row>
    <row r="127" spans="1:11">
      <c r="A127">
        <v>115</v>
      </c>
      <c r="B127">
        <f t="shared" si="6"/>
        <v>13225</v>
      </c>
      <c r="C127">
        <f t="shared" si="7"/>
        <v>368.46489250522427</v>
      </c>
      <c r="D127">
        <v>1.9512481230776757</v>
      </c>
      <c r="E127">
        <f t="shared" si="8"/>
        <v>535.26029728374169</v>
      </c>
      <c r="G127">
        <f t="shared" si="9"/>
        <v>395.51549726437338</v>
      </c>
      <c r="J127">
        <f t="shared" si="10"/>
        <v>139.74480001936831</v>
      </c>
      <c r="K127">
        <f t="shared" si="11"/>
        <v>19528.609132453243</v>
      </c>
    </row>
    <row r="128" spans="1:11">
      <c r="A128">
        <v>116</v>
      </c>
      <c r="B128">
        <f t="shared" si="6"/>
        <v>13456</v>
      </c>
      <c r="C128">
        <f t="shared" si="7"/>
        <v>374.49551936383477</v>
      </c>
      <c r="D128">
        <v>0.17278580344282091</v>
      </c>
      <c r="E128">
        <f t="shared" si="8"/>
        <v>389.2654902785381</v>
      </c>
      <c r="G128">
        <f t="shared" si="9"/>
        <v>403.22087409230153</v>
      </c>
      <c r="J128">
        <f t="shared" si="10"/>
        <v>-13.955383813763433</v>
      </c>
      <c r="K128">
        <f t="shared" si="11"/>
        <v>194.75273738945043</v>
      </c>
    </row>
    <row r="129" spans="1:11">
      <c r="A129">
        <v>117</v>
      </c>
      <c r="B129">
        <f t="shared" si="6"/>
        <v>13689</v>
      </c>
      <c r="C129">
        <f t="shared" si="7"/>
        <v>380.57552925423397</v>
      </c>
      <c r="D129">
        <v>0.54027509577281307</v>
      </c>
      <c r="E129">
        <f t="shared" si="8"/>
        <v>426.75899624921607</v>
      </c>
      <c r="G129">
        <f t="shared" si="9"/>
        <v>411.00580129177035</v>
      </c>
      <c r="J129">
        <f t="shared" si="10"/>
        <v>15.753194957445714</v>
      </c>
      <c r="K129">
        <f t="shared" si="11"/>
        <v>248.1631513672931</v>
      </c>
    </row>
    <row r="130" spans="1:11">
      <c r="A130">
        <v>118</v>
      </c>
      <c r="B130">
        <f t="shared" si="6"/>
        <v>13924</v>
      </c>
      <c r="C130">
        <f t="shared" si="7"/>
        <v>386.70492217642192</v>
      </c>
      <c r="D130">
        <v>0.80103973232326098</v>
      </c>
      <c r="E130">
        <f t="shared" si="8"/>
        <v>455.17891316522184</v>
      </c>
      <c r="G130">
        <f t="shared" si="9"/>
        <v>418.87027886277951</v>
      </c>
      <c r="J130">
        <f t="shared" si="10"/>
        <v>36.308634302442329</v>
      </c>
      <c r="K130">
        <f t="shared" si="11"/>
        <v>1318.3169249084917</v>
      </c>
    </row>
    <row r="131" spans="1:11">
      <c r="A131">
        <v>119</v>
      </c>
      <c r="B131">
        <f t="shared" si="6"/>
        <v>14161</v>
      </c>
      <c r="C131">
        <f t="shared" si="7"/>
        <v>392.88369813039867</v>
      </c>
      <c r="D131">
        <v>0.85669398686150089</v>
      </c>
      <c r="E131">
        <f t="shared" si="8"/>
        <v>466.11509224162194</v>
      </c>
      <c r="G131">
        <f t="shared" si="9"/>
        <v>426.81430680532947</v>
      </c>
      <c r="J131">
        <f t="shared" si="10"/>
        <v>39.300785436292472</v>
      </c>
      <c r="K131">
        <f t="shared" si="11"/>
        <v>1544.5517359094983</v>
      </c>
    </row>
    <row r="132" spans="1:11">
      <c r="A132">
        <v>120</v>
      </c>
      <c r="B132">
        <f t="shared" si="6"/>
        <v>14400</v>
      </c>
      <c r="C132">
        <f t="shared" si="7"/>
        <v>399.11185711616417</v>
      </c>
      <c r="D132">
        <v>-0.75049683800898492</v>
      </c>
      <c r="E132">
        <f t="shared" si="8"/>
        <v>334.95834306523847</v>
      </c>
      <c r="G132">
        <f t="shared" si="9"/>
        <v>434.83788511941992</v>
      </c>
      <c r="J132">
        <f t="shared" si="10"/>
        <v>-99.879542054181456</v>
      </c>
      <c r="K132">
        <f t="shared" si="11"/>
        <v>9975.9229209530022</v>
      </c>
    </row>
    <row r="133" spans="1:11">
      <c r="A133">
        <v>121</v>
      </c>
      <c r="B133">
        <f t="shared" si="6"/>
        <v>14641</v>
      </c>
      <c r="C133">
        <f t="shared" si="7"/>
        <v>405.38939913371837</v>
      </c>
      <c r="D133">
        <v>-0.63915649661794305</v>
      </c>
      <c r="E133">
        <f t="shared" si="8"/>
        <v>350.75341239818363</v>
      </c>
      <c r="G133">
        <f t="shared" si="9"/>
        <v>442.94101380505083</v>
      </c>
      <c r="J133">
        <f t="shared" si="10"/>
        <v>-92.187601406867202</v>
      </c>
      <c r="K133">
        <f t="shared" si="11"/>
        <v>8498.553853151423</v>
      </c>
    </row>
    <row r="134" spans="1:11">
      <c r="A134">
        <v>122</v>
      </c>
      <c r="B134">
        <f t="shared" si="6"/>
        <v>14884</v>
      </c>
      <c r="C134">
        <f t="shared" si="7"/>
        <v>411.71632418306137</v>
      </c>
      <c r="D134">
        <v>0.30527758099196944</v>
      </c>
      <c r="E134">
        <f t="shared" si="8"/>
        <v>437.81187660878186</v>
      </c>
      <c r="G134">
        <f t="shared" si="9"/>
        <v>451.1236928622223</v>
      </c>
      <c r="J134">
        <f t="shared" si="10"/>
        <v>-13.311816253440441</v>
      </c>
      <c r="K134">
        <f t="shared" si="11"/>
        <v>177.20445196536107</v>
      </c>
    </row>
    <row r="135" spans="1:11">
      <c r="A135">
        <v>123</v>
      </c>
      <c r="B135">
        <f t="shared" si="6"/>
        <v>15129</v>
      </c>
      <c r="C135">
        <f t="shared" si="7"/>
        <v>418.09263226419307</v>
      </c>
      <c r="D135">
        <v>0.12258851711521856</v>
      </c>
      <c r="E135">
        <f t="shared" si="8"/>
        <v>428.57166929264645</v>
      </c>
      <c r="G135">
        <f t="shared" si="9"/>
        <v>459.38592229093433</v>
      </c>
      <c r="J135">
        <f t="shared" si="10"/>
        <v>-30.814252998287884</v>
      </c>
      <c r="K135">
        <f t="shared" si="11"/>
        <v>949.51818784249383</v>
      </c>
    </row>
  </sheetData>
  <mergeCells count="3">
    <mergeCell ref="G3:H3"/>
    <mergeCell ref="F4:H4"/>
    <mergeCell ref="F8:H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008DA-392F-4ACD-ADA9-979037A8EE72}">
  <dimension ref="A1:X142"/>
  <sheetViews>
    <sheetView tabSelected="1" workbookViewId="0">
      <selection activeCell="M21" sqref="M21"/>
    </sheetView>
  </sheetViews>
  <sheetFormatPr defaultRowHeight="14.25"/>
  <cols>
    <col min="2" max="2" width="8.625" customWidth="1"/>
    <col min="3" max="3" width="10.625" customWidth="1"/>
    <col min="6" max="6" width="11.375" customWidth="1"/>
    <col min="7" max="7" width="9.375" bestFit="1" customWidth="1"/>
    <col min="10" max="10" width="9.625" bestFit="1" customWidth="1"/>
    <col min="13" max="13" width="15.625" customWidth="1"/>
  </cols>
  <sheetData>
    <row r="1" spans="1:8" ht="15">
      <c r="A1" s="11" t="s">
        <v>50</v>
      </c>
    </row>
    <row r="3" spans="1:8" ht="15">
      <c r="A3" s="2">
        <v>1</v>
      </c>
      <c r="B3" s="4" t="s">
        <v>0</v>
      </c>
      <c r="C3" s="4"/>
      <c r="F3" s="1">
        <v>5</v>
      </c>
      <c r="G3" s="13" t="s">
        <v>11</v>
      </c>
      <c r="H3" s="13"/>
    </row>
    <row r="4" spans="1:8">
      <c r="A4" t="s">
        <v>3</v>
      </c>
      <c r="C4">
        <v>122.80037842951751</v>
      </c>
      <c r="F4" s="19" t="s">
        <v>12</v>
      </c>
      <c r="G4" s="19"/>
      <c r="H4" s="19"/>
    </row>
    <row r="5" spans="1:8">
      <c r="A5" t="s">
        <v>8</v>
      </c>
      <c r="B5" s="14" t="s">
        <v>23</v>
      </c>
      <c r="F5" t="s">
        <v>55</v>
      </c>
      <c r="G5">
        <v>13.710016428121127</v>
      </c>
    </row>
    <row r="6" spans="1:8">
      <c r="A6" t="s">
        <v>4</v>
      </c>
      <c r="F6" t="s">
        <v>56</v>
      </c>
      <c r="G6">
        <v>-2.5555711929101856</v>
      </c>
    </row>
    <row r="7" spans="1:8">
      <c r="A7" t="s">
        <v>55</v>
      </c>
      <c r="B7">
        <v>2.7798699951090384</v>
      </c>
      <c r="F7" t="s">
        <v>57</v>
      </c>
      <c r="G7" s="15">
        <v>-2.5555711929100795</v>
      </c>
    </row>
    <row r="8" spans="1:8">
      <c r="A8" t="s">
        <v>56</v>
      </c>
      <c r="B8">
        <v>0.24989152583002577</v>
      </c>
      <c r="F8" t="s">
        <v>58</v>
      </c>
      <c r="G8">
        <v>0.61171007602159788</v>
      </c>
    </row>
    <row r="9" spans="1:8">
      <c r="A9" t="s">
        <v>57</v>
      </c>
      <c r="B9">
        <v>0.38007084539276548</v>
      </c>
      <c r="F9" t="s">
        <v>60</v>
      </c>
      <c r="G9">
        <v>0.61170963726856098</v>
      </c>
    </row>
    <row r="10" spans="1:8">
      <c r="A10" t="s">
        <v>58</v>
      </c>
      <c r="B10">
        <v>0.45726830093190074</v>
      </c>
      <c r="F10" t="s">
        <v>59</v>
      </c>
      <c r="G10">
        <v>0.61171007602159844</v>
      </c>
    </row>
    <row r="11" spans="1:8">
      <c r="A11" t="s">
        <v>60</v>
      </c>
      <c r="B11">
        <v>0.45715097611537203</v>
      </c>
    </row>
    <row r="12" spans="1:8">
      <c r="A12" t="s">
        <v>59</v>
      </c>
      <c r="B12">
        <v>0.43409164744662121</v>
      </c>
      <c r="F12" s="19" t="s">
        <v>13</v>
      </c>
      <c r="G12" s="19"/>
      <c r="H12" s="19"/>
    </row>
    <row r="13" spans="1:8">
      <c r="A13" t="s">
        <v>7</v>
      </c>
      <c r="B13">
        <v>27.547722033341415</v>
      </c>
      <c r="F13" t="s">
        <v>14</v>
      </c>
      <c r="G13">
        <f>SUM(O20:O142)</f>
        <v>74869.602961027907</v>
      </c>
    </row>
    <row r="18" spans="1:21" ht="15">
      <c r="A18" s="1">
        <v>2</v>
      </c>
      <c r="B18" s="8" t="s">
        <v>9</v>
      </c>
      <c r="K18" s="16">
        <v>3</v>
      </c>
      <c r="L18" s="9" t="s">
        <v>18</v>
      </c>
      <c r="N18" s="16">
        <v>4</v>
      </c>
      <c r="O18" s="9" t="s">
        <v>20</v>
      </c>
      <c r="P18" s="16">
        <v>6</v>
      </c>
      <c r="Q18" s="9" t="s">
        <v>24</v>
      </c>
    </row>
    <row r="19" spans="1:21">
      <c r="A19" s="17" t="s">
        <v>61</v>
      </c>
      <c r="B19" s="17" t="s">
        <v>62</v>
      </c>
      <c r="C19" s="17" t="s">
        <v>63</v>
      </c>
      <c r="D19" s="17" t="s">
        <v>64</v>
      </c>
      <c r="E19" s="17" t="s">
        <v>65</v>
      </c>
      <c r="F19" s="17" t="s">
        <v>66</v>
      </c>
      <c r="G19" s="17" t="s">
        <v>16</v>
      </c>
      <c r="H19" s="17" t="s">
        <v>17</v>
      </c>
      <c r="K19" s="18" t="s">
        <v>19</v>
      </c>
      <c r="N19" s="18" t="s">
        <v>21</v>
      </c>
      <c r="O19" s="18" t="s">
        <v>22</v>
      </c>
      <c r="P19" t="s">
        <v>25</v>
      </c>
      <c r="R19" t="s">
        <v>70</v>
      </c>
    </row>
    <row r="20" spans="1:21" ht="15" thickBot="1">
      <c r="A20">
        <v>0</v>
      </c>
      <c r="B20">
        <f>A20</f>
        <v>0</v>
      </c>
      <c r="C20">
        <f>A20^2</f>
        <v>0</v>
      </c>
      <c r="D20">
        <f>B20^2</f>
        <v>0</v>
      </c>
      <c r="E20">
        <f>A20*B20</f>
        <v>0</v>
      </c>
      <c r="F20">
        <f>$B$7 + $B$8 *A20 + $B$9*B20 + $B$10*C20+$B$11*D20+$B$12*E20</f>
        <v>2.7798699951090384</v>
      </c>
      <c r="G20">
        <v>-0.78438688433379899</v>
      </c>
      <c r="H20">
        <f>F20+$B$13*G20</f>
        <v>-18.828201861117179</v>
      </c>
      <c r="K20">
        <f>$G$5 + $G$6 *A20 + $G$7*B20 + $G$8*C20+$G$9*D20+$G$10*E20</f>
        <v>13.710016428121127</v>
      </c>
      <c r="N20">
        <f>H20-K20</f>
        <v>-32.538218289238309</v>
      </c>
      <c r="O20">
        <f>N20^2</f>
        <v>1058.7356494381224</v>
      </c>
    </row>
    <row r="21" spans="1:21" ht="15">
      <c r="A21">
        <v>0.1</v>
      </c>
      <c r="B21">
        <f t="shared" ref="B21:B84" si="0">A21</f>
        <v>0.1</v>
      </c>
      <c r="C21">
        <f t="shared" ref="C21:C84" si="1">A21^2</f>
        <v>1.0000000000000002E-2</v>
      </c>
      <c r="D21">
        <f t="shared" ref="D21:D84" si="2">B21^2</f>
        <v>1.0000000000000002E-2</v>
      </c>
      <c r="E21">
        <f t="shared" ref="E21:E84" si="3">A21*B21</f>
        <v>1.0000000000000002E-2</v>
      </c>
      <c r="F21">
        <f t="shared" ref="F21:F84" si="4">$B$7 + $B$8 *A21 + $B$9*B21 + $B$10*C21+$B$11*D21+$B$12*E21</f>
        <v>2.8563513414762558</v>
      </c>
      <c r="G21">
        <v>0.90069988800678402</v>
      </c>
      <c r="H21">
        <f t="shared" ref="H21:H84" si="5">F21+$B$13*G21</f>
        <v>27.668581491748885</v>
      </c>
      <c r="K21">
        <f>$G$5 + $G$6 *A21 + $G$7*B21 + $G$8*C21+$G$9*D21+$G$10*E21</f>
        <v>13.217253487432217</v>
      </c>
      <c r="N21">
        <f>H21-K21</f>
        <v>14.451328004316668</v>
      </c>
      <c r="O21">
        <f t="shared" ref="O21:O84" si="6">N21^2</f>
        <v>208.84088108834717</v>
      </c>
      <c r="P21" s="20" t="s">
        <v>26</v>
      </c>
      <c r="Q21" s="20"/>
    </row>
    <row r="22" spans="1:21">
      <c r="A22">
        <v>0.2</v>
      </c>
      <c r="B22">
        <f t="shared" si="0"/>
        <v>0.2</v>
      </c>
      <c r="C22">
        <f t="shared" si="1"/>
        <v>4.0000000000000008E-2</v>
      </c>
      <c r="D22">
        <f t="shared" si="2"/>
        <v>4.0000000000000008E-2</v>
      </c>
      <c r="E22">
        <f t="shared" si="3"/>
        <v>4.0000000000000008E-2</v>
      </c>
      <c r="F22">
        <f t="shared" si="4"/>
        <v>2.9598029063333526</v>
      </c>
      <c r="G22">
        <v>-0.24031805878621526</v>
      </c>
      <c r="H22">
        <f t="shared" si="5"/>
        <v>-3.6604121767015072</v>
      </c>
      <c r="K22">
        <f>$G$5 + $G$6 *A22 + $G$7*B22 + $G$8*C22+$G$9*D22+$G$10*E22</f>
        <v>12.761193142529544</v>
      </c>
      <c r="N22">
        <f>H22-K22</f>
        <v>-16.421605319231052</v>
      </c>
      <c r="O22">
        <f t="shared" si="6"/>
        <v>269.66912126059759</v>
      </c>
      <c r="P22" s="5" t="s">
        <v>27</v>
      </c>
      <c r="Q22" s="5">
        <v>0.88543825552050393</v>
      </c>
    </row>
    <row r="23" spans="1:21">
      <c r="A23">
        <v>0.3</v>
      </c>
      <c r="B23">
        <f t="shared" si="0"/>
        <v>0.3</v>
      </c>
      <c r="C23">
        <f t="shared" si="1"/>
        <v>0.09</v>
      </c>
      <c r="D23">
        <f t="shared" si="2"/>
        <v>0.09</v>
      </c>
      <c r="E23">
        <f t="shared" si="3"/>
        <v>0.09</v>
      </c>
      <c r="F23">
        <f t="shared" si="4"/>
        <v>3.0902246896803258</v>
      </c>
      <c r="G23">
        <v>-0.59327703638700768</v>
      </c>
      <c r="H23">
        <f t="shared" si="5"/>
        <v>-13.253206197473542</v>
      </c>
      <c r="K23">
        <f>$G$5 + $G$6 *A23 + $G$7*B23 + $G$8*C23+$G$9*D23+$G$10*E23</f>
        <v>12.341835393413106</v>
      </c>
      <c r="N23">
        <f>H23-K23</f>
        <v>-25.595041590886648</v>
      </c>
      <c r="O23">
        <f t="shared" si="6"/>
        <v>655.10615403921736</v>
      </c>
      <c r="P23" s="5" t="s">
        <v>28</v>
      </c>
      <c r="Q23" s="5">
        <v>0.78400090433919312</v>
      </c>
    </row>
    <row r="24" spans="1:21">
      <c r="A24">
        <v>0.4</v>
      </c>
      <c r="B24">
        <f t="shared" si="0"/>
        <v>0.4</v>
      </c>
      <c r="C24">
        <f t="shared" si="1"/>
        <v>0.16000000000000003</v>
      </c>
      <c r="D24">
        <f t="shared" si="2"/>
        <v>0.16000000000000003</v>
      </c>
      <c r="E24">
        <f t="shared" si="3"/>
        <v>0.16000000000000003</v>
      </c>
      <c r="F24">
        <f t="shared" si="4"/>
        <v>3.2476166915171785</v>
      </c>
      <c r="G24">
        <v>0.99693352240137756</v>
      </c>
      <c r="H24">
        <f t="shared" si="5"/>
        <v>30.710864252350277</v>
      </c>
      <c r="K24">
        <f>$G$5 + $G$6 *A24 + $G$7*B24 + $G$8*C24+$G$9*D24+$G$10*E24</f>
        <v>11.959180240082905</v>
      </c>
      <c r="N24">
        <f>H24-K24</f>
        <v>18.751684012267372</v>
      </c>
      <c r="O24">
        <f t="shared" si="6"/>
        <v>351.62565329592377</v>
      </c>
      <c r="P24" s="5" t="s">
        <v>29</v>
      </c>
      <c r="Q24" s="5">
        <v>0.78221578784612866</v>
      </c>
    </row>
    <row r="25" spans="1:21">
      <c r="A25">
        <v>0.5</v>
      </c>
      <c r="B25">
        <f t="shared" si="0"/>
        <v>0.5</v>
      </c>
      <c r="C25">
        <f t="shared" si="1"/>
        <v>0.25</v>
      </c>
      <c r="D25">
        <f t="shared" si="2"/>
        <v>0.25</v>
      </c>
      <c r="E25">
        <f t="shared" si="3"/>
        <v>0.25</v>
      </c>
      <c r="F25">
        <f t="shared" si="4"/>
        <v>3.4319789118439075</v>
      </c>
      <c r="G25">
        <v>0.9662221600592602</v>
      </c>
      <c r="H25">
        <f t="shared" si="5"/>
        <v>30.049198399611125</v>
      </c>
      <c r="K25">
        <f>$G$5 + $G$6 *A25 + $G$7*B25 + $G$8*C25+$G$9*D25+$G$10*E25</f>
        <v>11.613227682538934</v>
      </c>
      <c r="N25">
        <f>H25-K25</f>
        <v>18.435970717072191</v>
      </c>
      <c r="O25">
        <f t="shared" si="6"/>
        <v>339.88501628074334</v>
      </c>
      <c r="P25" s="5" t="s">
        <v>30</v>
      </c>
      <c r="Q25" s="5">
        <v>32.464362488236524</v>
      </c>
    </row>
    <row r="26" spans="1:21" ht="15" thickBot="1">
      <c r="A26">
        <v>0.6</v>
      </c>
      <c r="B26">
        <f t="shared" si="0"/>
        <v>0.6</v>
      </c>
      <c r="C26">
        <f t="shared" si="1"/>
        <v>0.36</v>
      </c>
      <c r="D26">
        <f t="shared" si="2"/>
        <v>0.36</v>
      </c>
      <c r="E26">
        <f t="shared" si="3"/>
        <v>0.36</v>
      </c>
      <c r="F26">
        <f t="shared" si="4"/>
        <v>3.6433113506605155</v>
      </c>
      <c r="G26">
        <v>0.36116261981078424</v>
      </c>
      <c r="H26">
        <f t="shared" si="5"/>
        <v>13.592518810041366</v>
      </c>
      <c r="K26">
        <f>$G$5 + $G$6 *A26 + $G$7*B26 + $G$8*C26+$G$9*D26+$G$10*E26</f>
        <v>11.3039777207812</v>
      </c>
      <c r="N26">
        <f>H26-K26</f>
        <v>2.2885410892601659</v>
      </c>
      <c r="O26">
        <f t="shared" si="6"/>
        <v>5.2374203172321065</v>
      </c>
      <c r="P26" s="6" t="s">
        <v>31</v>
      </c>
      <c r="Q26" s="6">
        <v>123</v>
      </c>
    </row>
    <row r="27" spans="1:21">
      <c r="A27">
        <v>0.7</v>
      </c>
      <c r="B27">
        <f t="shared" si="0"/>
        <v>0.7</v>
      </c>
      <c r="C27">
        <f t="shared" si="1"/>
        <v>0.48999999999999994</v>
      </c>
      <c r="D27">
        <f t="shared" si="2"/>
        <v>0.48999999999999994</v>
      </c>
      <c r="E27">
        <f t="shared" si="3"/>
        <v>0.48999999999999994</v>
      </c>
      <c r="F27">
        <f t="shared" si="4"/>
        <v>3.8816140079670007</v>
      </c>
      <c r="G27">
        <v>1.0078065315610729</v>
      </c>
      <c r="H27">
        <f t="shared" si="5"/>
        <v>31.644388202797362</v>
      </c>
      <c r="K27">
        <f>$G$5 + $G$6 *A27 + $G$7*B27 + $G$8*C27+$G$9*D27+$G$10*E27</f>
        <v>11.031430354809704</v>
      </c>
      <c r="N27">
        <f>H27-K27</f>
        <v>20.612957847987659</v>
      </c>
      <c r="O27">
        <f t="shared" si="6"/>
        <v>424.89403124291601</v>
      </c>
    </row>
    <row r="28" spans="1:21" ht="15" thickBot="1">
      <c r="A28">
        <v>0.8</v>
      </c>
      <c r="B28">
        <f t="shared" si="0"/>
        <v>0.8</v>
      </c>
      <c r="C28">
        <f t="shared" si="1"/>
        <v>0.64000000000000012</v>
      </c>
      <c r="D28">
        <f t="shared" si="2"/>
        <v>0.64000000000000012</v>
      </c>
      <c r="E28">
        <f t="shared" si="3"/>
        <v>0.64000000000000012</v>
      </c>
      <c r="F28">
        <f t="shared" si="4"/>
        <v>4.1468868837633641</v>
      </c>
      <c r="G28">
        <v>1.3553744793171063</v>
      </c>
      <c r="H28">
        <f t="shared" si="5"/>
        <v>41.484366291075865</v>
      </c>
      <c r="K28">
        <f>$G$5 + $G$6 *A28 + $G$7*B28 + $G$8*C28+$G$9*D28+$G$10*E28</f>
        <v>10.79558558462444</v>
      </c>
      <c r="N28">
        <f>H28-K28</f>
        <v>30.688780706451425</v>
      </c>
      <c r="O28">
        <f t="shared" si="6"/>
        <v>941.80126124866524</v>
      </c>
      <c r="P28" t="s">
        <v>32</v>
      </c>
    </row>
    <row r="29" spans="1:21" ht="15">
      <c r="A29">
        <v>0.9</v>
      </c>
      <c r="B29">
        <f t="shared" si="0"/>
        <v>0.9</v>
      </c>
      <c r="C29">
        <f t="shared" si="1"/>
        <v>0.81</v>
      </c>
      <c r="D29">
        <f t="shared" si="2"/>
        <v>0.81</v>
      </c>
      <c r="E29">
        <f t="shared" si="3"/>
        <v>0.81</v>
      </c>
      <c r="F29">
        <f t="shared" si="4"/>
        <v>4.4391299780496052</v>
      </c>
      <c r="G29">
        <v>3.7455265555763617E-2</v>
      </c>
      <c r="H29">
        <f t="shared" si="5"/>
        <v>5.4709372222647685</v>
      </c>
      <c r="K29">
        <f>$G$5 + $G$6 *A29 + $G$7*B29 + $G$8*C29+$G$9*D29+$G$10*E29</f>
        <v>10.596443410225412</v>
      </c>
      <c r="N29">
        <f>H29-K29</f>
        <v>-5.1255061879606432</v>
      </c>
      <c r="O29">
        <f t="shared" si="6"/>
        <v>26.270813682822844</v>
      </c>
      <c r="P29" s="7"/>
      <c r="Q29" s="7" t="s">
        <v>37</v>
      </c>
      <c r="R29" s="7" t="s">
        <v>38</v>
      </c>
      <c r="S29" s="7" t="s">
        <v>39</v>
      </c>
      <c r="T29" s="7" t="s">
        <v>40</v>
      </c>
      <c r="U29" s="7" t="s">
        <v>41</v>
      </c>
    </row>
    <row r="30" spans="1:21">
      <c r="A30">
        <v>1</v>
      </c>
      <c r="B30">
        <f t="shared" si="0"/>
        <v>1</v>
      </c>
      <c r="C30">
        <f t="shared" si="1"/>
        <v>1</v>
      </c>
      <c r="D30">
        <f t="shared" si="2"/>
        <v>1</v>
      </c>
      <c r="E30">
        <f t="shared" si="3"/>
        <v>1</v>
      </c>
      <c r="F30">
        <f t="shared" si="4"/>
        <v>4.7583432908257235</v>
      </c>
      <c r="G30">
        <v>-0.62784238252788782</v>
      </c>
      <c r="H30">
        <f t="shared" si="5"/>
        <v>-12.53728414380334</v>
      </c>
      <c r="K30">
        <f>$G$5 + $G$6 *A30 + $G$7*B30 + $G$8*C30+$G$9*D30+$G$10*E30</f>
        <v>10.434003831612619</v>
      </c>
      <c r="N30">
        <f>H30-K30</f>
        <v>-22.971287975415962</v>
      </c>
      <c r="O30">
        <f t="shared" si="6"/>
        <v>527.68007124948997</v>
      </c>
      <c r="P30" s="5" t="s">
        <v>33</v>
      </c>
      <c r="Q30" s="5">
        <v>1</v>
      </c>
      <c r="R30" s="5">
        <v>462875.0361282581</v>
      </c>
      <c r="S30" s="5">
        <v>462875.0361282581</v>
      </c>
      <c r="T30" s="5">
        <v>439.1875305534233</v>
      </c>
      <c r="U30" s="5">
        <v>4.4245208602103198E-42</v>
      </c>
    </row>
    <row r="31" spans="1:21">
      <c r="A31">
        <v>1.1000000000000001</v>
      </c>
      <c r="B31">
        <f t="shared" si="0"/>
        <v>1.1000000000000001</v>
      </c>
      <c r="C31">
        <f t="shared" si="1"/>
        <v>1.2100000000000002</v>
      </c>
      <c r="D31">
        <f t="shared" si="2"/>
        <v>1.2100000000000002</v>
      </c>
      <c r="E31">
        <f t="shared" si="3"/>
        <v>1.2100000000000002</v>
      </c>
      <c r="F31">
        <f t="shared" si="4"/>
        <v>5.1045268220917217</v>
      </c>
      <c r="G31">
        <v>1.1634756447165273</v>
      </c>
      <c r="H31">
        <f t="shared" si="5"/>
        <v>37.155630475305308</v>
      </c>
      <c r="K31">
        <f>$G$5 + $G$6 *A31 + $G$7*B31 + $G$8*C31+$G$9*D31+$G$10*E31</f>
        <v>10.308266848786062</v>
      </c>
      <c r="N31">
        <f>H31-K31</f>
        <v>26.847363626519247</v>
      </c>
      <c r="O31">
        <f t="shared" si="6"/>
        <v>720.78093369454871</v>
      </c>
      <c r="P31" s="5" t="s">
        <v>34</v>
      </c>
      <c r="Q31" s="5">
        <v>121</v>
      </c>
      <c r="R31" s="5">
        <v>127526.11464388188</v>
      </c>
      <c r="S31" s="5">
        <v>1053.9348317676188</v>
      </c>
      <c r="T31" s="5"/>
      <c r="U31" s="5"/>
    </row>
    <row r="32" spans="1:21" ht="15" thickBot="1">
      <c r="A32">
        <v>1.2</v>
      </c>
      <c r="B32">
        <f t="shared" si="0"/>
        <v>1.2</v>
      </c>
      <c r="C32">
        <f t="shared" si="1"/>
        <v>1.44</v>
      </c>
      <c r="D32">
        <f t="shared" si="2"/>
        <v>1.44</v>
      </c>
      <c r="E32">
        <f t="shared" si="3"/>
        <v>1.44</v>
      </c>
      <c r="F32">
        <f t="shared" si="4"/>
        <v>5.4776805718475945</v>
      </c>
      <c r="G32">
        <v>-0.40911572796176188</v>
      </c>
      <c r="H32">
        <f t="shared" si="5"/>
        <v>-5.7925257815111451</v>
      </c>
      <c r="K32">
        <f>$G$5 + $G$6 *A32 + $G$7*B32 + $G$8*C32+$G$9*D32+$G$10*E32</f>
        <v>10.21923246174574</v>
      </c>
      <c r="N32">
        <f>H32-K32</f>
        <v>-16.011758243256885</v>
      </c>
      <c r="O32">
        <f t="shared" si="6"/>
        <v>256.37640204050484</v>
      </c>
      <c r="P32" s="6" t="s">
        <v>35</v>
      </c>
      <c r="Q32" s="6">
        <v>122</v>
      </c>
      <c r="R32" s="6">
        <v>590401.15077214001</v>
      </c>
      <c r="S32" s="6"/>
      <c r="T32" s="6"/>
      <c r="U32" s="6"/>
    </row>
    <row r="33" spans="1:24" ht="15" thickBot="1">
      <c r="A33">
        <v>1.3</v>
      </c>
      <c r="B33">
        <f t="shared" si="0"/>
        <v>1.3</v>
      </c>
      <c r="C33">
        <f t="shared" si="1"/>
        <v>1.6900000000000002</v>
      </c>
      <c r="D33">
        <f t="shared" si="2"/>
        <v>1.6900000000000002</v>
      </c>
      <c r="E33">
        <f t="shared" si="3"/>
        <v>1.6900000000000002</v>
      </c>
      <c r="F33">
        <f t="shared" si="4"/>
        <v>5.8778045400933472</v>
      </c>
      <c r="G33">
        <v>1.1546399036888033</v>
      </c>
      <c r="H33">
        <f t="shared" si="5"/>
        <v>37.685503655516605</v>
      </c>
      <c r="K33">
        <f>$G$5 + $G$6 *A33 + $G$7*B33 + $G$8*C33+$G$9*D33+$G$10*E33</f>
        <v>10.166900670491652</v>
      </c>
      <c r="N33">
        <f>H33-K33</f>
        <v>27.518602985024955</v>
      </c>
      <c r="O33">
        <f t="shared" si="6"/>
        <v>757.27351024742438</v>
      </c>
    </row>
    <row r="34" spans="1:24" ht="15">
      <c r="A34">
        <v>1.4</v>
      </c>
      <c r="B34">
        <f t="shared" si="0"/>
        <v>1.4</v>
      </c>
      <c r="C34">
        <f t="shared" si="1"/>
        <v>1.9599999999999997</v>
      </c>
      <c r="D34">
        <f t="shared" si="2"/>
        <v>1.9599999999999997</v>
      </c>
      <c r="E34">
        <f t="shared" si="3"/>
        <v>1.9599999999999997</v>
      </c>
      <c r="F34">
        <f t="shared" si="4"/>
        <v>6.3048987268289771</v>
      </c>
      <c r="G34">
        <v>1.8015953173744492E-2</v>
      </c>
      <c r="H34">
        <f t="shared" si="5"/>
        <v>6.8011971970249858</v>
      </c>
      <c r="K34">
        <f>$G$5 + $G$6 *A34 + $G$7*B34 + $G$8*C34+$G$9*D34+$G$10*E34</f>
        <v>10.151271475023801</v>
      </c>
      <c r="N34">
        <f>H34-K34</f>
        <v>-3.3500742779988153</v>
      </c>
      <c r="O34">
        <f t="shared" si="6"/>
        <v>11.222997668109283</v>
      </c>
      <c r="P34" s="7"/>
      <c r="Q34" s="7" t="s">
        <v>42</v>
      </c>
      <c r="R34" s="7" t="s">
        <v>30</v>
      </c>
      <c r="S34" s="7" t="s">
        <v>43</v>
      </c>
      <c r="T34" s="7" t="s">
        <v>44</v>
      </c>
      <c r="U34" s="7" t="s">
        <v>45</v>
      </c>
      <c r="V34" s="7" t="s">
        <v>46</v>
      </c>
      <c r="W34" s="7" t="s">
        <v>47</v>
      </c>
      <c r="X34" s="7" t="s">
        <v>48</v>
      </c>
    </row>
    <row r="35" spans="1:24">
      <c r="A35">
        <v>1.5</v>
      </c>
      <c r="B35">
        <f t="shared" si="0"/>
        <v>1.5</v>
      </c>
      <c r="C35">
        <f t="shared" si="1"/>
        <v>2.25</v>
      </c>
      <c r="D35">
        <f t="shared" si="2"/>
        <v>2.25</v>
      </c>
      <c r="E35">
        <f t="shared" si="3"/>
        <v>2.25</v>
      </c>
      <c r="F35">
        <f t="shared" si="4"/>
        <v>6.758963132054487</v>
      </c>
      <c r="G35">
        <v>-0.3215882315998897</v>
      </c>
      <c r="H35">
        <f t="shared" si="5"/>
        <v>-2.1000600812530967</v>
      </c>
      <c r="K35">
        <f>$G$5 + $G$6 *A35 + $G$7*B35 + $G$8*C35+$G$9*D35+$G$10*E35</f>
        <v>10.172344875342185</v>
      </c>
      <c r="N35">
        <f>H35-K35</f>
        <v>-12.272404956595281</v>
      </c>
      <c r="O35">
        <f t="shared" si="6"/>
        <v>150.61192341866442</v>
      </c>
      <c r="P35" s="5" t="s">
        <v>36</v>
      </c>
      <c r="Q35" s="5">
        <v>-31.440298028002545</v>
      </c>
      <c r="R35" s="5">
        <v>5.8189083995517867</v>
      </c>
      <c r="S35" s="5">
        <v>-5.4031264747910965</v>
      </c>
      <c r="T35" s="5">
        <v>3.3328769215032234E-7</v>
      </c>
      <c r="U35" s="5">
        <v>-42.960362014773381</v>
      </c>
      <c r="V35" s="5">
        <v>-19.920234041231708</v>
      </c>
      <c r="W35" s="5">
        <v>-42.960362014773381</v>
      </c>
      <c r="X35" s="5">
        <v>-19.920234041231708</v>
      </c>
    </row>
    <row r="36" spans="1:24" ht="15" thickBot="1">
      <c r="A36">
        <v>1.6</v>
      </c>
      <c r="B36">
        <f t="shared" si="0"/>
        <v>1.6</v>
      </c>
      <c r="C36">
        <f t="shared" si="1"/>
        <v>2.5600000000000005</v>
      </c>
      <c r="D36">
        <f t="shared" si="2"/>
        <v>2.5600000000000005</v>
      </c>
      <c r="E36">
        <f t="shared" si="3"/>
        <v>2.5600000000000005</v>
      </c>
      <c r="F36">
        <f t="shared" si="4"/>
        <v>7.239997755769874</v>
      </c>
      <c r="G36">
        <v>0.23465304366254713</v>
      </c>
      <c r="H36">
        <f t="shared" si="5"/>
        <v>13.70415457686325</v>
      </c>
      <c r="K36">
        <f>$G$5 + $G$6 *A36 + $G$7*B36 + $G$8*C36+$G$9*D36+$G$10*E36</f>
        <v>10.230120871446804</v>
      </c>
      <c r="N36">
        <f>H36-K36</f>
        <v>3.4740337054164456</v>
      </c>
      <c r="O36">
        <f t="shared" si="6"/>
        <v>12.06891018636952</v>
      </c>
      <c r="P36" s="6" t="s">
        <v>49</v>
      </c>
      <c r="Q36" s="6">
        <v>17.27743186083903</v>
      </c>
      <c r="R36" s="6">
        <v>0.82443076213014421</v>
      </c>
      <c r="S36" s="6">
        <v>20.956801534428458</v>
      </c>
      <c r="T36" s="6">
        <v>4.4245208602105715E-42</v>
      </c>
      <c r="U36" s="6">
        <v>15.645253713279073</v>
      </c>
      <c r="V36" s="6">
        <v>18.909610008398985</v>
      </c>
      <c r="W36" s="6">
        <v>15.645253713279073</v>
      </c>
      <c r="X36" s="6">
        <v>18.909610008398985</v>
      </c>
    </row>
    <row r="37" spans="1:24">
      <c r="A37">
        <v>1.7</v>
      </c>
      <c r="B37">
        <f t="shared" si="0"/>
        <v>1.7</v>
      </c>
      <c r="C37">
        <f t="shared" si="1"/>
        <v>2.8899999999999997</v>
      </c>
      <c r="D37">
        <f t="shared" si="2"/>
        <v>2.8899999999999997</v>
      </c>
      <c r="E37">
        <f t="shared" si="3"/>
        <v>2.8899999999999997</v>
      </c>
      <c r="F37">
        <f t="shared" si="4"/>
        <v>7.7480025979751375</v>
      </c>
      <c r="G37">
        <v>0.45650040192413144</v>
      </c>
      <c r="H37">
        <f t="shared" si="5"/>
        <v>20.323548778289744</v>
      </c>
      <c r="K37">
        <f>$G$5 + $G$6 *A37 + $G$7*B37 + $G$8*C37+$G$9*D37+$G$10*E37</f>
        <v>10.324599463337654</v>
      </c>
      <c r="N37">
        <f>H37-K37</f>
        <v>9.9989493149520907</v>
      </c>
      <c r="O37">
        <f t="shared" si="6"/>
        <v>99.978987402980877</v>
      </c>
    </row>
    <row r="38" spans="1:24">
      <c r="A38">
        <v>1.8</v>
      </c>
      <c r="B38">
        <f t="shared" si="0"/>
        <v>1.8</v>
      </c>
      <c r="C38">
        <f t="shared" si="1"/>
        <v>3.24</v>
      </c>
      <c r="D38">
        <f t="shared" si="2"/>
        <v>3.24</v>
      </c>
      <c r="E38">
        <f t="shared" si="3"/>
        <v>3.24</v>
      </c>
      <c r="F38">
        <f t="shared" si="4"/>
        <v>8.2829776586702799</v>
      </c>
      <c r="G38">
        <v>-1.192411218653433</v>
      </c>
      <c r="H38">
        <f t="shared" si="5"/>
        <v>-24.565235142232385</v>
      </c>
      <c r="K38">
        <f>$G$5 + $G$6 *A38 + $G$7*B38 + $G$8*C38+$G$9*D38+$G$10*E38</f>
        <v>10.455780651014743</v>
      </c>
      <c r="N38">
        <f>H38-K38</f>
        <v>-35.02101579324713</v>
      </c>
      <c r="O38">
        <f t="shared" si="6"/>
        <v>1226.4715471908648</v>
      </c>
    </row>
    <row r="39" spans="1:24">
      <c r="A39">
        <v>1.9</v>
      </c>
      <c r="B39">
        <f t="shared" si="0"/>
        <v>1.9</v>
      </c>
      <c r="C39">
        <f t="shared" si="1"/>
        <v>3.61</v>
      </c>
      <c r="D39">
        <f t="shared" si="2"/>
        <v>3.61</v>
      </c>
      <c r="E39">
        <f t="shared" si="3"/>
        <v>3.61</v>
      </c>
      <c r="F39">
        <f t="shared" si="4"/>
        <v>8.8449229378552978</v>
      </c>
      <c r="G39">
        <v>-1.2202008292661048E-2</v>
      </c>
      <c r="H39">
        <f t="shared" si="5"/>
        <v>8.5087854051605447</v>
      </c>
      <c r="K39">
        <f>$G$5 + $G$6 *A39 + $G$7*B39 + $G$8*C39+$G$9*D39+$G$10*E39</f>
        <v>10.623664434478068</v>
      </c>
      <c r="N39">
        <f>H39-K39</f>
        <v>-2.1148790293175228</v>
      </c>
      <c r="O39">
        <f t="shared" si="6"/>
        <v>4.4727133086470277</v>
      </c>
    </row>
    <row r="40" spans="1:24">
      <c r="A40">
        <v>2</v>
      </c>
      <c r="B40">
        <f t="shared" si="0"/>
        <v>2</v>
      </c>
      <c r="C40">
        <f t="shared" si="1"/>
        <v>4</v>
      </c>
      <c r="D40">
        <f t="shared" si="2"/>
        <v>4</v>
      </c>
      <c r="E40">
        <f t="shared" si="3"/>
        <v>4</v>
      </c>
      <c r="F40">
        <f t="shared" si="4"/>
        <v>9.4338384355301965</v>
      </c>
      <c r="G40">
        <v>-0.13740191207034513</v>
      </c>
      <c r="H40">
        <f t="shared" si="5"/>
        <v>5.6487287549667098</v>
      </c>
      <c r="K40">
        <f>$G$5 + $G$6 *A40 + $G$7*B40 + $G$8*C40+$G$9*D40+$G$10*E40</f>
        <v>10.828250813727626</v>
      </c>
      <c r="N40">
        <f>H40-K40</f>
        <v>-5.1795220587609165</v>
      </c>
      <c r="O40">
        <f t="shared" si="6"/>
        <v>26.827448757190922</v>
      </c>
      <c r="R40" t="s">
        <v>71</v>
      </c>
    </row>
    <row r="41" spans="1:24">
      <c r="A41">
        <v>2.1</v>
      </c>
      <c r="B41">
        <f t="shared" si="0"/>
        <v>2.1</v>
      </c>
      <c r="C41">
        <f t="shared" si="1"/>
        <v>4.41</v>
      </c>
      <c r="D41">
        <f t="shared" si="2"/>
        <v>4.41</v>
      </c>
      <c r="E41">
        <f t="shared" si="3"/>
        <v>4.41</v>
      </c>
      <c r="F41">
        <f t="shared" si="4"/>
        <v>10.049724151694972</v>
      </c>
      <c r="G41">
        <v>-0.59519379647099413</v>
      </c>
      <c r="H41">
        <f t="shared" si="5"/>
        <v>-6.3465091094571573</v>
      </c>
      <c r="K41">
        <f>$G$5 + $G$6 *A41 + $G$7*B41 + $G$8*C41+$G$9*D41+$G$10*E41</f>
        <v>11.069539788763421</v>
      </c>
      <c r="N41">
        <f>H41-K41</f>
        <v>-17.416048898220581</v>
      </c>
      <c r="O41">
        <f t="shared" si="6"/>
        <v>303.31875922521027</v>
      </c>
      <c r="P41" t="s">
        <v>25</v>
      </c>
    </row>
    <row r="42" spans="1:24" ht="15" thickBot="1">
      <c r="A42">
        <v>2.2000000000000002</v>
      </c>
      <c r="B42">
        <f t="shared" si="0"/>
        <v>2.2000000000000002</v>
      </c>
      <c r="C42">
        <f t="shared" si="1"/>
        <v>4.8400000000000007</v>
      </c>
      <c r="D42">
        <f t="shared" si="2"/>
        <v>4.8400000000000007</v>
      </c>
      <c r="E42">
        <f t="shared" si="3"/>
        <v>4.8400000000000007</v>
      </c>
      <c r="F42">
        <f t="shared" si="4"/>
        <v>10.692580086349626</v>
      </c>
      <c r="G42">
        <v>-0.19145318219671026</v>
      </c>
      <c r="H42">
        <f t="shared" si="5"/>
        <v>5.4184810407959825</v>
      </c>
      <c r="K42">
        <f>$G$5 + $G$6 *A42 + $G$7*B42 + $G$8*C42+$G$9*D42+$G$10*E42</f>
        <v>11.347531359585449</v>
      </c>
      <c r="N42">
        <f>H42-K42</f>
        <v>-5.929050318789467</v>
      </c>
      <c r="O42">
        <f t="shared" si="6"/>
        <v>35.153637682737482</v>
      </c>
    </row>
    <row r="43" spans="1:24" ht="15">
      <c r="A43">
        <v>2.2999999999999998</v>
      </c>
      <c r="B43">
        <f t="shared" si="0"/>
        <v>2.2999999999999998</v>
      </c>
      <c r="C43">
        <f t="shared" si="1"/>
        <v>5.2899999999999991</v>
      </c>
      <c r="D43">
        <f t="shared" si="2"/>
        <v>5.2899999999999991</v>
      </c>
      <c r="E43">
        <f t="shared" si="3"/>
        <v>5.2899999999999991</v>
      </c>
      <c r="F43">
        <f t="shared" si="4"/>
        <v>11.362406239494156</v>
      </c>
      <c r="G43">
        <v>2.7350779419066384E-2</v>
      </c>
      <c r="H43">
        <f t="shared" si="5"/>
        <v>12.115857908325832</v>
      </c>
      <c r="K43">
        <f>$G$5 + $G$6 *A43 + $G$7*B43 + $G$8*C43+$G$9*D43+$G$10*E43</f>
        <v>11.662225526193714</v>
      </c>
      <c r="N43">
        <f>H43-K43</f>
        <v>0.45363238213211865</v>
      </c>
      <c r="O43">
        <f t="shared" si="6"/>
        <v>0.20578233811886051</v>
      </c>
      <c r="P43" s="20" t="s">
        <v>26</v>
      </c>
      <c r="Q43" s="20"/>
    </row>
    <row r="44" spans="1:24">
      <c r="A44">
        <v>2.4</v>
      </c>
      <c r="B44">
        <f t="shared" si="0"/>
        <v>2.4</v>
      </c>
      <c r="C44">
        <f t="shared" si="1"/>
        <v>5.76</v>
      </c>
      <c r="D44">
        <f t="shared" si="2"/>
        <v>5.76</v>
      </c>
      <c r="E44">
        <f t="shared" si="3"/>
        <v>5.76</v>
      </c>
      <c r="F44">
        <f t="shared" si="4"/>
        <v>12.059202611128566</v>
      </c>
      <c r="G44">
        <v>0.85570036389981396</v>
      </c>
      <c r="H44">
        <f t="shared" si="5"/>
        <v>35.631798379669739</v>
      </c>
      <c r="K44">
        <f>$G$5 + $G$6 *A44 + $G$7*B44 + $G$8*C44+$G$9*D44+$G$10*E44</f>
        <v>12.013622288588213</v>
      </c>
      <c r="N44">
        <f>H44-K44</f>
        <v>23.618176091081526</v>
      </c>
      <c r="O44">
        <f t="shared" si="6"/>
        <v>557.818241869335</v>
      </c>
      <c r="P44" s="5" t="s">
        <v>27</v>
      </c>
      <c r="Q44" s="5">
        <v>0.93444560518626629</v>
      </c>
    </row>
    <row r="45" spans="1:24">
      <c r="A45">
        <v>2.5</v>
      </c>
      <c r="B45">
        <f t="shared" si="0"/>
        <v>2.5</v>
      </c>
      <c r="C45">
        <f t="shared" si="1"/>
        <v>6.25</v>
      </c>
      <c r="D45">
        <f t="shared" si="2"/>
        <v>6.25</v>
      </c>
      <c r="E45">
        <f t="shared" si="3"/>
        <v>6.25</v>
      </c>
      <c r="F45">
        <f t="shared" si="4"/>
        <v>12.782969201252854</v>
      </c>
      <c r="G45">
        <v>-0.4659455044020433</v>
      </c>
      <c r="H45">
        <f t="shared" si="5"/>
        <v>-5.2768036699694321E-2</v>
      </c>
      <c r="K45">
        <f>$G$5 + $G$6 *A45 + $G$7*B45 + $G$8*C45+$G$9*D45+$G$10*E45</f>
        <v>12.401721646768948</v>
      </c>
      <c r="N45">
        <f>H45-K45</f>
        <v>-12.454489683468642</v>
      </c>
      <c r="O45">
        <f t="shared" si="6"/>
        <v>155.11431327562684</v>
      </c>
      <c r="P45" s="5" t="s">
        <v>28</v>
      </c>
      <c r="Q45" s="5">
        <v>0.87318858905192742</v>
      </c>
    </row>
    <row r="46" spans="1:24">
      <c r="A46">
        <v>2.6</v>
      </c>
      <c r="B46">
        <f t="shared" si="0"/>
        <v>2.6</v>
      </c>
      <c r="C46">
        <f t="shared" si="1"/>
        <v>6.7600000000000007</v>
      </c>
      <c r="D46">
        <f t="shared" si="2"/>
        <v>6.7600000000000007</v>
      </c>
      <c r="E46">
        <f t="shared" si="3"/>
        <v>6.7600000000000007</v>
      </c>
      <c r="F46">
        <f t="shared" si="4"/>
        <v>13.533706009867021</v>
      </c>
      <c r="G46">
        <v>1.370872269035317</v>
      </c>
      <c r="H46">
        <f t="shared" si="5"/>
        <v>51.298114220467966</v>
      </c>
      <c r="K46">
        <f>$G$5 + $G$6 *A46 + $G$7*B46 + $G$8*C46+$G$9*D46+$G$10*E46</f>
        <v>12.826523600735918</v>
      </c>
      <c r="N46">
        <f>H46-K46</f>
        <v>38.471590619732048</v>
      </c>
      <c r="O46">
        <f t="shared" si="6"/>
        <v>1480.063284812255</v>
      </c>
      <c r="P46" s="5" t="s">
        <v>29</v>
      </c>
      <c r="Q46" s="5">
        <v>0.85440839886945952</v>
      </c>
    </row>
    <row r="47" spans="1:24">
      <c r="A47">
        <v>2.7</v>
      </c>
      <c r="B47">
        <f t="shared" si="0"/>
        <v>2.7</v>
      </c>
      <c r="C47">
        <f t="shared" si="1"/>
        <v>7.2900000000000009</v>
      </c>
      <c r="D47">
        <f t="shared" si="2"/>
        <v>7.2900000000000009</v>
      </c>
      <c r="E47">
        <f t="shared" si="3"/>
        <v>7.2900000000000009</v>
      </c>
      <c r="F47">
        <f t="shared" si="4"/>
        <v>14.311413036971064</v>
      </c>
      <c r="G47">
        <v>-0.8247775440395344</v>
      </c>
      <c r="H47">
        <f t="shared" si="5"/>
        <v>-8.4093294855720373</v>
      </c>
      <c r="K47">
        <f>$G$5 + $G$6 *A47 + $G$7*B47 + $G$8*C47+$G$9*D47+$G$10*E47</f>
        <v>13.288028150489122</v>
      </c>
      <c r="N47">
        <f>H47-K47</f>
        <v>-21.69735763606116</v>
      </c>
      <c r="O47">
        <f t="shared" si="6"/>
        <v>470.77532838714149</v>
      </c>
      <c r="P47" s="5" t="s">
        <v>30</v>
      </c>
      <c r="Q47" s="5">
        <v>24.978257704581939</v>
      </c>
    </row>
    <row r="48" spans="1:24" ht="15" thickBot="1">
      <c r="A48">
        <v>2.8</v>
      </c>
      <c r="B48">
        <f t="shared" si="0"/>
        <v>2.8</v>
      </c>
      <c r="C48">
        <f t="shared" si="1"/>
        <v>7.839999999999999</v>
      </c>
      <c r="D48">
        <f t="shared" si="2"/>
        <v>7.839999999999999</v>
      </c>
      <c r="E48">
        <f t="shared" si="3"/>
        <v>7.839999999999999</v>
      </c>
      <c r="F48">
        <f t="shared" si="4"/>
        <v>15.116090282564983</v>
      </c>
      <c r="G48">
        <v>-1.2740588317683432</v>
      </c>
      <c r="H48">
        <f t="shared" si="5"/>
        <v>-19.981328269113028</v>
      </c>
      <c r="K48">
        <f>$G$5 + $G$6 *A48 + $G$7*B48 + $G$8*C48+$G$9*D48+$G$10*E48</f>
        <v>13.786235296028559</v>
      </c>
      <c r="N48">
        <f>H48-K48</f>
        <v>-33.767563565141586</v>
      </c>
      <c r="O48">
        <f t="shared" si="6"/>
        <v>1140.2483491258774</v>
      </c>
      <c r="P48" s="6" t="s">
        <v>31</v>
      </c>
      <c r="Q48" s="6">
        <v>123</v>
      </c>
    </row>
    <row r="49" spans="1:24">
      <c r="A49">
        <v>2.9</v>
      </c>
      <c r="B49">
        <f t="shared" si="0"/>
        <v>2.9</v>
      </c>
      <c r="C49">
        <f t="shared" si="1"/>
        <v>8.41</v>
      </c>
      <c r="D49">
        <f t="shared" si="2"/>
        <v>8.41</v>
      </c>
      <c r="E49">
        <f t="shared" si="3"/>
        <v>8.41</v>
      </c>
      <c r="F49">
        <f t="shared" si="4"/>
        <v>15.947737746648782</v>
      </c>
      <c r="G49">
        <v>0.41377802517672535</v>
      </c>
      <c r="H49">
        <f t="shared" si="5"/>
        <v>27.346379767722159</v>
      </c>
      <c r="K49">
        <f>$G$5 + $G$6 *A49 + $G$7*B49 + $G$8*C49+$G$9*D49+$G$10*E49</f>
        <v>14.321145037354238</v>
      </c>
      <c r="N49">
        <f>H49-K49</f>
        <v>13.02523473036792</v>
      </c>
      <c r="O49">
        <f t="shared" si="6"/>
        <v>169.65673978118267</v>
      </c>
    </row>
    <row r="50" spans="1:24" ht="15" thickBot="1">
      <c r="A50">
        <v>3</v>
      </c>
      <c r="B50">
        <f t="shared" si="0"/>
        <v>3</v>
      </c>
      <c r="C50">
        <f t="shared" si="1"/>
        <v>9</v>
      </c>
      <c r="D50">
        <f t="shared" si="2"/>
        <v>9</v>
      </c>
      <c r="E50">
        <f t="shared" si="3"/>
        <v>9</v>
      </c>
      <c r="F50">
        <f t="shared" si="4"/>
        <v>16.806355429222457</v>
      </c>
      <c r="G50">
        <v>-1.3327235137694515</v>
      </c>
      <c r="H50">
        <f t="shared" si="5"/>
        <v>-19.907141475396458</v>
      </c>
      <c r="K50">
        <f>$G$5 + $G$6 *A50 + $G$7*B50 + $G$8*C50+$G$9*D50+$G$10*E50</f>
        <v>14.892757374466147</v>
      </c>
      <c r="N50">
        <f>H50-K50</f>
        <v>-34.799898849862601</v>
      </c>
      <c r="O50">
        <f t="shared" si="6"/>
        <v>1211.0329599606684</v>
      </c>
      <c r="P50" t="s">
        <v>32</v>
      </c>
    </row>
    <row r="51" spans="1:24" ht="15">
      <c r="A51">
        <v>3.1</v>
      </c>
      <c r="B51">
        <f t="shared" si="0"/>
        <v>3.1</v>
      </c>
      <c r="C51">
        <f t="shared" si="1"/>
        <v>9.6100000000000012</v>
      </c>
      <c r="D51">
        <f t="shared" si="2"/>
        <v>9.6100000000000012</v>
      </c>
      <c r="E51">
        <f t="shared" si="3"/>
        <v>9.6100000000000012</v>
      </c>
      <c r="F51">
        <f t="shared" si="4"/>
        <v>17.691943330286012</v>
      </c>
      <c r="G51">
        <v>-0.22962353796174284</v>
      </c>
      <c r="H51">
        <f t="shared" si="5"/>
        <v>11.3663379342035</v>
      </c>
      <c r="K51">
        <f>$G$5 + $G$6 *A51 + $G$7*B51 + $G$8*C51+$G$9*D51+$G$10*E51</f>
        <v>15.501072307364296</v>
      </c>
      <c r="N51">
        <f>H51-K51</f>
        <v>-4.1347343731607964</v>
      </c>
      <c r="O51">
        <f t="shared" si="6"/>
        <v>17.096028336597403</v>
      </c>
      <c r="P51" s="7"/>
      <c r="Q51" s="7" t="s">
        <v>37</v>
      </c>
      <c r="R51" s="7" t="s">
        <v>38</v>
      </c>
      <c r="S51" s="7" t="s">
        <v>39</v>
      </c>
      <c r="T51" s="7" t="s">
        <v>40</v>
      </c>
      <c r="U51" s="7" t="s">
        <v>41</v>
      </c>
    </row>
    <row r="52" spans="1:24">
      <c r="A52">
        <v>3.2</v>
      </c>
      <c r="B52">
        <f t="shared" si="0"/>
        <v>3.2</v>
      </c>
      <c r="C52">
        <f t="shared" si="1"/>
        <v>10.240000000000002</v>
      </c>
      <c r="D52">
        <f t="shared" si="2"/>
        <v>10.240000000000002</v>
      </c>
      <c r="E52">
        <f t="shared" si="3"/>
        <v>10.240000000000002</v>
      </c>
      <c r="F52">
        <f t="shared" si="4"/>
        <v>18.604501449839447</v>
      </c>
      <c r="G52">
        <v>-0.46995637603686191</v>
      </c>
      <c r="H52">
        <f t="shared" si="5"/>
        <v>5.6582738349795019</v>
      </c>
      <c r="K52">
        <f>$G$5 + $G$6 *A52 + $G$7*B52 + $G$8*C52+$G$9*D52+$G$10*E52</f>
        <v>16.146089836048677</v>
      </c>
      <c r="N52">
        <f>H52-K52</f>
        <v>-10.487816001069175</v>
      </c>
      <c r="O52">
        <f t="shared" si="6"/>
        <v>109.99428447228263</v>
      </c>
      <c r="P52" s="5" t="s">
        <v>33</v>
      </c>
      <c r="Q52" s="5">
        <v>4</v>
      </c>
      <c r="R52" s="5">
        <v>515531.54781735921</v>
      </c>
      <c r="S52" s="5">
        <v>128882.8869543398</v>
      </c>
      <c r="T52" s="5">
        <v>413.14354088031638</v>
      </c>
      <c r="U52" s="5">
        <v>2.2439842893093868E-68</v>
      </c>
    </row>
    <row r="53" spans="1:24">
      <c r="A53">
        <v>3.3</v>
      </c>
      <c r="B53">
        <f t="shared" si="0"/>
        <v>3.3</v>
      </c>
      <c r="C53">
        <f t="shared" si="1"/>
        <v>10.889999999999999</v>
      </c>
      <c r="D53">
        <f t="shared" si="2"/>
        <v>10.889999999999999</v>
      </c>
      <c r="E53">
        <f t="shared" si="3"/>
        <v>10.889999999999999</v>
      </c>
      <c r="F53">
        <f t="shared" si="4"/>
        <v>19.544029787882753</v>
      </c>
      <c r="G53">
        <v>-0.21777964320790488</v>
      </c>
      <c r="H53">
        <f t="shared" si="5"/>
        <v>13.544696712271119</v>
      </c>
      <c r="K53">
        <f>$G$5 + $G$6 *A53 + $G$7*B53 + $G$8*C53+$G$9*D53+$G$10*E53</f>
        <v>16.827809960519286</v>
      </c>
      <c r="N53">
        <f>H53-K53</f>
        <v>-3.2831132482481671</v>
      </c>
      <c r="O53">
        <f t="shared" si="6"/>
        <v>10.77883260082263</v>
      </c>
      <c r="P53" s="5" t="s">
        <v>34</v>
      </c>
      <c r="Q53" s="5">
        <v>120</v>
      </c>
      <c r="R53" s="5">
        <v>74869.602954780828</v>
      </c>
      <c r="S53" s="5">
        <v>623.91335795650696</v>
      </c>
      <c r="T53" s="5"/>
      <c r="U53" s="5"/>
    </row>
    <row r="54" spans="1:24" ht="15" thickBot="1">
      <c r="A54">
        <v>3.4</v>
      </c>
      <c r="B54">
        <f t="shared" si="0"/>
        <v>3.4</v>
      </c>
      <c r="C54">
        <f t="shared" si="1"/>
        <v>11.559999999999999</v>
      </c>
      <c r="D54">
        <f t="shared" si="2"/>
        <v>11.559999999999999</v>
      </c>
      <c r="E54">
        <f t="shared" si="3"/>
        <v>11.559999999999999</v>
      </c>
      <c r="F54">
        <f t="shared" si="4"/>
        <v>20.510528344415942</v>
      </c>
      <c r="G54">
        <v>1.3377598406805191</v>
      </c>
      <c r="H54">
        <f t="shared" si="5"/>
        <v>57.362764582849977</v>
      </c>
      <c r="K54">
        <f>$G$5 + $G$6 *A54 + $G$7*B54 + $G$8*C54+$G$9*D54+$G$10*E54</f>
        <v>17.546232680776139</v>
      </c>
      <c r="N54">
        <f>H54-K54</f>
        <v>39.816531902073834</v>
      </c>
      <c r="O54">
        <f t="shared" si="6"/>
        <v>1585.3562127088633</v>
      </c>
      <c r="P54" s="6" t="s">
        <v>35</v>
      </c>
      <c r="Q54" s="6">
        <v>124</v>
      </c>
      <c r="R54" s="6">
        <v>590401.15077214001</v>
      </c>
      <c r="S54" s="6"/>
      <c r="T54" s="6"/>
      <c r="U54" s="6"/>
    </row>
    <row r="55" spans="1:24" ht="15" thickBot="1">
      <c r="A55">
        <v>3.5</v>
      </c>
      <c r="B55">
        <f t="shared" si="0"/>
        <v>3.5</v>
      </c>
      <c r="C55">
        <f t="shared" si="1"/>
        <v>12.25</v>
      </c>
      <c r="D55">
        <f t="shared" si="2"/>
        <v>12.25</v>
      </c>
      <c r="E55">
        <f t="shared" si="3"/>
        <v>12.25</v>
      </c>
      <c r="F55">
        <f t="shared" si="4"/>
        <v>21.50399711943901</v>
      </c>
      <c r="G55">
        <v>0.9291829883295577</v>
      </c>
      <c r="H55">
        <f t="shared" si="5"/>
        <v>47.100871800051181</v>
      </c>
      <c r="K55">
        <f>$G$5 + $G$6 *A55 + $G$7*B55 + $G$8*C55+$G$9*D55+$G$10*E55</f>
        <v>18.301357996819227</v>
      </c>
      <c r="N55">
        <f>H55-K55</f>
        <v>28.799513803231953</v>
      </c>
      <c r="O55">
        <f t="shared" si="6"/>
        <v>829.41199530254778</v>
      </c>
    </row>
    <row r="56" spans="1:24" ht="15">
      <c r="A56">
        <v>3.6</v>
      </c>
      <c r="B56">
        <f t="shared" si="0"/>
        <v>3.6</v>
      </c>
      <c r="C56">
        <f t="shared" si="1"/>
        <v>12.96</v>
      </c>
      <c r="D56">
        <f t="shared" si="2"/>
        <v>12.96</v>
      </c>
      <c r="E56">
        <f t="shared" si="3"/>
        <v>12.96</v>
      </c>
      <c r="F56">
        <f t="shared" si="4"/>
        <v>22.524436112951953</v>
      </c>
      <c r="G56">
        <v>-1.0002099770645145</v>
      </c>
      <c r="H56">
        <f t="shared" si="5"/>
        <v>-5.0290703101960865</v>
      </c>
      <c r="K56">
        <f>$G$5 + $G$6 *A56 + $G$7*B56 + $G$8*C56+$G$9*D56+$G$10*E56</f>
        <v>19.09318590864855</v>
      </c>
      <c r="N56">
        <f>H56-K56</f>
        <v>-24.122256218844637</v>
      </c>
      <c r="O56">
        <f t="shared" si="6"/>
        <v>581.88324508758876</v>
      </c>
      <c r="P56" s="7"/>
      <c r="Q56" s="7" t="s">
        <v>42</v>
      </c>
      <c r="R56" s="7" t="s">
        <v>30</v>
      </c>
      <c r="S56" s="7" t="s">
        <v>43</v>
      </c>
      <c r="T56" s="7" t="s">
        <v>44</v>
      </c>
      <c r="U56" s="7" t="s">
        <v>45</v>
      </c>
      <c r="V56" s="7" t="s">
        <v>46</v>
      </c>
      <c r="W56" s="7" t="s">
        <v>47</v>
      </c>
      <c r="X56" s="7" t="s">
        <v>48</v>
      </c>
    </row>
    <row r="57" spans="1:24">
      <c r="A57">
        <v>3.7</v>
      </c>
      <c r="B57">
        <f t="shared" si="0"/>
        <v>3.7</v>
      </c>
      <c r="C57">
        <f t="shared" si="1"/>
        <v>13.690000000000001</v>
      </c>
      <c r="D57">
        <f t="shared" si="2"/>
        <v>13.690000000000001</v>
      </c>
      <c r="E57">
        <f t="shared" si="3"/>
        <v>13.690000000000001</v>
      </c>
      <c r="F57">
        <f t="shared" si="4"/>
        <v>23.571845324954772</v>
      </c>
      <c r="G57">
        <v>0.19979665921709966</v>
      </c>
      <c r="H57">
        <f t="shared" si="5"/>
        <v>29.075788156257673</v>
      </c>
      <c r="K57">
        <f>$G$5 + $G$6 *A57 + $G$7*B57 + $G$8*C57+$G$9*D57+$G$10*E57</f>
        <v>19.921716416264104</v>
      </c>
      <c r="N57">
        <f>H57-K57</f>
        <v>9.1540717399935687</v>
      </c>
      <c r="O57">
        <f t="shared" si="6"/>
        <v>83.797029420948888</v>
      </c>
      <c r="P57" s="5" t="s">
        <v>36</v>
      </c>
      <c r="Q57" s="5">
        <v>13.710480217475464</v>
      </c>
      <c r="R57" s="5">
        <v>6.6482464427468653</v>
      </c>
      <c r="S57" s="5">
        <v>2.0622701543251885</v>
      </c>
      <c r="T57" s="5">
        <v>4.1340544285274748E-2</v>
      </c>
      <c r="U57" s="5">
        <v>0.54741494499976362</v>
      </c>
      <c r="V57" s="5">
        <v>26.873545489951162</v>
      </c>
      <c r="W57" s="5">
        <v>0.54741494499976362</v>
      </c>
      <c r="X57" s="5">
        <v>26.873545489951162</v>
      </c>
    </row>
    <row r="58" spans="1:24">
      <c r="A58">
        <v>3.8</v>
      </c>
      <c r="B58">
        <f t="shared" si="0"/>
        <v>3.8</v>
      </c>
      <c r="C58">
        <f t="shared" si="1"/>
        <v>14.44</v>
      </c>
      <c r="D58">
        <f t="shared" si="2"/>
        <v>14.44</v>
      </c>
      <c r="E58">
        <f t="shared" si="3"/>
        <v>14.44</v>
      </c>
      <c r="F58">
        <f t="shared" si="4"/>
        <v>24.64622475544747</v>
      </c>
      <c r="G58">
        <v>0.1701471319393022</v>
      </c>
      <c r="H58">
        <f t="shared" si="5"/>
        <v>29.333390650881633</v>
      </c>
      <c r="K58">
        <f>$G$5 + $G$6 *A58 + $G$7*B58 + $G$8*C58+$G$9*D58+$G$10*E58</f>
        <v>20.786949519665892</v>
      </c>
      <c r="N58">
        <f>H58-K58</f>
        <v>8.5464411312157402</v>
      </c>
      <c r="O58">
        <f t="shared" si="6"/>
        <v>73.04165600933618</v>
      </c>
      <c r="P58" s="5" t="s">
        <v>49</v>
      </c>
      <c r="Q58" s="5">
        <v>0</v>
      </c>
      <c r="R58" s="5">
        <v>0</v>
      </c>
      <c r="S58" s="5">
        <v>65535</v>
      </c>
      <c r="T58" s="5" t="e">
        <v>#NUM!</v>
      </c>
      <c r="U58" s="5">
        <v>0</v>
      </c>
      <c r="V58" s="5">
        <v>0</v>
      </c>
      <c r="W58" s="5">
        <v>0</v>
      </c>
      <c r="X58" s="5">
        <v>0</v>
      </c>
    </row>
    <row r="59" spans="1:24">
      <c r="A59">
        <v>3.9</v>
      </c>
      <c r="B59">
        <f t="shared" si="0"/>
        <v>3.9</v>
      </c>
      <c r="C59">
        <f t="shared" si="1"/>
        <v>15.209999999999999</v>
      </c>
      <c r="D59">
        <f t="shared" si="2"/>
        <v>15.209999999999999</v>
      </c>
      <c r="E59">
        <f t="shared" si="3"/>
        <v>15.209999999999999</v>
      </c>
      <c r="F59">
        <f t="shared" si="4"/>
        <v>25.747574404430051</v>
      </c>
      <c r="G59">
        <v>0.74452827902860008</v>
      </c>
      <c r="H59">
        <f t="shared" si="5"/>
        <v>46.25763248107198</v>
      </c>
      <c r="K59">
        <f>$G$5 + $G$6 *A59 + $G$7*B59 + $G$8*C59+$G$9*D59+$G$10*E59</f>
        <v>21.688885218853919</v>
      </c>
      <c r="N59">
        <f>H59-K59</f>
        <v>24.568747262218061</v>
      </c>
      <c r="O59">
        <f t="shared" si="6"/>
        <v>603.62334203474745</v>
      </c>
      <c r="P59" s="5" t="s">
        <v>54</v>
      </c>
      <c r="Q59" s="5">
        <v>-5.1113837980756882</v>
      </c>
      <c r="R59" s="5">
        <v>2.5182637969201811</v>
      </c>
      <c r="S59" s="5">
        <v>-2.0297253227905965</v>
      </c>
      <c r="T59" s="5" t="e">
        <v>#NUM!</v>
      </c>
      <c r="U59" s="5">
        <v>-10.097370857616308</v>
      </c>
      <c r="V59" s="5">
        <v>-0.12539673853506716</v>
      </c>
      <c r="W59" s="5">
        <v>-10.097370857616308</v>
      </c>
      <c r="X59" s="5">
        <v>-0.12539673853506716</v>
      </c>
    </row>
    <row r="60" spans="1:24">
      <c r="A60">
        <v>4</v>
      </c>
      <c r="B60">
        <f t="shared" si="0"/>
        <v>4</v>
      </c>
      <c r="C60">
        <f t="shared" si="1"/>
        <v>16</v>
      </c>
      <c r="D60">
        <f t="shared" si="2"/>
        <v>16</v>
      </c>
      <c r="E60">
        <f t="shared" si="3"/>
        <v>16</v>
      </c>
      <c r="F60">
        <f t="shared" si="4"/>
        <v>26.875894271902506</v>
      </c>
      <c r="G60">
        <v>-0.27122496248921379</v>
      </c>
      <c r="H60">
        <f t="shared" si="5"/>
        <v>19.404264396746193</v>
      </c>
      <c r="K60">
        <f>$G$5 + $G$6 *A60 + $G$7*B60 + $G$8*C60+$G$9*D60+$G$10*E60</f>
        <v>22.627523513828184</v>
      </c>
      <c r="N60">
        <f>H60-K60</f>
        <v>-3.2232591170819909</v>
      </c>
      <c r="O60">
        <f t="shared" si="6"/>
        <v>10.389399335852175</v>
      </c>
      <c r="P60" s="5" t="s">
        <v>68</v>
      </c>
      <c r="Q60" s="5">
        <v>1.8351488245012069</v>
      </c>
      <c r="R60" s="5">
        <v>0.19975947558855464</v>
      </c>
      <c r="S60" s="5">
        <v>9.1867923616353</v>
      </c>
      <c r="T60" s="5">
        <v>1.4824429474998061E-15</v>
      </c>
      <c r="U60" s="5">
        <v>1.4396389650801038</v>
      </c>
      <c r="V60" s="5">
        <v>2.2306586839223099</v>
      </c>
      <c r="W60" s="5">
        <v>1.4396389650801038</v>
      </c>
      <c r="X60" s="5">
        <v>2.2306586839223099</v>
      </c>
    </row>
    <row r="61" spans="1:24" ht="15" thickBot="1">
      <c r="A61">
        <v>4.0999999999999996</v>
      </c>
      <c r="B61">
        <f t="shared" si="0"/>
        <v>4.0999999999999996</v>
      </c>
      <c r="C61">
        <f t="shared" si="1"/>
        <v>16.809999999999999</v>
      </c>
      <c r="D61">
        <f t="shared" si="2"/>
        <v>16.809999999999999</v>
      </c>
      <c r="E61">
        <f t="shared" si="3"/>
        <v>16.809999999999999</v>
      </c>
      <c r="F61">
        <f t="shared" si="4"/>
        <v>28.031184357864838</v>
      </c>
      <c r="G61">
        <v>-1.268908818019554</v>
      </c>
      <c r="H61">
        <f t="shared" si="5"/>
        <v>-6.9243630465936405</v>
      </c>
      <c r="K61">
        <f>$G$5 + $G$6 *A61 + $G$7*B61 + $G$8*C61+$G$9*D61+$G$10*E61</f>
        <v>23.602864404588679</v>
      </c>
      <c r="N61">
        <f>H61-K61</f>
        <v>-30.52722745118232</v>
      </c>
      <c r="O61">
        <f t="shared" si="6"/>
        <v>931.91161585621944</v>
      </c>
      <c r="P61" s="6" t="s">
        <v>69</v>
      </c>
      <c r="Q61" s="6">
        <v>0</v>
      </c>
      <c r="R61" s="6">
        <v>0</v>
      </c>
      <c r="S61" s="6">
        <v>65535</v>
      </c>
      <c r="T61" s="6" t="e">
        <v>#NUM!</v>
      </c>
      <c r="U61" s="6">
        <v>0</v>
      </c>
      <c r="V61" s="6">
        <v>0</v>
      </c>
      <c r="W61" s="6">
        <v>0</v>
      </c>
      <c r="X61" s="6">
        <v>0</v>
      </c>
    </row>
    <row r="62" spans="1:24">
      <c r="A62">
        <v>4.2</v>
      </c>
      <c r="B62">
        <f t="shared" si="0"/>
        <v>4.2</v>
      </c>
      <c r="C62">
        <f t="shared" si="1"/>
        <v>17.64</v>
      </c>
      <c r="D62">
        <f t="shared" si="2"/>
        <v>17.64</v>
      </c>
      <c r="E62">
        <f t="shared" si="3"/>
        <v>17.64</v>
      </c>
      <c r="F62">
        <f t="shared" si="4"/>
        <v>29.213444662317052</v>
      </c>
      <c r="G62">
        <v>1.4768602341064252</v>
      </c>
      <c r="H62">
        <f t="shared" si="5"/>
        <v>69.897579873576376</v>
      </c>
      <c r="K62">
        <f>$G$5 + $G$6 *A62 + $G$7*B62 + $G$8*C62+$G$9*D62+$G$10*E62</f>
        <v>24.614907891135417</v>
      </c>
      <c r="N62">
        <f>H62-K62</f>
        <v>45.282671982440959</v>
      </c>
      <c r="O62">
        <f t="shared" si="6"/>
        <v>2050.5203818693435</v>
      </c>
    </row>
    <row r="63" spans="1:24">
      <c r="A63">
        <v>4.3</v>
      </c>
      <c r="B63">
        <f t="shared" si="0"/>
        <v>4.3</v>
      </c>
      <c r="C63">
        <f t="shared" si="1"/>
        <v>18.489999999999998</v>
      </c>
      <c r="D63">
        <f t="shared" si="2"/>
        <v>18.489999999999998</v>
      </c>
      <c r="E63">
        <f t="shared" si="3"/>
        <v>18.489999999999998</v>
      </c>
      <c r="F63">
        <f t="shared" si="4"/>
        <v>30.422675185259138</v>
      </c>
      <c r="G63">
        <v>-1.6009926184779033</v>
      </c>
      <c r="H63">
        <f t="shared" si="5"/>
        <v>-13.681024446001565</v>
      </c>
      <c r="K63">
        <f>$G$5 + $G$6 *A63 + $G$7*B63 + $G$8*C63+$G$9*D63+$G$10*E63</f>
        <v>25.663653973468378</v>
      </c>
      <c r="N63">
        <f>H63-K63</f>
        <v>-39.344678419469943</v>
      </c>
      <c r="O63">
        <f t="shared" si="6"/>
        <v>1548.0037199315038</v>
      </c>
    </row>
    <row r="64" spans="1:24">
      <c r="A64">
        <v>4.4000000000000004</v>
      </c>
      <c r="B64">
        <f t="shared" si="0"/>
        <v>4.4000000000000004</v>
      </c>
      <c r="C64">
        <f t="shared" si="1"/>
        <v>19.360000000000003</v>
      </c>
      <c r="D64">
        <f t="shared" si="2"/>
        <v>19.360000000000003</v>
      </c>
      <c r="E64">
        <f t="shared" si="3"/>
        <v>19.360000000000003</v>
      </c>
      <c r="F64">
        <f t="shared" si="4"/>
        <v>31.65887592669111</v>
      </c>
      <c r="G64">
        <v>1.5061732483445667</v>
      </c>
      <c r="H64">
        <f t="shared" si="5"/>
        <v>73.150517906142142</v>
      </c>
      <c r="K64">
        <f>$G$5 + $G$6 *A64 + $G$7*B64 + $G$8*C64+$G$9*D64+$G$10*E64</f>
        <v>26.749102651587584</v>
      </c>
      <c r="N64">
        <f>H64-K64</f>
        <v>46.401415254554557</v>
      </c>
      <c r="O64">
        <f t="shared" si="6"/>
        <v>2153.0913376256085</v>
      </c>
      <c r="P64" t="s">
        <v>25</v>
      </c>
      <c r="R64" t="s">
        <v>72</v>
      </c>
    </row>
    <row r="65" spans="1:24" ht="15" thickBot="1">
      <c r="A65">
        <v>4.5</v>
      </c>
      <c r="B65">
        <f t="shared" si="0"/>
        <v>4.5</v>
      </c>
      <c r="C65">
        <f t="shared" si="1"/>
        <v>20.25</v>
      </c>
      <c r="D65">
        <f t="shared" si="2"/>
        <v>20.25</v>
      </c>
      <c r="E65">
        <f t="shared" si="3"/>
        <v>20.25</v>
      </c>
      <c r="F65">
        <f t="shared" si="4"/>
        <v>32.922046886612954</v>
      </c>
      <c r="G65">
        <v>0.85680539996246807</v>
      </c>
      <c r="H65">
        <f t="shared" si="5"/>
        <v>56.525083881444942</v>
      </c>
      <c r="K65">
        <f>$G$5 + $G$6 *A65 + $G$7*B65 + $G$8*C65+$G$9*D65+$G$10*E65</f>
        <v>27.871253925493018</v>
      </c>
      <c r="N65">
        <f>H65-K65</f>
        <v>28.653829955951924</v>
      </c>
      <c r="O65">
        <f t="shared" si="6"/>
        <v>821.04197114460783</v>
      </c>
    </row>
    <row r="66" spans="1:24" ht="15">
      <c r="A66">
        <v>4.5999999999999996</v>
      </c>
      <c r="B66">
        <f t="shared" si="0"/>
        <v>4.5999999999999996</v>
      </c>
      <c r="C66">
        <f t="shared" si="1"/>
        <v>21.159999999999997</v>
      </c>
      <c r="D66">
        <f t="shared" si="2"/>
        <v>21.159999999999997</v>
      </c>
      <c r="E66">
        <f t="shared" si="3"/>
        <v>21.159999999999997</v>
      </c>
      <c r="F66">
        <f t="shared" si="4"/>
        <v>34.212188065024669</v>
      </c>
      <c r="G66">
        <v>-0.33685182643239386</v>
      </c>
      <c r="H66">
        <f t="shared" si="5"/>
        <v>24.932687584041716</v>
      </c>
      <c r="K66">
        <f>$G$5 + $G$6 *A66 + $G$7*B66 + $G$8*C66+$G$9*D66+$G$10*E66</f>
        <v>29.030107795184691</v>
      </c>
      <c r="N66">
        <f>H66-K66</f>
        <v>-4.0974202111429747</v>
      </c>
      <c r="O66">
        <f t="shared" si="6"/>
        <v>16.78885238668294</v>
      </c>
      <c r="P66" s="20" t="s">
        <v>26</v>
      </c>
      <c r="Q66" s="20"/>
    </row>
    <row r="67" spans="1:24">
      <c r="A67">
        <v>4.7</v>
      </c>
      <c r="B67">
        <f t="shared" si="0"/>
        <v>4.7</v>
      </c>
      <c r="C67">
        <f t="shared" si="1"/>
        <v>22.090000000000003</v>
      </c>
      <c r="D67">
        <f t="shared" si="2"/>
        <v>22.090000000000003</v>
      </c>
      <c r="E67">
        <f t="shared" si="3"/>
        <v>22.090000000000003</v>
      </c>
      <c r="F67">
        <f t="shared" si="4"/>
        <v>35.529299461926279</v>
      </c>
      <c r="G67">
        <v>0.14180500329530332</v>
      </c>
      <c r="H67">
        <f t="shared" si="5"/>
        <v>39.435704275642358</v>
      </c>
      <c r="K67">
        <f>$G$5 + $G$6 *A67 + $G$7*B67 + $G$8*C67+$G$9*D67+$G$10*E67</f>
        <v>30.225664260662604</v>
      </c>
      <c r="N67">
        <f>H67-K67</f>
        <v>9.2100400149797537</v>
      </c>
      <c r="O67">
        <f t="shared" si="6"/>
        <v>84.824837077528258</v>
      </c>
      <c r="P67" s="5" t="s">
        <v>27</v>
      </c>
      <c r="Q67" s="5">
        <v>0.93444560518626629</v>
      </c>
    </row>
    <row r="68" spans="1:24">
      <c r="A68">
        <v>4.8</v>
      </c>
      <c r="B68">
        <f t="shared" si="0"/>
        <v>4.8</v>
      </c>
      <c r="C68">
        <f t="shared" si="1"/>
        <v>23.04</v>
      </c>
      <c r="D68">
        <f t="shared" si="2"/>
        <v>23.04</v>
      </c>
      <c r="E68">
        <f t="shared" si="3"/>
        <v>23.04</v>
      </c>
      <c r="F68">
        <f t="shared" si="4"/>
        <v>36.873381077317752</v>
      </c>
      <c r="G68">
        <v>0.35879565984942019</v>
      </c>
      <c r="H68">
        <f t="shared" si="5"/>
        <v>46.757384181618896</v>
      </c>
      <c r="K68">
        <f>$G$5 + $G$6 *A68 + $G$7*B68 + $G$8*C68+$G$9*D68+$G$10*E68</f>
        <v>31.457923321926742</v>
      </c>
      <c r="N68">
        <f>H68-K68</f>
        <v>15.299460859692154</v>
      </c>
      <c r="O68">
        <f t="shared" si="6"/>
        <v>234.07350259725217</v>
      </c>
      <c r="P68" s="5" t="s">
        <v>28</v>
      </c>
      <c r="Q68" s="5">
        <v>0.87318858905192742</v>
      </c>
    </row>
    <row r="69" spans="1:24">
      <c r="A69">
        <v>4.9000000000000004</v>
      </c>
      <c r="B69">
        <f t="shared" si="0"/>
        <v>4.9000000000000004</v>
      </c>
      <c r="C69">
        <f t="shared" si="1"/>
        <v>24.010000000000005</v>
      </c>
      <c r="D69">
        <f t="shared" si="2"/>
        <v>24.010000000000005</v>
      </c>
      <c r="E69">
        <f t="shared" si="3"/>
        <v>24.010000000000005</v>
      </c>
      <c r="F69">
        <f t="shared" si="4"/>
        <v>38.244432911199119</v>
      </c>
      <c r="G69">
        <v>-1.4211332199920435</v>
      </c>
      <c r="H69">
        <f t="shared" si="5"/>
        <v>-0.90455000548912778</v>
      </c>
      <c r="K69">
        <f>$G$5 + $G$6 *A69 + $G$7*B69 + $G$8*C69+$G$9*D69+$G$10*E69</f>
        <v>32.726884978977125</v>
      </c>
      <c r="N69">
        <f>H69-K69</f>
        <v>-33.631434984466253</v>
      </c>
      <c r="O69">
        <f t="shared" si="6"/>
        <v>1131.0734191143806</v>
      </c>
      <c r="P69" s="5" t="s">
        <v>29</v>
      </c>
      <c r="Q69" s="5">
        <v>0.84607506553612621</v>
      </c>
    </row>
    <row r="70" spans="1:24">
      <c r="A70">
        <v>5</v>
      </c>
      <c r="B70">
        <f t="shared" si="0"/>
        <v>5</v>
      </c>
      <c r="C70">
        <f t="shared" si="1"/>
        <v>25</v>
      </c>
      <c r="D70">
        <f t="shared" si="2"/>
        <v>25</v>
      </c>
      <c r="E70">
        <f t="shared" si="3"/>
        <v>25</v>
      </c>
      <c r="F70">
        <f t="shared" si="4"/>
        <v>39.642454963570344</v>
      </c>
      <c r="G70">
        <v>-0.53585381465381943</v>
      </c>
      <c r="H70">
        <f t="shared" si="5"/>
        <v>24.880903026981276</v>
      </c>
      <c r="K70">
        <f>$G$5 + $G$6 *A70 + $G$7*B70 + $G$8*C70+$G$9*D70+$G$10*E70</f>
        <v>34.032549231813732</v>
      </c>
      <c r="N70">
        <f>H70-K70</f>
        <v>-9.1516462048324563</v>
      </c>
      <c r="O70">
        <f t="shared" si="6"/>
        <v>83.752628258424295</v>
      </c>
      <c r="P70" s="5" t="s">
        <v>30</v>
      </c>
      <c r="Q70" s="5">
        <v>24.978257704581939</v>
      </c>
    </row>
    <row r="71" spans="1:24" ht="15" thickBot="1">
      <c r="A71">
        <v>5.0999999999999996</v>
      </c>
      <c r="B71">
        <f t="shared" si="0"/>
        <v>5.0999999999999996</v>
      </c>
      <c r="C71">
        <f t="shared" si="1"/>
        <v>26.009999999999998</v>
      </c>
      <c r="D71">
        <f t="shared" si="2"/>
        <v>26.009999999999998</v>
      </c>
      <c r="E71">
        <f t="shared" si="3"/>
        <v>26.009999999999998</v>
      </c>
      <c r="F71">
        <f t="shared" si="4"/>
        <v>41.067447234431455</v>
      </c>
      <c r="G71">
        <v>0.6948698683117982</v>
      </c>
      <c r="H71">
        <f t="shared" si="5"/>
        <v>60.209529216029424</v>
      </c>
      <c r="K71">
        <f>$G$5 + $G$6 *A71 + $G$7*B71 + $G$8*C71+$G$9*D71+$G$10*E71</f>
        <v>35.374916080436577</v>
      </c>
      <c r="N71">
        <f>H71-K71</f>
        <v>24.834613135592846</v>
      </c>
      <c r="O71">
        <f t="shared" si="6"/>
        <v>616.7580095945608</v>
      </c>
      <c r="P71" s="6" t="s">
        <v>31</v>
      </c>
      <c r="Q71" s="6">
        <v>123</v>
      </c>
    </row>
    <row r="72" spans="1:24">
      <c r="A72">
        <v>5.2</v>
      </c>
      <c r="B72">
        <f t="shared" si="0"/>
        <v>5.2</v>
      </c>
      <c r="C72">
        <f t="shared" si="1"/>
        <v>27.040000000000003</v>
      </c>
      <c r="D72">
        <f t="shared" si="2"/>
        <v>27.040000000000003</v>
      </c>
      <c r="E72">
        <f t="shared" si="3"/>
        <v>27.040000000000003</v>
      </c>
      <c r="F72">
        <f t="shared" si="4"/>
        <v>42.519409723782452</v>
      </c>
      <c r="G72">
        <v>-0.24551809474360198</v>
      </c>
      <c r="H72">
        <f t="shared" si="5"/>
        <v>35.755945495630122</v>
      </c>
      <c r="K72">
        <f>$G$5 + $G$6 *A72 + $G$7*B72 + $G$8*C72+$G$9*D72+$G$10*E72</f>
        <v>36.753985524845667</v>
      </c>
      <c r="N72">
        <f>H72-K72</f>
        <v>-0.99804002921554513</v>
      </c>
      <c r="O72">
        <f t="shared" si="6"/>
        <v>0.99608389991656621</v>
      </c>
    </row>
    <row r="73" spans="1:24" ht="15" thickBot="1">
      <c r="A73">
        <v>5.3</v>
      </c>
      <c r="B73">
        <f t="shared" si="0"/>
        <v>5.3</v>
      </c>
      <c r="C73">
        <f t="shared" si="1"/>
        <v>28.09</v>
      </c>
      <c r="D73">
        <f t="shared" si="2"/>
        <v>28.09</v>
      </c>
      <c r="E73">
        <f t="shared" si="3"/>
        <v>28.09</v>
      </c>
      <c r="F73">
        <f t="shared" si="4"/>
        <v>43.998342431623314</v>
      </c>
      <c r="G73">
        <v>0.69457883000723086</v>
      </c>
      <c r="H73">
        <f t="shared" si="5"/>
        <v>63.132406970906004</v>
      </c>
      <c r="K73">
        <f>$G$5 + $G$6 *A73 + $G$7*B73 + $G$8*C73+$G$9*D73+$G$10*E73</f>
        <v>38.169757565040989</v>
      </c>
      <c r="N73">
        <f>H73-K73</f>
        <v>24.962649405865015</v>
      </c>
      <c r="O73">
        <f t="shared" si="6"/>
        <v>623.13386536013297</v>
      </c>
      <c r="P73" t="s">
        <v>32</v>
      </c>
    </row>
    <row r="74" spans="1:24" ht="15">
      <c r="A74">
        <v>5.4</v>
      </c>
      <c r="B74">
        <f t="shared" si="0"/>
        <v>5.4</v>
      </c>
      <c r="C74">
        <f t="shared" si="1"/>
        <v>29.160000000000004</v>
      </c>
      <c r="D74">
        <f t="shared" si="2"/>
        <v>29.160000000000004</v>
      </c>
      <c r="E74">
        <f t="shared" si="3"/>
        <v>29.160000000000004</v>
      </c>
      <c r="F74">
        <f t="shared" si="4"/>
        <v>45.504245357954062</v>
      </c>
      <c r="G74">
        <v>-0.8865583822625922</v>
      </c>
      <c r="H74">
        <f t="shared" si="5"/>
        <v>21.08158147705533</v>
      </c>
      <c r="K74">
        <f>$G$5 + $G$6 *A74 + $G$7*B74 + $G$8*C74+$G$9*D74+$G$10*E74</f>
        <v>39.622232201022541</v>
      </c>
      <c r="N74">
        <f>H74-K74</f>
        <v>-18.540650723967211</v>
      </c>
      <c r="O74">
        <f t="shared" si="6"/>
        <v>343.75572926814584</v>
      </c>
      <c r="P74" s="7"/>
      <c r="Q74" s="7" t="s">
        <v>37</v>
      </c>
      <c r="R74" s="7" t="s">
        <v>38</v>
      </c>
      <c r="S74" s="7" t="s">
        <v>39</v>
      </c>
      <c r="T74" s="7" t="s">
        <v>40</v>
      </c>
      <c r="U74" s="7" t="s">
        <v>41</v>
      </c>
    </row>
    <row r="75" spans="1:24">
      <c r="A75">
        <v>5.5</v>
      </c>
      <c r="B75">
        <f t="shared" si="0"/>
        <v>5.5</v>
      </c>
      <c r="C75">
        <f t="shared" si="1"/>
        <v>30.25</v>
      </c>
      <c r="D75">
        <f t="shared" si="2"/>
        <v>30.25</v>
      </c>
      <c r="E75">
        <f t="shared" si="3"/>
        <v>30.25</v>
      </c>
      <c r="F75">
        <f t="shared" si="4"/>
        <v>47.037118502774682</v>
      </c>
      <c r="G75">
        <v>0.87125044956337661</v>
      </c>
      <c r="H75">
        <f t="shared" si="5"/>
        <v>71.03808370877033</v>
      </c>
      <c r="K75">
        <f>$G$5 + $G$6 *A75 + $G$7*B75 + $G$8*C75+$G$9*D75+$G$10*E75</f>
        <v>41.111409432790325</v>
      </c>
      <c r="N75">
        <f>H75-K75</f>
        <v>29.926674275980005</v>
      </c>
      <c r="O75">
        <f t="shared" si="6"/>
        <v>895.60583322060336</v>
      </c>
      <c r="P75" s="5" t="s">
        <v>33</v>
      </c>
      <c r="Q75" s="5">
        <v>5</v>
      </c>
      <c r="R75" s="5">
        <v>515531.54781735921</v>
      </c>
      <c r="S75" s="5">
        <v>103106.30956347185</v>
      </c>
      <c r="T75" s="5">
        <v>413.14354088031638</v>
      </c>
      <c r="U75" s="5">
        <v>1.4558151311891436E-72</v>
      </c>
    </row>
    <row r="76" spans="1:24">
      <c r="A76">
        <v>5.6</v>
      </c>
      <c r="B76">
        <f t="shared" si="0"/>
        <v>5.6</v>
      </c>
      <c r="C76">
        <f t="shared" si="1"/>
        <v>31.359999999999996</v>
      </c>
      <c r="D76">
        <f t="shared" si="2"/>
        <v>31.359999999999996</v>
      </c>
      <c r="E76">
        <f t="shared" si="3"/>
        <v>31.359999999999996</v>
      </c>
      <c r="F76">
        <f t="shared" si="4"/>
        <v>48.596961866085181</v>
      </c>
      <c r="G76">
        <v>9.6883923106361181E-2</v>
      </c>
      <c r="H76">
        <f t="shared" si="5"/>
        <v>51.265893249318843</v>
      </c>
      <c r="K76">
        <f>$G$5 + $G$6 *A76 + $G$7*B76 + $G$8*C76+$G$9*D76+$G$10*E76</f>
        <v>42.637289260344346</v>
      </c>
      <c r="N76">
        <f>H76-K76</f>
        <v>8.628603988974497</v>
      </c>
      <c r="O76">
        <f t="shared" si="6"/>
        <v>74.452806798546604</v>
      </c>
      <c r="P76" s="5" t="s">
        <v>34</v>
      </c>
      <c r="Q76" s="5">
        <v>120</v>
      </c>
      <c r="R76" s="5">
        <v>74869.602954780828</v>
      </c>
      <c r="S76" s="5">
        <v>623.91335795650696</v>
      </c>
      <c r="T76" s="5"/>
      <c r="U76" s="5"/>
    </row>
    <row r="77" spans="1:24" ht="15" thickBot="1">
      <c r="A77">
        <v>5.7</v>
      </c>
      <c r="B77">
        <f t="shared" si="0"/>
        <v>5.7</v>
      </c>
      <c r="C77">
        <f t="shared" si="1"/>
        <v>32.49</v>
      </c>
      <c r="D77">
        <f t="shared" si="2"/>
        <v>32.49</v>
      </c>
      <c r="E77">
        <f t="shared" si="3"/>
        <v>32.49</v>
      </c>
      <c r="F77">
        <f t="shared" si="4"/>
        <v>50.183775447885566</v>
      </c>
      <c r="G77">
        <v>-1.5138266462599859</v>
      </c>
      <c r="H77">
        <f t="shared" si="5"/>
        <v>8.4812997900500093</v>
      </c>
      <c r="K77">
        <f>$G$5 + $G$6 *A77 + $G$7*B77 + $G$8*C77+$G$9*D77+$G$10*E77</f>
        <v>44.199871683684613</v>
      </c>
      <c r="N77">
        <f>H77-K77</f>
        <v>-35.718571893634603</v>
      </c>
      <c r="O77">
        <f t="shared" si="6"/>
        <v>1275.8163781207438</v>
      </c>
      <c r="P77" s="6" t="s">
        <v>35</v>
      </c>
      <c r="Q77" s="6">
        <v>125</v>
      </c>
      <c r="R77" s="6">
        <v>590401.15077214001</v>
      </c>
      <c r="S77" s="6"/>
      <c r="T77" s="6"/>
      <c r="U77" s="6"/>
    </row>
    <row r="78" spans="1:24" ht="15" thickBot="1">
      <c r="A78">
        <v>5.8</v>
      </c>
      <c r="B78">
        <f t="shared" si="0"/>
        <v>5.8</v>
      </c>
      <c r="C78">
        <f t="shared" si="1"/>
        <v>33.64</v>
      </c>
      <c r="D78">
        <f t="shared" si="2"/>
        <v>33.64</v>
      </c>
      <c r="E78">
        <f t="shared" si="3"/>
        <v>33.64</v>
      </c>
      <c r="F78">
        <f t="shared" si="4"/>
        <v>51.797559248175823</v>
      </c>
      <c r="G78">
        <v>-0.38099415178294294</v>
      </c>
      <c r="H78">
        <f t="shared" si="5"/>
        <v>41.302038258530622</v>
      </c>
      <c r="K78">
        <f>$G$5 + $G$6 *A78 + $G$7*B78 + $G$8*C78+$G$9*D78+$G$10*E78</f>
        <v>45.799156702811104</v>
      </c>
      <c r="N78">
        <f>H78-K78</f>
        <v>-4.4971184442804812</v>
      </c>
      <c r="O78">
        <f t="shared" si="6"/>
        <v>20.224074301887697</v>
      </c>
    </row>
    <row r="79" spans="1:24" ht="15">
      <c r="A79">
        <v>5.9</v>
      </c>
      <c r="B79">
        <f t="shared" si="0"/>
        <v>5.9</v>
      </c>
      <c r="C79">
        <f t="shared" si="1"/>
        <v>34.81</v>
      </c>
      <c r="D79">
        <f t="shared" si="2"/>
        <v>34.81</v>
      </c>
      <c r="E79">
        <f t="shared" si="3"/>
        <v>34.81</v>
      </c>
      <c r="F79">
        <f t="shared" si="4"/>
        <v>53.438313266955959</v>
      </c>
      <c r="G79">
        <v>-0.42045485315611586</v>
      </c>
      <c r="H79">
        <f t="shared" si="5"/>
        <v>41.855739844641896</v>
      </c>
      <c r="K79">
        <f>$G$5 + $G$6 *A79 + $G$7*B79 + $G$8*C79+$G$9*D79+$G$10*E79</f>
        <v>47.435144317723839</v>
      </c>
      <c r="N79">
        <f>H79-K79</f>
        <v>-5.5794044730819436</v>
      </c>
      <c r="O79">
        <f t="shared" si="6"/>
        <v>31.1297542742468</v>
      </c>
      <c r="P79" s="7"/>
      <c r="Q79" s="7" t="s">
        <v>42</v>
      </c>
      <c r="R79" s="7" t="s">
        <v>30</v>
      </c>
      <c r="S79" s="7" t="s">
        <v>43</v>
      </c>
      <c r="T79" s="7" t="s">
        <v>44</v>
      </c>
      <c r="U79" s="7" t="s">
        <v>45</v>
      </c>
      <c r="V79" s="7" t="s">
        <v>46</v>
      </c>
      <c r="W79" s="7" t="s">
        <v>47</v>
      </c>
      <c r="X79" s="7" t="s">
        <v>48</v>
      </c>
    </row>
    <row r="80" spans="1:24">
      <c r="A80">
        <v>6</v>
      </c>
      <c r="B80">
        <f t="shared" si="0"/>
        <v>6</v>
      </c>
      <c r="C80">
        <f t="shared" si="1"/>
        <v>36</v>
      </c>
      <c r="D80">
        <f t="shared" si="2"/>
        <v>36</v>
      </c>
      <c r="E80">
        <f t="shared" si="3"/>
        <v>36</v>
      </c>
      <c r="F80">
        <f t="shared" si="4"/>
        <v>55.106037504225966</v>
      </c>
      <c r="G80">
        <v>-2.1288724383339286</v>
      </c>
      <c r="H80">
        <f t="shared" si="5"/>
        <v>-3.5395486714388582</v>
      </c>
      <c r="K80">
        <f>$G$5 + $G$6 *A80 + $G$7*B80 + $G$8*C80+$G$9*D80+$G$10*E80</f>
        <v>49.107834528422799</v>
      </c>
      <c r="N80">
        <f>H80-K80</f>
        <v>-52.647383199861657</v>
      </c>
      <c r="O80">
        <f t="shared" si="6"/>
        <v>2771.7469577930756</v>
      </c>
      <c r="P80" s="5" t="s">
        <v>36</v>
      </c>
      <c r="Q80" s="5">
        <v>13.710480217475464</v>
      </c>
      <c r="R80" s="5">
        <v>6.6482464427468653</v>
      </c>
      <c r="S80" s="5">
        <v>2.0622701543251885</v>
      </c>
      <c r="T80" s="5">
        <v>4.1340544285274748E-2</v>
      </c>
      <c r="U80" s="5">
        <v>0.54741494499976362</v>
      </c>
      <c r="V80" s="5">
        <v>26.873545489951162</v>
      </c>
      <c r="W80" s="5">
        <v>0.54741494499976362</v>
      </c>
      <c r="X80" s="5">
        <v>26.873545489951162</v>
      </c>
    </row>
    <row r="81" spans="1:24">
      <c r="A81">
        <v>6.1</v>
      </c>
      <c r="B81">
        <f t="shared" si="0"/>
        <v>6.1</v>
      </c>
      <c r="C81">
        <f t="shared" si="1"/>
        <v>37.209999999999994</v>
      </c>
      <c r="D81">
        <f t="shared" si="2"/>
        <v>37.209999999999994</v>
      </c>
      <c r="E81">
        <f t="shared" si="3"/>
        <v>37.209999999999994</v>
      </c>
      <c r="F81">
        <f t="shared" si="4"/>
        <v>56.800731959985846</v>
      </c>
      <c r="G81">
        <v>-1.5916930351522751</v>
      </c>
      <c r="H81">
        <f t="shared" si="5"/>
        <v>12.953214665205444</v>
      </c>
      <c r="K81">
        <f>$G$5 + $G$6 *A81 + $G$7*B81 + $G$8*C81+$G$9*D81+$G$10*E81</f>
        <v>50.817227334907983</v>
      </c>
      <c r="N81">
        <f>H81-K81</f>
        <v>-37.864012669702539</v>
      </c>
      <c r="O81">
        <f t="shared" si="6"/>
        <v>1433.6834554513944</v>
      </c>
      <c r="P81" s="5" t="s">
        <v>49</v>
      </c>
      <c r="Q81" s="5">
        <v>0</v>
      </c>
      <c r="R81" s="5">
        <v>0</v>
      </c>
      <c r="S81" s="5">
        <v>65535</v>
      </c>
      <c r="T81" s="5"/>
      <c r="U81" s="5">
        <v>0</v>
      </c>
      <c r="V81" s="5">
        <v>0</v>
      </c>
      <c r="W81" s="5">
        <v>0</v>
      </c>
      <c r="X81" s="5">
        <v>0</v>
      </c>
    </row>
    <row r="82" spans="1:24">
      <c r="A82">
        <v>6.2</v>
      </c>
      <c r="B82">
        <f t="shared" si="0"/>
        <v>6.2</v>
      </c>
      <c r="C82">
        <f t="shared" si="1"/>
        <v>38.440000000000005</v>
      </c>
      <c r="D82">
        <f t="shared" si="2"/>
        <v>38.440000000000005</v>
      </c>
      <c r="E82">
        <f t="shared" si="3"/>
        <v>38.440000000000005</v>
      </c>
      <c r="F82">
        <f t="shared" si="4"/>
        <v>58.522396634235633</v>
      </c>
      <c r="G82">
        <v>-0.68149347498547286</v>
      </c>
      <c r="H82">
        <f t="shared" si="5"/>
        <v>39.748803817799917</v>
      </c>
      <c r="K82">
        <f>$G$5 + $G$6 *A82 + $G$7*B82 + $G$8*C82+$G$9*D82+$G$10*E82</f>
        <v>52.56332273717944</v>
      </c>
      <c r="N82">
        <f>H82-K82</f>
        <v>-12.814518919379523</v>
      </c>
      <c r="O82">
        <f t="shared" si="6"/>
        <v>164.21189513513573</v>
      </c>
      <c r="P82" s="5" t="s">
        <v>54</v>
      </c>
      <c r="Q82" s="5">
        <v>-5.1113837980756882</v>
      </c>
      <c r="R82" s="5">
        <v>2.5182637969201811</v>
      </c>
      <c r="S82" s="5">
        <v>-2.0297253227905965</v>
      </c>
      <c r="T82" s="5"/>
      <c r="U82" s="5">
        <v>-10.097370857616308</v>
      </c>
      <c r="V82" s="5">
        <v>-0.12539673853506716</v>
      </c>
      <c r="W82" s="5">
        <v>-10.097370857616308</v>
      </c>
      <c r="X82" s="5">
        <v>-0.12539673853506716</v>
      </c>
    </row>
    <row r="83" spans="1:24">
      <c r="A83">
        <v>6.3</v>
      </c>
      <c r="B83">
        <f t="shared" si="0"/>
        <v>6.3</v>
      </c>
      <c r="C83">
        <f t="shared" si="1"/>
        <v>39.69</v>
      </c>
      <c r="D83">
        <f t="shared" si="2"/>
        <v>39.69</v>
      </c>
      <c r="E83">
        <f t="shared" si="3"/>
        <v>39.69</v>
      </c>
      <c r="F83">
        <f t="shared" si="4"/>
        <v>60.271031526975271</v>
      </c>
      <c r="G83">
        <v>0.29543343771365471</v>
      </c>
      <c r="H83">
        <f t="shared" si="5"/>
        <v>68.409549748465508</v>
      </c>
      <c r="K83">
        <f>$G$5 + $G$6 *A83 + $G$7*B83 + $G$8*C83+$G$9*D83+$G$10*E83</f>
        <v>54.346120735237108</v>
      </c>
      <c r="N83">
        <f>H83-K83</f>
        <v>14.063429013228401</v>
      </c>
      <c r="O83">
        <f t="shared" si="6"/>
        <v>197.78003561011434</v>
      </c>
      <c r="P83" s="5" t="s">
        <v>68</v>
      </c>
      <c r="Q83" s="5">
        <v>1.8351488245012069</v>
      </c>
      <c r="R83" s="5">
        <v>0.19975947558855464</v>
      </c>
      <c r="S83" s="5">
        <v>9.1867923616353</v>
      </c>
      <c r="T83" s="5">
        <v>1.4824429474998061E-15</v>
      </c>
      <c r="U83" s="5">
        <v>1.4396389650801038</v>
      </c>
      <c r="V83" s="5">
        <v>2.2306586839223099</v>
      </c>
      <c r="W83" s="5">
        <v>1.4396389650801038</v>
      </c>
      <c r="X83" s="5">
        <v>2.2306586839223099</v>
      </c>
    </row>
    <row r="84" spans="1:24">
      <c r="A84">
        <v>6.4</v>
      </c>
      <c r="B84">
        <f t="shared" si="0"/>
        <v>6.4</v>
      </c>
      <c r="C84">
        <f t="shared" si="1"/>
        <v>40.960000000000008</v>
      </c>
      <c r="D84">
        <f t="shared" si="2"/>
        <v>40.960000000000008</v>
      </c>
      <c r="E84">
        <f t="shared" si="3"/>
        <v>40.960000000000008</v>
      </c>
      <c r="F84">
        <f t="shared" si="4"/>
        <v>62.046636638204816</v>
      </c>
      <c r="G84">
        <v>0.15023260857560672</v>
      </c>
      <c r="H84">
        <f t="shared" si="5"/>
        <v>66.185202779589417</v>
      </c>
      <c r="K84">
        <f>$G$5 + $G$6 *A84 + $G$7*B84 + $G$8*C84+$G$9*D84+$G$10*E84</f>
        <v>56.165621329081027</v>
      </c>
      <c r="N84">
        <f>H84-K84</f>
        <v>10.01958145050839</v>
      </c>
      <c r="O84">
        <f t="shared" si="6"/>
        <v>100.39201244337181</v>
      </c>
      <c r="P84" s="5" t="s">
        <v>69</v>
      </c>
      <c r="Q84" s="5">
        <v>0</v>
      </c>
      <c r="R84" s="5">
        <v>0</v>
      </c>
      <c r="S84" s="5">
        <v>65535</v>
      </c>
      <c r="T84" s="5"/>
      <c r="U84" s="5">
        <v>0</v>
      </c>
      <c r="V84" s="5">
        <v>0</v>
      </c>
      <c r="W84" s="5">
        <v>0</v>
      </c>
      <c r="X84" s="5">
        <v>0</v>
      </c>
    </row>
    <row r="85" spans="1:24" ht="15" thickBot="1">
      <c r="A85">
        <v>6.5</v>
      </c>
      <c r="B85">
        <f t="shared" ref="B85:B142" si="7">A85</f>
        <v>6.5</v>
      </c>
      <c r="C85">
        <f t="shared" ref="C85:C142" si="8">A85^2</f>
        <v>42.25</v>
      </c>
      <c r="D85">
        <f t="shared" ref="D85:D142" si="9">B85^2</f>
        <v>42.25</v>
      </c>
      <c r="E85">
        <f t="shared" ref="E85:E142" si="10">A85*B85</f>
        <v>42.25</v>
      </c>
      <c r="F85">
        <f t="shared" ref="F85:F142" si="11">$B$7 + $B$8 *A85 + $B$9*B85 + $B$10*C85+$B$11*D85+$B$12*E85</f>
        <v>63.849211967924205</v>
      </c>
      <c r="G85">
        <v>-0.1606849764357321</v>
      </c>
      <c r="H85">
        <f t="shared" ref="H85:H142" si="12">F85+$B$13*G85</f>
        <v>59.422706902138643</v>
      </c>
      <c r="K85">
        <f>$G$5 + $G$6 *A85 + $G$7*B85 + $G$8*C85+$G$9*D85+$G$10*E85</f>
        <v>58.021824518711156</v>
      </c>
      <c r="N85">
        <f>H85-K85</f>
        <v>1.4008823834274864</v>
      </c>
      <c r="O85">
        <f t="shared" ref="O85:O142" si="13">N85^2</f>
        <v>1.9624714521974751</v>
      </c>
      <c r="P85" s="6" t="s">
        <v>73</v>
      </c>
      <c r="Q85" s="6">
        <v>0</v>
      </c>
      <c r="R85" s="6">
        <v>0</v>
      </c>
      <c r="S85" s="6">
        <v>65535</v>
      </c>
      <c r="T85" s="6"/>
      <c r="U85" s="6">
        <v>0</v>
      </c>
      <c r="V85" s="6">
        <v>0</v>
      </c>
      <c r="W85" s="6">
        <v>0</v>
      </c>
      <c r="X85" s="6">
        <v>0</v>
      </c>
    </row>
    <row r="86" spans="1:24">
      <c r="A86">
        <v>6.6</v>
      </c>
      <c r="B86">
        <f t="shared" si="7"/>
        <v>6.6</v>
      </c>
      <c r="C86">
        <f t="shared" si="8"/>
        <v>43.559999999999995</v>
      </c>
      <c r="D86">
        <f t="shared" si="9"/>
        <v>43.559999999999995</v>
      </c>
      <c r="E86">
        <f t="shared" si="10"/>
        <v>43.559999999999995</v>
      </c>
      <c r="F86">
        <f t="shared" si="11"/>
        <v>65.678757516133473</v>
      </c>
      <c r="G86">
        <v>0.32223283596977126</v>
      </c>
      <c r="H86">
        <f t="shared" si="12"/>
        <v>74.555538111444037</v>
      </c>
      <c r="K86">
        <f>$G$5 + $G$6 *A86 + $G$7*B86 + $G$8*C86+$G$9*D86+$G$10*E86</f>
        <v>59.914730304127517</v>
      </c>
      <c r="N86">
        <f>H86-K86</f>
        <v>14.64080780731652</v>
      </c>
      <c r="O86">
        <f t="shared" si="13"/>
        <v>214.35325325078037</v>
      </c>
    </row>
    <row r="87" spans="1:24">
      <c r="A87">
        <v>6.7</v>
      </c>
      <c r="B87">
        <f t="shared" si="7"/>
        <v>6.7</v>
      </c>
      <c r="C87">
        <f t="shared" si="8"/>
        <v>44.89</v>
      </c>
      <c r="D87">
        <f t="shared" si="9"/>
        <v>44.89</v>
      </c>
      <c r="E87">
        <f t="shared" si="10"/>
        <v>44.89</v>
      </c>
      <c r="F87">
        <f t="shared" si="11"/>
        <v>67.535273282832634</v>
      </c>
      <c r="G87">
        <v>-0.59930925999651663</v>
      </c>
      <c r="H87">
        <f t="shared" si="12"/>
        <v>51.025668376441054</v>
      </c>
      <c r="K87">
        <f>$G$5 + $G$6 *A87 + $G$7*B87 + $G$8*C87+$G$9*D87+$G$10*E87</f>
        <v>61.844338685330143</v>
      </c>
      <c r="N87">
        <f>H87-K87</f>
        <v>-10.818670308889089</v>
      </c>
      <c r="O87">
        <f t="shared" si="13"/>
        <v>117.04362725243834</v>
      </c>
    </row>
    <row r="88" spans="1:24">
      <c r="A88">
        <v>6.8</v>
      </c>
      <c r="B88">
        <f t="shared" si="7"/>
        <v>6.8</v>
      </c>
      <c r="C88">
        <f t="shared" si="8"/>
        <v>46.239999999999995</v>
      </c>
      <c r="D88">
        <f t="shared" si="9"/>
        <v>46.239999999999995</v>
      </c>
      <c r="E88">
        <f t="shared" si="10"/>
        <v>46.239999999999995</v>
      </c>
      <c r="F88">
        <f t="shared" si="11"/>
        <v>69.41875926802166</v>
      </c>
      <c r="G88">
        <v>-1.0702797226258554</v>
      </c>
      <c r="H88">
        <f t="shared" si="12"/>
        <v>39.934990971202851</v>
      </c>
      <c r="K88">
        <f>$G$5 + $G$6 *A88 + $G$7*B88 + $G$8*C88+$G$9*D88+$G$10*E88</f>
        <v>63.81064966231898</v>
      </c>
      <c r="N88">
        <f>H88-K88</f>
        <v>-23.875658691116129</v>
      </c>
      <c r="O88">
        <f t="shared" si="13"/>
        <v>570.04707793466912</v>
      </c>
    </row>
    <row r="89" spans="1:24">
      <c r="A89">
        <v>6.9</v>
      </c>
      <c r="B89">
        <f t="shared" si="7"/>
        <v>6.9</v>
      </c>
      <c r="C89">
        <f t="shared" si="8"/>
        <v>47.610000000000007</v>
      </c>
      <c r="D89">
        <f t="shared" si="9"/>
        <v>47.610000000000007</v>
      </c>
      <c r="E89">
        <f t="shared" si="10"/>
        <v>47.610000000000007</v>
      </c>
      <c r="F89">
        <f t="shared" si="11"/>
        <v>71.329215471700607</v>
      </c>
      <c r="G89">
        <v>-0.85019792095408775</v>
      </c>
      <c r="H89">
        <f t="shared" si="12"/>
        <v>47.908199471932619</v>
      </c>
      <c r="K89">
        <f>$G$5 + $G$6 *A89 + $G$7*B89 + $G$8*C89+$G$9*D89+$G$10*E89</f>
        <v>65.813663235094069</v>
      </c>
      <c r="N89">
        <f>H89-K89</f>
        <v>-17.90546376316145</v>
      </c>
      <c r="O89">
        <f t="shared" si="13"/>
        <v>320.60563257388776</v>
      </c>
    </row>
    <row r="90" spans="1:24">
      <c r="A90">
        <v>7</v>
      </c>
      <c r="B90">
        <f t="shared" si="7"/>
        <v>7</v>
      </c>
      <c r="C90">
        <f t="shared" si="8"/>
        <v>49</v>
      </c>
      <c r="D90">
        <f t="shared" si="9"/>
        <v>49</v>
      </c>
      <c r="E90">
        <f t="shared" si="10"/>
        <v>49</v>
      </c>
      <c r="F90">
        <f t="shared" si="11"/>
        <v>73.266641893869377</v>
      </c>
      <c r="G90">
        <v>-0.61346781876636669</v>
      </c>
      <c r="H90">
        <f t="shared" si="12"/>
        <v>56.367000946093242</v>
      </c>
      <c r="K90">
        <f>$G$5 + $G$6 *A90 + $G$7*B90 + $G$8*C90+$G$9*D90+$G$10*E90</f>
        <v>67.853379403655381</v>
      </c>
      <c r="N90">
        <f>H90-K90</f>
        <v>-11.486378457562139</v>
      </c>
      <c r="O90">
        <f t="shared" si="13"/>
        <v>131.9368900703476</v>
      </c>
    </row>
    <row r="91" spans="1:24">
      <c r="A91">
        <v>7.1</v>
      </c>
      <c r="B91">
        <f t="shared" si="7"/>
        <v>7.1</v>
      </c>
      <c r="C91">
        <f t="shared" si="8"/>
        <v>50.41</v>
      </c>
      <c r="D91">
        <f t="shared" si="9"/>
        <v>50.41</v>
      </c>
      <c r="E91">
        <f t="shared" si="10"/>
        <v>50.41</v>
      </c>
      <c r="F91">
        <f t="shared" si="11"/>
        <v>75.231038534528039</v>
      </c>
      <c r="G91">
        <v>-0.85813098849030212</v>
      </c>
      <c r="H91">
        <f t="shared" si="12"/>
        <v>51.591484595400701</v>
      </c>
      <c r="K91">
        <f>$G$5 + $G$6 *A91 + $G$7*B91 + $G$8*C91+$G$9*D91+$G$10*E91</f>
        <v>69.929798168002932</v>
      </c>
      <c r="N91">
        <f>H91-K91</f>
        <v>-18.338313572602232</v>
      </c>
      <c r="O91">
        <f t="shared" si="13"/>
        <v>336.29374468708721</v>
      </c>
    </row>
    <row r="92" spans="1:24">
      <c r="A92">
        <v>7.2</v>
      </c>
      <c r="B92">
        <f t="shared" si="7"/>
        <v>7.2</v>
      </c>
      <c r="C92">
        <f t="shared" si="8"/>
        <v>51.84</v>
      </c>
      <c r="D92">
        <f t="shared" si="9"/>
        <v>51.84</v>
      </c>
      <c r="E92">
        <f t="shared" si="10"/>
        <v>51.84</v>
      </c>
      <c r="F92">
        <f t="shared" si="11"/>
        <v>77.22240539367661</v>
      </c>
      <c r="G92">
        <v>1.4142369764158502</v>
      </c>
      <c r="H92">
        <f t="shared" si="12"/>
        <v>116.18141250925368</v>
      </c>
      <c r="K92">
        <f>$G$5 + $G$6 *A92 + $G$7*B92 + $G$8*C92+$G$9*D92+$G$10*E92</f>
        <v>72.042919528136721</v>
      </c>
      <c r="N92">
        <f>H92-K92</f>
        <v>44.138492981116954</v>
      </c>
      <c r="O92">
        <f t="shared" si="13"/>
        <v>1948.2065626441106</v>
      </c>
    </row>
    <row r="93" spans="1:24">
      <c r="A93">
        <v>7.3</v>
      </c>
      <c r="B93">
        <f t="shared" si="7"/>
        <v>7.3</v>
      </c>
      <c r="C93">
        <f t="shared" si="8"/>
        <v>53.29</v>
      </c>
      <c r="D93">
        <f t="shared" si="9"/>
        <v>53.29</v>
      </c>
      <c r="E93">
        <f t="shared" si="10"/>
        <v>53.29</v>
      </c>
      <c r="F93">
        <f t="shared" si="11"/>
        <v>79.240742471315016</v>
      </c>
      <c r="G93">
        <v>1.6211561160162091</v>
      </c>
      <c r="H93">
        <f t="shared" si="12"/>
        <v>123.89990052798093</v>
      </c>
      <c r="K93">
        <f>$G$5 + $G$6 *A93 + $G$7*B93 + $G$8*C93+$G$9*D93+$G$10*E93</f>
        <v>74.192743484056734</v>
      </c>
      <c r="N93">
        <f>H93-K93</f>
        <v>49.707157043924198</v>
      </c>
      <c r="O93">
        <f t="shared" si="13"/>
        <v>2470.8014613893429</v>
      </c>
    </row>
    <row r="94" spans="1:24">
      <c r="A94">
        <v>7.4</v>
      </c>
      <c r="B94">
        <f t="shared" si="7"/>
        <v>7.4</v>
      </c>
      <c r="C94">
        <f t="shared" si="8"/>
        <v>54.760000000000005</v>
      </c>
      <c r="D94">
        <f t="shared" si="9"/>
        <v>54.760000000000005</v>
      </c>
      <c r="E94">
        <f t="shared" si="10"/>
        <v>54.760000000000005</v>
      </c>
      <c r="F94">
        <f t="shared" si="11"/>
        <v>81.28604976744333</v>
      </c>
      <c r="G94">
        <v>0.30591877475671936</v>
      </c>
      <c r="H94">
        <f t="shared" si="12"/>
        <v>89.713415139221823</v>
      </c>
      <c r="K94">
        <f>$G$5 + $G$6 *A94 + $G$7*B94 + $G$8*C94+$G$9*D94+$G$10*E94</f>
        <v>76.379270035763</v>
      </c>
      <c r="N94">
        <f>H94-K94</f>
        <v>13.334145103458823</v>
      </c>
      <c r="O94">
        <f t="shared" si="13"/>
        <v>177.79942564009491</v>
      </c>
    </row>
    <row r="95" spans="1:24">
      <c r="A95">
        <v>7.5</v>
      </c>
      <c r="B95">
        <f t="shared" si="7"/>
        <v>7.5</v>
      </c>
      <c r="C95">
        <f t="shared" si="8"/>
        <v>56.25</v>
      </c>
      <c r="D95">
        <f t="shared" si="9"/>
        <v>56.25</v>
      </c>
      <c r="E95">
        <f t="shared" si="10"/>
        <v>56.25</v>
      </c>
      <c r="F95">
        <f t="shared" si="11"/>
        <v>83.358327282061509</v>
      </c>
      <c r="G95">
        <v>0.70739133661845699</v>
      </c>
      <c r="H95">
        <f t="shared" si="12"/>
        <v>102.84534719202061</v>
      </c>
      <c r="K95">
        <f>$G$5 + $G$6 *A95 + $G$7*B95 + $G$8*C95+$G$9*D95+$G$10*E95</f>
        <v>78.602499183255489</v>
      </c>
      <c r="N95">
        <f>H95-K95</f>
        <v>24.242848008765122</v>
      </c>
      <c r="O95">
        <f t="shared" si="13"/>
        <v>587.71567957608704</v>
      </c>
    </row>
    <row r="96" spans="1:24">
      <c r="A96">
        <v>7.6</v>
      </c>
      <c r="B96">
        <f t="shared" si="7"/>
        <v>7.6</v>
      </c>
      <c r="C96">
        <f t="shared" si="8"/>
        <v>57.76</v>
      </c>
      <c r="D96">
        <f t="shared" si="9"/>
        <v>57.76</v>
      </c>
      <c r="E96">
        <f t="shared" si="10"/>
        <v>57.76</v>
      </c>
      <c r="F96">
        <f t="shared" si="11"/>
        <v>85.457575015169567</v>
      </c>
      <c r="G96">
        <v>-1.1246197573200334</v>
      </c>
      <c r="H96">
        <f t="shared" si="12"/>
        <v>54.476862547313409</v>
      </c>
      <c r="K96">
        <f>$G$5 + $G$6 *A96 + $G$7*B96 + $G$8*C96+$G$9*D96+$G$10*E96</f>
        <v>80.862430926534202</v>
      </c>
      <c r="N96">
        <f>H96-K96</f>
        <v>-26.385568379220793</v>
      </c>
      <c r="O96">
        <f t="shared" si="13"/>
        <v>696.19821869453619</v>
      </c>
    </row>
    <row r="97" spans="1:15">
      <c r="A97">
        <v>7.7</v>
      </c>
      <c r="B97">
        <f t="shared" si="7"/>
        <v>7.7</v>
      </c>
      <c r="C97">
        <f t="shared" si="8"/>
        <v>59.290000000000006</v>
      </c>
      <c r="D97">
        <f t="shared" si="9"/>
        <v>59.290000000000006</v>
      </c>
      <c r="E97">
        <f t="shared" si="10"/>
        <v>59.290000000000006</v>
      </c>
      <c r="F97">
        <f t="shared" si="11"/>
        <v>87.583792966767518</v>
      </c>
      <c r="G97">
        <v>-0.37672066355298739</v>
      </c>
      <c r="H97">
        <f t="shared" si="12"/>
        <v>77.205996842993883</v>
      </c>
      <c r="K97">
        <f>$G$5 + $G$6 *A97 + $G$7*B97 + $G$8*C97+$G$9*D97+$G$10*E97</f>
        <v>83.159065265599196</v>
      </c>
      <c r="N97">
        <f>H97-K97</f>
        <v>-5.9530684226053125</v>
      </c>
      <c r="O97">
        <f t="shared" si="13"/>
        <v>35.439023644220505</v>
      </c>
    </row>
    <row r="98" spans="1:15">
      <c r="A98">
        <v>7.8</v>
      </c>
      <c r="B98">
        <f t="shared" si="7"/>
        <v>7.8</v>
      </c>
      <c r="C98">
        <f t="shared" si="8"/>
        <v>60.839999999999996</v>
      </c>
      <c r="D98">
        <f t="shared" si="9"/>
        <v>60.839999999999996</v>
      </c>
      <c r="E98">
        <f t="shared" si="10"/>
        <v>60.839999999999996</v>
      </c>
      <c r="F98">
        <f t="shared" si="11"/>
        <v>89.73698113685532</v>
      </c>
      <c r="G98">
        <v>-1.4599936548620462</v>
      </c>
      <c r="H98">
        <f t="shared" si="12"/>
        <v>49.517481762273469</v>
      </c>
      <c r="K98">
        <f>$G$5 + $G$6 *A98 + $G$7*B98 + $G$8*C98+$G$9*D98+$G$10*E98</f>
        <v>85.492402200450357</v>
      </c>
      <c r="N98">
        <f>H98-K98</f>
        <v>-35.974920438176888</v>
      </c>
      <c r="O98">
        <f t="shared" si="13"/>
        <v>1294.1949005331571</v>
      </c>
    </row>
    <row r="99" spans="1:15">
      <c r="A99">
        <v>7.9</v>
      </c>
      <c r="B99">
        <f t="shared" si="7"/>
        <v>7.9</v>
      </c>
      <c r="C99">
        <f t="shared" si="8"/>
        <v>62.410000000000004</v>
      </c>
      <c r="D99">
        <f t="shared" si="9"/>
        <v>62.410000000000004</v>
      </c>
      <c r="E99">
        <f t="shared" si="10"/>
        <v>62.410000000000004</v>
      </c>
      <c r="F99">
        <f t="shared" si="11"/>
        <v>91.917139525433015</v>
      </c>
      <c r="G99">
        <v>-1.314901965088211</v>
      </c>
      <c r="H99">
        <f t="shared" si="12"/>
        <v>55.69458569008858</v>
      </c>
      <c r="K99">
        <f>$G$5 + $G$6 *A99 + $G$7*B99 + $G$8*C99+$G$9*D99+$G$10*E99</f>
        <v>87.862441731087813</v>
      </c>
      <c r="N99">
        <f>H99-K99</f>
        <v>-32.167856040999233</v>
      </c>
      <c r="O99">
        <f t="shared" si="13"/>
        <v>1034.7709622744508</v>
      </c>
    </row>
    <row r="100" spans="1:15">
      <c r="A100">
        <v>8</v>
      </c>
      <c r="B100">
        <f t="shared" si="7"/>
        <v>8</v>
      </c>
      <c r="C100">
        <f t="shared" si="8"/>
        <v>64</v>
      </c>
      <c r="D100">
        <f t="shared" si="9"/>
        <v>64</v>
      </c>
      <c r="E100">
        <f t="shared" si="10"/>
        <v>64</v>
      </c>
      <c r="F100">
        <f t="shared" si="11"/>
        <v>94.124268132500589</v>
      </c>
      <c r="G100">
        <v>1.8377249944023788</v>
      </c>
      <c r="H100">
        <f t="shared" si="12"/>
        <v>144.74940545202122</v>
      </c>
      <c r="K100">
        <f>$G$5 + $G$6 *A100 + $G$7*B100 + $G$8*C100+$G$9*D100+$G$10*E100</f>
        <v>90.269183857511479</v>
      </c>
      <c r="N100">
        <f>H100-K100</f>
        <v>54.480221594509743</v>
      </c>
      <c r="O100">
        <f t="shared" si="13"/>
        <v>2968.0945449868859</v>
      </c>
    </row>
    <row r="101" spans="1:15">
      <c r="A101">
        <v>8.1</v>
      </c>
      <c r="B101">
        <f t="shared" si="7"/>
        <v>8.1</v>
      </c>
      <c r="C101">
        <f t="shared" si="8"/>
        <v>65.61</v>
      </c>
      <c r="D101">
        <f t="shared" si="9"/>
        <v>65.61</v>
      </c>
      <c r="E101">
        <f t="shared" si="10"/>
        <v>65.61</v>
      </c>
      <c r="F101">
        <f t="shared" si="11"/>
        <v>96.358366958058042</v>
      </c>
      <c r="G101">
        <v>0.26313955459045246</v>
      </c>
      <c r="H101">
        <f t="shared" si="12"/>
        <v>103.60726226389309</v>
      </c>
      <c r="K101">
        <f>$G$5 + $G$6 *A101 + $G$7*B101 + $G$8*C101+$G$9*D101+$G$10*E101</f>
        <v>92.712628579721382</v>
      </c>
      <c r="N101">
        <f>H101-K101</f>
        <v>10.894633684171708</v>
      </c>
      <c r="O101">
        <f t="shared" si="13"/>
        <v>118.69304311228881</v>
      </c>
    </row>
    <row r="102" spans="1:15">
      <c r="A102">
        <v>8.1999999999999993</v>
      </c>
      <c r="B102">
        <f t="shared" si="7"/>
        <v>8.1999999999999993</v>
      </c>
      <c r="C102">
        <f t="shared" si="8"/>
        <v>67.239999999999995</v>
      </c>
      <c r="D102">
        <f t="shared" si="9"/>
        <v>67.239999999999995</v>
      </c>
      <c r="E102">
        <f t="shared" si="10"/>
        <v>67.239999999999995</v>
      </c>
      <c r="F102">
        <f t="shared" si="11"/>
        <v>98.619436002105346</v>
      </c>
      <c r="G102">
        <v>-0.79462438407063019</v>
      </c>
      <c r="H102">
        <f t="shared" si="12"/>
        <v>76.729344348812504</v>
      </c>
      <c r="K102">
        <f>$G$5 + $G$6 *A102 + $G$7*B102 + $G$8*C102+$G$9*D102+$G$10*E102</f>
        <v>95.192775897717496</v>
      </c>
      <c r="N102">
        <f>H102-K102</f>
        <v>-18.463431548904992</v>
      </c>
      <c r="O102">
        <f t="shared" si="13"/>
        <v>340.89830456110019</v>
      </c>
    </row>
    <row r="103" spans="1:15">
      <c r="A103">
        <v>8.3000000000000007</v>
      </c>
      <c r="B103">
        <f t="shared" si="7"/>
        <v>8.3000000000000007</v>
      </c>
      <c r="C103">
        <f t="shared" si="8"/>
        <v>68.890000000000015</v>
      </c>
      <c r="D103">
        <f t="shared" si="9"/>
        <v>68.890000000000015</v>
      </c>
      <c r="E103">
        <f t="shared" si="10"/>
        <v>68.890000000000015</v>
      </c>
      <c r="F103">
        <f t="shared" si="11"/>
        <v>100.90747526464258</v>
      </c>
      <c r="G103">
        <v>-7.5383468356449157E-2</v>
      </c>
      <c r="H103">
        <f t="shared" si="12"/>
        <v>98.830832432449938</v>
      </c>
      <c r="K103">
        <f>$G$5 + $G$6 *A103 + $G$7*B103 + $G$8*C103+$G$9*D103+$G$10*E103</f>
        <v>97.709625811499905</v>
      </c>
      <c r="N103">
        <f>H103-K103</f>
        <v>1.1212066209500335</v>
      </c>
      <c r="O103">
        <f t="shared" si="13"/>
        <v>1.2571042868621922</v>
      </c>
    </row>
    <row r="104" spans="1:15">
      <c r="A104">
        <v>8.4</v>
      </c>
      <c r="B104">
        <f t="shared" si="7"/>
        <v>8.4</v>
      </c>
      <c r="C104">
        <f t="shared" si="8"/>
        <v>70.56</v>
      </c>
      <c r="D104">
        <f t="shared" si="9"/>
        <v>70.56</v>
      </c>
      <c r="E104">
        <f t="shared" si="10"/>
        <v>70.56</v>
      </c>
      <c r="F104">
        <f t="shared" si="11"/>
        <v>103.22248474566965</v>
      </c>
      <c r="G104">
        <v>-2.5168264983221889</v>
      </c>
      <c r="H104">
        <f t="shared" si="12"/>
        <v>33.889647963741965</v>
      </c>
      <c r="K104">
        <f>$G$5 + $G$6 *A104 + $G$7*B104 + $G$8*C104+$G$9*D104+$G$10*E104</f>
        <v>100.26317832106849</v>
      </c>
      <c r="N104">
        <f>H104-K104</f>
        <v>-66.37353035732653</v>
      </c>
      <c r="O104">
        <f t="shared" si="13"/>
        <v>4405.4455320949464</v>
      </c>
    </row>
    <row r="105" spans="1:15">
      <c r="A105">
        <v>8.5</v>
      </c>
      <c r="B105">
        <f t="shared" si="7"/>
        <v>8.5</v>
      </c>
      <c r="C105">
        <f t="shared" si="8"/>
        <v>72.25</v>
      </c>
      <c r="D105">
        <f t="shared" si="9"/>
        <v>72.25</v>
      </c>
      <c r="E105">
        <f t="shared" si="10"/>
        <v>72.25</v>
      </c>
      <c r="F105">
        <f t="shared" si="11"/>
        <v>105.5644644451866</v>
      </c>
      <c r="G105">
        <v>-0.53806388677912764</v>
      </c>
      <c r="H105">
        <f t="shared" si="12"/>
        <v>90.742030056015906</v>
      </c>
      <c r="K105">
        <f>$G$5 + $G$6 *A105 + $G$7*B105 + $G$8*C105+$G$9*D105+$G$10*E105</f>
        <v>102.85343342642335</v>
      </c>
      <c r="N105">
        <f>H105-K105</f>
        <v>-12.111403370407444</v>
      </c>
      <c r="O105">
        <f t="shared" si="13"/>
        <v>146.68609160071679</v>
      </c>
    </row>
    <row r="106" spans="1:15">
      <c r="A106">
        <v>8.6</v>
      </c>
      <c r="B106">
        <f t="shared" si="7"/>
        <v>8.6</v>
      </c>
      <c r="C106">
        <f t="shared" si="8"/>
        <v>73.959999999999994</v>
      </c>
      <c r="D106">
        <f t="shared" si="9"/>
        <v>73.959999999999994</v>
      </c>
      <c r="E106">
        <f t="shared" si="10"/>
        <v>73.959999999999994</v>
      </c>
      <c r="F106">
        <f t="shared" si="11"/>
        <v>107.93341436319344</v>
      </c>
      <c r="G106">
        <v>0.81845200838870369</v>
      </c>
      <c r="H106">
        <f t="shared" si="12"/>
        <v>130.47990278791545</v>
      </c>
      <c r="K106">
        <f>$G$5 + $G$6 *A106 + $G$7*B106 + $G$8*C106+$G$9*D106+$G$10*E106</f>
        <v>105.48039112756442</v>
      </c>
      <c r="N106">
        <f>H106-K106</f>
        <v>24.999511660351033</v>
      </c>
      <c r="O106">
        <f t="shared" si="13"/>
        <v>624.97558325602722</v>
      </c>
    </row>
    <row r="107" spans="1:15">
      <c r="A107">
        <v>8.6999999999999993</v>
      </c>
      <c r="B107">
        <f t="shared" si="7"/>
        <v>8.6999999999999993</v>
      </c>
      <c r="C107">
        <f t="shared" si="8"/>
        <v>75.689999999999984</v>
      </c>
      <c r="D107">
        <f t="shared" si="9"/>
        <v>75.689999999999984</v>
      </c>
      <c r="E107">
        <f t="shared" si="10"/>
        <v>75.689999999999984</v>
      </c>
      <c r="F107">
        <f t="shared" si="11"/>
        <v>110.32933449969013</v>
      </c>
      <c r="G107">
        <v>6.549043973791413E-2</v>
      </c>
      <c r="H107">
        <f t="shared" si="12"/>
        <v>112.13344692943149</v>
      </c>
      <c r="K107">
        <f>$G$5 + $G$6 *A107 + $G$7*B107 + $G$8*C107+$G$9*D107+$G$10*E107</f>
        <v>108.14405142449172</v>
      </c>
      <c r="N107">
        <f>H107-K107</f>
        <v>3.9893955049397647</v>
      </c>
      <c r="O107">
        <f t="shared" si="13"/>
        <v>15.9152764948336</v>
      </c>
    </row>
    <row r="108" spans="1:15">
      <c r="A108">
        <v>8.8000000000000007</v>
      </c>
      <c r="B108">
        <f t="shared" si="7"/>
        <v>8.8000000000000007</v>
      </c>
      <c r="C108">
        <f t="shared" si="8"/>
        <v>77.440000000000012</v>
      </c>
      <c r="D108">
        <f t="shared" si="9"/>
        <v>77.440000000000012</v>
      </c>
      <c r="E108">
        <f t="shared" si="10"/>
        <v>77.440000000000012</v>
      </c>
      <c r="F108">
        <f t="shared" si="11"/>
        <v>112.75222485467677</v>
      </c>
      <c r="G108">
        <v>-0.95614268502686173</v>
      </c>
      <c r="H108">
        <f t="shared" si="12"/>
        <v>86.412671943344066</v>
      </c>
      <c r="K108">
        <f>$G$5 + $G$6 *A108 + $G$7*B108 + $G$8*C108+$G$9*D108+$G$10*E108</f>
        <v>110.84441431720529</v>
      </c>
      <c r="N108">
        <f>H108-K108</f>
        <v>-24.431742373861226</v>
      </c>
      <c r="O108">
        <f t="shared" si="13"/>
        <v>596.9100354227262</v>
      </c>
    </row>
    <row r="109" spans="1:15">
      <c r="A109">
        <v>8.9</v>
      </c>
      <c r="B109">
        <f t="shared" si="7"/>
        <v>8.9</v>
      </c>
      <c r="C109">
        <f t="shared" si="8"/>
        <v>79.210000000000008</v>
      </c>
      <c r="D109">
        <f t="shared" si="9"/>
        <v>79.210000000000008</v>
      </c>
      <c r="E109">
        <f t="shared" si="10"/>
        <v>79.210000000000008</v>
      </c>
      <c r="F109">
        <f t="shared" si="11"/>
        <v>115.20208542815324</v>
      </c>
      <c r="G109">
        <v>0.37507788874791004</v>
      </c>
      <c r="H109">
        <f t="shared" si="12"/>
        <v>125.53462684823322</v>
      </c>
      <c r="K109">
        <f>$G$5 + $G$6 *A109 + $G$7*B109 + $G$8*C109+$G$9*D109+$G$10*E109</f>
        <v>113.58147980570509</v>
      </c>
      <c r="N109">
        <f>H109-K109</f>
        <v>11.95314704252813</v>
      </c>
      <c r="O109">
        <f t="shared" si="13"/>
        <v>142.87772422029897</v>
      </c>
    </row>
    <row r="110" spans="1:15">
      <c r="A110">
        <v>9</v>
      </c>
      <c r="B110">
        <f t="shared" si="7"/>
        <v>9</v>
      </c>
      <c r="C110">
        <f t="shared" si="8"/>
        <v>81</v>
      </c>
      <c r="D110">
        <f t="shared" si="9"/>
        <v>81</v>
      </c>
      <c r="E110">
        <f t="shared" si="10"/>
        <v>81</v>
      </c>
      <c r="F110">
        <f t="shared" si="11"/>
        <v>117.67891622011958</v>
      </c>
      <c r="G110">
        <v>0.53065150495967828</v>
      </c>
      <c r="H110">
        <f t="shared" si="12"/>
        <v>132.29715637532308</v>
      </c>
      <c r="K110">
        <f>$G$5 + $G$6 *A110 + $G$7*B110 + $G$8*C110+$G$9*D110+$G$10*E110</f>
        <v>116.35524788999108</v>
      </c>
      <c r="N110">
        <f>H110-K110</f>
        <v>15.941908485332007</v>
      </c>
      <c r="O110">
        <f t="shared" si="13"/>
        <v>254.14444615470066</v>
      </c>
    </row>
    <row r="111" spans="1:15">
      <c r="A111">
        <v>9.1</v>
      </c>
      <c r="B111">
        <f t="shared" si="7"/>
        <v>9.1</v>
      </c>
      <c r="C111">
        <f t="shared" si="8"/>
        <v>82.809999999999988</v>
      </c>
      <c r="D111">
        <f t="shared" si="9"/>
        <v>82.809999999999988</v>
      </c>
      <c r="E111">
        <f t="shared" si="10"/>
        <v>82.809999999999988</v>
      </c>
      <c r="F111">
        <f t="shared" si="11"/>
        <v>120.18271723057578</v>
      </c>
      <c r="G111">
        <v>-0.1088801582227461</v>
      </c>
      <c r="H111">
        <f t="shared" si="12"/>
        <v>117.18331689690933</v>
      </c>
      <c r="K111">
        <f>$G$5 + $G$6 *A111 + $G$7*B111 + $G$8*C111+$G$9*D111+$G$10*E111</f>
        <v>119.16571857006332</v>
      </c>
      <c r="N111">
        <f>H111-K111</f>
        <v>-1.9824016731539871</v>
      </c>
      <c r="O111">
        <f t="shared" si="13"/>
        <v>3.9299163937237274</v>
      </c>
    </row>
    <row r="112" spans="1:15">
      <c r="A112">
        <v>9.1999999999999993</v>
      </c>
      <c r="B112">
        <f t="shared" si="7"/>
        <v>9.1999999999999993</v>
      </c>
      <c r="C112">
        <f t="shared" si="8"/>
        <v>84.639999999999986</v>
      </c>
      <c r="D112">
        <f t="shared" si="9"/>
        <v>84.639999999999986</v>
      </c>
      <c r="E112">
        <f t="shared" si="10"/>
        <v>84.639999999999986</v>
      </c>
      <c r="F112">
        <f t="shared" si="11"/>
        <v>122.71348845952188</v>
      </c>
      <c r="G112">
        <v>0.78834546002326533</v>
      </c>
      <c r="H112">
        <f t="shared" si="12"/>
        <v>144.43061005848946</v>
      </c>
      <c r="K112">
        <f>$G$5 + $G$6 *A112 + $G$7*B112 + $G$8*C112+$G$9*D112+$G$10*E112</f>
        <v>122.01289184592181</v>
      </c>
      <c r="N112">
        <f>H112-K112</f>
        <v>22.41771821256765</v>
      </c>
      <c r="O112">
        <f t="shared" si="13"/>
        <v>502.55408985808731</v>
      </c>
    </row>
    <row r="113" spans="1:15">
      <c r="A113">
        <v>9.3000000000000007</v>
      </c>
      <c r="B113">
        <f t="shared" si="7"/>
        <v>9.3000000000000007</v>
      </c>
      <c r="C113">
        <f t="shared" si="8"/>
        <v>86.490000000000009</v>
      </c>
      <c r="D113">
        <f t="shared" si="9"/>
        <v>86.490000000000009</v>
      </c>
      <c r="E113">
        <f t="shared" si="10"/>
        <v>86.490000000000009</v>
      </c>
      <c r="F113">
        <f t="shared" si="11"/>
        <v>125.2712299069579</v>
      </c>
      <c r="G113">
        <v>-0.1276771399716381</v>
      </c>
      <c r="H113">
        <f t="shared" si="12"/>
        <v>121.75401554500719</v>
      </c>
      <c r="K113">
        <f>$G$5 + $G$6 *A113 + $G$7*B113 + $G$8*C113+$G$9*D113+$G$10*E113</f>
        <v>124.89676771756658</v>
      </c>
      <c r="N113">
        <f>H113-K113</f>
        <v>-3.1427521725593834</v>
      </c>
      <c r="O113">
        <f t="shared" si="13"/>
        <v>9.8768912181267243</v>
      </c>
    </row>
    <row r="114" spans="1:15">
      <c r="A114">
        <v>9.4</v>
      </c>
      <c r="B114">
        <f t="shared" si="7"/>
        <v>9.4</v>
      </c>
      <c r="C114">
        <f t="shared" si="8"/>
        <v>88.360000000000014</v>
      </c>
      <c r="D114">
        <f t="shared" si="9"/>
        <v>88.360000000000014</v>
      </c>
      <c r="E114">
        <f t="shared" si="10"/>
        <v>88.360000000000014</v>
      </c>
      <c r="F114">
        <f t="shared" si="11"/>
        <v>127.85594157288376</v>
      </c>
      <c r="G114">
        <v>0.64244431996485218</v>
      </c>
      <c r="H114">
        <f t="shared" si="12"/>
        <v>145.55381912117457</v>
      </c>
      <c r="K114">
        <f>$G$5 + $G$6 *A114 + $G$7*B114 + $G$8*C114+$G$9*D114+$G$10*E114</f>
        <v>127.81734618499753</v>
      </c>
      <c r="N114">
        <f>H114-K114</f>
        <v>17.736472936177037</v>
      </c>
      <c r="O114">
        <f t="shared" si="13"/>
        <v>314.58247221574049</v>
      </c>
    </row>
    <row r="115" spans="1:15">
      <c r="A115">
        <v>9.5</v>
      </c>
      <c r="B115">
        <f t="shared" si="7"/>
        <v>9.5</v>
      </c>
      <c r="C115">
        <f t="shared" si="8"/>
        <v>90.25</v>
      </c>
      <c r="D115">
        <f t="shared" si="9"/>
        <v>90.25</v>
      </c>
      <c r="E115">
        <f t="shared" si="10"/>
        <v>90.25</v>
      </c>
      <c r="F115">
        <f t="shared" si="11"/>
        <v>130.46762345729948</v>
      </c>
      <c r="G115">
        <v>0.9407904144609347</v>
      </c>
      <c r="H115">
        <f t="shared" si="12"/>
        <v>156.38425628650137</v>
      </c>
      <c r="K115">
        <f>$G$5 + $G$6 *A115 + $G$7*B115 + $G$8*C115+$G$9*D115+$G$10*E115</f>
        <v>130.7746272482147</v>
      </c>
      <c r="N115">
        <f>H115-K115</f>
        <v>25.60962903828667</v>
      </c>
      <c r="O115">
        <f t="shared" si="13"/>
        <v>655.85309947865585</v>
      </c>
    </row>
    <row r="116" spans="1:15">
      <c r="A116">
        <v>9.6</v>
      </c>
      <c r="B116">
        <f t="shared" si="7"/>
        <v>9.6</v>
      </c>
      <c r="C116">
        <f t="shared" si="8"/>
        <v>92.16</v>
      </c>
      <c r="D116">
        <f t="shared" si="9"/>
        <v>92.16</v>
      </c>
      <c r="E116">
        <f t="shared" si="10"/>
        <v>92.16</v>
      </c>
      <c r="F116">
        <f t="shared" si="11"/>
        <v>133.10627556020512</v>
      </c>
      <c r="G116">
        <v>0.70798023443785496</v>
      </c>
      <c r="H116">
        <f t="shared" si="12"/>
        <v>152.60951826359903</v>
      </c>
      <c r="K116">
        <f>$G$5 + $G$6 *A116 + $G$7*B116 + $G$8*C116+$G$9*D116+$G$10*E116</f>
        <v>133.76861090721812</v>
      </c>
      <c r="N116">
        <f>H116-K116</f>
        <v>18.84090735638091</v>
      </c>
      <c r="O116">
        <f t="shared" si="13"/>
        <v>354.97979001172831</v>
      </c>
    </row>
    <row r="117" spans="1:15">
      <c r="A117">
        <v>9.6999999999999993</v>
      </c>
      <c r="B117">
        <f t="shared" si="7"/>
        <v>9.6999999999999993</v>
      </c>
      <c r="C117">
        <f t="shared" si="8"/>
        <v>94.089999999999989</v>
      </c>
      <c r="D117">
        <f t="shared" si="9"/>
        <v>94.089999999999989</v>
      </c>
      <c r="E117">
        <f t="shared" si="10"/>
        <v>94.089999999999989</v>
      </c>
      <c r="F117">
        <f t="shared" si="11"/>
        <v>135.77189788160058</v>
      </c>
      <c r="G117">
        <v>0.42781948650372215</v>
      </c>
      <c r="H117">
        <f t="shared" si="12"/>
        <v>147.55735017625199</v>
      </c>
      <c r="K117">
        <f>$G$5 + $G$6 *A117 + $G$7*B117 + $G$8*C117+$G$9*D117+$G$10*E117</f>
        <v>136.7992971620078</v>
      </c>
      <c r="N117">
        <f>H117-K117</f>
        <v>10.758053014244183</v>
      </c>
      <c r="O117">
        <f t="shared" si="13"/>
        <v>115.73570465728835</v>
      </c>
    </row>
    <row r="118" spans="1:15">
      <c r="A118">
        <v>9.8000000000000007</v>
      </c>
      <c r="B118">
        <f t="shared" si="7"/>
        <v>9.8000000000000007</v>
      </c>
      <c r="C118">
        <f t="shared" si="8"/>
        <v>96.04000000000002</v>
      </c>
      <c r="D118">
        <f t="shared" si="9"/>
        <v>96.04000000000002</v>
      </c>
      <c r="E118">
        <f t="shared" si="10"/>
        <v>96.04000000000002</v>
      </c>
      <c r="F118">
        <f t="shared" si="11"/>
        <v>138.464490421486</v>
      </c>
      <c r="G118">
        <v>-0.10495682545297313</v>
      </c>
      <c r="H118">
        <f t="shared" si="12"/>
        <v>135.57316896840555</v>
      </c>
      <c r="K118">
        <f>$G$5 + $G$6 *A118 + $G$7*B118 + $G$8*C118+$G$9*D118+$G$10*E118</f>
        <v>139.86668601258373</v>
      </c>
      <c r="N118">
        <f>H118-K118</f>
        <v>-4.2935170441781736</v>
      </c>
      <c r="O118">
        <f t="shared" si="13"/>
        <v>18.43428860864848</v>
      </c>
    </row>
    <row r="119" spans="1:15">
      <c r="A119">
        <v>9.9</v>
      </c>
      <c r="B119">
        <f t="shared" si="7"/>
        <v>9.9</v>
      </c>
      <c r="C119">
        <f t="shared" si="8"/>
        <v>98.01</v>
      </c>
      <c r="D119">
        <f t="shared" si="9"/>
        <v>98.01</v>
      </c>
      <c r="E119">
        <f t="shared" si="10"/>
        <v>98.01</v>
      </c>
      <c r="F119">
        <f t="shared" si="11"/>
        <v>141.18405317986122</v>
      </c>
      <c r="G119">
        <v>-0.94879851531004533</v>
      </c>
      <c r="H119">
        <f t="shared" si="12"/>
        <v>115.04681541445306</v>
      </c>
      <c r="K119">
        <f>$G$5 + $G$6 *A119 + $G$7*B119 + $G$8*C119+$G$9*D119+$G$10*E119</f>
        <v>142.97077745894586</v>
      </c>
      <c r="N119">
        <f>H119-K119</f>
        <v>-27.923962044492797</v>
      </c>
      <c r="O119">
        <f t="shared" si="13"/>
        <v>779.74765626227429</v>
      </c>
    </row>
    <row r="120" spans="1:15">
      <c r="A120">
        <v>10</v>
      </c>
      <c r="B120">
        <f t="shared" si="7"/>
        <v>10</v>
      </c>
      <c r="C120">
        <f t="shared" si="8"/>
        <v>100</v>
      </c>
      <c r="D120">
        <f t="shared" si="9"/>
        <v>100</v>
      </c>
      <c r="E120">
        <f t="shared" si="10"/>
        <v>100</v>
      </c>
      <c r="F120">
        <f t="shared" si="11"/>
        <v>143.93058615672635</v>
      </c>
      <c r="G120">
        <v>-0.21527284843614325</v>
      </c>
      <c r="H120">
        <f t="shared" si="12"/>
        <v>138.00030956668184</v>
      </c>
      <c r="K120">
        <f>$G$5 + $G$6 *A120 + $G$7*B120 + $G$8*C120+$G$9*D120+$G$10*E120</f>
        <v>146.1115715010942</v>
      </c>
      <c r="N120">
        <f>H120-K120</f>
        <v>-8.1112619344123686</v>
      </c>
      <c r="O120">
        <f t="shared" si="13"/>
        <v>65.792570168647075</v>
      </c>
    </row>
    <row r="121" spans="1:15">
      <c r="A121">
        <v>10.1</v>
      </c>
      <c r="B121">
        <f t="shared" si="7"/>
        <v>10.1</v>
      </c>
      <c r="C121">
        <f t="shared" si="8"/>
        <v>102.00999999999999</v>
      </c>
      <c r="D121">
        <f t="shared" si="9"/>
        <v>102.00999999999999</v>
      </c>
      <c r="E121">
        <f t="shared" si="10"/>
        <v>102.00999999999999</v>
      </c>
      <c r="F121">
        <f t="shared" si="11"/>
        <v>146.70408935208133</v>
      </c>
      <c r="G121">
        <v>-1.4871829989715479</v>
      </c>
      <c r="H121">
        <f t="shared" si="12"/>
        <v>105.73558548370205</v>
      </c>
      <c r="K121">
        <f>$G$5 + $G$6 *A121 + $G$7*B121 + $G$8*C121+$G$9*D121+$G$10*E121</f>
        <v>149.28906813902879</v>
      </c>
      <c r="N121">
        <f>H121-K121</f>
        <v>-43.553482655326732</v>
      </c>
      <c r="O121">
        <f t="shared" si="13"/>
        <v>1896.9058514078465</v>
      </c>
    </row>
    <row r="122" spans="1:15">
      <c r="A122">
        <v>10.199999999999999</v>
      </c>
      <c r="B122">
        <f t="shared" si="7"/>
        <v>10.199999999999999</v>
      </c>
      <c r="C122">
        <f t="shared" si="8"/>
        <v>104.03999999999999</v>
      </c>
      <c r="D122">
        <f t="shared" si="9"/>
        <v>104.03999999999999</v>
      </c>
      <c r="E122">
        <f t="shared" si="10"/>
        <v>104.03999999999999</v>
      </c>
      <c r="F122">
        <f t="shared" si="11"/>
        <v>149.50456276592621</v>
      </c>
      <c r="G122">
        <v>1.0683834261726588</v>
      </c>
      <c r="H122">
        <f t="shared" si="12"/>
        <v>178.93609241515955</v>
      </c>
      <c r="K122">
        <f>$G$5 + $G$6 *A122 + $G$7*B122 + $G$8*C122+$G$9*D122+$G$10*E122</f>
        <v>152.50326737274963</v>
      </c>
      <c r="N122">
        <f>H122-K122</f>
        <v>26.432825042409917</v>
      </c>
      <c r="O122">
        <f t="shared" si="13"/>
        <v>698.69423972265281</v>
      </c>
    </row>
    <row r="123" spans="1:15">
      <c r="A123">
        <v>10.3</v>
      </c>
      <c r="B123">
        <f t="shared" si="7"/>
        <v>10.3</v>
      </c>
      <c r="C123">
        <f t="shared" si="8"/>
        <v>106.09000000000002</v>
      </c>
      <c r="D123">
        <f t="shared" si="9"/>
        <v>106.09000000000002</v>
      </c>
      <c r="E123">
        <f t="shared" si="10"/>
        <v>106.09000000000002</v>
      </c>
      <c r="F123">
        <f t="shared" si="11"/>
        <v>152.33200639826103</v>
      </c>
      <c r="G123">
        <v>-1.8051741790259257</v>
      </c>
      <c r="H123">
        <f t="shared" si="12"/>
        <v>102.60356989268953</v>
      </c>
      <c r="K123">
        <f>$G$5 + $G$6 *A123 + $G$7*B123 + $G$8*C123+$G$9*D123+$G$10*E123</f>
        <v>155.75416920225678</v>
      </c>
      <c r="N123">
        <f>H123-K123</f>
        <v>-53.150599309567241</v>
      </c>
      <c r="O123">
        <f t="shared" si="13"/>
        <v>2824.9862069661694</v>
      </c>
    </row>
    <row r="124" spans="1:15">
      <c r="A124">
        <v>10.4</v>
      </c>
      <c r="B124">
        <f t="shared" si="7"/>
        <v>10.4</v>
      </c>
      <c r="C124">
        <f t="shared" si="8"/>
        <v>108.16000000000001</v>
      </c>
      <c r="D124">
        <f t="shared" si="9"/>
        <v>108.16000000000001</v>
      </c>
      <c r="E124">
        <f t="shared" si="10"/>
        <v>108.16000000000001</v>
      </c>
      <c r="F124">
        <f t="shared" si="11"/>
        <v>155.18642024908567</v>
      </c>
      <c r="G124">
        <v>2.1355481294449419</v>
      </c>
      <c r="H124">
        <f t="shared" si="12"/>
        <v>214.01590650785715</v>
      </c>
      <c r="K124">
        <f>$G$5 + $G$6 *A124 + $G$7*B124 + $G$8*C124+$G$9*D124+$G$10*E124</f>
        <v>159.04177362755004</v>
      </c>
      <c r="N124">
        <f>H124-K124</f>
        <v>54.97413288030711</v>
      </c>
      <c r="O124">
        <f t="shared" si="13"/>
        <v>3022.1552859416634</v>
      </c>
    </row>
    <row r="125" spans="1:15">
      <c r="A125">
        <v>10.5</v>
      </c>
      <c r="B125">
        <f t="shared" si="7"/>
        <v>10.5</v>
      </c>
      <c r="C125">
        <f t="shared" si="8"/>
        <v>110.25</v>
      </c>
      <c r="D125">
        <f t="shared" si="9"/>
        <v>110.25</v>
      </c>
      <c r="E125">
        <f t="shared" si="10"/>
        <v>110.25</v>
      </c>
      <c r="F125">
        <f t="shared" si="11"/>
        <v>158.06780431840016</v>
      </c>
      <c r="G125">
        <v>0.99857061286456883</v>
      </c>
      <c r="H125">
        <f t="shared" si="12"/>
        <v>185.57614999225669</v>
      </c>
      <c r="K125">
        <f>$G$5 + $G$6 *A125 + $G$7*B125 + $G$8*C125+$G$9*D125+$G$10*E125</f>
        <v>162.36608064862958</v>
      </c>
      <c r="N125">
        <f>H125-K125</f>
        <v>23.210069343627111</v>
      </c>
      <c r="O125">
        <f t="shared" si="13"/>
        <v>538.70731893597906</v>
      </c>
    </row>
    <row r="126" spans="1:15">
      <c r="A126">
        <v>10.6</v>
      </c>
      <c r="B126">
        <f t="shared" si="7"/>
        <v>10.6</v>
      </c>
      <c r="C126">
        <f t="shared" si="8"/>
        <v>112.36</v>
      </c>
      <c r="D126">
        <f t="shared" si="9"/>
        <v>112.36</v>
      </c>
      <c r="E126">
        <f t="shared" si="10"/>
        <v>112.36</v>
      </c>
      <c r="F126">
        <f t="shared" si="11"/>
        <v>160.97615860620456</v>
      </c>
      <c r="G126">
        <v>-0.7914809430076275</v>
      </c>
      <c r="H126">
        <f t="shared" si="12"/>
        <v>139.17266159354349</v>
      </c>
      <c r="K126">
        <f>$G$5 + $G$6 *A126 + $G$7*B126 + $G$8*C126+$G$9*D126+$G$10*E126</f>
        <v>165.72709026549538</v>
      </c>
      <c r="N126">
        <f>H126-K126</f>
        <v>-26.554428671951882</v>
      </c>
      <c r="O126">
        <f t="shared" si="13"/>
        <v>705.1376820937802</v>
      </c>
    </row>
    <row r="127" spans="1:15">
      <c r="A127">
        <v>10.7</v>
      </c>
      <c r="B127">
        <f t="shared" si="7"/>
        <v>10.7</v>
      </c>
      <c r="C127">
        <f t="shared" si="8"/>
        <v>114.48999999999998</v>
      </c>
      <c r="D127">
        <f t="shared" si="9"/>
        <v>114.48999999999998</v>
      </c>
      <c r="E127">
        <f t="shared" si="10"/>
        <v>114.48999999999998</v>
      </c>
      <c r="F127">
        <f t="shared" si="11"/>
        <v>163.91148311249879</v>
      </c>
      <c r="G127">
        <v>0.27186047191207763</v>
      </c>
      <c r="H127">
        <f t="shared" si="12"/>
        <v>171.40061982458573</v>
      </c>
      <c r="K127">
        <f>$G$5 + $G$6 *A127 + $G$7*B127 + $G$8*C127+$G$9*D127+$G$10*E127</f>
        <v>169.12480247814736</v>
      </c>
      <c r="N127">
        <f>H127-K127</f>
        <v>2.2758173464383731</v>
      </c>
      <c r="O127">
        <f t="shared" si="13"/>
        <v>5.1793445943497982</v>
      </c>
    </row>
    <row r="128" spans="1:15">
      <c r="A128">
        <v>10.8</v>
      </c>
      <c r="B128">
        <f t="shared" si="7"/>
        <v>10.8</v>
      </c>
      <c r="C128">
        <f t="shared" si="8"/>
        <v>116.64000000000001</v>
      </c>
      <c r="D128">
        <f t="shared" si="9"/>
        <v>116.64000000000001</v>
      </c>
      <c r="E128">
        <f t="shared" si="10"/>
        <v>116.64000000000001</v>
      </c>
      <c r="F128">
        <f t="shared" si="11"/>
        <v>166.873777837283</v>
      </c>
      <c r="G128">
        <v>-0.40487748265150003</v>
      </c>
      <c r="H128">
        <f t="shared" si="12"/>
        <v>155.72032548764048</v>
      </c>
      <c r="K128">
        <f>$G$5 + $G$6 *A128 + $G$7*B128 + $G$8*C128+$G$9*D128+$G$10*E128</f>
        <v>172.55921728658564</v>
      </c>
      <c r="N128">
        <f>H128-K128</f>
        <v>-16.838891798945156</v>
      </c>
      <c r="O128">
        <f t="shared" si="13"/>
        <v>283.5482770165824</v>
      </c>
    </row>
    <row r="129" spans="1:15">
      <c r="A129">
        <v>10.9</v>
      </c>
      <c r="B129">
        <f t="shared" si="7"/>
        <v>10.9</v>
      </c>
      <c r="C129">
        <f t="shared" si="8"/>
        <v>118.81</v>
      </c>
      <c r="D129">
        <f t="shared" si="9"/>
        <v>118.81</v>
      </c>
      <c r="E129">
        <f t="shared" si="10"/>
        <v>118.81</v>
      </c>
      <c r="F129">
        <f t="shared" si="11"/>
        <v>169.86304278055701</v>
      </c>
      <c r="G129">
        <v>8.9814875536831096E-2</v>
      </c>
      <c r="H129">
        <f t="shared" si="12"/>
        <v>172.3372380063048</v>
      </c>
      <c r="K129">
        <f>$G$5 + $G$6 *A129 + $G$7*B129 + $G$8*C129+$G$9*D129+$G$10*E129</f>
        <v>176.03033469081012</v>
      </c>
      <c r="N129">
        <f>H129-K129</f>
        <v>-3.6930966845053206</v>
      </c>
      <c r="O129">
        <f t="shared" si="13"/>
        <v>13.638963121104192</v>
      </c>
    </row>
    <row r="130" spans="1:15">
      <c r="A130">
        <v>11</v>
      </c>
      <c r="B130">
        <f t="shared" si="7"/>
        <v>11</v>
      </c>
      <c r="C130">
        <f t="shared" si="8"/>
        <v>121</v>
      </c>
      <c r="D130">
        <f t="shared" si="9"/>
        <v>121</v>
      </c>
      <c r="E130">
        <f t="shared" si="10"/>
        <v>121</v>
      </c>
      <c r="F130">
        <f t="shared" si="11"/>
        <v>172.87927794232093</v>
      </c>
      <c r="G130">
        <v>0.95626546681160107</v>
      </c>
      <c r="H130">
        <f t="shared" si="12"/>
        <v>199.22221321213038</v>
      </c>
      <c r="K130">
        <f>$G$5 + $G$6 *A130 + $G$7*B130 + $G$8*C130+$G$9*D130+$G$10*E130</f>
        <v>179.53815469082082</v>
      </c>
      <c r="N130">
        <f>H130-K130</f>
        <v>19.684058521309566</v>
      </c>
      <c r="O130">
        <f t="shared" si="13"/>
        <v>387.46215987033975</v>
      </c>
    </row>
    <row r="131" spans="1:15">
      <c r="A131">
        <v>11.1</v>
      </c>
      <c r="B131">
        <f t="shared" si="7"/>
        <v>11.1</v>
      </c>
      <c r="C131">
        <f t="shared" si="8"/>
        <v>123.21</v>
      </c>
      <c r="D131">
        <f t="shared" si="9"/>
        <v>123.21</v>
      </c>
      <c r="E131">
        <f t="shared" si="10"/>
        <v>123.21</v>
      </c>
      <c r="F131">
        <f t="shared" si="11"/>
        <v>175.92248332257469</v>
      </c>
      <c r="G131">
        <v>0.26377279027656186</v>
      </c>
      <c r="H131">
        <f t="shared" si="12"/>
        <v>183.18882282907228</v>
      </c>
      <c r="K131">
        <f>$G$5 + $G$6 *A131 + $G$7*B131 + $G$8*C131+$G$9*D131+$G$10*E131</f>
        <v>183.08267728661781</v>
      </c>
      <c r="N131">
        <f>H131-K131</f>
        <v>0.10614554245447039</v>
      </c>
      <c r="O131">
        <f t="shared" si="13"/>
        <v>1.1266876182953776E-2</v>
      </c>
    </row>
    <row r="132" spans="1:15">
      <c r="A132">
        <v>11.2</v>
      </c>
      <c r="B132">
        <f t="shared" si="7"/>
        <v>11.2</v>
      </c>
      <c r="C132">
        <f t="shared" si="8"/>
        <v>125.43999999999998</v>
      </c>
      <c r="D132">
        <f t="shared" si="9"/>
        <v>125.43999999999998</v>
      </c>
      <c r="E132">
        <f t="shared" si="10"/>
        <v>125.43999999999998</v>
      </c>
      <c r="F132">
        <f t="shared" si="11"/>
        <v>178.99265892131834</v>
      </c>
      <c r="G132">
        <v>1.9410890672588721</v>
      </c>
      <c r="H132">
        <f t="shared" si="12"/>
        <v>232.4652409881237</v>
      </c>
      <c r="K132">
        <f>$G$5 + $G$6 *A132 + $G$7*B132 + $G$8*C132+$G$9*D132+$G$10*E132</f>
        <v>186.66390247820095</v>
      </c>
      <c r="N132">
        <f>H132-K132</f>
        <v>45.801338509922743</v>
      </c>
      <c r="O132">
        <f t="shared" si="13"/>
        <v>2097.7626093005319</v>
      </c>
    </row>
    <row r="133" spans="1:15">
      <c r="A133">
        <v>11.3</v>
      </c>
      <c r="B133">
        <f t="shared" si="7"/>
        <v>11.3</v>
      </c>
      <c r="C133">
        <f t="shared" si="8"/>
        <v>127.69000000000001</v>
      </c>
      <c r="D133">
        <f t="shared" si="9"/>
        <v>127.69000000000001</v>
      </c>
      <c r="E133">
        <f t="shared" si="10"/>
        <v>127.69000000000001</v>
      </c>
      <c r="F133">
        <f t="shared" si="11"/>
        <v>182.08980473855192</v>
      </c>
      <c r="G133">
        <v>-0.51731262828980107</v>
      </c>
      <c r="H133">
        <f t="shared" si="12"/>
        <v>167.8390202500872</v>
      </c>
      <c r="K133">
        <f>$G$5 + $G$6 *A133 + $G$7*B133 + $G$8*C133+$G$9*D133+$G$10*E133</f>
        <v>190.28183026557045</v>
      </c>
      <c r="N133">
        <f>H133-K133</f>
        <v>-22.442810015483246</v>
      </c>
      <c r="O133">
        <f t="shared" si="13"/>
        <v>503.67972139107513</v>
      </c>
    </row>
    <row r="134" spans="1:15">
      <c r="A134">
        <v>11.4</v>
      </c>
      <c r="B134">
        <f t="shared" si="7"/>
        <v>11.4</v>
      </c>
      <c r="C134">
        <f t="shared" si="8"/>
        <v>129.96</v>
      </c>
      <c r="D134">
        <f t="shared" si="9"/>
        <v>129.96</v>
      </c>
      <c r="E134">
        <f t="shared" si="10"/>
        <v>129.96</v>
      </c>
      <c r="F134">
        <f t="shared" si="11"/>
        <v>185.21392077427532</v>
      </c>
      <c r="G134">
        <v>1.9512481230776757</v>
      </c>
      <c r="H134">
        <f t="shared" si="12"/>
        <v>238.9663616868983</v>
      </c>
      <c r="K134">
        <f>$G$5 + $G$6 *A134 + $G$7*B134 + $G$8*C134+$G$9*D134+$G$10*E134</f>
        <v>193.9364606487261</v>
      </c>
      <c r="N134">
        <f>H134-K134</f>
        <v>45.029901038172198</v>
      </c>
      <c r="O134">
        <f t="shared" si="13"/>
        <v>2027.6919875075816</v>
      </c>
    </row>
    <row r="135" spans="1:15">
      <c r="A135">
        <v>11.5</v>
      </c>
      <c r="B135">
        <f t="shared" si="7"/>
        <v>11.5</v>
      </c>
      <c r="C135">
        <f t="shared" si="8"/>
        <v>132.25</v>
      </c>
      <c r="D135">
        <f t="shared" si="9"/>
        <v>132.25</v>
      </c>
      <c r="E135">
        <f t="shared" si="10"/>
        <v>132.25</v>
      </c>
      <c r="F135">
        <f t="shared" si="11"/>
        <v>188.36500702848861</v>
      </c>
      <c r="G135">
        <v>0.17278580344282091</v>
      </c>
      <c r="H135">
        <f t="shared" si="12"/>
        <v>193.12486231303899</v>
      </c>
      <c r="K135">
        <f>$G$5 + $G$6 *A135 + $G$7*B135 + $G$8*C135+$G$9*D135+$G$10*E135</f>
        <v>197.62779362766798</v>
      </c>
      <c r="N135">
        <f>H135-K135</f>
        <v>-4.5029313146289951</v>
      </c>
      <c r="O135">
        <f t="shared" si="13"/>
        <v>20.27639042426641</v>
      </c>
    </row>
    <row r="136" spans="1:15">
      <c r="A136">
        <v>11.6</v>
      </c>
      <c r="B136">
        <f t="shared" si="7"/>
        <v>11.6</v>
      </c>
      <c r="C136">
        <f t="shared" si="8"/>
        <v>134.56</v>
      </c>
      <c r="D136">
        <f t="shared" si="9"/>
        <v>134.56</v>
      </c>
      <c r="E136">
        <f t="shared" si="10"/>
        <v>134.56</v>
      </c>
      <c r="F136">
        <f t="shared" si="11"/>
        <v>191.5430635011918</v>
      </c>
      <c r="G136">
        <v>0.54027509577281307</v>
      </c>
      <c r="H136">
        <f t="shared" si="12"/>
        <v>206.42641166107816</v>
      </c>
      <c r="K136">
        <f>$G$5 + $G$6 *A136 + $G$7*B136 + $G$8*C136+$G$9*D136+$G$10*E136</f>
        <v>201.35582920239611</v>
      </c>
      <c r="N136">
        <f>H136-K136</f>
        <v>5.070582458682054</v>
      </c>
      <c r="O136">
        <f t="shared" si="13"/>
        <v>25.710806470294145</v>
      </c>
    </row>
    <row r="137" spans="1:15">
      <c r="A137">
        <v>11.7</v>
      </c>
      <c r="B137">
        <f t="shared" si="7"/>
        <v>11.7</v>
      </c>
      <c r="C137">
        <f t="shared" si="8"/>
        <v>136.88999999999999</v>
      </c>
      <c r="D137">
        <f t="shared" si="9"/>
        <v>136.88999999999999</v>
      </c>
      <c r="E137">
        <f t="shared" si="10"/>
        <v>136.88999999999999</v>
      </c>
      <c r="F137">
        <f t="shared" si="11"/>
        <v>194.74809019238484</v>
      </c>
      <c r="G137">
        <v>0.80103973232326098</v>
      </c>
      <c r="H137">
        <f t="shared" si="12"/>
        <v>216.81491007608824</v>
      </c>
      <c r="K137">
        <f>$G$5 + $G$6 *A137 + $G$7*B137 + $G$8*C137+$G$9*D137+$G$10*E137</f>
        <v>205.12056737291044</v>
      </c>
      <c r="N137">
        <f>H137-K137</f>
        <v>11.694342703177796</v>
      </c>
      <c r="O137">
        <f t="shared" si="13"/>
        <v>136.75765125936775</v>
      </c>
    </row>
    <row r="138" spans="1:15">
      <c r="A138">
        <v>11.8</v>
      </c>
      <c r="B138">
        <f t="shared" si="7"/>
        <v>11.8</v>
      </c>
      <c r="C138">
        <f t="shared" si="8"/>
        <v>139.24</v>
      </c>
      <c r="D138">
        <f t="shared" si="9"/>
        <v>139.24</v>
      </c>
      <c r="E138">
        <f t="shared" si="10"/>
        <v>139.24</v>
      </c>
      <c r="F138">
        <f t="shared" si="11"/>
        <v>197.98008710206778</v>
      </c>
      <c r="G138">
        <v>0.85669398686150089</v>
      </c>
      <c r="H138">
        <f t="shared" si="12"/>
        <v>221.58005491976346</v>
      </c>
      <c r="K138">
        <f>$G$5 + $G$6 *A138 + $G$7*B138 + $G$8*C138+$G$9*D138+$G$10*E138</f>
        <v>208.9220081392111</v>
      </c>
      <c r="N138">
        <f>H138-K138</f>
        <v>12.658046780552354</v>
      </c>
      <c r="O138">
        <f t="shared" si="13"/>
        <v>160.22614829865182</v>
      </c>
    </row>
    <row r="139" spans="1:15">
      <c r="A139">
        <v>11.9</v>
      </c>
      <c r="B139">
        <f t="shared" si="7"/>
        <v>11.9</v>
      </c>
      <c r="C139">
        <f t="shared" si="8"/>
        <v>141.61000000000001</v>
      </c>
      <c r="D139">
        <f t="shared" si="9"/>
        <v>141.61000000000001</v>
      </c>
      <c r="E139">
        <f t="shared" si="10"/>
        <v>141.61000000000001</v>
      </c>
      <c r="F139">
        <f t="shared" si="11"/>
        <v>201.23905423024058</v>
      </c>
      <c r="G139">
        <v>-0.75049683800898492</v>
      </c>
      <c r="H139">
        <f t="shared" si="12"/>
        <v>180.56457594986742</v>
      </c>
      <c r="K139">
        <f>$G$5 + $G$6 *A139 + $G$7*B139 + $G$8*C139+$G$9*D139+$G$10*E139</f>
        <v>212.76015150129797</v>
      </c>
      <c r="N139">
        <f>H139-K139</f>
        <v>-32.195575551430551</v>
      </c>
      <c r="O139">
        <f t="shared" si="13"/>
        <v>1036.5550850878726</v>
      </c>
    </row>
    <row r="140" spans="1:15">
      <c r="A140">
        <v>12</v>
      </c>
      <c r="B140">
        <f t="shared" si="7"/>
        <v>12</v>
      </c>
      <c r="C140">
        <f t="shared" si="8"/>
        <v>144</v>
      </c>
      <c r="D140">
        <f t="shared" si="9"/>
        <v>144</v>
      </c>
      <c r="E140">
        <f t="shared" si="10"/>
        <v>144</v>
      </c>
      <c r="F140">
        <f t="shared" si="11"/>
        <v>204.52499157690326</v>
      </c>
      <c r="G140">
        <v>-0.63915649661794305</v>
      </c>
      <c r="H140">
        <f t="shared" si="12"/>
        <v>186.91768607226786</v>
      </c>
      <c r="K140">
        <f>$G$5 + $G$6 *A140 + $G$7*B140 + $G$8*C140+$G$9*D140+$G$10*E140</f>
        <v>216.63499745917102</v>
      </c>
      <c r="N140">
        <f>H140-K140</f>
        <v>-29.717311386903162</v>
      </c>
      <c r="O140">
        <f t="shared" si="13"/>
        <v>883.1185960661644</v>
      </c>
    </row>
    <row r="141" spans="1:15">
      <c r="A141">
        <v>12.1</v>
      </c>
      <c r="B141">
        <f t="shared" si="7"/>
        <v>12.1</v>
      </c>
      <c r="C141">
        <f t="shared" si="8"/>
        <v>146.41</v>
      </c>
      <c r="D141">
        <f t="shared" si="9"/>
        <v>146.41</v>
      </c>
      <c r="E141">
        <f t="shared" si="10"/>
        <v>146.41</v>
      </c>
      <c r="F141">
        <f t="shared" si="11"/>
        <v>207.83789914205579</v>
      </c>
      <c r="G141">
        <v>0.30527758099196944</v>
      </c>
      <c r="H141">
        <f t="shared" si="12"/>
        <v>216.24760108623343</v>
      </c>
      <c r="K141">
        <f>$G$5 + $G$6 *A141 + $G$7*B141 + $G$8*C141+$G$9*D141+$G$10*E141</f>
        <v>220.54654601283028</v>
      </c>
      <c r="N141">
        <f>H141-K141</f>
        <v>-4.298944926596846</v>
      </c>
      <c r="O141">
        <f t="shared" si="13"/>
        <v>18.480927481912762</v>
      </c>
    </row>
    <row r="142" spans="1:15">
      <c r="A142">
        <v>12.2</v>
      </c>
      <c r="B142">
        <f t="shared" si="7"/>
        <v>12.2</v>
      </c>
      <c r="C142">
        <f t="shared" si="8"/>
        <v>148.83999999999997</v>
      </c>
      <c r="D142">
        <f t="shared" si="9"/>
        <v>148.83999999999997</v>
      </c>
      <c r="E142">
        <f t="shared" si="10"/>
        <v>148.83999999999997</v>
      </c>
      <c r="F142">
        <f t="shared" si="11"/>
        <v>211.17777692569823</v>
      </c>
      <c r="G142">
        <v>0.12258851711521856</v>
      </c>
      <c r="H142">
        <f t="shared" si="12"/>
        <v>214.55481131966778</v>
      </c>
      <c r="K142">
        <f>$G$5 + $G$6 *A142 + $G$7*B142 + $G$8*C142+$G$9*D142+$G$10*E142</f>
        <v>224.4947971622758</v>
      </c>
      <c r="N142">
        <f>H142-K142</f>
        <v>-9.9399858426080243</v>
      </c>
      <c r="O142">
        <f t="shared" si="13"/>
        <v>98.803318551247955</v>
      </c>
    </row>
  </sheetData>
  <mergeCells count="3">
    <mergeCell ref="G3:H3"/>
    <mergeCell ref="F4:H4"/>
    <mergeCell ref="F12:H1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B1DF3-0F47-456E-A58E-85A69F34A387}">
  <dimension ref="A1:BE59"/>
  <sheetViews>
    <sheetView zoomScale="85" zoomScaleNormal="85" workbookViewId="0">
      <selection activeCell="G9" sqref="G9:BE59"/>
    </sheetView>
  </sheetViews>
  <sheetFormatPr defaultRowHeight="14.25"/>
  <sheetData>
    <row r="1" spans="1:57">
      <c r="A1" t="s">
        <v>55</v>
      </c>
      <c r="B1">
        <v>2.7798699951090384</v>
      </c>
    </row>
    <row r="2" spans="1:57">
      <c r="A2" t="s">
        <v>56</v>
      </c>
      <c r="B2">
        <v>0.24989152583002577</v>
      </c>
    </row>
    <row r="3" spans="1:57">
      <c r="A3" t="s">
        <v>57</v>
      </c>
      <c r="B3">
        <v>0.38007084539276548</v>
      </c>
    </row>
    <row r="4" spans="1:57">
      <c r="A4" t="s">
        <v>58</v>
      </c>
      <c r="B4">
        <v>0.45726830093190074</v>
      </c>
    </row>
    <row r="5" spans="1:57">
      <c r="A5" t="s">
        <v>60</v>
      </c>
      <c r="B5">
        <v>0.45715097611537203</v>
      </c>
    </row>
    <row r="6" spans="1:57">
      <c r="A6" t="s">
        <v>59</v>
      </c>
      <c r="B6">
        <v>0.43409164744662121</v>
      </c>
    </row>
    <row r="8" spans="1:57">
      <c r="F8" t="s">
        <v>67</v>
      </c>
      <c r="G8">
        <v>0</v>
      </c>
      <c r="H8">
        <v>0.2</v>
      </c>
      <c r="I8">
        <v>0.4</v>
      </c>
      <c r="J8">
        <v>0.6</v>
      </c>
      <c r="K8">
        <v>0.8</v>
      </c>
      <c r="L8">
        <v>1</v>
      </c>
      <c r="M8">
        <v>1.2</v>
      </c>
      <c r="N8">
        <v>1.4</v>
      </c>
      <c r="O8">
        <v>1.6</v>
      </c>
      <c r="P8">
        <v>1.8</v>
      </c>
      <c r="Q8">
        <v>2</v>
      </c>
      <c r="R8">
        <v>2.2000000000000002</v>
      </c>
      <c r="S8">
        <v>2.4</v>
      </c>
      <c r="T8">
        <v>2.6</v>
      </c>
      <c r="U8">
        <v>2.8</v>
      </c>
      <c r="V8">
        <v>3</v>
      </c>
      <c r="W8">
        <v>3.2</v>
      </c>
      <c r="X8">
        <v>3.4</v>
      </c>
      <c r="Y8">
        <v>3.6</v>
      </c>
      <c r="Z8">
        <v>3.8</v>
      </c>
      <c r="AA8">
        <v>4</v>
      </c>
      <c r="AB8">
        <v>4.2</v>
      </c>
      <c r="AC8">
        <v>4.4000000000000004</v>
      </c>
      <c r="AD8">
        <v>4.5999999999999996</v>
      </c>
      <c r="AE8">
        <v>4.8</v>
      </c>
      <c r="AF8">
        <v>5</v>
      </c>
      <c r="AG8">
        <v>5.2</v>
      </c>
      <c r="AH8">
        <v>5.4</v>
      </c>
      <c r="AI8">
        <v>5.6</v>
      </c>
      <c r="AJ8">
        <v>5.8</v>
      </c>
      <c r="AK8">
        <v>6</v>
      </c>
      <c r="AL8">
        <v>6.2</v>
      </c>
      <c r="AM8">
        <v>6.4</v>
      </c>
      <c r="AN8">
        <v>6.6</v>
      </c>
      <c r="AO8">
        <v>6.8</v>
      </c>
      <c r="AP8">
        <v>7</v>
      </c>
      <c r="AQ8">
        <v>7.2</v>
      </c>
      <c r="AR8">
        <v>7.4</v>
      </c>
      <c r="AS8">
        <v>7.6</v>
      </c>
      <c r="AT8">
        <v>7.8</v>
      </c>
      <c r="AU8">
        <v>8</v>
      </c>
      <c r="AV8">
        <v>8.1999999999999993</v>
      </c>
      <c r="AW8">
        <v>8.4</v>
      </c>
      <c r="AX8">
        <v>8.6</v>
      </c>
      <c r="AY8">
        <v>8.8000000000000007</v>
      </c>
      <c r="AZ8">
        <v>9</v>
      </c>
      <c r="BA8">
        <v>9.1999999999999993</v>
      </c>
      <c r="BB8">
        <v>9.4</v>
      </c>
      <c r="BC8">
        <v>9.6</v>
      </c>
      <c r="BD8">
        <v>9.8000000000000007</v>
      </c>
      <c r="BE8">
        <v>10</v>
      </c>
    </row>
    <row r="9" spans="1:57">
      <c r="F9">
        <v>0</v>
      </c>
      <c r="G9">
        <f>$B$1+$B$2*G$8+$B$3*$F10+$B$4*G$8^2+$B$5*$F10^2+$B$6*$F10*G$8</f>
        <v>2.8741702032322065</v>
      </c>
      <c r="H9">
        <f t="shared" ref="H9:BE9" si="0">$B$1+$B$2*H$8+$B$3*$F10+$B$4*H$8^2+$B$5*$F10^2+$B$6*$F10*H$8</f>
        <v>2.9598029063333526</v>
      </c>
      <c r="I9">
        <f t="shared" si="0"/>
        <v>3.0820170735090509</v>
      </c>
      <c r="J9">
        <f t="shared" si="0"/>
        <v>3.2408127047593012</v>
      </c>
      <c r="K9">
        <f t="shared" si="0"/>
        <v>3.4361898000841031</v>
      </c>
      <c r="L9">
        <f t="shared" si="0"/>
        <v>3.6681483594834572</v>
      </c>
      <c r="M9">
        <f t="shared" si="0"/>
        <v>3.9366883829573633</v>
      </c>
      <c r="N9">
        <f t="shared" si="0"/>
        <v>4.2418098705058211</v>
      </c>
      <c r="O9">
        <f t="shared" si="0"/>
        <v>4.5835128221288324</v>
      </c>
      <c r="P9">
        <f t="shared" si="0"/>
        <v>4.9617972378263939</v>
      </c>
      <c r="Q9">
        <f t="shared" si="0"/>
        <v>5.3766631175985093</v>
      </c>
      <c r="R9">
        <f t="shared" si="0"/>
        <v>5.828110461445176</v>
      </c>
      <c r="S9">
        <f t="shared" si="0"/>
        <v>6.3161392693663938</v>
      </c>
      <c r="T9">
        <f t="shared" si="0"/>
        <v>6.8407495413621655</v>
      </c>
      <c r="U9">
        <f t="shared" si="0"/>
        <v>7.4019412774324875</v>
      </c>
      <c r="V9">
        <f t="shared" si="0"/>
        <v>7.9997144775773625</v>
      </c>
      <c r="W9">
        <f t="shared" si="0"/>
        <v>8.6340691417967914</v>
      </c>
      <c r="X9">
        <f t="shared" si="0"/>
        <v>9.3050052700907671</v>
      </c>
      <c r="Y9">
        <f t="shared" si="0"/>
        <v>10.012522862459299</v>
      </c>
      <c r="Z9">
        <f t="shared" si="0"/>
        <v>10.756621918902383</v>
      </c>
      <c r="AA9">
        <f t="shared" si="0"/>
        <v>11.537302439420019</v>
      </c>
      <c r="AB9">
        <f t="shared" si="0"/>
        <v>12.354564424012205</v>
      </c>
      <c r="AC9">
        <f t="shared" si="0"/>
        <v>13.208407872678945</v>
      </c>
      <c r="AD9">
        <f t="shared" si="0"/>
        <v>14.098832785420235</v>
      </c>
      <c r="AE9">
        <f t="shared" si="0"/>
        <v>15.025839162236078</v>
      </c>
      <c r="AF9">
        <f t="shared" si="0"/>
        <v>15.989427003126474</v>
      </c>
      <c r="AG9">
        <f t="shared" si="0"/>
        <v>16.989596308091421</v>
      </c>
      <c r="AH9">
        <f t="shared" si="0"/>
        <v>18.026347077130922</v>
      </c>
      <c r="AI9">
        <f t="shared" si="0"/>
        <v>19.099679310244969</v>
      </c>
      <c r="AJ9">
        <f t="shared" si="0"/>
        <v>20.209593007433575</v>
      </c>
      <c r="AK9">
        <f t="shared" si="0"/>
        <v>21.356088168696733</v>
      </c>
      <c r="AL9">
        <f t="shared" si="0"/>
        <v>22.539164794034441</v>
      </c>
      <c r="AM9">
        <f t="shared" si="0"/>
        <v>23.758822883446705</v>
      </c>
      <c r="AN9">
        <f t="shared" si="0"/>
        <v>25.015062436933508</v>
      </c>
      <c r="AO9">
        <f t="shared" si="0"/>
        <v>26.307883454494874</v>
      </c>
      <c r="AP9">
        <f t="shared" si="0"/>
        <v>27.637285936130791</v>
      </c>
      <c r="AQ9">
        <f t="shared" si="0"/>
        <v>29.003269881841259</v>
      </c>
      <c r="AR9">
        <f t="shared" si="0"/>
        <v>30.405835291626282</v>
      </c>
      <c r="AS9">
        <f t="shared" si="0"/>
        <v>31.844982165485852</v>
      </c>
      <c r="AT9">
        <f t="shared" si="0"/>
        <v>33.320710503419981</v>
      </c>
      <c r="AU9">
        <f t="shared" si="0"/>
        <v>34.833020305428654</v>
      </c>
      <c r="AV9">
        <f t="shared" si="0"/>
        <v>36.381911571511878</v>
      </c>
      <c r="AW9">
        <f t="shared" si="0"/>
        <v>37.967384301669668</v>
      </c>
      <c r="AX9">
        <f t="shared" si="0"/>
        <v>39.589438495901994</v>
      </c>
      <c r="AY9">
        <f t="shared" si="0"/>
        <v>41.248074154208894</v>
      </c>
      <c r="AZ9">
        <f t="shared" si="0"/>
        <v>42.943291276590315</v>
      </c>
      <c r="BA9">
        <f t="shared" si="0"/>
        <v>44.675089863046303</v>
      </c>
      <c r="BB9">
        <f t="shared" si="0"/>
        <v>46.443469913576855</v>
      </c>
      <c r="BC9">
        <f t="shared" si="0"/>
        <v>48.248431428181938</v>
      </c>
      <c r="BD9">
        <f t="shared" si="0"/>
        <v>50.089974406861593</v>
      </c>
      <c r="BE9">
        <f t="shared" si="0"/>
        <v>51.968098849615785</v>
      </c>
    </row>
    <row r="10" spans="1:57">
      <c r="F10">
        <v>0.2</v>
      </c>
      <c r="G10">
        <f t="shared" ref="G10:G73" si="1">$B$1+$B$2*G$8+$B$3*$F11+$B$4*G$8^2+$B$5*$F11^2+$B$6*$F11*G$8</f>
        <v>3.0050424894446044</v>
      </c>
      <c r="H10">
        <f t="shared" ref="H10:H73" si="2">$B$1+$B$2*H$8+$B$3*$F11+$B$4*H$8^2+$B$5*$F11^2+$B$6*$F11*H$8</f>
        <v>3.1080388584436154</v>
      </c>
      <c r="I10">
        <f t="shared" ref="I10:I73" si="3">$B$1+$B$2*I$8+$B$3*$F11+$B$4*I$8^2+$B$5*$F11^2+$B$6*$F11*I$8</f>
        <v>3.2476166915171785</v>
      </c>
      <c r="J10">
        <f t="shared" ref="J10:J73" si="4">$B$1+$B$2*J$8+$B$3*$F11+$B$4*J$8^2+$B$5*$F11^2+$B$6*$F11*J$8</f>
        <v>3.4237759886652936</v>
      </c>
      <c r="K10">
        <f t="shared" ref="K10:K73" si="5">$B$1+$B$2*K$8+$B$3*$F11+$B$4*K$8^2+$B$5*$F11^2+$B$6*$F11*K$8</f>
        <v>3.6365167498879609</v>
      </c>
      <c r="L10">
        <f t="shared" ref="L10:L73" si="6">$B$1+$B$2*L$8+$B$3*$F11+$B$4*L$8^2+$B$5*$F11^2+$B$6*$F11*L$8</f>
        <v>3.8858389751851794</v>
      </c>
      <c r="M10">
        <f t="shared" ref="M10:M73" si="7">$B$1+$B$2*M$8+$B$3*$F11+$B$4*M$8^2+$B$5*$F11^2+$B$6*$F11*M$8</f>
        <v>4.1717426645569509</v>
      </c>
      <c r="N10">
        <f t="shared" ref="N10:N73" si="8">$B$1+$B$2*N$8+$B$3*$F11+$B$4*N$8^2+$B$5*$F11^2+$B$6*$F11*N$8</f>
        <v>4.4942278180032735</v>
      </c>
      <c r="O10">
        <f t="shared" ref="O10:O73" si="9">$B$1+$B$2*O$8+$B$3*$F11+$B$4*O$8^2+$B$5*$F11^2+$B$6*$F11*O$8</f>
        <v>4.8532944355241501</v>
      </c>
      <c r="P10">
        <f t="shared" ref="P10:P73" si="10">$B$1+$B$2*P$8+$B$3*$F11+$B$4*P$8^2+$B$5*$F11^2+$B$6*$F11*P$8</f>
        <v>5.2489425171195769</v>
      </c>
      <c r="Q10">
        <f t="shared" ref="Q10:Q73" si="11">$B$1+$B$2*Q$8+$B$3*$F11+$B$4*Q$8^2+$B$5*$F11^2+$B$6*$F11*Q$8</f>
        <v>5.6811720627895568</v>
      </c>
      <c r="R10">
        <f t="shared" ref="R10:R73" si="12">$B$1+$B$2*R$8+$B$3*$F11+$B$4*R$8^2+$B$5*$F11^2+$B$6*$F11*R$8</f>
        <v>6.1499830725340887</v>
      </c>
      <c r="S10">
        <f t="shared" ref="S10:S73" si="13">$B$1+$B$2*S$8+$B$3*$F11+$B$4*S$8^2+$B$5*$F11^2+$B$6*$F11*S$8</f>
        <v>6.655375546353171</v>
      </c>
      <c r="T10">
        <f t="shared" ref="T10:T73" si="14">$B$1+$B$2*T$8+$B$3*$F11+$B$4*T$8^2+$B$5*$F11^2+$B$6*$F11*T$8</f>
        <v>7.1973494842468071</v>
      </c>
      <c r="U10">
        <f t="shared" ref="U10:U73" si="15">$B$1+$B$2*U$8+$B$3*$F11+$B$4*U$8^2+$B$5*$F11^2+$B$6*$F11*U$8</f>
        <v>7.7759048862149927</v>
      </c>
      <c r="V10">
        <f t="shared" ref="V10:V73" si="16">$B$1+$B$2*V$8+$B$3*$F11+$B$4*V$8^2+$B$5*$F11^2+$B$6*$F11*V$8</f>
        <v>8.391041752257733</v>
      </c>
      <c r="W10">
        <f t="shared" ref="W10:W73" si="17">$B$1+$B$2*W$8+$B$3*$F11+$B$4*W$8^2+$B$5*$F11^2+$B$6*$F11*W$8</f>
        <v>9.0427600823750272</v>
      </c>
      <c r="X10">
        <f t="shared" ref="X10:X73" si="18">$B$1+$B$2*X$8+$B$3*$F11+$B$4*X$8^2+$B$5*$F11^2+$B$6*$F11*X$8</f>
        <v>9.731059876566869</v>
      </c>
      <c r="Y10">
        <f t="shared" ref="Y10:Y73" si="19">$B$1+$B$2*Y$8+$B$3*$F11+$B$4*Y$8^2+$B$5*$F11^2+$B$6*$F11*Y$8</f>
        <v>10.455941134833267</v>
      </c>
      <c r="Z10">
        <f t="shared" ref="Z10:Z73" si="20">$B$1+$B$2*Z$8+$B$3*$F11+$B$4*Z$8^2+$B$5*$F11^2+$B$6*$F11*Z$8</f>
        <v>11.217403857174212</v>
      </c>
      <c r="AA10">
        <f t="shared" ref="AA10:AA73" si="21">$B$1+$B$2*AA$8+$B$3*$F11+$B$4*AA$8^2+$B$5*$F11^2+$B$6*$F11*AA$8</f>
        <v>12.015448043589714</v>
      </c>
      <c r="AB10">
        <f t="shared" ref="AB10:AB73" si="22">$B$1+$B$2*AB$8+$B$3*$F11+$B$4*AB$8^2+$B$5*$F11^2+$B$6*$F11*AB$8</f>
        <v>12.850073694079766</v>
      </c>
      <c r="AC10">
        <f t="shared" ref="AC10:AC73" si="23">$B$1+$B$2*AC$8+$B$3*$F11+$B$4*AC$8^2+$B$5*$F11^2+$B$6*$F11*AC$8</f>
        <v>13.721280808644373</v>
      </c>
      <c r="AD10">
        <f t="shared" ref="AD10:AD73" si="24">$B$1+$B$2*AD$8+$B$3*$F11+$B$4*AD$8^2+$B$5*$F11^2+$B$6*$F11*AD$8</f>
        <v>14.629069387283524</v>
      </c>
      <c r="AE10">
        <f t="shared" ref="AE10:AE73" si="25">$B$1+$B$2*AE$8+$B$3*$F11+$B$4*AE$8^2+$B$5*$F11^2+$B$6*$F11*AE$8</f>
        <v>15.573439429997235</v>
      </c>
      <c r="AF10">
        <f t="shared" ref="AF10:AF73" si="26">$B$1+$B$2*AF$8+$B$3*$F11+$B$4*AF$8^2+$B$5*$F11^2+$B$6*$F11*AF$8</f>
        <v>16.554390936785495</v>
      </c>
      <c r="AG10">
        <f t="shared" ref="AG10:AG73" si="27">$B$1+$B$2*AG$8+$B$3*$F11+$B$4*AG$8^2+$B$5*$F11^2+$B$6*$F11*AG$8</f>
        <v>17.571923907648305</v>
      </c>
      <c r="AH10">
        <f t="shared" ref="AH10:AH73" si="28">$B$1+$B$2*AH$8+$B$3*$F11+$B$4*AH$8^2+$B$5*$F11^2+$B$6*$F11*AH$8</f>
        <v>18.626038342585673</v>
      </c>
      <c r="AI10">
        <f t="shared" ref="AI10:AI73" si="29">$B$1+$B$2*AI$8+$B$3*$F11+$B$4*AI$8^2+$B$5*$F11^2+$B$6*$F11*AI$8</f>
        <v>19.716734241597585</v>
      </c>
      <c r="AJ10">
        <f t="shared" ref="AJ10:AJ73" si="30">$B$1+$B$2*AJ$8+$B$3*$F11+$B$4*AJ$8^2+$B$5*$F11^2+$B$6*$F11*AJ$8</f>
        <v>20.844011604684056</v>
      </c>
      <c r="AK10">
        <f t="shared" ref="AK10:AK73" si="31">$B$1+$B$2*AK$8+$B$3*$F11+$B$4*AK$8^2+$B$5*$F11^2+$B$6*$F11*AK$8</f>
        <v>22.007870431845074</v>
      </c>
      <c r="AL10">
        <f t="shared" ref="AL10:AL73" si="32">$B$1+$B$2*AL$8+$B$3*$F11+$B$4*AL$8^2+$B$5*$F11^2+$B$6*$F11*AL$8</f>
        <v>23.208310723080647</v>
      </c>
      <c r="AM10">
        <f t="shared" ref="AM10:AM73" si="33">$B$1+$B$2*AM$8+$B$3*$F11+$B$4*AM$8^2+$B$5*$F11^2+$B$6*$F11*AM$8</f>
        <v>24.445332478390778</v>
      </c>
      <c r="AN10">
        <f t="shared" ref="AN10:AN73" si="34">$B$1+$B$2*AN$8+$B$3*$F11+$B$4*AN$8^2+$B$5*$F11^2+$B$6*$F11*AN$8</f>
        <v>25.718935697775446</v>
      </c>
      <c r="AO10">
        <f t="shared" ref="AO10:AO73" si="35">$B$1+$B$2*AO$8+$B$3*$F11+$B$4*AO$8^2+$B$5*$F11^2+$B$6*$F11*AO$8</f>
        <v>27.029120381234677</v>
      </c>
      <c r="AP10">
        <f t="shared" ref="AP10:AP73" si="36">$B$1+$B$2*AP$8+$B$3*$F11+$B$4*AP$8^2+$B$5*$F11^2+$B$6*$F11*AP$8</f>
        <v>28.375886528768458</v>
      </c>
      <c r="AQ10">
        <f t="shared" ref="AQ10:AQ73" si="37">$B$1+$B$2*AQ$8+$B$3*$F11+$B$4*AQ$8^2+$B$5*$F11^2+$B$6*$F11*AQ$8</f>
        <v>29.759234140376794</v>
      </c>
      <c r="AR10">
        <f t="shared" ref="AR10:AR73" si="38">$B$1+$B$2*AR$8+$B$3*$F11+$B$4*AR$8^2+$B$5*$F11^2+$B$6*$F11*AR$8</f>
        <v>31.179163216059681</v>
      </c>
      <c r="AS10">
        <f t="shared" ref="AS10:AS73" si="39">$B$1+$B$2*AS$8+$B$3*$F11+$B$4*AS$8^2+$B$5*$F11^2+$B$6*$F11*AS$8</f>
        <v>32.635673755817116</v>
      </c>
      <c r="AT10">
        <f t="shared" ref="AT10:AT73" si="40">$B$1+$B$2*AT$8+$B$3*$F11+$B$4*AT$8^2+$B$5*$F11^2+$B$6*$F11*AT$8</f>
        <v>34.128765759649106</v>
      </c>
      <c r="AU10">
        <f t="shared" ref="AU10:AU73" si="41">$B$1+$B$2*AU$8+$B$3*$F11+$B$4*AU$8^2+$B$5*$F11^2+$B$6*$F11*AU$8</f>
        <v>35.658439227555647</v>
      </c>
      <c r="AV10">
        <f t="shared" ref="AV10:AV73" si="42">$B$1+$B$2*AV$8+$B$3*$F11+$B$4*AV$8^2+$B$5*$F11^2+$B$6*$F11*AV$8</f>
        <v>37.224694159536732</v>
      </c>
      <c r="AW10">
        <f t="shared" ref="AW10:AW73" si="43">$B$1+$B$2*AW$8+$B$3*$F11+$B$4*AW$8^2+$B$5*$F11^2+$B$6*$F11*AW$8</f>
        <v>38.827530555592382</v>
      </c>
      <c r="AX10">
        <f t="shared" ref="AX10:AX73" si="44">$B$1+$B$2*AX$8+$B$3*$F11+$B$4*AX$8^2+$B$5*$F11^2+$B$6*$F11*AX$8</f>
        <v>40.466948415722577</v>
      </c>
      <c r="AY10">
        <f t="shared" ref="AY10:AY73" si="45">$B$1+$B$2*AY$8+$B$3*$F11+$B$4*AY$8^2+$B$5*$F11^2+$B$6*$F11*AY$8</f>
        <v>42.142947739927337</v>
      </c>
      <c r="AZ10">
        <f t="shared" ref="AZ10:AZ73" si="46">$B$1+$B$2*AZ$8+$B$3*$F11+$B$4*AZ$8^2+$B$5*$F11^2+$B$6*$F11*AZ$8</f>
        <v>43.855528528206627</v>
      </c>
      <c r="BA10">
        <f t="shared" ref="BA10:BA73" si="47">$B$1+$B$2*BA$8+$B$3*$F11+$B$4*BA$8^2+$B$5*$F11^2+$B$6*$F11*BA$8</f>
        <v>45.604690780560482</v>
      </c>
      <c r="BB10">
        <f t="shared" ref="BB10:BB73" si="48">$B$1+$B$2*BB$8+$B$3*$F11+$B$4*BB$8^2+$B$5*$F11^2+$B$6*$F11*BB$8</f>
        <v>47.390434496988902</v>
      </c>
      <c r="BC10">
        <f t="shared" ref="BC10:BC73" si="49">$B$1+$B$2*BC$8+$B$3*$F11+$B$4*BC$8^2+$B$5*$F11^2+$B$6*$F11*BC$8</f>
        <v>49.212759677491846</v>
      </c>
      <c r="BD10">
        <f t="shared" ref="BD10:BD73" si="50">$B$1+$B$2*BD$8+$B$3*$F11+$B$4*BD$8^2+$B$5*$F11^2+$B$6*$F11*BD$8</f>
        <v>51.071666322069369</v>
      </c>
      <c r="BE10">
        <f t="shared" ref="BE10:BE73" si="51">$B$1+$B$2*BE$8+$B$3*$F11+$B$4*BE$8^2+$B$5*$F11^2+$B$6*$F11*BE$8</f>
        <v>52.967154430721422</v>
      </c>
    </row>
    <row r="11" spans="1:57">
      <c r="F11">
        <v>0.4</v>
      </c>
      <c r="G11">
        <f t="shared" si="1"/>
        <v>3.1724868537462316</v>
      </c>
      <c r="H11">
        <f t="shared" si="2"/>
        <v>3.2928468886431075</v>
      </c>
      <c r="I11">
        <f t="shared" si="3"/>
        <v>3.4497883876145354</v>
      </c>
      <c r="J11">
        <f t="shared" si="4"/>
        <v>3.6433113506605155</v>
      </c>
      <c r="K11">
        <f t="shared" si="5"/>
        <v>3.8734157777810472</v>
      </c>
      <c r="L11">
        <f t="shared" si="6"/>
        <v>4.140101668976131</v>
      </c>
      <c r="M11">
        <f t="shared" si="7"/>
        <v>4.4433690242457669</v>
      </c>
      <c r="N11">
        <f t="shared" si="8"/>
        <v>4.7832178435899539</v>
      </c>
      <c r="O11">
        <f t="shared" si="9"/>
        <v>5.1596481270086958</v>
      </c>
      <c r="P11">
        <f t="shared" si="10"/>
        <v>5.5726598745019871</v>
      </c>
      <c r="Q11">
        <f t="shared" si="11"/>
        <v>6.0222530860698313</v>
      </c>
      <c r="R11">
        <f t="shared" si="12"/>
        <v>6.5084277617122286</v>
      </c>
      <c r="S11">
        <f t="shared" si="13"/>
        <v>7.0311839014291753</v>
      </c>
      <c r="T11">
        <f t="shared" si="14"/>
        <v>7.5905215052206776</v>
      </c>
      <c r="U11">
        <f t="shared" si="15"/>
        <v>8.1864405730867276</v>
      </c>
      <c r="V11">
        <f t="shared" si="16"/>
        <v>8.8189411050273332</v>
      </c>
      <c r="W11">
        <f t="shared" si="17"/>
        <v>9.48802310104249</v>
      </c>
      <c r="X11">
        <f t="shared" si="18"/>
        <v>10.193686561132198</v>
      </c>
      <c r="Y11">
        <f t="shared" si="19"/>
        <v>10.935931485296459</v>
      </c>
      <c r="Z11">
        <f t="shared" si="20"/>
        <v>11.714757873535273</v>
      </c>
      <c r="AA11">
        <f t="shared" si="21"/>
        <v>12.530165725848637</v>
      </c>
      <c r="AB11">
        <f t="shared" si="22"/>
        <v>13.382155042236553</v>
      </c>
      <c r="AC11">
        <f t="shared" si="23"/>
        <v>14.270725822699024</v>
      </c>
      <c r="AD11">
        <f t="shared" si="24"/>
        <v>15.195878067236041</v>
      </c>
      <c r="AE11">
        <f t="shared" si="25"/>
        <v>16.157611775847617</v>
      </c>
      <c r="AF11">
        <f t="shared" si="26"/>
        <v>17.155926948533743</v>
      </c>
      <c r="AG11">
        <f t="shared" si="27"/>
        <v>18.190823585294421</v>
      </c>
      <c r="AH11">
        <f t="shared" si="28"/>
        <v>19.26230168612965</v>
      </c>
      <c r="AI11">
        <f t="shared" si="29"/>
        <v>20.370361251039427</v>
      </c>
      <c r="AJ11">
        <f t="shared" si="30"/>
        <v>21.515002280023761</v>
      </c>
      <c r="AK11">
        <f t="shared" si="31"/>
        <v>22.696224773082651</v>
      </c>
      <c r="AL11">
        <f t="shared" si="32"/>
        <v>23.914028730216089</v>
      </c>
      <c r="AM11">
        <f t="shared" si="33"/>
        <v>25.168414151424081</v>
      </c>
      <c r="AN11">
        <f t="shared" si="34"/>
        <v>26.459381036706613</v>
      </c>
      <c r="AO11">
        <f t="shared" si="35"/>
        <v>27.786929386063708</v>
      </c>
      <c r="AP11">
        <f t="shared" si="36"/>
        <v>29.151059199495357</v>
      </c>
      <c r="AQ11">
        <f t="shared" si="37"/>
        <v>30.551770477001558</v>
      </c>
      <c r="AR11">
        <f t="shared" si="38"/>
        <v>31.989063218582306</v>
      </c>
      <c r="AS11">
        <f t="shared" si="39"/>
        <v>33.462937424237602</v>
      </c>
      <c r="AT11">
        <f t="shared" si="40"/>
        <v>34.973393093967459</v>
      </c>
      <c r="AU11">
        <f t="shared" si="41"/>
        <v>36.520430227771868</v>
      </c>
      <c r="AV11">
        <f t="shared" si="42"/>
        <v>38.104048825650821</v>
      </c>
      <c r="AW11">
        <f t="shared" si="43"/>
        <v>39.72424888760434</v>
      </c>
      <c r="AX11">
        <f t="shared" si="44"/>
        <v>41.381030413632395</v>
      </c>
      <c r="AY11">
        <f t="shared" si="45"/>
        <v>43.074393403735016</v>
      </c>
      <c r="AZ11">
        <f t="shared" si="46"/>
        <v>44.804337857912181</v>
      </c>
      <c r="BA11">
        <f t="shared" si="47"/>
        <v>46.57086377616389</v>
      </c>
      <c r="BB11">
        <f t="shared" si="48"/>
        <v>48.373971158490171</v>
      </c>
      <c r="BC11">
        <f t="shared" si="49"/>
        <v>50.21366000489099</v>
      </c>
      <c r="BD11">
        <f t="shared" si="50"/>
        <v>52.089930315366374</v>
      </c>
      <c r="BE11">
        <f t="shared" si="51"/>
        <v>54.002782089916288</v>
      </c>
    </row>
    <row r="12" spans="1:57">
      <c r="F12">
        <v>0.6</v>
      </c>
      <c r="G12">
        <f t="shared" si="1"/>
        <v>3.3765032961370887</v>
      </c>
      <c r="H12">
        <f t="shared" si="2"/>
        <v>3.5142269969318294</v>
      </c>
      <c r="I12">
        <f t="shared" si="3"/>
        <v>3.6885321618011222</v>
      </c>
      <c r="J12">
        <f t="shared" si="4"/>
        <v>3.8994187907449671</v>
      </c>
      <c r="K12">
        <f t="shared" si="5"/>
        <v>4.1468868837633641</v>
      </c>
      <c r="L12">
        <f t="shared" si="6"/>
        <v>4.4309364408563123</v>
      </c>
      <c r="M12">
        <f t="shared" si="7"/>
        <v>4.7515674620238135</v>
      </c>
      <c r="N12">
        <f t="shared" si="8"/>
        <v>5.1087799472658659</v>
      </c>
      <c r="O12">
        <f t="shared" si="9"/>
        <v>5.5025738965824713</v>
      </c>
      <c r="P12">
        <f t="shared" si="10"/>
        <v>5.9329493099736288</v>
      </c>
      <c r="Q12">
        <f t="shared" si="11"/>
        <v>6.3999061874393375</v>
      </c>
      <c r="R12">
        <f t="shared" si="12"/>
        <v>6.9034445289795991</v>
      </c>
      <c r="S12">
        <f t="shared" si="13"/>
        <v>7.443564334594412</v>
      </c>
      <c r="T12">
        <f t="shared" si="14"/>
        <v>8.0202656042837788</v>
      </c>
      <c r="U12">
        <f t="shared" si="15"/>
        <v>8.6335483380476941</v>
      </c>
      <c r="V12">
        <f t="shared" si="16"/>
        <v>9.2834125358861641</v>
      </c>
      <c r="W12">
        <f t="shared" si="17"/>
        <v>9.9698581977991854</v>
      </c>
      <c r="X12">
        <f t="shared" si="18"/>
        <v>10.692885323786758</v>
      </c>
      <c r="Y12">
        <f t="shared" si="19"/>
        <v>11.452493913848885</v>
      </c>
      <c r="Z12">
        <f t="shared" si="20"/>
        <v>12.248683967985562</v>
      </c>
      <c r="AA12">
        <f t="shared" si="21"/>
        <v>13.081455486196793</v>
      </c>
      <c r="AB12">
        <f t="shared" si="22"/>
        <v>13.950808468482574</v>
      </c>
      <c r="AC12">
        <f t="shared" si="23"/>
        <v>14.85674291484291</v>
      </c>
      <c r="AD12">
        <f t="shared" si="24"/>
        <v>15.799258825277793</v>
      </c>
      <c r="AE12">
        <f t="shared" si="25"/>
        <v>16.778356199787233</v>
      </c>
      <c r="AF12">
        <f t="shared" si="26"/>
        <v>17.79403503837122</v>
      </c>
      <c r="AG12">
        <f t="shared" si="27"/>
        <v>18.846295341029766</v>
      </c>
      <c r="AH12">
        <f t="shared" si="28"/>
        <v>19.935137107762859</v>
      </c>
      <c r="AI12">
        <f t="shared" si="29"/>
        <v>21.0605603385705</v>
      </c>
      <c r="AJ12">
        <f t="shared" si="30"/>
        <v>22.222565033452703</v>
      </c>
      <c r="AK12">
        <f t="shared" si="31"/>
        <v>23.421151192409454</v>
      </c>
      <c r="AL12">
        <f t="shared" si="32"/>
        <v>24.656318815440759</v>
      </c>
      <c r="AM12">
        <f t="shared" si="33"/>
        <v>25.928067902546612</v>
      </c>
      <c r="AN12">
        <f t="shared" si="34"/>
        <v>27.236398453727013</v>
      </c>
      <c r="AO12">
        <f t="shared" si="35"/>
        <v>28.581310468981972</v>
      </c>
      <c r="AP12">
        <f t="shared" si="36"/>
        <v>29.962803948311485</v>
      </c>
      <c r="AQ12">
        <f t="shared" si="37"/>
        <v>31.38087889171555</v>
      </c>
      <c r="AR12">
        <f t="shared" si="38"/>
        <v>32.835535299194163</v>
      </c>
      <c r="AS12">
        <f t="shared" si="39"/>
        <v>34.32677317074733</v>
      </c>
      <c r="AT12">
        <f t="shared" si="40"/>
        <v>35.854592506375042</v>
      </c>
      <c r="AU12">
        <f t="shared" si="41"/>
        <v>37.418993306077319</v>
      </c>
      <c r="AV12">
        <f t="shared" si="42"/>
        <v>39.01997556985414</v>
      </c>
      <c r="AW12">
        <f t="shared" si="43"/>
        <v>40.657539297705519</v>
      </c>
      <c r="AX12">
        <f t="shared" si="44"/>
        <v>42.331684489631435</v>
      </c>
      <c r="AY12">
        <f t="shared" si="45"/>
        <v>44.042411145631931</v>
      </c>
      <c r="AZ12">
        <f t="shared" si="46"/>
        <v>45.789719265706957</v>
      </c>
      <c r="BA12">
        <f t="shared" si="47"/>
        <v>47.573608849856527</v>
      </c>
      <c r="BB12">
        <f t="shared" si="48"/>
        <v>49.394079898080676</v>
      </c>
      <c r="BC12">
        <f t="shared" si="49"/>
        <v>51.251132410379363</v>
      </c>
      <c r="BD12">
        <f t="shared" si="50"/>
        <v>53.144766386752615</v>
      </c>
      <c r="BE12">
        <f t="shared" si="51"/>
        <v>55.074981827200389</v>
      </c>
    </row>
    <row r="13" spans="1:57">
      <c r="F13">
        <v>0.8</v>
      </c>
      <c r="G13">
        <f t="shared" si="1"/>
        <v>3.6170918166171759</v>
      </c>
      <c r="H13">
        <f t="shared" si="2"/>
        <v>3.7721791833097815</v>
      </c>
      <c r="I13">
        <f t="shared" si="3"/>
        <v>3.9638480140769392</v>
      </c>
      <c r="J13">
        <f t="shared" si="4"/>
        <v>4.1920983089186485</v>
      </c>
      <c r="K13">
        <f t="shared" si="5"/>
        <v>4.4569300678349109</v>
      </c>
      <c r="L13">
        <f t="shared" si="6"/>
        <v>4.7583432908257235</v>
      </c>
      <c r="M13">
        <f t="shared" si="7"/>
        <v>5.0963379778910891</v>
      </c>
      <c r="N13">
        <f t="shared" si="8"/>
        <v>5.4709141290310068</v>
      </c>
      <c r="O13">
        <f t="shared" si="9"/>
        <v>5.8820717442454766</v>
      </c>
      <c r="P13">
        <f t="shared" si="10"/>
        <v>6.3298108235344994</v>
      </c>
      <c r="Q13">
        <f t="shared" si="11"/>
        <v>6.8141313668980725</v>
      </c>
      <c r="R13">
        <f t="shared" si="12"/>
        <v>7.3350333743361986</v>
      </c>
      <c r="S13">
        <f t="shared" si="13"/>
        <v>7.8925168458488768</v>
      </c>
      <c r="T13">
        <f t="shared" si="14"/>
        <v>8.486581781436108</v>
      </c>
      <c r="U13">
        <f t="shared" si="15"/>
        <v>9.1172281810978895</v>
      </c>
      <c r="V13">
        <f t="shared" si="16"/>
        <v>9.7844560448342239</v>
      </c>
      <c r="W13">
        <f t="shared" si="17"/>
        <v>10.488265372645111</v>
      </c>
      <c r="X13">
        <f t="shared" si="18"/>
        <v>11.228656164530546</v>
      </c>
      <c r="Y13">
        <f t="shared" si="19"/>
        <v>12.00562842049054</v>
      </c>
      <c r="Z13">
        <f t="shared" si="20"/>
        <v>12.819182140525081</v>
      </c>
      <c r="AA13">
        <f t="shared" si="21"/>
        <v>13.669317324634175</v>
      </c>
      <c r="AB13">
        <f t="shared" si="22"/>
        <v>14.556033972817822</v>
      </c>
      <c r="AC13">
        <f t="shared" si="23"/>
        <v>15.479332085076024</v>
      </c>
      <c r="AD13">
        <f t="shared" si="24"/>
        <v>16.43921166140877</v>
      </c>
      <c r="AE13">
        <f t="shared" si="25"/>
        <v>17.435672701816074</v>
      </c>
      <c r="AF13">
        <f t="shared" si="26"/>
        <v>18.468715206297929</v>
      </c>
      <c r="AG13">
        <f t="shared" si="27"/>
        <v>19.53833917485434</v>
      </c>
      <c r="AH13">
        <f t="shared" si="28"/>
        <v>20.644544607485297</v>
      </c>
      <c r="AI13">
        <f t="shared" si="29"/>
        <v>21.787331504190806</v>
      </c>
      <c r="AJ13">
        <f t="shared" si="30"/>
        <v>22.96669986497087</v>
      </c>
      <c r="AK13">
        <f t="shared" si="31"/>
        <v>24.182649689825485</v>
      </c>
      <c r="AL13">
        <f t="shared" si="32"/>
        <v>25.435180978754655</v>
      </c>
      <c r="AM13">
        <f t="shared" si="33"/>
        <v>26.724293731758376</v>
      </c>
      <c r="AN13">
        <f t="shared" si="34"/>
        <v>28.049987948836641</v>
      </c>
      <c r="AO13">
        <f t="shared" si="35"/>
        <v>29.412263629989461</v>
      </c>
      <c r="AP13">
        <f t="shared" si="36"/>
        <v>30.811120775216843</v>
      </c>
      <c r="AQ13">
        <f t="shared" si="37"/>
        <v>32.246559384518768</v>
      </c>
      <c r="AR13">
        <f t="shared" si="38"/>
        <v>33.718579457895252</v>
      </c>
      <c r="AS13">
        <f t="shared" si="39"/>
        <v>35.227180995346274</v>
      </c>
      <c r="AT13">
        <f t="shared" si="40"/>
        <v>36.77236399687186</v>
      </c>
      <c r="AU13">
        <f t="shared" si="41"/>
        <v>38.354128462471998</v>
      </c>
      <c r="AV13">
        <f t="shared" si="42"/>
        <v>39.972474392146687</v>
      </c>
      <c r="AW13">
        <f t="shared" si="43"/>
        <v>41.627401785895927</v>
      </c>
      <c r="AX13">
        <f t="shared" si="44"/>
        <v>43.318910643719711</v>
      </c>
      <c r="AY13">
        <f t="shared" si="45"/>
        <v>45.047000965618068</v>
      </c>
      <c r="AZ13">
        <f t="shared" si="46"/>
        <v>46.811672751590962</v>
      </c>
      <c r="BA13">
        <f t="shared" si="47"/>
        <v>48.612926001638399</v>
      </c>
      <c r="BB13">
        <f t="shared" si="48"/>
        <v>50.450760715760417</v>
      </c>
      <c r="BC13">
        <f t="shared" si="49"/>
        <v>52.325176893956957</v>
      </c>
      <c r="BD13">
        <f t="shared" si="50"/>
        <v>54.23617453622807</v>
      </c>
      <c r="BE13">
        <f t="shared" si="51"/>
        <v>56.18375364257372</v>
      </c>
    </row>
    <row r="14" spans="1:57">
      <c r="F14">
        <v>1</v>
      </c>
      <c r="G14">
        <f t="shared" si="1"/>
        <v>3.894252415186493</v>
      </c>
      <c r="H14">
        <f t="shared" si="2"/>
        <v>4.0667034477769635</v>
      </c>
      <c r="I14">
        <f t="shared" si="3"/>
        <v>4.275735944441986</v>
      </c>
      <c r="J14">
        <f t="shared" si="4"/>
        <v>4.5213499051815607</v>
      </c>
      <c r="K14">
        <f t="shared" si="5"/>
        <v>4.8035453299956856</v>
      </c>
      <c r="L14">
        <f t="shared" si="6"/>
        <v>5.1223222188843645</v>
      </c>
      <c r="M14">
        <f t="shared" si="7"/>
        <v>5.4776805718475945</v>
      </c>
      <c r="N14">
        <f t="shared" si="8"/>
        <v>5.8696203888853775</v>
      </c>
      <c r="O14">
        <f t="shared" si="9"/>
        <v>6.2981416699977126</v>
      </c>
      <c r="P14">
        <f t="shared" si="10"/>
        <v>6.763244415184599</v>
      </c>
      <c r="Q14">
        <f t="shared" si="11"/>
        <v>7.2649286244460383</v>
      </c>
      <c r="R14">
        <f t="shared" si="12"/>
        <v>7.8031942977820297</v>
      </c>
      <c r="S14">
        <f t="shared" si="13"/>
        <v>8.3780414351925714</v>
      </c>
      <c r="T14">
        <f t="shared" si="14"/>
        <v>8.9894700366776679</v>
      </c>
      <c r="U14">
        <f t="shared" si="15"/>
        <v>9.6374801022373138</v>
      </c>
      <c r="V14">
        <f t="shared" si="16"/>
        <v>10.322071631871513</v>
      </c>
      <c r="W14">
        <f t="shared" si="17"/>
        <v>11.043244625580265</v>
      </c>
      <c r="X14">
        <f t="shared" si="18"/>
        <v>11.800999083363566</v>
      </c>
      <c r="Y14">
        <f t="shared" si="19"/>
        <v>12.595335005221424</v>
      </c>
      <c r="Z14">
        <f t="shared" si="20"/>
        <v>13.426252391153829</v>
      </c>
      <c r="AA14">
        <f t="shared" si="21"/>
        <v>14.293751241160791</v>
      </c>
      <c r="AB14">
        <f t="shared" si="22"/>
        <v>15.197831555242301</v>
      </c>
      <c r="AC14">
        <f t="shared" si="23"/>
        <v>16.138493333398365</v>
      </c>
      <c r="AD14">
        <f t="shared" si="24"/>
        <v>17.115736575628979</v>
      </c>
      <c r="AE14">
        <f t="shared" si="25"/>
        <v>18.129561281934148</v>
      </c>
      <c r="AF14">
        <f t="shared" si="26"/>
        <v>19.179967452313868</v>
      </c>
      <c r="AG14">
        <f t="shared" si="27"/>
        <v>20.266955086768139</v>
      </c>
      <c r="AH14">
        <f t="shared" si="28"/>
        <v>21.390524185296961</v>
      </c>
      <c r="AI14">
        <f t="shared" si="29"/>
        <v>22.550674747900334</v>
      </c>
      <c r="AJ14">
        <f t="shared" si="30"/>
        <v>23.747406774578266</v>
      </c>
      <c r="AK14">
        <f t="shared" si="31"/>
        <v>24.980720265330746</v>
      </c>
      <c r="AL14">
        <f t="shared" si="32"/>
        <v>26.250615220157776</v>
      </c>
      <c r="AM14">
        <f t="shared" si="33"/>
        <v>27.557091639059365</v>
      </c>
      <c r="AN14">
        <f t="shared" si="34"/>
        <v>28.900149522035495</v>
      </c>
      <c r="AO14">
        <f t="shared" si="35"/>
        <v>30.279788869086183</v>
      </c>
      <c r="AP14">
        <f t="shared" si="36"/>
        <v>31.696009680211425</v>
      </c>
      <c r="AQ14">
        <f t="shared" si="37"/>
        <v>33.148811955411219</v>
      </c>
      <c r="AR14">
        <f t="shared" si="38"/>
        <v>34.638195694685564</v>
      </c>
      <c r="AS14">
        <f t="shared" si="39"/>
        <v>36.16416089803446</v>
      </c>
      <c r="AT14">
        <f t="shared" si="40"/>
        <v>37.726707565457907</v>
      </c>
      <c r="AU14">
        <f t="shared" si="41"/>
        <v>39.325835696955906</v>
      </c>
      <c r="AV14">
        <f t="shared" si="42"/>
        <v>40.961545292528456</v>
      </c>
      <c r="AW14">
        <f t="shared" si="43"/>
        <v>42.633836352175564</v>
      </c>
      <c r="AX14">
        <f t="shared" si="44"/>
        <v>44.342708875897216</v>
      </c>
      <c r="AY14">
        <f t="shared" si="45"/>
        <v>46.088162863693441</v>
      </c>
      <c r="AZ14">
        <f t="shared" si="46"/>
        <v>47.870198315564188</v>
      </c>
      <c r="BA14">
        <f t="shared" si="47"/>
        <v>49.688815231509494</v>
      </c>
      <c r="BB14">
        <f t="shared" si="48"/>
        <v>51.54401361152938</v>
      </c>
      <c r="BC14">
        <f t="shared" si="49"/>
        <v>53.435793455623781</v>
      </c>
      <c r="BD14">
        <f t="shared" si="50"/>
        <v>55.364154763792769</v>
      </c>
      <c r="BE14">
        <f t="shared" si="51"/>
        <v>57.329097536036279</v>
      </c>
    </row>
    <row r="15" spans="1:57">
      <c r="F15">
        <v>1.2</v>
      </c>
      <c r="G15">
        <f t="shared" si="1"/>
        <v>4.207985091845039</v>
      </c>
      <c r="H15">
        <f t="shared" si="2"/>
        <v>4.3977997903333739</v>
      </c>
      <c r="I15">
        <f t="shared" si="3"/>
        <v>4.6241959528962617</v>
      </c>
      <c r="J15">
        <f t="shared" si="4"/>
        <v>4.8871735795337008</v>
      </c>
      <c r="K15">
        <f t="shared" si="5"/>
        <v>5.186732670245692</v>
      </c>
      <c r="L15">
        <f t="shared" si="6"/>
        <v>5.5228732250322352</v>
      </c>
      <c r="M15">
        <f t="shared" si="7"/>
        <v>5.8955952438933297</v>
      </c>
      <c r="N15">
        <f t="shared" si="8"/>
        <v>6.3048987268289771</v>
      </c>
      <c r="O15">
        <f t="shared" si="9"/>
        <v>6.7507836738391775</v>
      </c>
      <c r="P15">
        <f t="shared" si="10"/>
        <v>7.2332500849239292</v>
      </c>
      <c r="Q15">
        <f t="shared" si="11"/>
        <v>7.7522979600832329</v>
      </c>
      <c r="R15">
        <f t="shared" si="12"/>
        <v>8.3079272993170896</v>
      </c>
      <c r="S15">
        <f t="shared" si="13"/>
        <v>8.9001381026254958</v>
      </c>
      <c r="T15">
        <f t="shared" si="14"/>
        <v>9.5289303700084567</v>
      </c>
      <c r="U15">
        <f t="shared" si="15"/>
        <v>10.194304101465967</v>
      </c>
      <c r="V15">
        <f t="shared" si="16"/>
        <v>10.896259296998032</v>
      </c>
      <c r="W15">
        <f t="shared" si="17"/>
        <v>11.63479595660465</v>
      </c>
      <c r="X15">
        <f t="shared" si="18"/>
        <v>12.409914080285816</v>
      </c>
      <c r="Y15">
        <f t="shared" si="19"/>
        <v>13.221613668041538</v>
      </c>
      <c r="Z15">
        <f t="shared" si="20"/>
        <v>14.069894719871808</v>
      </c>
      <c r="AA15">
        <f t="shared" si="21"/>
        <v>14.954757235776633</v>
      </c>
      <c r="AB15">
        <f t="shared" si="22"/>
        <v>15.87620121575601</v>
      </c>
      <c r="AC15">
        <f t="shared" si="23"/>
        <v>16.834226659809943</v>
      </c>
      <c r="AD15">
        <f t="shared" si="24"/>
        <v>17.828833567938418</v>
      </c>
      <c r="AE15">
        <f t="shared" si="25"/>
        <v>18.860021940141451</v>
      </c>
      <c r="AF15">
        <f t="shared" si="26"/>
        <v>19.927791776419035</v>
      </c>
      <c r="AG15">
        <f t="shared" si="27"/>
        <v>21.032143076771174</v>
      </c>
      <c r="AH15">
        <f t="shared" si="28"/>
        <v>22.173075841197864</v>
      </c>
      <c r="AI15">
        <f t="shared" si="29"/>
        <v>23.350590069699098</v>
      </c>
      <c r="AJ15">
        <f t="shared" si="30"/>
        <v>24.564685762274895</v>
      </c>
      <c r="AK15">
        <f t="shared" si="31"/>
        <v>25.815362918925238</v>
      </c>
      <c r="AL15">
        <f t="shared" si="32"/>
        <v>27.102621539650137</v>
      </c>
      <c r="AM15">
        <f t="shared" si="33"/>
        <v>28.42646162444959</v>
      </c>
      <c r="AN15">
        <f t="shared" si="34"/>
        <v>29.786883173323581</v>
      </c>
      <c r="AO15">
        <f t="shared" si="35"/>
        <v>31.18388618627214</v>
      </c>
      <c r="AP15">
        <f t="shared" si="36"/>
        <v>32.617470663295244</v>
      </c>
      <c r="AQ15">
        <f t="shared" si="37"/>
        <v>34.087636604392905</v>
      </c>
      <c r="AR15">
        <f t="shared" si="38"/>
        <v>35.594384009565118</v>
      </c>
      <c r="AS15">
        <f t="shared" si="39"/>
        <v>37.137712878811868</v>
      </c>
      <c r="AT15">
        <f t="shared" si="40"/>
        <v>38.717623212133184</v>
      </c>
      <c r="AU15">
        <f t="shared" si="41"/>
        <v>40.33411500952905</v>
      </c>
      <c r="AV15">
        <f t="shared" si="42"/>
        <v>41.987188270999461</v>
      </c>
      <c r="AW15">
        <f t="shared" si="43"/>
        <v>43.676842996544437</v>
      </c>
      <c r="AX15">
        <f t="shared" si="44"/>
        <v>45.40307918616395</v>
      </c>
      <c r="AY15">
        <f t="shared" si="45"/>
        <v>47.165896839858036</v>
      </c>
      <c r="AZ15">
        <f t="shared" si="46"/>
        <v>48.965295957626651</v>
      </c>
      <c r="BA15">
        <f t="shared" si="47"/>
        <v>50.801276539469825</v>
      </c>
      <c r="BB15">
        <f t="shared" si="48"/>
        <v>52.673838585387571</v>
      </c>
      <c r="BC15">
        <f t="shared" si="49"/>
        <v>54.58298209537984</v>
      </c>
      <c r="BD15">
        <f t="shared" si="50"/>
        <v>56.528707069446689</v>
      </c>
      <c r="BE15">
        <f t="shared" si="51"/>
        <v>58.511013507588068</v>
      </c>
    </row>
    <row r="16" spans="1:57">
      <c r="F16">
        <v>1.4</v>
      </c>
      <c r="G16">
        <f t="shared" si="1"/>
        <v>4.5582898465928157</v>
      </c>
      <c r="H16">
        <f t="shared" si="2"/>
        <v>4.7654682109790159</v>
      </c>
      <c r="I16">
        <f t="shared" si="3"/>
        <v>5.0092280394397681</v>
      </c>
      <c r="J16">
        <f t="shared" si="4"/>
        <v>5.2895693319750734</v>
      </c>
      <c r="K16">
        <f t="shared" si="5"/>
        <v>5.6064920885849281</v>
      </c>
      <c r="L16">
        <f t="shared" si="6"/>
        <v>5.9599963092693358</v>
      </c>
      <c r="M16">
        <f t="shared" si="7"/>
        <v>6.3500819940282964</v>
      </c>
      <c r="N16">
        <f t="shared" si="8"/>
        <v>6.7767491428618083</v>
      </c>
      <c r="O16">
        <f t="shared" si="9"/>
        <v>7.239997755769874</v>
      </c>
      <c r="P16">
        <f t="shared" si="10"/>
        <v>7.7398278327524901</v>
      </c>
      <c r="Q16">
        <f t="shared" si="11"/>
        <v>8.2762393738096591</v>
      </c>
      <c r="R16">
        <f t="shared" si="12"/>
        <v>8.8492323789413803</v>
      </c>
      <c r="S16">
        <f t="shared" si="13"/>
        <v>9.4588068481476508</v>
      </c>
      <c r="T16">
        <f t="shared" si="14"/>
        <v>10.104962781428478</v>
      </c>
      <c r="U16">
        <f t="shared" si="15"/>
        <v>10.787700178783853</v>
      </c>
      <c r="V16">
        <f t="shared" si="16"/>
        <v>11.507019040213782</v>
      </c>
      <c r="W16">
        <f t="shared" si="17"/>
        <v>12.262919365718263</v>
      </c>
      <c r="X16">
        <f t="shared" si="18"/>
        <v>13.055401155297295</v>
      </c>
      <c r="Y16">
        <f t="shared" si="19"/>
        <v>13.884464408950882</v>
      </c>
      <c r="Z16">
        <f t="shared" si="20"/>
        <v>14.750109126679018</v>
      </c>
      <c r="AA16">
        <f t="shared" si="21"/>
        <v>15.652335308481707</v>
      </c>
      <c r="AB16">
        <f t="shared" si="22"/>
        <v>16.591142954358947</v>
      </c>
      <c r="AC16">
        <f t="shared" si="23"/>
        <v>17.566532064310742</v>
      </c>
      <c r="AD16">
        <f t="shared" si="24"/>
        <v>18.578502638337085</v>
      </c>
      <c r="AE16">
        <f t="shared" si="25"/>
        <v>19.627054676437982</v>
      </c>
      <c r="AF16">
        <f t="shared" si="26"/>
        <v>20.712188178613435</v>
      </c>
      <c r="AG16">
        <f t="shared" si="27"/>
        <v>21.833903144863438</v>
      </c>
      <c r="AH16">
        <f t="shared" si="28"/>
        <v>22.992199575187989</v>
      </c>
      <c r="AI16">
        <f t="shared" si="29"/>
        <v>24.187077469587091</v>
      </c>
      <c r="AJ16">
        <f t="shared" si="30"/>
        <v>25.418536828060752</v>
      </c>
      <c r="AK16">
        <f t="shared" si="31"/>
        <v>26.686577650608964</v>
      </c>
      <c r="AL16">
        <f t="shared" si="32"/>
        <v>27.991199937231727</v>
      </c>
      <c r="AM16">
        <f t="shared" si="33"/>
        <v>29.332403687929041</v>
      </c>
      <c r="AN16">
        <f t="shared" si="34"/>
        <v>30.710188902700899</v>
      </c>
      <c r="AO16">
        <f t="shared" si="35"/>
        <v>32.12455558154732</v>
      </c>
      <c r="AP16">
        <f t="shared" si="36"/>
        <v>33.575503724468291</v>
      </c>
      <c r="AQ16">
        <f t="shared" si="37"/>
        <v>35.063033331463814</v>
      </c>
      <c r="AR16">
        <f t="shared" si="38"/>
        <v>36.587144402533887</v>
      </c>
      <c r="AS16">
        <f t="shared" si="39"/>
        <v>38.147836937678505</v>
      </c>
      <c r="AT16">
        <f t="shared" si="40"/>
        <v>39.745110936897689</v>
      </c>
      <c r="AU16">
        <f t="shared" si="41"/>
        <v>41.378966400191423</v>
      </c>
      <c r="AV16">
        <f t="shared" si="42"/>
        <v>43.049403327559702</v>
      </c>
      <c r="AW16">
        <f t="shared" si="43"/>
        <v>44.756421719002539</v>
      </c>
      <c r="AX16">
        <f t="shared" si="44"/>
        <v>46.500021574519927</v>
      </c>
      <c r="AY16">
        <f t="shared" si="45"/>
        <v>48.280202894111866</v>
      </c>
      <c r="AZ16">
        <f t="shared" si="46"/>
        <v>50.096965677778357</v>
      </c>
      <c r="BA16">
        <f t="shared" si="47"/>
        <v>51.950309925519392</v>
      </c>
      <c r="BB16">
        <f t="shared" si="48"/>
        <v>53.840235637334999</v>
      </c>
      <c r="BC16">
        <f t="shared" si="49"/>
        <v>55.766742813225136</v>
      </c>
      <c r="BD16">
        <f t="shared" si="50"/>
        <v>57.729831453189853</v>
      </c>
      <c r="BE16">
        <f t="shared" si="51"/>
        <v>59.729501557229085</v>
      </c>
    </row>
    <row r="17" spans="6:57">
      <c r="F17">
        <v>1.6</v>
      </c>
      <c r="G17">
        <f t="shared" si="1"/>
        <v>4.9451666794298212</v>
      </c>
      <c r="H17">
        <f t="shared" si="2"/>
        <v>5.1697087097138859</v>
      </c>
      <c r="I17">
        <f t="shared" si="3"/>
        <v>5.4308322040725043</v>
      </c>
      <c r="J17">
        <f t="shared" si="4"/>
        <v>5.7285371625056731</v>
      </c>
      <c r="K17">
        <f t="shared" si="5"/>
        <v>6.0628235850133931</v>
      </c>
      <c r="L17">
        <f t="shared" si="6"/>
        <v>6.4336914715956661</v>
      </c>
      <c r="M17">
        <f t="shared" si="7"/>
        <v>6.8411408222524912</v>
      </c>
      <c r="N17">
        <f t="shared" si="8"/>
        <v>7.2851716369838684</v>
      </c>
      <c r="O17">
        <f t="shared" si="9"/>
        <v>7.7657839157897985</v>
      </c>
      <c r="P17">
        <f t="shared" si="10"/>
        <v>8.2829776586702799</v>
      </c>
      <c r="Q17">
        <f t="shared" si="11"/>
        <v>8.8367528656253125</v>
      </c>
      <c r="R17">
        <f t="shared" si="12"/>
        <v>9.427109536654898</v>
      </c>
      <c r="S17">
        <f t="shared" si="13"/>
        <v>10.054047671759037</v>
      </c>
      <c r="T17">
        <f t="shared" si="14"/>
        <v>10.717567270937725</v>
      </c>
      <c r="U17">
        <f t="shared" si="15"/>
        <v>11.417668334190967</v>
      </c>
      <c r="V17">
        <f t="shared" si="16"/>
        <v>12.154350861518761</v>
      </c>
      <c r="W17">
        <f t="shared" si="17"/>
        <v>12.927614852921108</v>
      </c>
      <c r="X17">
        <f t="shared" si="18"/>
        <v>13.737460308398004</v>
      </c>
      <c r="Y17">
        <f t="shared" si="19"/>
        <v>14.583887227949456</v>
      </c>
      <c r="Z17">
        <f t="shared" si="20"/>
        <v>15.466895611575454</v>
      </c>
      <c r="AA17">
        <f t="shared" si="21"/>
        <v>16.386485459276013</v>
      </c>
      <c r="AB17">
        <f t="shared" si="22"/>
        <v>17.342656771051118</v>
      </c>
      <c r="AC17">
        <f t="shared" si="23"/>
        <v>18.335409546900777</v>
      </c>
      <c r="AD17">
        <f t="shared" si="24"/>
        <v>19.364743786824985</v>
      </c>
      <c r="AE17">
        <f t="shared" si="25"/>
        <v>20.430659490823746</v>
      </c>
      <c r="AF17">
        <f t="shared" si="26"/>
        <v>21.53315665889706</v>
      </c>
      <c r="AG17">
        <f t="shared" si="27"/>
        <v>22.672235291044931</v>
      </c>
      <c r="AH17">
        <f t="shared" si="28"/>
        <v>23.847895387267346</v>
      </c>
      <c r="AI17">
        <f t="shared" si="29"/>
        <v>25.060136947564313</v>
      </c>
      <c r="AJ17">
        <f t="shared" si="30"/>
        <v>26.308959971935838</v>
      </c>
      <c r="AK17">
        <f t="shared" si="31"/>
        <v>27.594364460381911</v>
      </c>
      <c r="AL17">
        <f t="shared" si="32"/>
        <v>28.916350412902545</v>
      </c>
      <c r="AM17">
        <f t="shared" si="33"/>
        <v>30.274917829497724</v>
      </c>
      <c r="AN17">
        <f t="shared" si="34"/>
        <v>31.670066710167447</v>
      </c>
      <c r="AO17">
        <f t="shared" si="35"/>
        <v>33.101797054911728</v>
      </c>
      <c r="AP17">
        <f t="shared" si="36"/>
        <v>34.570108863730567</v>
      </c>
      <c r="AQ17">
        <f t="shared" si="37"/>
        <v>36.075002136623958</v>
      </c>
      <c r="AR17">
        <f t="shared" si="38"/>
        <v>37.616476873591893</v>
      </c>
      <c r="AS17">
        <f t="shared" si="39"/>
        <v>39.194533074634379</v>
      </c>
      <c r="AT17">
        <f t="shared" si="40"/>
        <v>40.809170739751423</v>
      </c>
      <c r="AU17">
        <f t="shared" si="41"/>
        <v>42.460389868943018</v>
      </c>
      <c r="AV17">
        <f t="shared" si="42"/>
        <v>44.148190462209165</v>
      </c>
      <c r="AW17">
        <f t="shared" si="43"/>
        <v>45.87257251954987</v>
      </c>
      <c r="AX17">
        <f t="shared" si="44"/>
        <v>47.633536040965112</v>
      </c>
      <c r="AY17">
        <f t="shared" si="45"/>
        <v>49.431081026454926</v>
      </c>
      <c r="AZ17">
        <f t="shared" si="46"/>
        <v>51.265207476019278</v>
      </c>
      <c r="BA17">
        <f t="shared" si="47"/>
        <v>53.135915389658173</v>
      </c>
      <c r="BB17">
        <f t="shared" si="48"/>
        <v>55.043204767371648</v>
      </c>
      <c r="BC17">
        <f t="shared" si="49"/>
        <v>56.987075609159653</v>
      </c>
      <c r="BD17">
        <f t="shared" si="50"/>
        <v>58.967527915022231</v>
      </c>
      <c r="BE17">
        <f t="shared" si="51"/>
        <v>60.984561684959331</v>
      </c>
    </row>
    <row r="18" spans="6:57">
      <c r="F18">
        <v>1.8</v>
      </c>
      <c r="G18">
        <f t="shared" si="1"/>
        <v>5.3686155903560575</v>
      </c>
      <c r="H18">
        <f t="shared" si="2"/>
        <v>5.6105212865379874</v>
      </c>
      <c r="I18">
        <f t="shared" si="3"/>
        <v>5.8890084467944694</v>
      </c>
      <c r="J18">
        <f t="shared" si="4"/>
        <v>6.2040770711255027</v>
      </c>
      <c r="K18">
        <f t="shared" si="5"/>
        <v>6.5557271595310889</v>
      </c>
      <c r="L18">
        <f t="shared" si="6"/>
        <v>6.9439587120112263</v>
      </c>
      <c r="M18">
        <f t="shared" si="7"/>
        <v>7.3687717285659167</v>
      </c>
      <c r="N18">
        <f t="shared" si="8"/>
        <v>7.8301662091951574</v>
      </c>
      <c r="O18">
        <f t="shared" si="9"/>
        <v>8.328142153898952</v>
      </c>
      <c r="P18">
        <f t="shared" si="10"/>
        <v>8.8626995626772995</v>
      </c>
      <c r="Q18">
        <f t="shared" si="11"/>
        <v>9.4338384355301965</v>
      </c>
      <c r="R18">
        <f t="shared" si="12"/>
        <v>10.041558772457648</v>
      </c>
      <c r="S18">
        <f t="shared" si="13"/>
        <v>10.685860573459649</v>
      </c>
      <c r="T18">
        <f t="shared" si="14"/>
        <v>11.366743838536204</v>
      </c>
      <c r="U18">
        <f t="shared" si="15"/>
        <v>12.084208567687309</v>
      </c>
      <c r="V18">
        <f t="shared" si="16"/>
        <v>12.838254760912969</v>
      </c>
      <c r="W18">
        <f t="shared" si="17"/>
        <v>13.62888241821318</v>
      </c>
      <c r="X18">
        <f t="shared" si="18"/>
        <v>14.456091539587941</v>
      </c>
      <c r="Y18">
        <f t="shared" si="19"/>
        <v>15.319882125037257</v>
      </c>
      <c r="Z18">
        <f t="shared" si="20"/>
        <v>16.220254174561124</v>
      </c>
      <c r="AA18">
        <f t="shared" si="21"/>
        <v>17.157207688159541</v>
      </c>
      <c r="AB18">
        <f t="shared" si="22"/>
        <v>18.130742665832514</v>
      </c>
      <c r="AC18">
        <f t="shared" si="23"/>
        <v>19.140859107580038</v>
      </c>
      <c r="AD18">
        <f t="shared" si="24"/>
        <v>20.187557013402106</v>
      </c>
      <c r="AE18">
        <f t="shared" si="25"/>
        <v>21.270836383298739</v>
      </c>
      <c r="AF18">
        <f t="shared" si="26"/>
        <v>22.390697217269917</v>
      </c>
      <c r="AG18">
        <f t="shared" si="27"/>
        <v>23.547139515315649</v>
      </c>
      <c r="AH18">
        <f t="shared" si="28"/>
        <v>24.740163277435933</v>
      </c>
      <c r="AI18">
        <f t="shared" si="29"/>
        <v>25.969768503630767</v>
      </c>
      <c r="AJ18">
        <f t="shared" si="30"/>
        <v>27.235955193900157</v>
      </c>
      <c r="AK18">
        <f t="shared" si="31"/>
        <v>28.538723348244094</v>
      </c>
      <c r="AL18">
        <f t="shared" si="32"/>
        <v>29.878072966662586</v>
      </c>
      <c r="AM18">
        <f t="shared" si="33"/>
        <v>31.254004049155633</v>
      </c>
      <c r="AN18">
        <f t="shared" si="34"/>
        <v>32.666516595723223</v>
      </c>
      <c r="AO18">
        <f t="shared" si="35"/>
        <v>34.115610606365365</v>
      </c>
      <c r="AP18">
        <f t="shared" si="36"/>
        <v>35.601286081082073</v>
      </c>
      <c r="AQ18">
        <f t="shared" si="37"/>
        <v>37.123543019873324</v>
      </c>
      <c r="AR18">
        <f t="shared" si="38"/>
        <v>38.682381422739127</v>
      </c>
      <c r="AS18">
        <f t="shared" si="39"/>
        <v>40.277801289679481</v>
      </c>
      <c r="AT18">
        <f t="shared" si="40"/>
        <v>41.909802620694386</v>
      </c>
      <c r="AU18">
        <f t="shared" si="41"/>
        <v>43.578385415783849</v>
      </c>
      <c r="AV18">
        <f t="shared" si="42"/>
        <v>45.283549674947864</v>
      </c>
      <c r="AW18">
        <f t="shared" si="43"/>
        <v>47.025295398186422</v>
      </c>
      <c r="AX18">
        <f t="shared" si="44"/>
        <v>48.803622585499539</v>
      </c>
      <c r="AY18">
        <f t="shared" si="45"/>
        <v>50.618531236887222</v>
      </c>
      <c r="AZ18">
        <f t="shared" si="46"/>
        <v>52.470021352349434</v>
      </c>
      <c r="BA18">
        <f t="shared" si="47"/>
        <v>54.358092931886191</v>
      </c>
      <c r="BB18">
        <f t="shared" si="48"/>
        <v>56.282745975497534</v>
      </c>
      <c r="BC18">
        <f t="shared" si="49"/>
        <v>58.243980483183407</v>
      </c>
      <c r="BD18">
        <f t="shared" si="50"/>
        <v>60.241796454943838</v>
      </c>
      <c r="BE18">
        <f t="shared" si="51"/>
        <v>62.276193890778814</v>
      </c>
    </row>
    <row r="19" spans="6:57">
      <c r="F19">
        <v>2</v>
      </c>
      <c r="G19">
        <f t="shared" si="1"/>
        <v>5.8286365793715236</v>
      </c>
      <c r="H19">
        <f t="shared" si="2"/>
        <v>6.0879059414513179</v>
      </c>
      <c r="I19">
        <f t="shared" si="3"/>
        <v>6.3837567676056652</v>
      </c>
      <c r="J19">
        <f t="shared" si="4"/>
        <v>6.7161890578345638</v>
      </c>
      <c r="K19">
        <f t="shared" si="5"/>
        <v>7.0852028121380135</v>
      </c>
      <c r="L19">
        <f t="shared" si="6"/>
        <v>7.4907980305160162</v>
      </c>
      <c r="M19">
        <f t="shared" si="7"/>
        <v>7.932974712968571</v>
      </c>
      <c r="N19">
        <f t="shared" si="8"/>
        <v>8.4117328594956788</v>
      </c>
      <c r="O19">
        <f t="shared" si="9"/>
        <v>8.9270724700973378</v>
      </c>
      <c r="P19">
        <f t="shared" si="10"/>
        <v>9.4789935447735498</v>
      </c>
      <c r="Q19">
        <f t="shared" si="11"/>
        <v>10.067496083524311</v>
      </c>
      <c r="R19">
        <f t="shared" si="12"/>
        <v>10.692580086349626</v>
      </c>
      <c r="S19">
        <f t="shared" si="13"/>
        <v>11.354245553249495</v>
      </c>
      <c r="T19">
        <f t="shared" si="14"/>
        <v>12.052492484223915</v>
      </c>
      <c r="U19">
        <f t="shared" si="15"/>
        <v>12.787320879272883</v>
      </c>
      <c r="V19">
        <f t="shared" si="16"/>
        <v>13.558730738396408</v>
      </c>
      <c r="W19">
        <f t="shared" si="17"/>
        <v>14.366722061594484</v>
      </c>
      <c r="X19">
        <f t="shared" si="18"/>
        <v>15.211294848867109</v>
      </c>
      <c r="Y19">
        <f t="shared" si="19"/>
        <v>16.092449100214289</v>
      </c>
      <c r="Z19">
        <f t="shared" si="20"/>
        <v>17.010184815636023</v>
      </c>
      <c r="AA19">
        <f t="shared" si="21"/>
        <v>17.964501995132306</v>
      </c>
      <c r="AB19">
        <f t="shared" si="22"/>
        <v>18.955400638703139</v>
      </c>
      <c r="AC19">
        <f t="shared" si="23"/>
        <v>19.982880746348531</v>
      </c>
      <c r="AD19">
        <f t="shared" si="24"/>
        <v>21.046942318068467</v>
      </c>
      <c r="AE19">
        <f t="shared" si="25"/>
        <v>22.147585353862961</v>
      </c>
      <c r="AF19">
        <f t="shared" si="26"/>
        <v>23.284809853732007</v>
      </c>
      <c r="AG19">
        <f t="shared" si="27"/>
        <v>24.4586158176756</v>
      </c>
      <c r="AH19">
        <f t="shared" si="28"/>
        <v>25.669003245693755</v>
      </c>
      <c r="AI19">
        <f t="shared" si="29"/>
        <v>26.915972137786447</v>
      </c>
      <c r="AJ19">
        <f t="shared" si="30"/>
        <v>28.199522493953701</v>
      </c>
      <c r="AK19">
        <f t="shared" si="31"/>
        <v>29.519654314195506</v>
      </c>
      <c r="AL19">
        <f t="shared" si="32"/>
        <v>30.876367598511862</v>
      </c>
      <c r="AM19">
        <f t="shared" si="33"/>
        <v>32.269662346902777</v>
      </c>
      <c r="AN19">
        <f t="shared" si="34"/>
        <v>33.699538559368229</v>
      </c>
      <c r="AO19">
        <f t="shared" si="35"/>
        <v>35.165996235908239</v>
      </c>
      <c r="AP19">
        <f t="shared" si="36"/>
        <v>36.669035376522807</v>
      </c>
      <c r="AQ19">
        <f t="shared" si="37"/>
        <v>38.208655981211926</v>
      </c>
      <c r="AR19">
        <f t="shared" si="38"/>
        <v>39.784858049975597</v>
      </c>
      <c r="AS19">
        <f t="shared" si="39"/>
        <v>41.397641582813812</v>
      </c>
      <c r="AT19">
        <f t="shared" si="40"/>
        <v>43.047006579726585</v>
      </c>
      <c r="AU19">
        <f t="shared" si="41"/>
        <v>44.732953040713909</v>
      </c>
      <c r="AV19">
        <f t="shared" si="42"/>
        <v>46.455480965775784</v>
      </c>
      <c r="AW19">
        <f t="shared" si="43"/>
        <v>48.214590354912218</v>
      </c>
      <c r="AX19">
        <f t="shared" si="44"/>
        <v>50.010281208123196</v>
      </c>
      <c r="AY19">
        <f t="shared" si="45"/>
        <v>51.842553525408739</v>
      </c>
      <c r="AZ19">
        <f t="shared" si="46"/>
        <v>53.711407306768812</v>
      </c>
      <c r="BA19">
        <f t="shared" si="47"/>
        <v>55.616842552203451</v>
      </c>
      <c r="BB19">
        <f t="shared" si="48"/>
        <v>57.558859261712655</v>
      </c>
      <c r="BC19">
        <f t="shared" si="49"/>
        <v>59.537457435296389</v>
      </c>
      <c r="BD19">
        <f t="shared" si="50"/>
        <v>61.552637072954688</v>
      </c>
      <c r="BE19">
        <f t="shared" si="51"/>
        <v>63.604398174687525</v>
      </c>
    </row>
    <row r="20" spans="6:57">
      <c r="F20">
        <v>2.2000000000000002</v>
      </c>
      <c r="G20">
        <f t="shared" si="1"/>
        <v>6.3252296464762185</v>
      </c>
      <c r="H20">
        <f t="shared" si="2"/>
        <v>6.6018626744538782</v>
      </c>
      <c r="I20">
        <f t="shared" si="3"/>
        <v>6.9150771665060891</v>
      </c>
      <c r="J20">
        <f t="shared" si="4"/>
        <v>7.264873122632852</v>
      </c>
      <c r="K20">
        <f t="shared" si="5"/>
        <v>7.6512505428341688</v>
      </c>
      <c r="L20">
        <f t="shared" si="6"/>
        <v>8.074209427110036</v>
      </c>
      <c r="M20">
        <f t="shared" si="7"/>
        <v>8.5337497754604552</v>
      </c>
      <c r="N20">
        <f t="shared" si="8"/>
        <v>9.0298715878854274</v>
      </c>
      <c r="O20">
        <f t="shared" si="9"/>
        <v>9.5625748643849509</v>
      </c>
      <c r="P20">
        <f t="shared" si="10"/>
        <v>10.131859604959027</v>
      </c>
      <c r="Q20">
        <f t="shared" si="11"/>
        <v>10.737725809607655</v>
      </c>
      <c r="R20">
        <f t="shared" si="12"/>
        <v>11.380173478330835</v>
      </c>
      <c r="S20">
        <f t="shared" si="13"/>
        <v>12.059202611128566</v>
      </c>
      <c r="T20">
        <f t="shared" si="14"/>
        <v>12.774813208000854</v>
      </c>
      <c r="U20">
        <f t="shared" si="15"/>
        <v>13.527005268947686</v>
      </c>
      <c r="V20">
        <f t="shared" si="16"/>
        <v>14.315778793969075</v>
      </c>
      <c r="W20">
        <f t="shared" si="17"/>
        <v>15.141133783065015</v>
      </c>
      <c r="X20">
        <f t="shared" si="18"/>
        <v>16.003070236235505</v>
      </c>
      <c r="Y20">
        <f t="shared" si="19"/>
        <v>16.901588153480553</v>
      </c>
      <c r="Z20">
        <f t="shared" si="20"/>
        <v>17.836687534800145</v>
      </c>
      <c r="AA20">
        <f t="shared" si="21"/>
        <v>18.808368380194299</v>
      </c>
      <c r="AB20">
        <f t="shared" si="22"/>
        <v>19.816630689662997</v>
      </c>
      <c r="AC20">
        <f t="shared" si="23"/>
        <v>20.861474463206253</v>
      </c>
      <c r="AD20">
        <f t="shared" si="24"/>
        <v>21.942899700824054</v>
      </c>
      <c r="AE20">
        <f t="shared" si="25"/>
        <v>23.060906402516409</v>
      </c>
      <c r="AF20">
        <f t="shared" si="26"/>
        <v>24.215494568283319</v>
      </c>
      <c r="AG20">
        <f t="shared" si="27"/>
        <v>25.40666419812478</v>
      </c>
      <c r="AH20">
        <f t="shared" si="28"/>
        <v>26.634415292040796</v>
      </c>
      <c r="AI20">
        <f t="shared" si="29"/>
        <v>27.898747850031356</v>
      </c>
      <c r="AJ20">
        <f t="shared" si="30"/>
        <v>29.199661872096478</v>
      </c>
      <c r="AK20">
        <f t="shared" si="31"/>
        <v>30.537157358236144</v>
      </c>
      <c r="AL20">
        <f t="shared" si="32"/>
        <v>31.911234308450368</v>
      </c>
      <c r="AM20">
        <f t="shared" si="33"/>
        <v>33.321892722739143</v>
      </c>
      <c r="AN20">
        <f t="shared" si="34"/>
        <v>34.769132601102463</v>
      </c>
      <c r="AO20">
        <f t="shared" si="35"/>
        <v>36.252953943540341</v>
      </c>
      <c r="AP20">
        <f t="shared" si="36"/>
        <v>37.77335675005277</v>
      </c>
      <c r="AQ20">
        <f t="shared" si="37"/>
        <v>39.33034102063975</v>
      </c>
      <c r="AR20">
        <f t="shared" si="38"/>
        <v>40.923906755301296</v>
      </c>
      <c r="AS20">
        <f t="shared" si="39"/>
        <v>42.554053954037371</v>
      </c>
      <c r="AT20">
        <f t="shared" si="40"/>
        <v>44.220782616848012</v>
      </c>
      <c r="AU20">
        <f t="shared" si="41"/>
        <v>45.924092743733205</v>
      </c>
      <c r="AV20">
        <f t="shared" si="42"/>
        <v>47.663984334692934</v>
      </c>
      <c r="AW20">
        <f t="shared" si="43"/>
        <v>49.440457389727236</v>
      </c>
      <c r="AX20">
        <f t="shared" si="44"/>
        <v>51.253511908836082</v>
      </c>
      <c r="AY20">
        <f t="shared" si="45"/>
        <v>53.103147892019493</v>
      </c>
      <c r="AZ20">
        <f t="shared" si="46"/>
        <v>54.989365339277427</v>
      </c>
      <c r="BA20">
        <f t="shared" si="47"/>
        <v>56.912164250609926</v>
      </c>
      <c r="BB20">
        <f t="shared" si="48"/>
        <v>58.871544626016998</v>
      </c>
      <c r="BC20">
        <f t="shared" si="49"/>
        <v>60.867506465498593</v>
      </c>
      <c r="BD20">
        <f t="shared" si="50"/>
        <v>62.90004976905476</v>
      </c>
      <c r="BE20">
        <f t="shared" si="51"/>
        <v>64.969174536685472</v>
      </c>
    </row>
    <row r="21" spans="6:57">
      <c r="F21">
        <v>2.4</v>
      </c>
      <c r="G21">
        <f t="shared" si="1"/>
        <v>6.8583947916701433</v>
      </c>
      <c r="H21">
        <f t="shared" si="2"/>
        <v>7.1523914855456683</v>
      </c>
      <c r="I21">
        <f t="shared" si="3"/>
        <v>7.4829696434957444</v>
      </c>
      <c r="J21">
        <f t="shared" si="4"/>
        <v>7.8501292655203736</v>
      </c>
      <c r="K21">
        <f t="shared" si="5"/>
        <v>8.253870351619554</v>
      </c>
      <c r="L21">
        <f t="shared" si="6"/>
        <v>8.6941929017932864</v>
      </c>
      <c r="M21">
        <f t="shared" si="7"/>
        <v>9.1710969160415701</v>
      </c>
      <c r="N21">
        <f t="shared" si="8"/>
        <v>9.6845823943644067</v>
      </c>
      <c r="O21">
        <f t="shared" si="9"/>
        <v>10.234649336761796</v>
      </c>
      <c r="P21">
        <f t="shared" si="10"/>
        <v>10.821297743233735</v>
      </c>
      <c r="Q21">
        <f t="shared" si="11"/>
        <v>11.444527613780229</v>
      </c>
      <c r="R21">
        <f t="shared" si="12"/>
        <v>12.104338948401274</v>
      </c>
      <c r="S21">
        <f t="shared" si="13"/>
        <v>12.800731747096869</v>
      </c>
      <c r="T21">
        <f t="shared" si="14"/>
        <v>13.533706009867021</v>
      </c>
      <c r="U21">
        <f t="shared" si="15"/>
        <v>14.30326173671172</v>
      </c>
      <c r="V21">
        <f t="shared" si="16"/>
        <v>15.109398927630973</v>
      </c>
      <c r="W21">
        <f t="shared" si="17"/>
        <v>15.95211758262478</v>
      </c>
      <c r="X21">
        <f t="shared" si="18"/>
        <v>16.831417701693134</v>
      </c>
      <c r="Y21">
        <f t="shared" si="19"/>
        <v>17.747299284836046</v>
      </c>
      <c r="Z21">
        <f t="shared" si="20"/>
        <v>18.699762332053506</v>
      </c>
      <c r="AA21">
        <f t="shared" si="21"/>
        <v>19.688806843345521</v>
      </c>
      <c r="AB21">
        <f t="shared" si="22"/>
        <v>20.714432818712083</v>
      </c>
      <c r="AC21">
        <f t="shared" si="23"/>
        <v>21.776640258153201</v>
      </c>
      <c r="AD21">
        <f t="shared" si="24"/>
        <v>22.875429161668869</v>
      </c>
      <c r="AE21">
        <f t="shared" si="25"/>
        <v>24.010799529259096</v>
      </c>
      <c r="AF21">
        <f t="shared" si="26"/>
        <v>25.182751360923866</v>
      </c>
      <c r="AG21">
        <f t="shared" si="27"/>
        <v>26.391284656663196</v>
      </c>
      <c r="AH21">
        <f t="shared" si="28"/>
        <v>27.636399416477069</v>
      </c>
      <c r="AI21">
        <f t="shared" si="29"/>
        <v>28.918095640365497</v>
      </c>
      <c r="AJ21">
        <f t="shared" si="30"/>
        <v>30.236373328328479</v>
      </c>
      <c r="AK21">
        <f t="shared" si="31"/>
        <v>31.591232480366017</v>
      </c>
      <c r="AL21">
        <f t="shared" si="32"/>
        <v>32.982673096478102</v>
      </c>
      <c r="AM21">
        <f t="shared" si="33"/>
        <v>34.410695176664746</v>
      </c>
      <c r="AN21">
        <f t="shared" si="34"/>
        <v>35.875298720925926</v>
      </c>
      <c r="AO21">
        <f t="shared" si="35"/>
        <v>37.376483729261665</v>
      </c>
      <c r="AP21">
        <f t="shared" si="36"/>
        <v>38.914250201671962</v>
      </c>
      <c r="AQ21">
        <f t="shared" si="37"/>
        <v>40.488598138156817</v>
      </c>
      <c r="AR21">
        <f t="shared" si="38"/>
        <v>42.099527538716217</v>
      </c>
      <c r="AS21">
        <f t="shared" si="39"/>
        <v>43.747038403350167</v>
      </c>
      <c r="AT21">
        <f t="shared" si="40"/>
        <v>45.431130732058662</v>
      </c>
      <c r="AU21">
        <f t="shared" si="41"/>
        <v>47.151804524841722</v>
      </c>
      <c r="AV21">
        <f t="shared" si="42"/>
        <v>48.909059781699327</v>
      </c>
      <c r="AW21">
        <f t="shared" si="43"/>
        <v>50.702896502631489</v>
      </c>
      <c r="AX21">
        <f t="shared" si="44"/>
        <v>52.533314687638196</v>
      </c>
      <c r="AY21">
        <f t="shared" si="45"/>
        <v>54.400314336719461</v>
      </c>
      <c r="AZ21">
        <f t="shared" si="46"/>
        <v>56.303895449875277</v>
      </c>
      <c r="BA21">
        <f t="shared" si="47"/>
        <v>58.244058027105638</v>
      </c>
      <c r="BB21">
        <f t="shared" si="48"/>
        <v>60.220802068410563</v>
      </c>
      <c r="BC21">
        <f t="shared" si="49"/>
        <v>62.234127573790033</v>
      </c>
      <c r="BD21">
        <f t="shared" si="50"/>
        <v>64.284034543244076</v>
      </c>
      <c r="BE21">
        <f t="shared" si="51"/>
        <v>66.370522976772634</v>
      </c>
    </row>
    <row r="22" spans="6:57">
      <c r="F22">
        <v>2.6</v>
      </c>
      <c r="G22">
        <f t="shared" si="1"/>
        <v>7.4281320149532979</v>
      </c>
      <c r="H22">
        <f t="shared" si="2"/>
        <v>7.7394923747266873</v>
      </c>
      <c r="I22">
        <f t="shared" si="3"/>
        <v>8.0874341985746288</v>
      </c>
      <c r="J22">
        <f t="shared" si="4"/>
        <v>8.4719574864971214</v>
      </c>
      <c r="K22">
        <f t="shared" si="5"/>
        <v>8.8930622384941671</v>
      </c>
      <c r="L22">
        <f t="shared" si="6"/>
        <v>9.350748454565764</v>
      </c>
      <c r="M22">
        <f t="shared" si="7"/>
        <v>9.8450161347119121</v>
      </c>
      <c r="N22">
        <f t="shared" si="8"/>
        <v>10.375865278932613</v>
      </c>
      <c r="O22">
        <f t="shared" si="9"/>
        <v>10.943295887227869</v>
      </c>
      <c r="P22">
        <f t="shared" si="10"/>
        <v>11.547307959597672</v>
      </c>
      <c r="Q22">
        <f t="shared" si="11"/>
        <v>12.187901496042031</v>
      </c>
      <c r="R22">
        <f t="shared" si="12"/>
        <v>12.865076496560942</v>
      </c>
      <c r="S22">
        <f t="shared" si="13"/>
        <v>13.578832961154401</v>
      </c>
      <c r="T22">
        <f t="shared" si="14"/>
        <v>14.329170889822418</v>
      </c>
      <c r="U22">
        <f t="shared" si="15"/>
        <v>15.116090282564983</v>
      </c>
      <c r="V22">
        <f t="shared" si="16"/>
        <v>15.939591139382101</v>
      </c>
      <c r="W22">
        <f t="shared" si="17"/>
        <v>16.79967346027377</v>
      </c>
      <c r="X22">
        <f t="shared" si="18"/>
        <v>17.696337245239992</v>
      </c>
      <c r="Y22">
        <f t="shared" si="19"/>
        <v>18.629582494280768</v>
      </c>
      <c r="Z22">
        <f t="shared" si="20"/>
        <v>19.599409207396089</v>
      </c>
      <c r="AA22">
        <f t="shared" si="21"/>
        <v>20.605817384585968</v>
      </c>
      <c r="AB22">
        <f t="shared" si="22"/>
        <v>21.648807025850399</v>
      </c>
      <c r="AC22">
        <f t="shared" si="23"/>
        <v>22.728378131189384</v>
      </c>
      <c r="AD22">
        <f t="shared" si="24"/>
        <v>23.844530700602917</v>
      </c>
      <c r="AE22">
        <f t="shared" si="25"/>
        <v>24.997264734091001</v>
      </c>
      <c r="AF22">
        <f t="shared" si="26"/>
        <v>26.18658023165364</v>
      </c>
      <c r="AG22">
        <f t="shared" si="27"/>
        <v>27.412477193290833</v>
      </c>
      <c r="AH22">
        <f t="shared" si="28"/>
        <v>28.674955619002574</v>
      </c>
      <c r="AI22">
        <f t="shared" si="29"/>
        <v>29.974015508788867</v>
      </c>
      <c r="AJ22">
        <f t="shared" si="30"/>
        <v>31.309656862649717</v>
      </c>
      <c r="AK22">
        <f t="shared" si="31"/>
        <v>32.681879680585112</v>
      </c>
      <c r="AL22">
        <f t="shared" si="32"/>
        <v>34.090683962595065</v>
      </c>
      <c r="AM22">
        <f t="shared" si="33"/>
        <v>35.53606970867957</v>
      </c>
      <c r="AN22">
        <f t="shared" si="34"/>
        <v>37.018036918838618</v>
      </c>
      <c r="AO22">
        <f t="shared" si="35"/>
        <v>38.536585593072225</v>
      </c>
      <c r="AP22">
        <f t="shared" si="36"/>
        <v>40.09171573138039</v>
      </c>
      <c r="AQ22">
        <f t="shared" si="37"/>
        <v>41.683427333763106</v>
      </c>
      <c r="AR22">
        <f t="shared" si="38"/>
        <v>43.311720400220366</v>
      </c>
      <c r="AS22">
        <f t="shared" si="39"/>
        <v>44.976594930752185</v>
      </c>
      <c r="AT22">
        <f t="shared" si="40"/>
        <v>46.678050925358548</v>
      </c>
      <c r="AU22">
        <f t="shared" si="41"/>
        <v>48.416088384039469</v>
      </c>
      <c r="AV22">
        <f t="shared" si="42"/>
        <v>50.190707306794934</v>
      </c>
      <c r="AW22">
        <f t="shared" si="43"/>
        <v>52.001907693624965</v>
      </c>
      <c r="AX22">
        <f t="shared" si="44"/>
        <v>53.849689544529532</v>
      </c>
      <c r="AY22">
        <f t="shared" si="45"/>
        <v>55.734052859508672</v>
      </c>
      <c r="AZ22">
        <f t="shared" si="46"/>
        <v>57.654997638562349</v>
      </c>
      <c r="BA22">
        <f t="shared" si="47"/>
        <v>59.612523881690564</v>
      </c>
      <c r="BB22">
        <f t="shared" si="48"/>
        <v>61.606631588893364</v>
      </c>
      <c r="BC22">
        <f t="shared" si="49"/>
        <v>63.637320760170695</v>
      </c>
      <c r="BD22">
        <f t="shared" si="50"/>
        <v>65.704591395522598</v>
      </c>
      <c r="BE22">
        <f t="shared" si="51"/>
        <v>67.808443494949017</v>
      </c>
    </row>
    <row r="23" spans="6:57">
      <c r="F23">
        <v>2.8</v>
      </c>
      <c r="G23">
        <f t="shared" si="1"/>
        <v>8.0344413163256831</v>
      </c>
      <c r="H23">
        <f t="shared" si="2"/>
        <v>8.3631653419969378</v>
      </c>
      <c r="I23">
        <f t="shared" si="3"/>
        <v>8.728470831742742</v>
      </c>
      <c r="J23">
        <f t="shared" si="4"/>
        <v>9.1303577855631008</v>
      </c>
      <c r="K23">
        <f t="shared" si="5"/>
        <v>9.5688262034580109</v>
      </c>
      <c r="L23">
        <f t="shared" si="6"/>
        <v>10.043876085427474</v>
      </c>
      <c r="M23">
        <f t="shared" si="7"/>
        <v>10.555507431471487</v>
      </c>
      <c r="N23">
        <f t="shared" si="8"/>
        <v>11.103720241590052</v>
      </c>
      <c r="O23">
        <f t="shared" si="9"/>
        <v>11.688514515783174</v>
      </c>
      <c r="P23">
        <f t="shared" si="10"/>
        <v>12.309890254050842</v>
      </c>
      <c r="Q23">
        <f t="shared" si="11"/>
        <v>12.967847456393065</v>
      </c>
      <c r="R23">
        <f t="shared" si="12"/>
        <v>13.66238612280984</v>
      </c>
      <c r="S23">
        <f t="shared" si="13"/>
        <v>14.393506253301165</v>
      </c>
      <c r="T23">
        <f t="shared" si="14"/>
        <v>15.161207847867045</v>
      </c>
      <c r="U23">
        <f t="shared" si="15"/>
        <v>15.965490906507474</v>
      </c>
      <c r="V23">
        <f t="shared" si="16"/>
        <v>16.806355429222457</v>
      </c>
      <c r="W23">
        <f t="shared" si="17"/>
        <v>17.683801416011995</v>
      </c>
      <c r="X23">
        <f t="shared" si="18"/>
        <v>18.597828866876078</v>
      </c>
      <c r="Y23">
        <f t="shared" si="19"/>
        <v>19.548437781814719</v>
      </c>
      <c r="Z23">
        <f t="shared" si="20"/>
        <v>20.535628160827908</v>
      </c>
      <c r="AA23">
        <f t="shared" si="21"/>
        <v>21.559400003915652</v>
      </c>
      <c r="AB23">
        <f t="shared" si="22"/>
        <v>22.619753311077947</v>
      </c>
      <c r="AC23">
        <f t="shared" si="23"/>
        <v>23.716688082314796</v>
      </c>
      <c r="AD23">
        <f t="shared" si="24"/>
        <v>24.85020431762619</v>
      </c>
      <c r="AE23">
        <f t="shared" si="25"/>
        <v>26.020302017012146</v>
      </c>
      <c r="AF23">
        <f t="shared" si="26"/>
        <v>27.226981180472649</v>
      </c>
      <c r="AG23">
        <f t="shared" si="27"/>
        <v>28.470241808007707</v>
      </c>
      <c r="AH23">
        <f t="shared" si="28"/>
        <v>29.750083899617316</v>
      </c>
      <c r="AI23">
        <f t="shared" si="29"/>
        <v>31.066507455301469</v>
      </c>
      <c r="AJ23">
        <f t="shared" si="30"/>
        <v>32.419512475060188</v>
      </c>
      <c r="AK23">
        <f t="shared" si="31"/>
        <v>33.809098958893443</v>
      </c>
      <c r="AL23">
        <f t="shared" si="32"/>
        <v>35.235266906801264</v>
      </c>
      <c r="AM23">
        <f t="shared" si="33"/>
        <v>36.698016318783637</v>
      </c>
      <c r="AN23">
        <f t="shared" si="34"/>
        <v>38.197347194840546</v>
      </c>
      <c r="AO23">
        <f t="shared" si="35"/>
        <v>39.733259534972021</v>
      </c>
      <c r="AP23">
        <f t="shared" si="36"/>
        <v>41.305753339178047</v>
      </c>
      <c r="AQ23">
        <f t="shared" si="37"/>
        <v>42.914828607458617</v>
      </c>
      <c r="AR23">
        <f t="shared" si="38"/>
        <v>44.560485339813752</v>
      </c>
      <c r="AS23">
        <f t="shared" si="39"/>
        <v>46.242723536243425</v>
      </c>
      <c r="AT23">
        <f t="shared" si="40"/>
        <v>47.961543196747655</v>
      </c>
      <c r="AU23">
        <f t="shared" si="41"/>
        <v>49.716944321326444</v>
      </c>
      <c r="AV23">
        <f t="shared" si="42"/>
        <v>51.508926909979778</v>
      </c>
      <c r="AW23">
        <f t="shared" si="43"/>
        <v>53.337490962707669</v>
      </c>
      <c r="AX23">
        <f t="shared" si="44"/>
        <v>55.202636479510105</v>
      </c>
      <c r="AY23">
        <f t="shared" si="45"/>
        <v>57.104363460387113</v>
      </c>
      <c r="AZ23">
        <f t="shared" si="46"/>
        <v>59.042671905338651</v>
      </c>
      <c r="BA23">
        <f t="shared" si="47"/>
        <v>61.017561814364733</v>
      </c>
      <c r="BB23">
        <f t="shared" si="48"/>
        <v>63.029033187465402</v>
      </c>
      <c r="BC23">
        <f t="shared" si="49"/>
        <v>65.077086024640593</v>
      </c>
      <c r="BD23">
        <f t="shared" si="50"/>
        <v>67.161720325890357</v>
      </c>
      <c r="BE23">
        <f t="shared" si="51"/>
        <v>69.282936091214651</v>
      </c>
    </row>
    <row r="24" spans="6:57">
      <c r="F24">
        <v>3</v>
      </c>
      <c r="G24">
        <f t="shared" si="1"/>
        <v>8.6773226957872982</v>
      </c>
      <c r="H24">
        <f t="shared" si="2"/>
        <v>9.0234103873564173</v>
      </c>
      <c r="I24">
        <f t="shared" si="3"/>
        <v>9.4060795430000894</v>
      </c>
      <c r="J24">
        <f t="shared" si="4"/>
        <v>9.8253301627183127</v>
      </c>
      <c r="K24">
        <f t="shared" si="5"/>
        <v>10.281162246511085</v>
      </c>
      <c r="L24">
        <f t="shared" si="6"/>
        <v>10.773575794378413</v>
      </c>
      <c r="M24">
        <f t="shared" si="7"/>
        <v>11.302570806320292</v>
      </c>
      <c r="N24">
        <f t="shared" si="8"/>
        <v>11.868147282336723</v>
      </c>
      <c r="O24">
        <f t="shared" si="9"/>
        <v>12.470305222427706</v>
      </c>
      <c r="P24">
        <f t="shared" si="10"/>
        <v>13.109044626593244</v>
      </c>
      <c r="Q24">
        <f t="shared" si="11"/>
        <v>13.784365494833327</v>
      </c>
      <c r="R24">
        <f t="shared" si="12"/>
        <v>14.496267827147967</v>
      </c>
      <c r="S24">
        <f t="shared" si="13"/>
        <v>15.244751623537159</v>
      </c>
      <c r="T24">
        <f t="shared" si="14"/>
        <v>16.029816884000905</v>
      </c>
      <c r="U24">
        <f t="shared" si="15"/>
        <v>16.851463608539198</v>
      </c>
      <c r="V24">
        <f t="shared" si="16"/>
        <v>17.709691797152047</v>
      </c>
      <c r="W24">
        <f t="shared" si="17"/>
        <v>18.604501449839447</v>
      </c>
      <c r="X24">
        <f t="shared" si="18"/>
        <v>19.535892566601397</v>
      </c>
      <c r="Y24">
        <f t="shared" si="19"/>
        <v>20.503865147437903</v>
      </c>
      <c r="Z24">
        <f t="shared" si="20"/>
        <v>21.50841919234896</v>
      </c>
      <c r="AA24">
        <f t="shared" si="21"/>
        <v>22.549554701334564</v>
      </c>
      <c r="AB24">
        <f t="shared" si="22"/>
        <v>23.627271674394727</v>
      </c>
      <c r="AC24">
        <f t="shared" si="23"/>
        <v>24.741570111529441</v>
      </c>
      <c r="AD24">
        <f t="shared" si="24"/>
        <v>25.892450012738699</v>
      </c>
      <c r="AE24">
        <f t="shared" si="25"/>
        <v>27.079911378022516</v>
      </c>
      <c r="AF24">
        <f t="shared" si="26"/>
        <v>28.303954207380887</v>
      </c>
      <c r="AG24">
        <f t="shared" si="27"/>
        <v>29.564578500813806</v>
      </c>
      <c r="AH24">
        <f t="shared" si="28"/>
        <v>30.861784258321283</v>
      </c>
      <c r="AI24">
        <f t="shared" si="29"/>
        <v>32.1955714799033</v>
      </c>
      <c r="AJ24">
        <f t="shared" si="30"/>
        <v>33.56594016555988</v>
      </c>
      <c r="AK24">
        <f t="shared" si="31"/>
        <v>34.972890315291011</v>
      </c>
      <c r="AL24">
        <f t="shared" si="32"/>
        <v>36.416421929096686</v>
      </c>
      <c r="AM24">
        <f t="shared" si="33"/>
        <v>37.896535006976926</v>
      </c>
      <c r="AN24">
        <f t="shared" si="34"/>
        <v>39.413229548931703</v>
      </c>
      <c r="AO24">
        <f t="shared" si="35"/>
        <v>40.966505554961039</v>
      </c>
      <c r="AP24">
        <f t="shared" si="36"/>
        <v>42.556363025064933</v>
      </c>
      <c r="AQ24">
        <f t="shared" si="37"/>
        <v>44.182801959243371</v>
      </c>
      <c r="AR24">
        <f t="shared" si="38"/>
        <v>45.845822357496374</v>
      </c>
      <c r="AS24">
        <f t="shared" si="39"/>
        <v>47.5454242198239</v>
      </c>
      <c r="AT24">
        <f t="shared" si="40"/>
        <v>49.281607546226013</v>
      </c>
      <c r="AU24">
        <f t="shared" si="41"/>
        <v>51.054372336702656</v>
      </c>
      <c r="AV24">
        <f t="shared" si="42"/>
        <v>52.86371859125385</v>
      </c>
      <c r="AW24">
        <f t="shared" si="43"/>
        <v>54.709646309879602</v>
      </c>
      <c r="AX24">
        <f t="shared" si="44"/>
        <v>56.592155492579913</v>
      </c>
      <c r="AY24">
        <f t="shared" si="45"/>
        <v>58.511246139354782</v>
      </c>
      <c r="AZ24">
        <f t="shared" si="46"/>
        <v>60.466918250204181</v>
      </c>
      <c r="BA24">
        <f t="shared" si="47"/>
        <v>62.459171825128138</v>
      </c>
      <c r="BB24">
        <f t="shared" si="48"/>
        <v>64.488006864126675</v>
      </c>
      <c r="BC24">
        <f t="shared" si="49"/>
        <v>66.553423367199727</v>
      </c>
      <c r="BD24">
        <f t="shared" si="50"/>
        <v>68.655421334347352</v>
      </c>
      <c r="BE24">
        <f t="shared" si="51"/>
        <v>70.794000765569507</v>
      </c>
    </row>
    <row r="25" spans="6:57">
      <c r="F25">
        <v>3.2</v>
      </c>
      <c r="G25">
        <f t="shared" si="1"/>
        <v>9.3567761533381422</v>
      </c>
      <c r="H25">
        <f t="shared" si="2"/>
        <v>9.7202275108051239</v>
      </c>
      <c r="I25">
        <f t="shared" si="3"/>
        <v>10.12026033234666</v>
      </c>
      <c r="J25">
        <f t="shared" si="4"/>
        <v>10.556874617962748</v>
      </c>
      <c r="K25">
        <f t="shared" si="5"/>
        <v>11.030070367653387</v>
      </c>
      <c r="L25">
        <f t="shared" si="6"/>
        <v>11.539847581418579</v>
      </c>
      <c r="M25">
        <f t="shared" si="7"/>
        <v>12.086206259258322</v>
      </c>
      <c r="N25">
        <f t="shared" si="8"/>
        <v>12.669146401172618</v>
      </c>
      <c r="O25">
        <f t="shared" si="9"/>
        <v>13.288668007161467</v>
      </c>
      <c r="P25">
        <f t="shared" si="10"/>
        <v>13.944771077224869</v>
      </c>
      <c r="Q25">
        <f t="shared" si="11"/>
        <v>14.637455611362819</v>
      </c>
      <c r="R25">
        <f t="shared" si="12"/>
        <v>15.366721609575325</v>
      </c>
      <c r="S25">
        <f t="shared" si="13"/>
        <v>16.132569071862378</v>
      </c>
      <c r="T25">
        <f t="shared" si="14"/>
        <v>16.934997998223992</v>
      </c>
      <c r="U25">
        <f t="shared" si="15"/>
        <v>17.77400838866015</v>
      </c>
      <c r="V25">
        <f t="shared" si="16"/>
        <v>18.649600243170859</v>
      </c>
      <c r="W25">
        <f t="shared" si="17"/>
        <v>19.561773561756127</v>
      </c>
      <c r="X25">
        <f t="shared" si="18"/>
        <v>20.510528344415942</v>
      </c>
      <c r="Y25">
        <f t="shared" si="19"/>
        <v>21.495864591150312</v>
      </c>
      <c r="Z25">
        <f t="shared" si="20"/>
        <v>22.51778230195923</v>
      </c>
      <c r="AA25">
        <f t="shared" si="21"/>
        <v>23.576281476842706</v>
      </c>
      <c r="AB25">
        <f t="shared" si="22"/>
        <v>24.671362115800733</v>
      </c>
      <c r="AC25">
        <f t="shared" si="23"/>
        <v>25.803024218833311</v>
      </c>
      <c r="AD25">
        <f t="shared" si="24"/>
        <v>26.971267785940434</v>
      </c>
      <c r="AE25">
        <f t="shared" si="25"/>
        <v>28.176092817122115</v>
      </c>
      <c r="AF25">
        <f t="shared" si="26"/>
        <v>29.417499312378347</v>
      </c>
      <c r="AG25">
        <f t="shared" si="27"/>
        <v>30.695487271709137</v>
      </c>
      <c r="AH25">
        <f t="shared" si="28"/>
        <v>32.010056695114471</v>
      </c>
      <c r="AI25">
        <f t="shared" si="29"/>
        <v>33.361207582594361</v>
      </c>
      <c r="AJ25">
        <f t="shared" si="30"/>
        <v>34.748939934148801</v>
      </c>
      <c r="AK25">
        <f t="shared" si="31"/>
        <v>36.1732537497778</v>
      </c>
      <c r="AL25">
        <f t="shared" si="32"/>
        <v>37.634149029481343</v>
      </c>
      <c r="AM25">
        <f t="shared" si="33"/>
        <v>39.131625773259444</v>
      </c>
      <c r="AN25">
        <f t="shared" si="34"/>
        <v>40.665683981112082</v>
      </c>
      <c r="AO25">
        <f t="shared" si="35"/>
        <v>42.236323653039292</v>
      </c>
      <c r="AP25">
        <f t="shared" si="36"/>
        <v>43.84354478904104</v>
      </c>
      <c r="AQ25">
        <f t="shared" si="37"/>
        <v>45.487347389117353</v>
      </c>
      <c r="AR25">
        <f t="shared" si="38"/>
        <v>47.16773145326821</v>
      </c>
      <c r="AS25">
        <f t="shared" si="39"/>
        <v>48.884696981493619</v>
      </c>
      <c r="AT25">
        <f t="shared" si="40"/>
        <v>50.638243973793578</v>
      </c>
      <c r="AU25">
        <f t="shared" si="41"/>
        <v>52.428372430168096</v>
      </c>
      <c r="AV25">
        <f t="shared" si="42"/>
        <v>54.255082350617151</v>
      </c>
      <c r="AW25">
        <f t="shared" si="43"/>
        <v>56.118373735140779</v>
      </c>
      <c r="AX25">
        <f t="shared" si="44"/>
        <v>58.018246583738943</v>
      </c>
      <c r="AY25">
        <f t="shared" si="45"/>
        <v>59.95470089641168</v>
      </c>
      <c r="AZ25">
        <f t="shared" si="46"/>
        <v>61.92773667315894</v>
      </c>
      <c r="BA25">
        <f t="shared" si="47"/>
        <v>63.937353913980765</v>
      </c>
      <c r="BB25">
        <f t="shared" si="48"/>
        <v>65.983552618877155</v>
      </c>
      <c r="BC25">
        <f t="shared" si="49"/>
        <v>68.066332787848069</v>
      </c>
      <c r="BD25">
        <f t="shared" si="50"/>
        <v>70.185694420893569</v>
      </c>
      <c r="BE25">
        <f t="shared" si="51"/>
        <v>72.341637518013599</v>
      </c>
    </row>
    <row r="26" spans="6:57">
      <c r="F26">
        <v>3.4</v>
      </c>
      <c r="G26">
        <f t="shared" si="1"/>
        <v>10.072801688978217</v>
      </c>
      <c r="H26">
        <f t="shared" si="2"/>
        <v>10.453616712343063</v>
      </c>
      <c r="I26">
        <f t="shared" si="3"/>
        <v>10.871013199782466</v>
      </c>
      <c r="J26">
        <f t="shared" si="4"/>
        <v>11.324991151296418</v>
      </c>
      <c r="K26">
        <f t="shared" si="5"/>
        <v>11.815550566884921</v>
      </c>
      <c r="L26">
        <f t="shared" si="6"/>
        <v>12.342691446547979</v>
      </c>
      <c r="M26">
        <f t="shared" si="7"/>
        <v>12.906413790285587</v>
      </c>
      <c r="N26">
        <f t="shared" si="8"/>
        <v>13.506717598097747</v>
      </c>
      <c r="O26">
        <f t="shared" si="9"/>
        <v>14.143602869984463</v>
      </c>
      <c r="P26">
        <f t="shared" si="10"/>
        <v>14.817069605945727</v>
      </c>
      <c r="Q26">
        <f t="shared" si="11"/>
        <v>15.527117805981543</v>
      </c>
      <c r="R26">
        <f t="shared" si="12"/>
        <v>16.273747470091912</v>
      </c>
      <c r="S26">
        <f t="shared" si="13"/>
        <v>17.056958598276832</v>
      </c>
      <c r="T26">
        <f t="shared" si="14"/>
        <v>17.876751190536307</v>
      </c>
      <c r="U26">
        <f t="shared" si="15"/>
        <v>18.73312524687033</v>
      </c>
      <c r="V26">
        <f t="shared" si="16"/>
        <v>19.626080767278907</v>
      </c>
      <c r="W26">
        <f t="shared" si="17"/>
        <v>20.555617751762039</v>
      </c>
      <c r="X26">
        <f t="shared" si="18"/>
        <v>21.521736200319719</v>
      </c>
      <c r="Y26">
        <f t="shared" si="19"/>
        <v>22.524436112951953</v>
      </c>
      <c r="Z26">
        <f t="shared" si="20"/>
        <v>23.563717489658739</v>
      </c>
      <c r="AA26">
        <f t="shared" si="21"/>
        <v>24.639580330440076</v>
      </c>
      <c r="AB26">
        <f t="shared" si="22"/>
        <v>25.752024635295967</v>
      </c>
      <c r="AC26">
        <f t="shared" si="23"/>
        <v>26.90105040422641</v>
      </c>
      <c r="AD26">
        <f t="shared" si="24"/>
        <v>28.086657637231397</v>
      </c>
      <c r="AE26">
        <f t="shared" si="25"/>
        <v>29.30884633431095</v>
      </c>
      <c r="AF26">
        <f t="shared" si="26"/>
        <v>30.567616495465046</v>
      </c>
      <c r="AG26">
        <f t="shared" si="27"/>
        <v>31.862968120693701</v>
      </c>
      <c r="AH26">
        <f t="shared" si="28"/>
        <v>33.1949012099969</v>
      </c>
      <c r="AI26">
        <f t="shared" si="29"/>
        <v>34.56341576337465</v>
      </c>
      <c r="AJ26">
        <f t="shared" si="30"/>
        <v>35.968511780826958</v>
      </c>
      <c r="AK26">
        <f t="shared" si="31"/>
        <v>37.410189262353818</v>
      </c>
      <c r="AL26">
        <f t="shared" si="32"/>
        <v>38.888448207955228</v>
      </c>
      <c r="AM26">
        <f t="shared" si="33"/>
        <v>40.403288617631191</v>
      </c>
      <c r="AN26">
        <f t="shared" si="34"/>
        <v>41.954710491381697</v>
      </c>
      <c r="AO26">
        <f t="shared" si="35"/>
        <v>43.542713829206768</v>
      </c>
      <c r="AP26">
        <f t="shared" si="36"/>
        <v>45.167298631106384</v>
      </c>
      <c r="AQ26">
        <f t="shared" si="37"/>
        <v>46.828464897080558</v>
      </c>
      <c r="AR26">
        <f t="shared" si="38"/>
        <v>48.526212627129283</v>
      </c>
      <c r="AS26">
        <f t="shared" si="39"/>
        <v>50.260541821252552</v>
      </c>
      <c r="AT26">
        <f t="shared" si="40"/>
        <v>52.031452479450373</v>
      </c>
      <c r="AU26">
        <f t="shared" si="41"/>
        <v>53.838944601722766</v>
      </c>
      <c r="AV26">
        <f t="shared" si="42"/>
        <v>55.683018188069688</v>
      </c>
      <c r="AW26">
        <f t="shared" si="43"/>
        <v>57.563673238491177</v>
      </c>
      <c r="AX26">
        <f t="shared" si="44"/>
        <v>59.480909752987216</v>
      </c>
      <c r="AY26">
        <f t="shared" si="45"/>
        <v>61.4347277315578</v>
      </c>
      <c r="AZ26">
        <f t="shared" si="46"/>
        <v>63.425127174202942</v>
      </c>
      <c r="BA26">
        <f t="shared" si="47"/>
        <v>65.452108080922628</v>
      </c>
      <c r="BB26">
        <f t="shared" si="48"/>
        <v>67.515670451716872</v>
      </c>
      <c r="BC26">
        <f t="shared" si="49"/>
        <v>69.61581428658566</v>
      </c>
      <c r="BD26">
        <f t="shared" si="50"/>
        <v>71.752539585529021</v>
      </c>
      <c r="BE26">
        <f t="shared" si="51"/>
        <v>73.925846348546912</v>
      </c>
    </row>
    <row r="27" spans="6:57">
      <c r="F27">
        <v>3.6</v>
      </c>
      <c r="G27">
        <f t="shared" si="1"/>
        <v>10.82539930270752</v>
      </c>
      <c r="H27">
        <f t="shared" si="2"/>
        <v>11.223577991970233</v>
      </c>
      <c r="I27">
        <f t="shared" si="3"/>
        <v>11.658338145307498</v>
      </c>
      <c r="J27">
        <f t="shared" si="4"/>
        <v>12.129679762719316</v>
      </c>
      <c r="K27">
        <f t="shared" si="5"/>
        <v>12.637602844205684</v>
      </c>
      <c r="L27">
        <f t="shared" si="6"/>
        <v>13.182107389766605</v>
      </c>
      <c r="M27">
        <f t="shared" si="7"/>
        <v>13.763193399402079</v>
      </c>
      <c r="N27">
        <f t="shared" si="8"/>
        <v>14.380860873112105</v>
      </c>
      <c r="O27">
        <f t="shared" si="9"/>
        <v>15.035109810896682</v>
      </c>
      <c r="P27">
        <f t="shared" si="10"/>
        <v>15.725940212755813</v>
      </c>
      <c r="Q27">
        <f t="shared" si="11"/>
        <v>16.453352078689495</v>
      </c>
      <c r="R27">
        <f t="shared" si="12"/>
        <v>17.217345408697728</v>
      </c>
      <c r="S27">
        <f t="shared" si="13"/>
        <v>18.017920202780513</v>
      </c>
      <c r="T27">
        <f t="shared" si="14"/>
        <v>18.855076460937852</v>
      </c>
      <c r="U27">
        <f t="shared" si="15"/>
        <v>19.728814183169742</v>
      </c>
      <c r="V27">
        <f t="shared" si="16"/>
        <v>20.639133369476184</v>
      </c>
      <c r="W27">
        <f t="shared" si="17"/>
        <v>21.586034019857181</v>
      </c>
      <c r="X27">
        <f t="shared" si="18"/>
        <v>22.569516134312725</v>
      </c>
      <c r="Y27">
        <f t="shared" si="19"/>
        <v>23.589579712842824</v>
      </c>
      <c r="Z27">
        <f t="shared" si="20"/>
        <v>24.64622475544747</v>
      </c>
      <c r="AA27">
        <f t="shared" si="21"/>
        <v>25.739451262126678</v>
      </c>
      <c r="AB27">
        <f t="shared" si="22"/>
        <v>26.869259232880431</v>
      </c>
      <c r="AC27">
        <f t="shared" si="23"/>
        <v>28.035648667708738</v>
      </c>
      <c r="AD27">
        <f t="shared" si="24"/>
        <v>29.238619566611593</v>
      </c>
      <c r="AE27">
        <f t="shared" si="25"/>
        <v>30.478171929589003</v>
      </c>
      <c r="AF27">
        <f t="shared" si="26"/>
        <v>31.754305756640967</v>
      </c>
      <c r="AG27">
        <f t="shared" si="27"/>
        <v>33.067021047767483</v>
      </c>
      <c r="AH27">
        <f t="shared" si="28"/>
        <v>34.41631780296855</v>
      </c>
      <c r="AI27">
        <f t="shared" si="29"/>
        <v>35.802196022244168</v>
      </c>
      <c r="AJ27">
        <f t="shared" si="30"/>
        <v>37.224655705594344</v>
      </c>
      <c r="AK27">
        <f t="shared" si="31"/>
        <v>38.683696853019057</v>
      </c>
      <c r="AL27">
        <f t="shared" si="32"/>
        <v>40.179319464518343</v>
      </c>
      <c r="AM27">
        <f t="shared" si="33"/>
        <v>41.711523540092173</v>
      </c>
      <c r="AN27">
        <f t="shared" si="34"/>
        <v>43.28030907974054</v>
      </c>
      <c r="AO27">
        <f t="shared" si="35"/>
        <v>44.885676083463473</v>
      </c>
      <c r="AP27">
        <f t="shared" si="36"/>
        <v>46.527624551260956</v>
      </c>
      <c r="AQ27">
        <f t="shared" si="37"/>
        <v>48.206154483132998</v>
      </c>
      <c r="AR27">
        <f t="shared" si="38"/>
        <v>49.921265879079584</v>
      </c>
      <c r="AS27">
        <f t="shared" si="39"/>
        <v>51.672958739100721</v>
      </c>
      <c r="AT27">
        <f t="shared" si="40"/>
        <v>53.46123306319641</v>
      </c>
      <c r="AU27">
        <f t="shared" si="41"/>
        <v>55.286088851366657</v>
      </c>
      <c r="AV27">
        <f t="shared" si="42"/>
        <v>57.147526103611447</v>
      </c>
      <c r="AW27">
        <f t="shared" si="43"/>
        <v>59.045544819930804</v>
      </c>
      <c r="AX27">
        <f t="shared" si="44"/>
        <v>60.98014500032469</v>
      </c>
      <c r="AY27">
        <f t="shared" si="45"/>
        <v>62.951326644793156</v>
      </c>
      <c r="AZ27">
        <f t="shared" si="46"/>
        <v>64.959089753336158</v>
      </c>
      <c r="BA27">
        <f t="shared" si="47"/>
        <v>67.003434325953705</v>
      </c>
      <c r="BB27">
        <f t="shared" si="48"/>
        <v>69.084360362645825</v>
      </c>
      <c r="BC27">
        <f t="shared" si="49"/>
        <v>71.201867863412474</v>
      </c>
      <c r="BD27">
        <f t="shared" si="50"/>
        <v>73.35595682825371</v>
      </c>
      <c r="BE27">
        <f t="shared" si="51"/>
        <v>75.546627257169462</v>
      </c>
    </row>
    <row r="28" spans="6:57">
      <c r="F28">
        <v>3.8</v>
      </c>
      <c r="G28">
        <f t="shared" si="1"/>
        <v>11.614568994526053</v>
      </c>
      <c r="H28">
        <f t="shared" si="2"/>
        <v>12.030111349686631</v>
      </c>
      <c r="I28">
        <f t="shared" si="3"/>
        <v>12.482235168921761</v>
      </c>
      <c r="J28">
        <f t="shared" si="4"/>
        <v>12.970940452231442</v>
      </c>
      <c r="K28">
        <f t="shared" si="5"/>
        <v>13.496227199615678</v>
      </c>
      <c r="L28">
        <f t="shared" si="6"/>
        <v>14.058095411074465</v>
      </c>
      <c r="M28">
        <f t="shared" si="7"/>
        <v>14.656545086607801</v>
      </c>
      <c r="N28">
        <f t="shared" si="8"/>
        <v>15.291576226215692</v>
      </c>
      <c r="O28">
        <f t="shared" si="9"/>
        <v>15.963188829898137</v>
      </c>
      <c r="P28">
        <f t="shared" si="10"/>
        <v>16.671382897655132</v>
      </c>
      <c r="Q28">
        <f t="shared" si="11"/>
        <v>17.416158429486678</v>
      </c>
      <c r="R28">
        <f t="shared" si="12"/>
        <v>18.197515425392776</v>
      </c>
      <c r="S28">
        <f t="shared" si="13"/>
        <v>19.015453885373425</v>
      </c>
      <c r="T28">
        <f t="shared" si="14"/>
        <v>19.869973809428629</v>
      </c>
      <c r="U28">
        <f t="shared" si="15"/>
        <v>20.761075197558384</v>
      </c>
      <c r="V28">
        <f t="shared" si="16"/>
        <v>21.68875804976269</v>
      </c>
      <c r="W28">
        <f t="shared" si="17"/>
        <v>22.653022366041554</v>
      </c>
      <c r="X28">
        <f t="shared" si="18"/>
        <v>23.653868146394959</v>
      </c>
      <c r="Y28">
        <f t="shared" si="19"/>
        <v>24.691295390822926</v>
      </c>
      <c r="Z28">
        <f t="shared" si="20"/>
        <v>25.765304099325441</v>
      </c>
      <c r="AA28">
        <f t="shared" si="21"/>
        <v>26.875894271902506</v>
      </c>
      <c r="AB28">
        <f t="shared" si="22"/>
        <v>28.023065908554123</v>
      </c>
      <c r="AC28">
        <f t="shared" si="23"/>
        <v>29.206819009280299</v>
      </c>
      <c r="AD28">
        <f t="shared" si="24"/>
        <v>30.427153574081018</v>
      </c>
      <c r="AE28">
        <f t="shared" si="25"/>
        <v>31.684069602956299</v>
      </c>
      <c r="AF28">
        <f t="shared" si="26"/>
        <v>32.977567095906124</v>
      </c>
      <c r="AG28">
        <f t="shared" si="27"/>
        <v>34.307646052930508</v>
      </c>
      <c r="AH28">
        <f t="shared" si="28"/>
        <v>35.674306474029436</v>
      </c>
      <c r="AI28">
        <f t="shared" si="29"/>
        <v>37.077548359202922</v>
      </c>
      <c r="AJ28">
        <f t="shared" si="30"/>
        <v>38.517371708450959</v>
      </c>
      <c r="AK28">
        <f t="shared" si="31"/>
        <v>39.99377652177354</v>
      </c>
      <c r="AL28">
        <f t="shared" si="32"/>
        <v>41.506762799170687</v>
      </c>
      <c r="AM28">
        <f t="shared" si="33"/>
        <v>43.056330540642378</v>
      </c>
      <c r="AN28">
        <f t="shared" si="34"/>
        <v>44.642479746188613</v>
      </c>
      <c r="AO28">
        <f t="shared" si="35"/>
        <v>46.265210415809413</v>
      </c>
      <c r="AP28">
        <f t="shared" si="36"/>
        <v>47.924522549504765</v>
      </c>
      <c r="AQ28">
        <f t="shared" si="37"/>
        <v>49.620416147274661</v>
      </c>
      <c r="AR28">
        <f t="shared" si="38"/>
        <v>51.352891209119122</v>
      </c>
      <c r="AS28">
        <f t="shared" si="39"/>
        <v>53.12194773503812</v>
      </c>
      <c r="AT28">
        <f t="shared" si="40"/>
        <v>54.927585725031676</v>
      </c>
      <c r="AU28">
        <f t="shared" si="41"/>
        <v>56.769805179099784</v>
      </c>
      <c r="AV28">
        <f t="shared" si="42"/>
        <v>58.648606097242443</v>
      </c>
      <c r="AW28">
        <f t="shared" si="43"/>
        <v>60.563988479459653</v>
      </c>
      <c r="AX28">
        <f t="shared" si="44"/>
        <v>62.515952325751414</v>
      </c>
      <c r="AY28">
        <f t="shared" si="45"/>
        <v>64.504497636117748</v>
      </c>
      <c r="AZ28">
        <f t="shared" si="46"/>
        <v>66.529624410558611</v>
      </c>
      <c r="BA28">
        <f t="shared" si="47"/>
        <v>68.591332649074019</v>
      </c>
      <c r="BB28">
        <f t="shared" si="48"/>
        <v>70.689622351664013</v>
      </c>
      <c r="BC28">
        <f t="shared" si="49"/>
        <v>72.824493518328524</v>
      </c>
      <c r="BD28">
        <f t="shared" si="50"/>
        <v>74.995946149067606</v>
      </c>
      <c r="BE28">
        <f t="shared" si="51"/>
        <v>77.203980243881233</v>
      </c>
    </row>
    <row r="29" spans="6:57">
      <c r="F29">
        <v>4</v>
      </c>
      <c r="G29">
        <f t="shared" si="1"/>
        <v>12.440310764433816</v>
      </c>
      <c r="H29">
        <f t="shared" si="2"/>
        <v>12.873216785492259</v>
      </c>
      <c r="I29">
        <f t="shared" si="3"/>
        <v>13.342704270625255</v>
      </c>
      <c r="J29">
        <f t="shared" si="4"/>
        <v>13.848773219832802</v>
      </c>
      <c r="K29">
        <f t="shared" si="5"/>
        <v>14.391423633114901</v>
      </c>
      <c r="L29">
        <f t="shared" si="6"/>
        <v>14.970655510471552</v>
      </c>
      <c r="M29">
        <f t="shared" si="7"/>
        <v>15.586468851902755</v>
      </c>
      <c r="N29">
        <f t="shared" si="8"/>
        <v>16.238863657408512</v>
      </c>
      <c r="O29">
        <f t="shared" si="9"/>
        <v>16.927839926988817</v>
      </c>
      <c r="P29">
        <f t="shared" si="10"/>
        <v>17.65339766064368</v>
      </c>
      <c r="Q29">
        <f t="shared" si="11"/>
        <v>18.415536858373088</v>
      </c>
      <c r="R29">
        <f t="shared" si="12"/>
        <v>19.214257520177053</v>
      </c>
      <c r="S29">
        <f t="shared" si="13"/>
        <v>20.049559646055567</v>
      </c>
      <c r="T29">
        <f t="shared" si="14"/>
        <v>20.921443236008638</v>
      </c>
      <c r="U29">
        <f t="shared" si="15"/>
        <v>21.829908290036254</v>
      </c>
      <c r="V29">
        <f t="shared" si="16"/>
        <v>22.774954808138428</v>
      </c>
      <c r="W29">
        <f t="shared" si="17"/>
        <v>23.75658279031515</v>
      </c>
      <c r="X29">
        <f t="shared" si="18"/>
        <v>24.774792236566427</v>
      </c>
      <c r="Y29">
        <f t="shared" si="19"/>
        <v>25.829583146892254</v>
      </c>
      <c r="Z29">
        <f t="shared" si="20"/>
        <v>26.920955521292637</v>
      </c>
      <c r="AA29">
        <f t="shared" si="21"/>
        <v>28.04890935976757</v>
      </c>
      <c r="AB29">
        <f t="shared" si="22"/>
        <v>29.213444662317052</v>
      </c>
      <c r="AC29">
        <f t="shared" si="23"/>
        <v>30.414561428941091</v>
      </c>
      <c r="AD29">
        <f t="shared" si="24"/>
        <v>31.652259659639675</v>
      </c>
      <c r="AE29">
        <f t="shared" si="25"/>
        <v>32.926539354412817</v>
      </c>
      <c r="AF29">
        <f t="shared" si="26"/>
        <v>34.237400513260511</v>
      </c>
      <c r="AG29">
        <f t="shared" si="27"/>
        <v>35.584843136182755</v>
      </c>
      <c r="AH29">
        <f t="shared" si="28"/>
        <v>36.968867223179558</v>
      </c>
      <c r="AI29">
        <f t="shared" si="29"/>
        <v>38.389472774250898</v>
      </c>
      <c r="AJ29">
        <f t="shared" si="30"/>
        <v>39.846659789396796</v>
      </c>
      <c r="AK29">
        <f t="shared" si="31"/>
        <v>41.340428268617252</v>
      </c>
      <c r="AL29">
        <f t="shared" si="32"/>
        <v>42.87077821191226</v>
      </c>
      <c r="AM29">
        <f t="shared" si="33"/>
        <v>44.437709619281819</v>
      </c>
      <c r="AN29">
        <f t="shared" si="34"/>
        <v>46.041222490725922</v>
      </c>
      <c r="AO29">
        <f t="shared" si="35"/>
        <v>47.681316826244583</v>
      </c>
      <c r="AP29">
        <f t="shared" si="36"/>
        <v>49.357992625837795</v>
      </c>
      <c r="AQ29">
        <f t="shared" si="37"/>
        <v>51.071249889505566</v>
      </c>
      <c r="AR29">
        <f t="shared" si="38"/>
        <v>52.821088617247881</v>
      </c>
      <c r="AS29">
        <f t="shared" si="39"/>
        <v>54.607508809064747</v>
      </c>
      <c r="AT29">
        <f t="shared" si="40"/>
        <v>56.430510464956171</v>
      </c>
      <c r="AU29">
        <f t="shared" si="41"/>
        <v>58.290093584922147</v>
      </c>
      <c r="AV29">
        <f t="shared" si="42"/>
        <v>60.186258168962659</v>
      </c>
      <c r="AW29">
        <f t="shared" si="43"/>
        <v>62.119004217077745</v>
      </c>
      <c r="AX29">
        <f t="shared" si="44"/>
        <v>64.088331729267367</v>
      </c>
      <c r="AY29">
        <f t="shared" si="45"/>
        <v>66.094240705531561</v>
      </c>
      <c r="AZ29">
        <f t="shared" si="46"/>
        <v>68.136731145870286</v>
      </c>
      <c r="BA29">
        <f t="shared" si="47"/>
        <v>70.215803050283569</v>
      </c>
      <c r="BB29">
        <f t="shared" si="48"/>
        <v>72.331456418771424</v>
      </c>
      <c r="BC29">
        <f t="shared" si="49"/>
        <v>74.483691251333809</v>
      </c>
      <c r="BD29">
        <f t="shared" si="50"/>
        <v>76.672507547970753</v>
      </c>
      <c r="BE29">
        <f t="shared" si="51"/>
        <v>78.89790530868224</v>
      </c>
    </row>
    <row r="30" spans="6:57">
      <c r="F30">
        <v>4.2</v>
      </c>
      <c r="G30">
        <f t="shared" si="1"/>
        <v>13.302624612430812</v>
      </c>
      <c r="H30">
        <f t="shared" si="2"/>
        <v>13.752894299387117</v>
      </c>
      <c r="I30">
        <f t="shared" si="3"/>
        <v>14.239745450417979</v>
      </c>
      <c r="J30">
        <f t="shared" si="4"/>
        <v>14.763178065523391</v>
      </c>
      <c r="K30">
        <f t="shared" si="5"/>
        <v>15.323192144703354</v>
      </c>
      <c r="L30">
        <f t="shared" si="6"/>
        <v>15.919787687957871</v>
      </c>
      <c r="M30">
        <f t="shared" si="7"/>
        <v>16.552964695286938</v>
      </c>
      <c r="N30">
        <f t="shared" si="8"/>
        <v>17.222723166690557</v>
      </c>
      <c r="O30">
        <f t="shared" si="9"/>
        <v>17.92906310216873</v>
      </c>
      <c r="P30">
        <f t="shared" si="10"/>
        <v>18.671984501721457</v>
      </c>
      <c r="Q30">
        <f t="shared" si="11"/>
        <v>19.451487365348733</v>
      </c>
      <c r="R30">
        <f t="shared" si="12"/>
        <v>20.267571693050559</v>
      </c>
      <c r="S30">
        <f t="shared" si="13"/>
        <v>21.120237484826941</v>
      </c>
      <c r="T30">
        <f t="shared" si="14"/>
        <v>22.009484740677877</v>
      </c>
      <c r="U30">
        <f t="shared" si="15"/>
        <v>22.935313460603357</v>
      </c>
      <c r="V30">
        <f t="shared" si="16"/>
        <v>23.897723644603396</v>
      </c>
      <c r="W30">
        <f t="shared" si="17"/>
        <v>24.896715292677982</v>
      </c>
      <c r="X30">
        <f t="shared" si="18"/>
        <v>25.932288404827123</v>
      </c>
      <c r="Y30">
        <f t="shared" si="19"/>
        <v>27.004442981050822</v>
      </c>
      <c r="Z30">
        <f t="shared" si="20"/>
        <v>28.113179021349062</v>
      </c>
      <c r="AA30">
        <f t="shared" si="21"/>
        <v>29.25849652572186</v>
      </c>
      <c r="AB30">
        <f t="shared" si="22"/>
        <v>30.440395494169209</v>
      </c>
      <c r="AC30">
        <f t="shared" si="23"/>
        <v>31.65887592669111</v>
      </c>
      <c r="AD30">
        <f t="shared" si="24"/>
        <v>32.913937823287561</v>
      </c>
      <c r="AE30">
        <f t="shared" si="25"/>
        <v>34.205581183958572</v>
      </c>
      <c r="AF30">
        <f t="shared" si="26"/>
        <v>35.533806008704126</v>
      </c>
      <c r="AG30">
        <f t="shared" si="27"/>
        <v>36.898612297524238</v>
      </c>
      <c r="AH30">
        <f t="shared" si="28"/>
        <v>38.300000050418902</v>
      </c>
      <c r="AI30">
        <f t="shared" si="29"/>
        <v>39.73796926738811</v>
      </c>
      <c r="AJ30">
        <f t="shared" si="30"/>
        <v>41.212519948431876</v>
      </c>
      <c r="AK30">
        <f t="shared" si="31"/>
        <v>42.723652093550193</v>
      </c>
      <c r="AL30">
        <f t="shared" si="32"/>
        <v>44.271365702743061</v>
      </c>
      <c r="AM30">
        <f t="shared" si="33"/>
        <v>45.855660776010495</v>
      </c>
      <c r="AN30">
        <f t="shared" si="34"/>
        <v>47.476537313352459</v>
      </c>
      <c r="AO30">
        <f t="shared" si="35"/>
        <v>49.133995314768981</v>
      </c>
      <c r="AP30">
        <f t="shared" si="36"/>
        <v>50.828034780260069</v>
      </c>
      <c r="AQ30">
        <f t="shared" si="37"/>
        <v>52.558655709825693</v>
      </c>
      <c r="AR30">
        <f t="shared" si="38"/>
        <v>54.325858103465876</v>
      </c>
      <c r="AS30">
        <f t="shared" si="39"/>
        <v>56.129641961180603</v>
      </c>
      <c r="AT30">
        <f t="shared" si="40"/>
        <v>57.970007282969895</v>
      </c>
      <c r="AU30">
        <f t="shared" si="41"/>
        <v>59.846954068833732</v>
      </c>
      <c r="AV30">
        <f t="shared" si="42"/>
        <v>61.760482318772112</v>
      </c>
      <c r="AW30">
        <f t="shared" si="43"/>
        <v>63.710592032785058</v>
      </c>
      <c r="AX30">
        <f t="shared" si="44"/>
        <v>65.697283210872556</v>
      </c>
      <c r="AY30">
        <f t="shared" si="45"/>
        <v>67.720555853034611</v>
      </c>
      <c r="AZ30">
        <f t="shared" si="46"/>
        <v>69.780409959271196</v>
      </c>
      <c r="BA30">
        <f t="shared" si="47"/>
        <v>71.87684552958234</v>
      </c>
      <c r="BB30">
        <f t="shared" si="48"/>
        <v>74.009862563968071</v>
      </c>
      <c r="BC30">
        <f t="shared" si="49"/>
        <v>76.179461062428302</v>
      </c>
      <c r="BD30">
        <f t="shared" si="50"/>
        <v>78.385641024963121</v>
      </c>
      <c r="BE30">
        <f t="shared" si="51"/>
        <v>80.62840245157247</v>
      </c>
    </row>
    <row r="31" spans="6:57">
      <c r="F31">
        <v>4.4000000000000004</v>
      </c>
      <c r="G31">
        <f t="shared" si="1"/>
        <v>14.201510538517031</v>
      </c>
      <c r="H31">
        <f t="shared" si="2"/>
        <v>14.669143891371203</v>
      </c>
      <c r="I31">
        <f t="shared" si="3"/>
        <v>15.173358708299927</v>
      </c>
      <c r="J31">
        <f t="shared" si="4"/>
        <v>15.714154989303204</v>
      </c>
      <c r="K31">
        <f t="shared" si="5"/>
        <v>16.291532734381033</v>
      </c>
      <c r="L31">
        <f t="shared" si="6"/>
        <v>16.905491943533413</v>
      </c>
      <c r="M31">
        <f t="shared" si="7"/>
        <v>17.556032616760348</v>
      </c>
      <c r="N31">
        <f t="shared" si="8"/>
        <v>18.24315475406183</v>
      </c>
      <c r="O31">
        <f t="shared" si="9"/>
        <v>18.966858355437868</v>
      </c>
      <c r="P31">
        <f t="shared" si="10"/>
        <v>19.72714342088846</v>
      </c>
      <c r="Q31">
        <f t="shared" si="11"/>
        <v>20.5240099504136</v>
      </c>
      <c r="R31">
        <f t="shared" si="12"/>
        <v>21.357457944013294</v>
      </c>
      <c r="S31">
        <f t="shared" si="13"/>
        <v>22.227487401687537</v>
      </c>
      <c r="T31">
        <f t="shared" si="14"/>
        <v>23.134098323436337</v>
      </c>
      <c r="U31">
        <f t="shared" si="15"/>
        <v>24.077290709259685</v>
      </c>
      <c r="V31">
        <f t="shared" si="16"/>
        <v>25.057064559157585</v>
      </c>
      <c r="W31">
        <f t="shared" si="17"/>
        <v>26.073419873130042</v>
      </c>
      <c r="X31">
        <f t="shared" si="18"/>
        <v>27.126356651177048</v>
      </c>
      <c r="Y31">
        <f t="shared" si="19"/>
        <v>28.215874893298604</v>
      </c>
      <c r="Z31">
        <f t="shared" si="20"/>
        <v>29.341974599494712</v>
      </c>
      <c r="AA31">
        <f t="shared" si="21"/>
        <v>30.504655769765375</v>
      </c>
      <c r="AB31">
        <f t="shared" si="22"/>
        <v>31.703918404110588</v>
      </c>
      <c r="AC31">
        <f t="shared" si="23"/>
        <v>32.939762502530357</v>
      </c>
      <c r="AD31">
        <f t="shared" si="24"/>
        <v>34.212188065024669</v>
      </c>
      <c r="AE31">
        <f t="shared" si="25"/>
        <v>35.52119509159354</v>
      </c>
      <c r="AF31">
        <f t="shared" si="26"/>
        <v>36.866783582236963</v>
      </c>
      <c r="AG31">
        <f t="shared" si="27"/>
        <v>38.248953536954943</v>
      </c>
      <c r="AH31">
        <f t="shared" si="28"/>
        <v>39.667704955747467</v>
      </c>
      <c r="AI31">
        <f t="shared" si="29"/>
        <v>41.123037838614536</v>
      </c>
      <c r="AJ31">
        <f t="shared" si="30"/>
        <v>42.61495218555617</v>
      </c>
      <c r="AK31">
        <f t="shared" si="31"/>
        <v>44.143447996572355</v>
      </c>
      <c r="AL31">
        <f t="shared" si="32"/>
        <v>45.708525271663092</v>
      </c>
      <c r="AM31">
        <f t="shared" si="33"/>
        <v>47.31018401082838</v>
      </c>
      <c r="AN31">
        <f t="shared" si="34"/>
        <v>48.948424214068211</v>
      </c>
      <c r="AO31">
        <f t="shared" si="35"/>
        <v>50.623245881382601</v>
      </c>
      <c r="AP31">
        <f t="shared" si="36"/>
        <v>52.33464901277155</v>
      </c>
      <c r="AQ31">
        <f t="shared" si="37"/>
        <v>54.082633608235042</v>
      </c>
      <c r="AR31">
        <f t="shared" si="38"/>
        <v>55.867199667773093</v>
      </c>
      <c r="AS31">
        <f t="shared" si="39"/>
        <v>57.688347191385688</v>
      </c>
      <c r="AT31">
        <f t="shared" si="40"/>
        <v>59.546076179072834</v>
      </c>
      <c r="AU31">
        <f t="shared" si="41"/>
        <v>61.440386630834546</v>
      </c>
      <c r="AV31">
        <f t="shared" si="42"/>
        <v>63.371278546670794</v>
      </c>
      <c r="AW31">
        <f t="shared" si="43"/>
        <v>65.338751926581608</v>
      </c>
      <c r="AX31">
        <f t="shared" si="44"/>
        <v>67.342806770566966</v>
      </c>
      <c r="AY31">
        <f t="shared" si="45"/>
        <v>69.383443078626883</v>
      </c>
      <c r="AZ31">
        <f t="shared" si="46"/>
        <v>71.460660850761343</v>
      </c>
      <c r="BA31">
        <f t="shared" si="47"/>
        <v>73.574460086970348</v>
      </c>
      <c r="BB31">
        <f t="shared" si="48"/>
        <v>75.724840787253925</v>
      </c>
      <c r="BC31">
        <f t="shared" si="49"/>
        <v>77.911802951612032</v>
      </c>
      <c r="BD31">
        <f t="shared" si="50"/>
        <v>80.135346580044725</v>
      </c>
      <c r="BE31">
        <f t="shared" si="51"/>
        <v>82.395471672551935</v>
      </c>
    </row>
    <row r="32" spans="6:57">
      <c r="F32">
        <v>4.5999999999999996</v>
      </c>
      <c r="G32">
        <f t="shared" si="1"/>
        <v>15.136968542692484</v>
      </c>
      <c r="H32">
        <f t="shared" si="2"/>
        <v>15.621965561444522</v>
      </c>
      <c r="I32">
        <f t="shared" si="3"/>
        <v>16.14354404427111</v>
      </c>
      <c r="J32">
        <f t="shared" si="4"/>
        <v>16.701703991172252</v>
      </c>
      <c r="K32">
        <f t="shared" si="5"/>
        <v>17.296445402147945</v>
      </c>
      <c r="L32">
        <f t="shared" si="6"/>
        <v>17.92776827719819</v>
      </c>
      <c r="M32">
        <f t="shared" si="7"/>
        <v>18.59567261632299</v>
      </c>
      <c r="N32">
        <f t="shared" si="8"/>
        <v>19.30015841952234</v>
      </c>
      <c r="O32">
        <f t="shared" si="9"/>
        <v>20.041225686796242</v>
      </c>
      <c r="P32">
        <f t="shared" si="10"/>
        <v>20.818874418144695</v>
      </c>
      <c r="Q32">
        <f t="shared" si="11"/>
        <v>21.633104613567703</v>
      </c>
      <c r="R32">
        <f t="shared" si="12"/>
        <v>22.483916273065262</v>
      </c>
      <c r="S32">
        <f t="shared" si="13"/>
        <v>23.371309396637372</v>
      </c>
      <c r="T32">
        <f t="shared" si="14"/>
        <v>24.295283984284033</v>
      </c>
      <c r="U32">
        <f t="shared" si="15"/>
        <v>25.255840036005246</v>
      </c>
      <c r="V32">
        <f t="shared" si="16"/>
        <v>26.252977551801013</v>
      </c>
      <c r="W32">
        <f t="shared" si="17"/>
        <v>27.286696531671332</v>
      </c>
      <c r="X32">
        <f t="shared" si="18"/>
        <v>28.356996975616202</v>
      </c>
      <c r="Y32">
        <f t="shared" si="19"/>
        <v>29.463878883635626</v>
      </c>
      <c r="Z32">
        <f t="shared" si="20"/>
        <v>30.607342255729598</v>
      </c>
      <c r="AA32">
        <f t="shared" si="21"/>
        <v>31.787387091898125</v>
      </c>
      <c r="AB32">
        <f t="shared" si="22"/>
        <v>33.004013392141204</v>
      </c>
      <c r="AC32">
        <f t="shared" si="23"/>
        <v>34.25722115645884</v>
      </c>
      <c r="AD32">
        <f t="shared" si="24"/>
        <v>35.547010384851013</v>
      </c>
      <c r="AE32">
        <f t="shared" si="25"/>
        <v>36.873381077317752</v>
      </c>
      <c r="AF32">
        <f t="shared" si="26"/>
        <v>38.236333233859042</v>
      </c>
      <c r="AG32">
        <f t="shared" si="27"/>
        <v>39.635866854474884</v>
      </c>
      <c r="AH32">
        <f t="shared" si="28"/>
        <v>41.071981939165269</v>
      </c>
      <c r="AI32">
        <f t="shared" si="29"/>
        <v>42.544678487930213</v>
      </c>
      <c r="AJ32">
        <f t="shared" si="30"/>
        <v>44.053956500769708</v>
      </c>
      <c r="AK32">
        <f t="shared" si="31"/>
        <v>45.599815977683754</v>
      </c>
      <c r="AL32">
        <f t="shared" si="32"/>
        <v>47.182256918672351</v>
      </c>
      <c r="AM32">
        <f t="shared" si="33"/>
        <v>48.801279323735514</v>
      </c>
      <c r="AN32">
        <f t="shared" si="34"/>
        <v>50.4568831928732</v>
      </c>
      <c r="AO32">
        <f t="shared" si="35"/>
        <v>52.149068526085465</v>
      </c>
      <c r="AP32">
        <f t="shared" si="36"/>
        <v>53.877835323372267</v>
      </c>
      <c r="AQ32">
        <f t="shared" si="37"/>
        <v>55.643183584733634</v>
      </c>
      <c r="AR32">
        <f t="shared" si="38"/>
        <v>57.445113310169539</v>
      </c>
      <c r="AS32">
        <f t="shared" si="39"/>
        <v>59.283624499680002</v>
      </c>
      <c r="AT32">
        <f t="shared" si="40"/>
        <v>61.158717153265016</v>
      </c>
      <c r="AU32">
        <f t="shared" si="41"/>
        <v>63.070391270924588</v>
      </c>
      <c r="AV32">
        <f t="shared" si="42"/>
        <v>65.018646852658705</v>
      </c>
      <c r="AW32">
        <f t="shared" si="43"/>
        <v>67.00348389846738</v>
      </c>
      <c r="AX32">
        <f t="shared" si="44"/>
        <v>69.024902408350599</v>
      </c>
      <c r="AY32">
        <f t="shared" si="45"/>
        <v>71.08290238230839</v>
      </c>
      <c r="AZ32">
        <f t="shared" si="46"/>
        <v>73.177483820340711</v>
      </c>
      <c r="BA32">
        <f t="shared" si="47"/>
        <v>75.308646722447577</v>
      </c>
      <c r="BB32">
        <f t="shared" si="48"/>
        <v>77.476391088629029</v>
      </c>
      <c r="BC32">
        <f t="shared" si="49"/>
        <v>79.680716918884997</v>
      </c>
      <c r="BD32">
        <f t="shared" si="50"/>
        <v>81.921624213215551</v>
      </c>
      <c r="BE32">
        <f t="shared" si="51"/>
        <v>84.199112971620636</v>
      </c>
    </row>
    <row r="33" spans="6:57">
      <c r="F33">
        <v>4.8</v>
      </c>
      <c r="G33">
        <f t="shared" si="1"/>
        <v>16.108998624957167</v>
      </c>
      <c r="H33">
        <f t="shared" si="2"/>
        <v>16.611359309607067</v>
      </c>
      <c r="I33">
        <f t="shared" si="3"/>
        <v>17.150301458331523</v>
      </c>
      <c r="J33">
        <f t="shared" si="4"/>
        <v>17.725825071130529</v>
      </c>
      <c r="K33">
        <f t="shared" si="5"/>
        <v>18.337930148004091</v>
      </c>
      <c r="L33">
        <f t="shared" si="6"/>
        <v>18.9866166889522</v>
      </c>
      <c r="M33">
        <f t="shared" si="7"/>
        <v>19.67188469397486</v>
      </c>
      <c r="N33">
        <f t="shared" si="8"/>
        <v>20.393734163072075</v>
      </c>
      <c r="O33">
        <f t="shared" si="9"/>
        <v>21.152165096243845</v>
      </c>
      <c r="P33">
        <f t="shared" si="10"/>
        <v>21.947177493490162</v>
      </c>
      <c r="Q33">
        <f t="shared" si="11"/>
        <v>22.778771354811035</v>
      </c>
      <c r="R33">
        <f t="shared" si="12"/>
        <v>23.646946680206455</v>
      </c>
      <c r="S33">
        <f t="shared" si="13"/>
        <v>24.551703469676433</v>
      </c>
      <c r="T33">
        <f t="shared" si="14"/>
        <v>25.493041723220959</v>
      </c>
      <c r="U33">
        <f t="shared" si="15"/>
        <v>26.470961440840036</v>
      </c>
      <c r="V33">
        <f t="shared" si="16"/>
        <v>27.485462622533667</v>
      </c>
      <c r="W33">
        <f t="shared" si="17"/>
        <v>28.536545268301854</v>
      </c>
      <c r="X33">
        <f t="shared" si="18"/>
        <v>29.624209378144585</v>
      </c>
      <c r="Y33">
        <f t="shared" si="19"/>
        <v>30.748454952061877</v>
      </c>
      <c r="Z33">
        <f t="shared" si="20"/>
        <v>31.909281990053714</v>
      </c>
      <c r="AA33">
        <f t="shared" si="21"/>
        <v>33.106690492120109</v>
      </c>
      <c r="AB33">
        <f t="shared" si="22"/>
        <v>34.340680458261048</v>
      </c>
      <c r="AC33">
        <f t="shared" si="23"/>
        <v>35.611251888476545</v>
      </c>
      <c r="AD33">
        <f t="shared" si="24"/>
        <v>36.918404782766586</v>
      </c>
      <c r="AE33">
        <f t="shared" si="25"/>
        <v>38.262139141131193</v>
      </c>
      <c r="AF33">
        <f t="shared" si="26"/>
        <v>39.642454963570344</v>
      </c>
      <c r="AG33">
        <f t="shared" si="27"/>
        <v>41.059352250084046</v>
      </c>
      <c r="AH33">
        <f t="shared" si="28"/>
        <v>42.512831000672307</v>
      </c>
      <c r="AI33">
        <f t="shared" si="29"/>
        <v>44.002891215335111</v>
      </c>
      <c r="AJ33">
        <f t="shared" si="30"/>
        <v>45.529532894072474</v>
      </c>
      <c r="AK33">
        <f t="shared" si="31"/>
        <v>47.092756036884381</v>
      </c>
      <c r="AL33">
        <f t="shared" si="32"/>
        <v>48.692560643770847</v>
      </c>
      <c r="AM33">
        <f t="shared" si="33"/>
        <v>50.32894671473187</v>
      </c>
      <c r="AN33">
        <f t="shared" si="34"/>
        <v>52.001914249767431</v>
      </c>
      <c r="AO33">
        <f t="shared" si="35"/>
        <v>53.71146324887755</v>
      </c>
      <c r="AP33">
        <f t="shared" si="36"/>
        <v>55.457593712062227</v>
      </c>
      <c r="AQ33">
        <f t="shared" si="37"/>
        <v>57.240305639321448</v>
      </c>
      <c r="AR33">
        <f t="shared" si="38"/>
        <v>59.059599030655228</v>
      </c>
      <c r="AS33">
        <f t="shared" si="39"/>
        <v>60.915473886063552</v>
      </c>
      <c r="AT33">
        <f t="shared" si="40"/>
        <v>62.807930205546434</v>
      </c>
      <c r="AU33">
        <f t="shared" si="41"/>
        <v>64.736967989103874</v>
      </c>
      <c r="AV33">
        <f t="shared" si="42"/>
        <v>66.702587236735852</v>
      </c>
      <c r="AW33">
        <f t="shared" si="43"/>
        <v>68.704787948442387</v>
      </c>
      <c r="AX33">
        <f t="shared" si="44"/>
        <v>70.743570124223481</v>
      </c>
      <c r="AY33">
        <f t="shared" si="45"/>
        <v>72.818933764079134</v>
      </c>
      <c r="AZ33">
        <f t="shared" si="46"/>
        <v>74.930878868009316</v>
      </c>
      <c r="BA33">
        <f t="shared" si="47"/>
        <v>77.079405436014042</v>
      </c>
      <c r="BB33">
        <f t="shared" si="48"/>
        <v>79.264513468093355</v>
      </c>
      <c r="BC33">
        <f t="shared" si="49"/>
        <v>81.486202964247212</v>
      </c>
      <c r="BD33">
        <f t="shared" si="50"/>
        <v>83.744473924475614</v>
      </c>
      <c r="BE33">
        <f t="shared" si="51"/>
        <v>86.039326348778559</v>
      </c>
    </row>
    <row r="34" spans="6:57">
      <c r="F34">
        <v>5</v>
      </c>
      <c r="G34">
        <f t="shared" si="1"/>
        <v>17.11760078531108</v>
      </c>
      <c r="H34">
        <f t="shared" si="2"/>
        <v>17.637325135858848</v>
      </c>
      <c r="I34">
        <f t="shared" si="3"/>
        <v>18.193630950481165</v>
      </c>
      <c r="J34">
        <f t="shared" si="4"/>
        <v>18.786518229178036</v>
      </c>
      <c r="K34">
        <f t="shared" si="5"/>
        <v>19.415986971949458</v>
      </c>
      <c r="L34">
        <f t="shared" si="6"/>
        <v>20.082037178795439</v>
      </c>
      <c r="M34">
        <f t="shared" si="7"/>
        <v>20.784668849715967</v>
      </c>
      <c r="N34">
        <f t="shared" si="8"/>
        <v>21.523881984711043</v>
      </c>
      <c r="O34">
        <f t="shared" si="9"/>
        <v>22.299676583780677</v>
      </c>
      <c r="P34">
        <f t="shared" si="10"/>
        <v>23.112052646924859</v>
      </c>
      <c r="Q34">
        <f t="shared" si="11"/>
        <v>23.961010174143595</v>
      </c>
      <c r="R34">
        <f t="shared" si="12"/>
        <v>24.846549165436883</v>
      </c>
      <c r="S34">
        <f t="shared" si="13"/>
        <v>25.768669620804722</v>
      </c>
      <c r="T34">
        <f t="shared" si="14"/>
        <v>26.727371540247116</v>
      </c>
      <c r="U34">
        <f t="shared" si="15"/>
        <v>27.722654923764061</v>
      </c>
      <c r="V34">
        <f t="shared" si="16"/>
        <v>28.754519771355557</v>
      </c>
      <c r="W34">
        <f t="shared" si="17"/>
        <v>29.822966083021605</v>
      </c>
      <c r="X34">
        <f t="shared" si="18"/>
        <v>30.927993858762203</v>
      </c>
      <c r="Y34">
        <f t="shared" si="19"/>
        <v>32.069603098577353</v>
      </c>
      <c r="Z34">
        <f t="shared" si="20"/>
        <v>33.247793802467065</v>
      </c>
      <c r="AA34">
        <f t="shared" si="21"/>
        <v>34.462565970431314</v>
      </c>
      <c r="AB34">
        <f t="shared" si="22"/>
        <v>35.713919602470128</v>
      </c>
      <c r="AC34">
        <f t="shared" si="23"/>
        <v>37.001854698583486</v>
      </c>
      <c r="AD34">
        <f t="shared" si="24"/>
        <v>38.326371258771395</v>
      </c>
      <c r="AE34">
        <f t="shared" si="25"/>
        <v>39.687469283033863</v>
      </c>
      <c r="AF34">
        <f t="shared" si="26"/>
        <v>41.085148771370882</v>
      </c>
      <c r="AG34">
        <f t="shared" si="27"/>
        <v>42.519409723782452</v>
      </c>
      <c r="AH34">
        <f t="shared" si="28"/>
        <v>43.990252140268574</v>
      </c>
      <c r="AI34">
        <f t="shared" si="29"/>
        <v>45.497676020829239</v>
      </c>
      <c r="AJ34">
        <f t="shared" si="30"/>
        <v>47.041681365464463</v>
      </c>
      <c r="AK34">
        <f t="shared" si="31"/>
        <v>48.622268174174245</v>
      </c>
      <c r="AL34">
        <f t="shared" si="32"/>
        <v>50.239436446958578</v>
      </c>
      <c r="AM34">
        <f t="shared" si="33"/>
        <v>51.893186183817456</v>
      </c>
      <c r="AN34">
        <f t="shared" si="34"/>
        <v>53.583517384750891</v>
      </c>
      <c r="AO34">
        <f t="shared" si="35"/>
        <v>55.310430049758871</v>
      </c>
      <c r="AP34">
        <f t="shared" si="36"/>
        <v>57.073924178841409</v>
      </c>
      <c r="AQ34">
        <f t="shared" si="37"/>
        <v>58.873999771998498</v>
      </c>
      <c r="AR34">
        <f t="shared" si="38"/>
        <v>60.710656829230146</v>
      </c>
      <c r="AS34">
        <f t="shared" si="39"/>
        <v>62.583895350536338</v>
      </c>
      <c r="AT34">
        <f t="shared" si="40"/>
        <v>64.493715335917074</v>
      </c>
      <c r="AU34">
        <f t="shared" si="41"/>
        <v>66.440116785372382</v>
      </c>
      <c r="AV34">
        <f t="shared" si="42"/>
        <v>68.42309969890222</v>
      </c>
      <c r="AW34">
        <f t="shared" si="43"/>
        <v>70.442664076506631</v>
      </c>
      <c r="AX34">
        <f t="shared" si="44"/>
        <v>72.498809918185572</v>
      </c>
      <c r="AY34">
        <f t="shared" si="45"/>
        <v>74.591537223939099</v>
      </c>
      <c r="AZ34">
        <f t="shared" si="46"/>
        <v>76.720845993767142</v>
      </c>
      <c r="BA34">
        <f t="shared" si="47"/>
        <v>78.886736227669743</v>
      </c>
      <c r="BB34">
        <f t="shared" si="48"/>
        <v>81.089207925646932</v>
      </c>
      <c r="BC34">
        <f t="shared" si="49"/>
        <v>83.328261087698635</v>
      </c>
      <c r="BD34">
        <f t="shared" si="50"/>
        <v>85.603895713824912</v>
      </c>
      <c r="BE34">
        <f t="shared" si="51"/>
        <v>87.916111804025718</v>
      </c>
    </row>
    <row r="35" spans="6:57">
      <c r="F35">
        <v>5.2</v>
      </c>
      <c r="G35">
        <f t="shared" si="1"/>
        <v>18.162775023754222</v>
      </c>
      <c r="H35">
        <f t="shared" si="2"/>
        <v>18.699863040199851</v>
      </c>
      <c r="I35">
        <f t="shared" si="3"/>
        <v>19.273532520720039</v>
      </c>
      <c r="J35">
        <f t="shared" si="4"/>
        <v>19.883783465314774</v>
      </c>
      <c r="K35">
        <f t="shared" si="5"/>
        <v>20.530615873984065</v>
      </c>
      <c r="L35">
        <f t="shared" si="6"/>
        <v>21.214029746727903</v>
      </c>
      <c r="M35">
        <f t="shared" si="7"/>
        <v>21.934025083546295</v>
      </c>
      <c r="N35">
        <f t="shared" si="8"/>
        <v>22.690601884439239</v>
      </c>
      <c r="O35">
        <f t="shared" si="9"/>
        <v>23.483760149406738</v>
      </c>
      <c r="P35">
        <f t="shared" si="10"/>
        <v>24.313499878448784</v>
      </c>
      <c r="Q35">
        <f t="shared" si="11"/>
        <v>25.179821071565385</v>
      </c>
      <c r="R35">
        <f t="shared" si="12"/>
        <v>26.082723728756541</v>
      </c>
      <c r="S35">
        <f t="shared" si="13"/>
        <v>27.022207850022244</v>
      </c>
      <c r="T35">
        <f t="shared" si="14"/>
        <v>27.998273435362503</v>
      </c>
      <c r="U35">
        <f t="shared" si="15"/>
        <v>29.010920484777309</v>
      </c>
      <c r="V35">
        <f t="shared" si="16"/>
        <v>30.060148998266669</v>
      </c>
      <c r="W35">
        <f t="shared" si="17"/>
        <v>31.145958975830585</v>
      </c>
      <c r="X35">
        <f t="shared" si="18"/>
        <v>32.268350417469051</v>
      </c>
      <c r="Y35">
        <f t="shared" si="19"/>
        <v>33.427323323182065</v>
      </c>
      <c r="Z35">
        <f t="shared" si="20"/>
        <v>34.622877692969631</v>
      </c>
      <c r="AA35">
        <f t="shared" si="21"/>
        <v>35.855013526831755</v>
      </c>
      <c r="AB35">
        <f t="shared" si="22"/>
        <v>37.12373082476843</v>
      </c>
      <c r="AC35">
        <f t="shared" si="23"/>
        <v>38.429029586779656</v>
      </c>
      <c r="AD35">
        <f t="shared" si="24"/>
        <v>39.770909812865433</v>
      </c>
      <c r="AE35">
        <f t="shared" si="25"/>
        <v>41.149371503025762</v>
      </c>
      <c r="AF35">
        <f t="shared" si="26"/>
        <v>42.564414657260642</v>
      </c>
      <c r="AG35">
        <f t="shared" si="27"/>
        <v>44.01603927557008</v>
      </c>
      <c r="AH35">
        <f t="shared" si="28"/>
        <v>45.504245357954062</v>
      </c>
      <c r="AI35">
        <f t="shared" si="29"/>
        <v>47.029032904412603</v>
      </c>
      <c r="AJ35">
        <f t="shared" si="30"/>
        <v>48.590401914945687</v>
      </c>
      <c r="AK35">
        <f t="shared" si="31"/>
        <v>50.18835238955333</v>
      </c>
      <c r="AL35">
        <f t="shared" si="32"/>
        <v>51.822884328235524</v>
      </c>
      <c r="AM35">
        <f t="shared" si="33"/>
        <v>53.493997730992277</v>
      </c>
      <c r="AN35">
        <f t="shared" si="34"/>
        <v>55.201692597823566</v>
      </c>
      <c r="AO35">
        <f t="shared" si="35"/>
        <v>56.945968928729414</v>
      </c>
      <c r="AP35">
        <f t="shared" si="36"/>
        <v>58.72682672370982</v>
      </c>
      <c r="AQ35">
        <f t="shared" si="37"/>
        <v>60.54426598276477</v>
      </c>
      <c r="AR35">
        <f t="shared" si="38"/>
        <v>62.398286705894293</v>
      </c>
      <c r="AS35">
        <f t="shared" si="39"/>
        <v>64.288888893098331</v>
      </c>
      <c r="AT35">
        <f t="shared" si="40"/>
        <v>66.216072544376956</v>
      </c>
      <c r="AU35">
        <f t="shared" si="41"/>
        <v>68.179837659730111</v>
      </c>
      <c r="AV35">
        <f t="shared" si="42"/>
        <v>70.180184239157825</v>
      </c>
      <c r="AW35">
        <f t="shared" si="43"/>
        <v>72.217112282660096</v>
      </c>
      <c r="AX35">
        <f t="shared" si="44"/>
        <v>74.290621790236912</v>
      </c>
      <c r="AY35">
        <f t="shared" si="45"/>
        <v>76.4007127618883</v>
      </c>
      <c r="AZ35">
        <f t="shared" si="46"/>
        <v>78.547385197614204</v>
      </c>
      <c r="BA35">
        <f t="shared" si="47"/>
        <v>80.730639097414681</v>
      </c>
      <c r="BB35">
        <f t="shared" si="48"/>
        <v>82.95047446128973</v>
      </c>
      <c r="BC35">
        <f t="shared" si="49"/>
        <v>85.20689128923928</v>
      </c>
      <c r="BD35">
        <f t="shared" si="50"/>
        <v>87.499889581263432</v>
      </c>
      <c r="BE35">
        <f t="shared" si="51"/>
        <v>89.829469337362099</v>
      </c>
    </row>
    <row r="36" spans="6:57">
      <c r="F36">
        <v>5.4</v>
      </c>
      <c r="G36">
        <f t="shared" si="1"/>
        <v>19.244521340286589</v>
      </c>
      <c r="H36">
        <f t="shared" si="2"/>
        <v>19.798973022630083</v>
      </c>
      <c r="I36">
        <f t="shared" si="3"/>
        <v>20.390006169048139</v>
      </c>
      <c r="J36">
        <f t="shared" si="4"/>
        <v>21.017620779540735</v>
      </c>
      <c r="K36">
        <f t="shared" si="5"/>
        <v>21.68181685410789</v>
      </c>
      <c r="L36">
        <f t="shared" si="6"/>
        <v>22.382594392749596</v>
      </c>
      <c r="M36">
        <f t="shared" si="7"/>
        <v>23.119953395465853</v>
      </c>
      <c r="N36">
        <f t="shared" si="8"/>
        <v>23.893893862256657</v>
      </c>
      <c r="O36">
        <f t="shared" si="9"/>
        <v>24.704415793122024</v>
      </c>
      <c r="P36">
        <f t="shared" si="10"/>
        <v>25.551519188061935</v>
      </c>
      <c r="Q36">
        <f t="shared" si="11"/>
        <v>26.435204047076404</v>
      </c>
      <c r="R36">
        <f t="shared" si="12"/>
        <v>27.35547037016542</v>
      </c>
      <c r="S36">
        <f t="shared" si="13"/>
        <v>28.312318157328988</v>
      </c>
      <c r="T36">
        <f t="shared" si="14"/>
        <v>29.305747408567115</v>
      </c>
      <c r="U36">
        <f t="shared" si="15"/>
        <v>30.335758123879781</v>
      </c>
      <c r="V36">
        <f t="shared" si="16"/>
        <v>31.402350303267006</v>
      </c>
      <c r="W36">
        <f t="shared" si="17"/>
        <v>32.505523946728786</v>
      </c>
      <c r="X36">
        <f t="shared" si="18"/>
        <v>33.645279054265117</v>
      </c>
      <c r="Y36">
        <f t="shared" si="19"/>
        <v>34.821615625875999</v>
      </c>
      <c r="Z36">
        <f t="shared" si="20"/>
        <v>36.034533661561433</v>
      </c>
      <c r="AA36">
        <f t="shared" si="21"/>
        <v>37.284033161321418</v>
      </c>
      <c r="AB36">
        <f t="shared" si="22"/>
        <v>38.570114125155953</v>
      </c>
      <c r="AC36">
        <f t="shared" si="23"/>
        <v>39.892776553065048</v>
      </c>
      <c r="AD36">
        <f t="shared" si="24"/>
        <v>41.252020445048686</v>
      </c>
      <c r="AE36">
        <f t="shared" si="25"/>
        <v>42.647845801106882</v>
      </c>
      <c r="AF36">
        <f t="shared" si="26"/>
        <v>44.08025262123963</v>
      </c>
      <c r="AG36">
        <f t="shared" si="27"/>
        <v>45.549240905446936</v>
      </c>
      <c r="AH36">
        <f t="shared" si="28"/>
        <v>47.054810653728779</v>
      </c>
      <c r="AI36">
        <f t="shared" si="29"/>
        <v>48.596961866085181</v>
      </c>
      <c r="AJ36">
        <f t="shared" si="30"/>
        <v>50.17569454251614</v>
      </c>
      <c r="AK36">
        <f t="shared" si="31"/>
        <v>51.791008683021644</v>
      </c>
      <c r="AL36">
        <f t="shared" si="32"/>
        <v>53.442904287601706</v>
      </c>
      <c r="AM36">
        <f t="shared" si="33"/>
        <v>55.13138135625632</v>
      </c>
      <c r="AN36">
        <f t="shared" si="34"/>
        <v>56.85643988898547</v>
      </c>
      <c r="AO36">
        <f t="shared" si="35"/>
        <v>58.618079885789186</v>
      </c>
      <c r="AP36">
        <f t="shared" si="36"/>
        <v>60.416301346667453</v>
      </c>
      <c r="AQ36">
        <f t="shared" si="37"/>
        <v>62.251104271620278</v>
      </c>
      <c r="AR36">
        <f t="shared" si="38"/>
        <v>64.122488660647647</v>
      </c>
      <c r="AS36">
        <f t="shared" si="39"/>
        <v>66.030454513749575</v>
      </c>
      <c r="AT36">
        <f t="shared" si="40"/>
        <v>67.975001830926047</v>
      </c>
      <c r="AU36">
        <f t="shared" si="41"/>
        <v>69.956130612177077</v>
      </c>
      <c r="AV36">
        <f t="shared" si="42"/>
        <v>71.973840857502651</v>
      </c>
      <c r="AW36">
        <f t="shared" si="43"/>
        <v>74.028132566902784</v>
      </c>
      <c r="AX36">
        <f t="shared" si="44"/>
        <v>76.119005740377474</v>
      </c>
      <c r="AY36">
        <f t="shared" si="45"/>
        <v>78.246460377926709</v>
      </c>
      <c r="AZ36">
        <f t="shared" si="46"/>
        <v>80.410496479550488</v>
      </c>
      <c r="BA36">
        <f t="shared" si="47"/>
        <v>82.611114045248826</v>
      </c>
      <c r="BB36">
        <f t="shared" si="48"/>
        <v>84.848313075021736</v>
      </c>
      <c r="BC36">
        <f t="shared" si="49"/>
        <v>87.122093568869161</v>
      </c>
      <c r="BD36">
        <f t="shared" si="50"/>
        <v>89.432455526791173</v>
      </c>
      <c r="BE36">
        <f t="shared" si="51"/>
        <v>91.779398948787701</v>
      </c>
    </row>
    <row r="37" spans="6:57">
      <c r="F37">
        <v>5.6</v>
      </c>
      <c r="G37">
        <f t="shared" si="1"/>
        <v>20.362839734908192</v>
      </c>
      <c r="H37">
        <f t="shared" si="2"/>
        <v>20.934655083149554</v>
      </c>
      <c r="I37">
        <f t="shared" si="3"/>
        <v>21.543051895465471</v>
      </c>
      <c r="J37">
        <f t="shared" si="4"/>
        <v>22.188030171855932</v>
      </c>
      <c r="K37">
        <f t="shared" si="5"/>
        <v>22.869589912320954</v>
      </c>
      <c r="L37">
        <f t="shared" si="6"/>
        <v>23.587731116860521</v>
      </c>
      <c r="M37">
        <f t="shared" si="7"/>
        <v>24.342453785474646</v>
      </c>
      <c r="N37">
        <f t="shared" si="8"/>
        <v>25.133757918163319</v>
      </c>
      <c r="O37">
        <f t="shared" si="9"/>
        <v>25.961643514926546</v>
      </c>
      <c r="P37">
        <f t="shared" si="10"/>
        <v>26.826110575764321</v>
      </c>
      <c r="Q37">
        <f t="shared" si="11"/>
        <v>27.727159100676655</v>
      </c>
      <c r="R37">
        <f t="shared" si="12"/>
        <v>28.664789089663536</v>
      </c>
      <c r="S37">
        <f t="shared" si="13"/>
        <v>29.639000542724972</v>
      </c>
      <c r="T37">
        <f t="shared" si="14"/>
        <v>30.649793459860959</v>
      </c>
      <c r="U37">
        <f t="shared" si="15"/>
        <v>31.697167841071497</v>
      </c>
      <c r="V37">
        <f t="shared" si="16"/>
        <v>32.781123686356587</v>
      </c>
      <c r="W37">
        <f t="shared" si="17"/>
        <v>33.901660995716227</v>
      </c>
      <c r="X37">
        <f t="shared" si="18"/>
        <v>35.058779769150419</v>
      </c>
      <c r="Y37">
        <f t="shared" si="19"/>
        <v>36.252480006659169</v>
      </c>
      <c r="Z37">
        <f t="shared" si="20"/>
        <v>37.482761708242464</v>
      </c>
      <c r="AA37">
        <f t="shared" si="21"/>
        <v>38.749624873900324</v>
      </c>
      <c r="AB37">
        <f t="shared" si="22"/>
        <v>40.053069503632727</v>
      </c>
      <c r="AC37">
        <f t="shared" si="23"/>
        <v>41.393095597439682</v>
      </c>
      <c r="AD37">
        <f t="shared" si="24"/>
        <v>42.769703155321181</v>
      </c>
      <c r="AE37">
        <f t="shared" si="25"/>
        <v>44.182892177277246</v>
      </c>
      <c r="AF37">
        <f t="shared" si="26"/>
        <v>45.632662663307855</v>
      </c>
      <c r="AG37">
        <f t="shared" si="27"/>
        <v>47.119014613413022</v>
      </c>
      <c r="AH37">
        <f t="shared" si="28"/>
        <v>48.641948027592733</v>
      </c>
      <c r="AI37">
        <f t="shared" si="29"/>
        <v>50.201462905846995</v>
      </c>
      <c r="AJ37">
        <f t="shared" si="30"/>
        <v>51.797559248175823</v>
      </c>
      <c r="AK37">
        <f t="shared" si="31"/>
        <v>53.430237054579187</v>
      </c>
      <c r="AL37">
        <f t="shared" si="32"/>
        <v>55.099496325057117</v>
      </c>
      <c r="AM37">
        <f t="shared" si="33"/>
        <v>56.805337059609599</v>
      </c>
      <c r="AN37">
        <f t="shared" si="34"/>
        <v>58.54775925823661</v>
      </c>
      <c r="AO37">
        <f t="shared" si="35"/>
        <v>60.326762920938194</v>
      </c>
      <c r="AP37">
        <f t="shared" si="36"/>
        <v>62.142348047714336</v>
      </c>
      <c r="AQ37">
        <f t="shared" si="37"/>
        <v>63.994514638565022</v>
      </c>
      <c r="AR37">
        <f t="shared" si="38"/>
        <v>65.883262693490252</v>
      </c>
      <c r="AS37">
        <f t="shared" si="39"/>
        <v>67.808592212490041</v>
      </c>
      <c r="AT37">
        <f t="shared" si="40"/>
        <v>69.770503195564373</v>
      </c>
      <c r="AU37">
        <f t="shared" si="41"/>
        <v>71.768995642713264</v>
      </c>
      <c r="AV37">
        <f t="shared" si="42"/>
        <v>73.804069553936714</v>
      </c>
      <c r="AW37">
        <f t="shared" si="43"/>
        <v>75.875724929234707</v>
      </c>
      <c r="AX37">
        <f t="shared" si="44"/>
        <v>77.983961768607259</v>
      </c>
      <c r="AY37">
        <f t="shared" si="45"/>
        <v>80.128780072054369</v>
      </c>
      <c r="AZ37">
        <f t="shared" si="46"/>
        <v>82.310179839576008</v>
      </c>
      <c r="BA37">
        <f t="shared" si="47"/>
        <v>84.528161071172207</v>
      </c>
      <c r="BB37">
        <f t="shared" si="48"/>
        <v>86.782723766842977</v>
      </c>
      <c r="BC37">
        <f t="shared" si="49"/>
        <v>89.073867926588292</v>
      </c>
      <c r="BD37">
        <f t="shared" si="50"/>
        <v>91.401593550408151</v>
      </c>
      <c r="BE37">
        <f t="shared" si="51"/>
        <v>93.765900638302554</v>
      </c>
    </row>
    <row r="38" spans="6:57">
      <c r="F38">
        <v>5.8</v>
      </c>
      <c r="G38">
        <f t="shared" si="1"/>
        <v>21.517730207619024</v>
      </c>
      <c r="H38">
        <f t="shared" si="2"/>
        <v>22.106909221758251</v>
      </c>
      <c r="I38">
        <f t="shared" si="3"/>
        <v>22.732669699972028</v>
      </c>
      <c r="J38">
        <f t="shared" si="4"/>
        <v>23.395011642260361</v>
      </c>
      <c r="K38">
        <f t="shared" si="5"/>
        <v>24.093935048623244</v>
      </c>
      <c r="L38">
        <f t="shared" si="6"/>
        <v>24.829439919060679</v>
      </c>
      <c r="M38">
        <f t="shared" si="7"/>
        <v>25.601526253572665</v>
      </c>
      <c r="N38">
        <f t="shared" si="8"/>
        <v>26.410194052159202</v>
      </c>
      <c r="O38">
        <f t="shared" si="9"/>
        <v>27.255443314820297</v>
      </c>
      <c r="P38">
        <f t="shared" si="10"/>
        <v>28.137274041555941</v>
      </c>
      <c r="Q38">
        <f t="shared" si="11"/>
        <v>29.055686232366135</v>
      </c>
      <c r="R38">
        <f t="shared" si="12"/>
        <v>30.01067988725088</v>
      </c>
      <c r="S38">
        <f t="shared" si="13"/>
        <v>31.002255006210181</v>
      </c>
      <c r="T38">
        <f t="shared" si="14"/>
        <v>32.030411589244032</v>
      </c>
      <c r="U38">
        <f t="shared" si="15"/>
        <v>33.095149636352431</v>
      </c>
      <c r="V38">
        <f t="shared" si="16"/>
        <v>34.196469147535389</v>
      </c>
      <c r="W38">
        <f t="shared" si="17"/>
        <v>35.334370122792897</v>
      </c>
      <c r="X38">
        <f t="shared" si="18"/>
        <v>36.508852562124957</v>
      </c>
      <c r="Y38">
        <f t="shared" si="19"/>
        <v>37.719916465531568</v>
      </c>
      <c r="Z38">
        <f t="shared" si="20"/>
        <v>38.967561833012731</v>
      </c>
      <c r="AA38">
        <f t="shared" si="21"/>
        <v>40.251788664568451</v>
      </c>
      <c r="AB38">
        <f t="shared" si="22"/>
        <v>41.572596960198716</v>
      </c>
      <c r="AC38">
        <f t="shared" si="23"/>
        <v>42.929986719903539</v>
      </c>
      <c r="AD38">
        <f t="shared" si="24"/>
        <v>44.323957943682899</v>
      </c>
      <c r="AE38">
        <f t="shared" si="25"/>
        <v>45.754510631536832</v>
      </c>
      <c r="AF38">
        <f t="shared" si="26"/>
        <v>47.221644783465308</v>
      </c>
      <c r="AG38">
        <f t="shared" si="27"/>
        <v>48.725360399468336</v>
      </c>
      <c r="AH38">
        <f t="shared" si="28"/>
        <v>50.265657479545922</v>
      </c>
      <c r="AI38">
        <f t="shared" si="29"/>
        <v>51.842536023698045</v>
      </c>
      <c r="AJ38">
        <f t="shared" si="30"/>
        <v>53.455996031924734</v>
      </c>
      <c r="AK38">
        <f t="shared" si="31"/>
        <v>55.106037504225966</v>
      </c>
      <c r="AL38">
        <f t="shared" si="32"/>
        <v>56.792660440601757</v>
      </c>
      <c r="AM38">
        <f t="shared" si="33"/>
        <v>58.515864841052107</v>
      </c>
      <c r="AN38">
        <f t="shared" si="34"/>
        <v>60.275650705576993</v>
      </c>
      <c r="AO38">
        <f t="shared" si="35"/>
        <v>62.07201803417643</v>
      </c>
      <c r="AP38">
        <f t="shared" si="36"/>
        <v>63.904966826850433</v>
      </c>
      <c r="AQ38">
        <f t="shared" si="37"/>
        <v>65.774497083598988</v>
      </c>
      <c r="AR38">
        <f t="shared" si="38"/>
        <v>67.680608804422079</v>
      </c>
      <c r="AS38">
        <f t="shared" si="39"/>
        <v>69.623301989319728</v>
      </c>
      <c r="AT38">
        <f t="shared" si="40"/>
        <v>71.602576638291936</v>
      </c>
      <c r="AU38">
        <f t="shared" si="41"/>
        <v>73.618432751338702</v>
      </c>
      <c r="AV38">
        <f t="shared" si="42"/>
        <v>75.670870328459998</v>
      </c>
      <c r="AW38">
        <f t="shared" si="43"/>
        <v>77.759889369655866</v>
      </c>
      <c r="AX38">
        <f t="shared" si="44"/>
        <v>79.885489874926279</v>
      </c>
      <c r="AY38">
        <f t="shared" si="45"/>
        <v>82.04767184427125</v>
      </c>
      <c r="AZ38">
        <f t="shared" si="46"/>
        <v>84.246435277690765</v>
      </c>
      <c r="BA38">
        <f t="shared" si="47"/>
        <v>86.481780175184824</v>
      </c>
      <c r="BB38">
        <f t="shared" si="48"/>
        <v>88.753706536753455</v>
      </c>
      <c r="BC38">
        <f t="shared" si="49"/>
        <v>91.062214362396631</v>
      </c>
      <c r="BD38">
        <f t="shared" si="50"/>
        <v>93.407303652114365</v>
      </c>
      <c r="BE38">
        <f t="shared" si="51"/>
        <v>95.788974405906629</v>
      </c>
    </row>
    <row r="39" spans="6:57">
      <c r="F39">
        <v>6</v>
      </c>
      <c r="G39">
        <f t="shared" si="1"/>
        <v>22.709192758419086</v>
      </c>
      <c r="H39">
        <f t="shared" si="2"/>
        <v>23.31573543845618</v>
      </c>
      <c r="I39">
        <f t="shared" si="3"/>
        <v>23.958859582567822</v>
      </c>
      <c r="J39">
        <f t="shared" si="4"/>
        <v>24.638565190754019</v>
      </c>
      <c r="K39">
        <f t="shared" si="5"/>
        <v>25.354852263014767</v>
      </c>
      <c r="L39">
        <f t="shared" si="6"/>
        <v>26.107720799350069</v>
      </c>
      <c r="M39">
        <f t="shared" si="7"/>
        <v>26.897170799759916</v>
      </c>
      <c r="N39">
        <f t="shared" si="8"/>
        <v>27.723202264244321</v>
      </c>
      <c r="O39">
        <f t="shared" si="9"/>
        <v>28.585815192803278</v>
      </c>
      <c r="P39">
        <f t="shared" si="10"/>
        <v>29.485009585436785</v>
      </c>
      <c r="Q39">
        <f t="shared" si="11"/>
        <v>30.420785442144844</v>
      </c>
      <c r="R39">
        <f t="shared" si="12"/>
        <v>31.393142762927457</v>
      </c>
      <c r="S39">
        <f t="shared" si="13"/>
        <v>32.402081547784618</v>
      </c>
      <c r="T39">
        <f t="shared" si="14"/>
        <v>33.447601796716341</v>
      </c>
      <c r="U39">
        <f t="shared" si="15"/>
        <v>34.529703509722609</v>
      </c>
      <c r="V39">
        <f t="shared" si="16"/>
        <v>35.648386686803427</v>
      </c>
      <c r="W39">
        <f t="shared" si="17"/>
        <v>36.803651327958804</v>
      </c>
      <c r="X39">
        <f t="shared" si="18"/>
        <v>37.995497433188724</v>
      </c>
      <c r="Y39">
        <f t="shared" si="19"/>
        <v>39.223925002493203</v>
      </c>
      <c r="Z39">
        <f t="shared" si="20"/>
        <v>40.488934035872227</v>
      </c>
      <c r="AA39">
        <f t="shared" si="21"/>
        <v>41.790524533325808</v>
      </c>
      <c r="AB39">
        <f t="shared" si="22"/>
        <v>43.128696494853941</v>
      </c>
      <c r="AC39">
        <f t="shared" si="23"/>
        <v>44.503449920456632</v>
      </c>
      <c r="AD39">
        <f t="shared" si="24"/>
        <v>45.91478481013386</v>
      </c>
      <c r="AE39">
        <f t="shared" si="25"/>
        <v>47.362701163885653</v>
      </c>
      <c r="AF39">
        <f t="shared" si="26"/>
        <v>48.847198981711998</v>
      </c>
      <c r="AG39">
        <f t="shared" si="27"/>
        <v>50.368278263612893</v>
      </c>
      <c r="AH39">
        <f t="shared" si="28"/>
        <v>51.92593900958834</v>
      </c>
      <c r="AI39">
        <f t="shared" si="29"/>
        <v>53.520181219638324</v>
      </c>
      <c r="AJ39">
        <f t="shared" si="30"/>
        <v>55.151004893762874</v>
      </c>
      <c r="AK39">
        <f t="shared" si="31"/>
        <v>56.818410031961982</v>
      </c>
      <c r="AL39">
        <f t="shared" si="32"/>
        <v>58.522396634235633</v>
      </c>
      <c r="AM39">
        <f t="shared" si="33"/>
        <v>60.262964700583836</v>
      </c>
      <c r="AN39">
        <f t="shared" si="34"/>
        <v>62.040114231006591</v>
      </c>
      <c r="AO39">
        <f t="shared" si="35"/>
        <v>63.853845225503903</v>
      </c>
      <c r="AP39">
        <f t="shared" si="36"/>
        <v>65.704157684075767</v>
      </c>
      <c r="AQ39">
        <f t="shared" si="37"/>
        <v>67.591051606722175</v>
      </c>
      <c r="AR39">
        <f t="shared" si="38"/>
        <v>69.514526993443141</v>
      </c>
      <c r="AS39">
        <f t="shared" si="39"/>
        <v>71.474583844238666</v>
      </c>
      <c r="AT39">
        <f t="shared" si="40"/>
        <v>73.47122215910872</v>
      </c>
      <c r="AU39">
        <f t="shared" si="41"/>
        <v>75.504441938053347</v>
      </c>
      <c r="AV39">
        <f t="shared" si="42"/>
        <v>77.574243181072518</v>
      </c>
      <c r="AW39">
        <f t="shared" si="43"/>
        <v>79.680625888166261</v>
      </c>
      <c r="AX39">
        <f t="shared" si="44"/>
        <v>81.823590059334521</v>
      </c>
      <c r="AY39">
        <f t="shared" si="45"/>
        <v>84.003135694577367</v>
      </c>
      <c r="AZ39">
        <f t="shared" si="46"/>
        <v>86.219262793894742</v>
      </c>
      <c r="BA39">
        <f t="shared" si="47"/>
        <v>88.471971357286662</v>
      </c>
      <c r="BB39">
        <f t="shared" si="48"/>
        <v>90.761261384753169</v>
      </c>
      <c r="BC39">
        <f t="shared" si="49"/>
        <v>93.087132876294206</v>
      </c>
      <c r="BD39">
        <f t="shared" si="50"/>
        <v>95.449585831909815</v>
      </c>
      <c r="BE39">
        <f t="shared" si="51"/>
        <v>97.848620251599939</v>
      </c>
    </row>
    <row r="40" spans="6:57">
      <c r="F40">
        <v>6.2</v>
      </c>
      <c r="G40">
        <f t="shared" si="1"/>
        <v>23.937227387308379</v>
      </c>
      <c r="H40">
        <f t="shared" si="2"/>
        <v>24.561133733243338</v>
      </c>
      <c r="I40">
        <f t="shared" si="3"/>
        <v>25.221621543252844</v>
      </c>
      <c r="J40">
        <f t="shared" si="4"/>
        <v>25.918690817336909</v>
      </c>
      <c r="K40">
        <f t="shared" si="5"/>
        <v>26.652341555495518</v>
      </c>
      <c r="L40">
        <f t="shared" si="6"/>
        <v>27.422573757728681</v>
      </c>
      <c r="M40">
        <f t="shared" si="7"/>
        <v>28.2293874240364</v>
      </c>
      <c r="N40">
        <f t="shared" si="8"/>
        <v>29.072782554418669</v>
      </c>
      <c r="O40">
        <f t="shared" si="9"/>
        <v>29.95275914887549</v>
      </c>
      <c r="P40">
        <f t="shared" si="10"/>
        <v>30.869317207406862</v>
      </c>
      <c r="Q40">
        <f t="shared" si="11"/>
        <v>31.822456730012789</v>
      </c>
      <c r="R40">
        <f t="shared" si="12"/>
        <v>32.812177716693263</v>
      </c>
      <c r="S40">
        <f t="shared" si="13"/>
        <v>33.838480167448296</v>
      </c>
      <c r="T40">
        <f t="shared" si="14"/>
        <v>34.901364082277873</v>
      </c>
      <c r="U40">
        <f t="shared" si="15"/>
        <v>36.000829461182008</v>
      </c>
      <c r="V40">
        <f t="shared" si="16"/>
        <v>37.136876304160694</v>
      </c>
      <c r="W40">
        <f t="shared" si="17"/>
        <v>38.309504611213931</v>
      </c>
      <c r="X40">
        <f t="shared" si="18"/>
        <v>39.51871438234172</v>
      </c>
      <c r="Y40">
        <f t="shared" si="19"/>
        <v>40.76450561754406</v>
      </c>
      <c r="Z40">
        <f t="shared" si="20"/>
        <v>42.046878316820951</v>
      </c>
      <c r="AA40">
        <f t="shared" si="21"/>
        <v>43.365832480172401</v>
      </c>
      <c r="AB40">
        <f t="shared" si="22"/>
        <v>44.721368107598394</v>
      </c>
      <c r="AC40">
        <f t="shared" si="23"/>
        <v>46.113485199098946</v>
      </c>
      <c r="AD40">
        <f t="shared" si="24"/>
        <v>47.542183754674042</v>
      </c>
      <c r="AE40">
        <f t="shared" si="25"/>
        <v>49.007463774323696</v>
      </c>
      <c r="AF40">
        <f t="shared" si="26"/>
        <v>50.509325258047909</v>
      </c>
      <c r="AG40">
        <f t="shared" si="27"/>
        <v>52.047768205846666</v>
      </c>
      <c r="AH40">
        <f t="shared" si="28"/>
        <v>53.622792617719981</v>
      </c>
      <c r="AI40">
        <f t="shared" si="29"/>
        <v>55.23439849366784</v>
      </c>
      <c r="AJ40">
        <f t="shared" si="30"/>
        <v>56.882585833690257</v>
      </c>
      <c r="AK40">
        <f t="shared" si="31"/>
        <v>58.567354637787219</v>
      </c>
      <c r="AL40">
        <f t="shared" si="32"/>
        <v>60.288704905958738</v>
      </c>
      <c r="AM40">
        <f t="shared" si="33"/>
        <v>62.046636638204816</v>
      </c>
      <c r="AN40">
        <f t="shared" si="34"/>
        <v>63.841149834525424</v>
      </c>
      <c r="AO40">
        <f t="shared" si="35"/>
        <v>65.672244494920605</v>
      </c>
      <c r="AP40">
        <f t="shared" si="36"/>
        <v>67.53992061939033</v>
      </c>
      <c r="AQ40">
        <f t="shared" si="37"/>
        <v>69.444178207934613</v>
      </c>
      <c r="AR40">
        <f t="shared" si="38"/>
        <v>71.38501726055344</v>
      </c>
      <c r="AS40">
        <f t="shared" si="39"/>
        <v>73.362437777246811</v>
      </c>
      <c r="AT40">
        <f t="shared" si="40"/>
        <v>75.376439758014754</v>
      </c>
      <c r="AU40">
        <f t="shared" si="41"/>
        <v>77.427023202857242</v>
      </c>
      <c r="AV40">
        <f t="shared" si="42"/>
        <v>79.514188111774274</v>
      </c>
      <c r="AW40">
        <f t="shared" si="43"/>
        <v>81.637934484765879</v>
      </c>
      <c r="AX40">
        <f t="shared" si="44"/>
        <v>83.798262321832013</v>
      </c>
      <c r="AY40">
        <f t="shared" si="45"/>
        <v>85.99517162297272</v>
      </c>
      <c r="AZ40">
        <f t="shared" si="46"/>
        <v>88.228662388187956</v>
      </c>
      <c r="BA40">
        <f t="shared" si="47"/>
        <v>90.498734617477737</v>
      </c>
      <c r="BB40">
        <f t="shared" si="48"/>
        <v>92.805388310842105</v>
      </c>
      <c r="BC40">
        <f t="shared" si="49"/>
        <v>95.148623468281002</v>
      </c>
      <c r="BD40">
        <f t="shared" si="50"/>
        <v>97.528440089794472</v>
      </c>
      <c r="BE40">
        <f t="shared" si="51"/>
        <v>99.944838175382472</v>
      </c>
    </row>
    <row r="41" spans="6:57">
      <c r="F41">
        <v>6.4</v>
      </c>
      <c r="G41">
        <f t="shared" si="1"/>
        <v>25.201834094286895</v>
      </c>
      <c r="H41">
        <f t="shared" si="2"/>
        <v>25.843104106119714</v>
      </c>
      <c r="I41">
        <f t="shared" si="3"/>
        <v>26.520955582027089</v>
      </c>
      <c r="J41">
        <f t="shared" si="4"/>
        <v>27.235388522009014</v>
      </c>
      <c r="K41">
        <f t="shared" si="5"/>
        <v>27.986402926065491</v>
      </c>
      <c r="L41">
        <f t="shared" si="6"/>
        <v>28.773998794196519</v>
      </c>
      <c r="M41">
        <f t="shared" si="7"/>
        <v>29.598176126402102</v>
      </c>
      <c r="N41">
        <f t="shared" si="8"/>
        <v>30.458934922682232</v>
      </c>
      <c r="O41">
        <f t="shared" si="9"/>
        <v>31.356275183036921</v>
      </c>
      <c r="P41">
        <f t="shared" si="10"/>
        <v>32.290196907466161</v>
      </c>
      <c r="Q41">
        <f t="shared" si="11"/>
        <v>33.260700095969952</v>
      </c>
      <c r="R41">
        <f t="shared" si="12"/>
        <v>34.267784748548287</v>
      </c>
      <c r="S41">
        <f t="shared" si="13"/>
        <v>35.311450865201181</v>
      </c>
      <c r="T41">
        <f t="shared" si="14"/>
        <v>36.391698445928633</v>
      </c>
      <c r="U41">
        <f t="shared" si="15"/>
        <v>37.508527490730629</v>
      </c>
      <c r="V41">
        <f t="shared" si="16"/>
        <v>38.661937999607176</v>
      </c>
      <c r="W41">
        <f t="shared" si="17"/>
        <v>39.851929972558281</v>
      </c>
      <c r="X41">
        <f t="shared" si="18"/>
        <v>41.078503409583931</v>
      </c>
      <c r="Y41">
        <f t="shared" si="19"/>
        <v>42.341658310684139</v>
      </c>
      <c r="Z41">
        <f t="shared" si="20"/>
        <v>43.641394675858898</v>
      </c>
      <c r="AA41">
        <f t="shared" si="21"/>
        <v>44.977712505108215</v>
      </c>
      <c r="AB41">
        <f t="shared" si="22"/>
        <v>46.35061179843207</v>
      </c>
      <c r="AC41">
        <f t="shared" si="23"/>
        <v>47.760092555830482</v>
      </c>
      <c r="AD41">
        <f t="shared" si="24"/>
        <v>49.206154777303446</v>
      </c>
      <c r="AE41">
        <f t="shared" si="25"/>
        <v>50.688798462850961</v>
      </c>
      <c r="AF41">
        <f t="shared" si="26"/>
        <v>52.208023612473042</v>
      </c>
      <c r="AG41">
        <f t="shared" si="27"/>
        <v>53.763830226169659</v>
      </c>
      <c r="AH41">
        <f t="shared" si="28"/>
        <v>55.356218303940842</v>
      </c>
      <c r="AI41">
        <f t="shared" si="29"/>
        <v>56.985187845786562</v>
      </c>
      <c r="AJ41">
        <f t="shared" si="30"/>
        <v>58.650738851706848</v>
      </c>
      <c r="AK41">
        <f t="shared" si="31"/>
        <v>60.35287132170167</v>
      </c>
      <c r="AL41">
        <f t="shared" si="32"/>
        <v>62.091585255771058</v>
      </c>
      <c r="AM41">
        <f t="shared" si="33"/>
        <v>63.866880653915004</v>
      </c>
      <c r="AN41">
        <f t="shared" si="34"/>
        <v>65.678757516133473</v>
      </c>
      <c r="AO41">
        <f t="shared" si="35"/>
        <v>67.527215842426514</v>
      </c>
      <c r="AP41">
        <f t="shared" si="36"/>
        <v>69.4122556327941</v>
      </c>
      <c r="AQ41">
        <f t="shared" si="37"/>
        <v>71.333876887236244</v>
      </c>
      <c r="AR41">
        <f t="shared" si="38"/>
        <v>73.29207960575296</v>
      </c>
      <c r="AS41">
        <f t="shared" si="39"/>
        <v>75.286863788344192</v>
      </c>
      <c r="AT41">
        <f t="shared" si="40"/>
        <v>77.318229435009982</v>
      </c>
      <c r="AU41">
        <f t="shared" si="41"/>
        <v>79.386176545750345</v>
      </c>
      <c r="AV41">
        <f t="shared" si="42"/>
        <v>81.490705120565252</v>
      </c>
      <c r="AW41">
        <f t="shared" si="43"/>
        <v>83.631815159454703</v>
      </c>
      <c r="AX41">
        <f t="shared" si="44"/>
        <v>85.809506662418713</v>
      </c>
      <c r="AY41">
        <f t="shared" si="45"/>
        <v>88.023779629457266</v>
      </c>
      <c r="AZ41">
        <f t="shared" si="46"/>
        <v>90.274634060570392</v>
      </c>
      <c r="BA41">
        <f t="shared" si="47"/>
        <v>92.562069955758048</v>
      </c>
      <c r="BB41">
        <f t="shared" si="48"/>
        <v>94.886087315020262</v>
      </c>
      <c r="BC41">
        <f t="shared" si="49"/>
        <v>97.24668613835702</v>
      </c>
      <c r="BD41">
        <f t="shared" si="50"/>
        <v>99.643866425768366</v>
      </c>
      <c r="BE41">
        <f t="shared" si="51"/>
        <v>102.07762817725423</v>
      </c>
    </row>
    <row r="42" spans="6:57">
      <c r="F42">
        <v>6.6</v>
      </c>
      <c r="G42">
        <f t="shared" si="1"/>
        <v>26.503012879354642</v>
      </c>
      <c r="H42">
        <f t="shared" si="2"/>
        <v>27.16164655708533</v>
      </c>
      <c r="I42">
        <f t="shared" si="3"/>
        <v>27.856861698890569</v>
      </c>
      <c r="J42">
        <f t="shared" si="4"/>
        <v>28.588658304770355</v>
      </c>
      <c r="K42">
        <f t="shared" si="5"/>
        <v>29.3570363747247</v>
      </c>
      <c r="L42">
        <f t="shared" si="6"/>
        <v>30.161995908753592</v>
      </c>
      <c r="M42">
        <f t="shared" si="7"/>
        <v>31.00353690685704</v>
      </c>
      <c r="N42">
        <f t="shared" si="8"/>
        <v>31.881659369035042</v>
      </c>
      <c r="O42">
        <f t="shared" si="9"/>
        <v>32.796363295287591</v>
      </c>
      <c r="P42">
        <f t="shared" si="10"/>
        <v>33.747648685614692</v>
      </c>
      <c r="Q42">
        <f t="shared" si="11"/>
        <v>34.735515540016344</v>
      </c>
      <c r="R42">
        <f t="shared" si="12"/>
        <v>35.759963858492554</v>
      </c>
      <c r="S42">
        <f t="shared" si="13"/>
        <v>36.820993641043309</v>
      </c>
      <c r="T42">
        <f t="shared" si="14"/>
        <v>37.918604887668621</v>
      </c>
      <c r="U42">
        <f t="shared" si="15"/>
        <v>39.052797598368485</v>
      </c>
      <c r="V42">
        <f t="shared" si="16"/>
        <v>40.223571773142901</v>
      </c>
      <c r="W42">
        <f t="shared" si="17"/>
        <v>41.430927411991867</v>
      </c>
      <c r="X42">
        <f t="shared" si="18"/>
        <v>42.674864514915384</v>
      </c>
      <c r="Y42">
        <f t="shared" si="19"/>
        <v>43.95538308191346</v>
      </c>
      <c r="Z42">
        <f t="shared" si="20"/>
        <v>45.27248311298608</v>
      </c>
      <c r="AA42">
        <f t="shared" si="21"/>
        <v>46.626164608133259</v>
      </c>
      <c r="AB42">
        <f t="shared" si="22"/>
        <v>48.016427567354981</v>
      </c>
      <c r="AC42">
        <f t="shared" si="23"/>
        <v>49.443271990651262</v>
      </c>
      <c r="AD42">
        <f t="shared" si="24"/>
        <v>50.906697878022094</v>
      </c>
      <c r="AE42">
        <f t="shared" si="25"/>
        <v>52.406705229467477</v>
      </c>
      <c r="AF42">
        <f t="shared" si="26"/>
        <v>53.943294044987411</v>
      </c>
      <c r="AG42">
        <f t="shared" si="27"/>
        <v>55.516464324581904</v>
      </c>
      <c r="AH42">
        <f t="shared" si="28"/>
        <v>57.12621606825094</v>
      </c>
      <c r="AI42">
        <f t="shared" si="29"/>
        <v>58.772549275994528</v>
      </c>
      <c r="AJ42">
        <f t="shared" si="30"/>
        <v>60.455463947812675</v>
      </c>
      <c r="AK42">
        <f t="shared" si="31"/>
        <v>62.174960083705365</v>
      </c>
      <c r="AL42">
        <f t="shared" si="32"/>
        <v>63.931037683672621</v>
      </c>
      <c r="AM42">
        <f t="shared" si="33"/>
        <v>65.723696747714428</v>
      </c>
      <c r="AN42">
        <f t="shared" si="34"/>
        <v>67.552937275830772</v>
      </c>
      <c r="AO42">
        <f t="shared" si="35"/>
        <v>69.41875926802166</v>
      </c>
      <c r="AP42">
        <f t="shared" si="36"/>
        <v>71.321162724287134</v>
      </c>
      <c r="AQ42">
        <f t="shared" si="37"/>
        <v>73.260147644627139</v>
      </c>
      <c r="AR42">
        <f t="shared" si="38"/>
        <v>75.235714029041702</v>
      </c>
      <c r="AS42">
        <f t="shared" si="39"/>
        <v>77.247861877530809</v>
      </c>
      <c r="AT42">
        <f t="shared" si="40"/>
        <v>79.296591190094475</v>
      </c>
      <c r="AU42">
        <f t="shared" si="41"/>
        <v>81.381901966732684</v>
      </c>
      <c r="AV42">
        <f t="shared" si="42"/>
        <v>83.503794207445452</v>
      </c>
      <c r="AW42">
        <f t="shared" si="43"/>
        <v>85.662267912232778</v>
      </c>
      <c r="AX42">
        <f t="shared" si="44"/>
        <v>87.857323081094648</v>
      </c>
      <c r="AY42">
        <f t="shared" si="45"/>
        <v>90.088959714031077</v>
      </c>
      <c r="AZ42">
        <f t="shared" si="46"/>
        <v>92.35717781104205</v>
      </c>
      <c r="BA42">
        <f t="shared" si="47"/>
        <v>94.661977372127581</v>
      </c>
      <c r="BB42">
        <f t="shared" si="48"/>
        <v>97.003358397287684</v>
      </c>
      <c r="BC42">
        <f t="shared" si="49"/>
        <v>99.381320886522289</v>
      </c>
      <c r="BD42">
        <f t="shared" si="50"/>
        <v>101.79586483983149</v>
      </c>
      <c r="BE42">
        <f t="shared" si="51"/>
        <v>104.24699025721522</v>
      </c>
    </row>
    <row r="43" spans="6:57">
      <c r="F43">
        <v>6.8</v>
      </c>
      <c r="G43">
        <f t="shared" si="1"/>
        <v>27.840763742511626</v>
      </c>
      <c r="H43">
        <f t="shared" si="2"/>
        <v>28.516761086140175</v>
      </c>
      <c r="I43">
        <f t="shared" si="3"/>
        <v>29.229339893843278</v>
      </c>
      <c r="J43">
        <f t="shared" si="4"/>
        <v>29.978500165620936</v>
      </c>
      <c r="K43">
        <f t="shared" si="5"/>
        <v>30.764241901473145</v>
      </c>
      <c r="L43">
        <f t="shared" si="6"/>
        <v>31.586565101399902</v>
      </c>
      <c r="M43">
        <f t="shared" si="7"/>
        <v>32.445469765401214</v>
      </c>
      <c r="N43">
        <f t="shared" si="8"/>
        <v>33.340955893477073</v>
      </c>
      <c r="O43">
        <f t="shared" si="9"/>
        <v>34.27302348562749</v>
      </c>
      <c r="P43">
        <f t="shared" si="10"/>
        <v>35.241672541852459</v>
      </c>
      <c r="Q43">
        <f t="shared" si="11"/>
        <v>36.246903062151979</v>
      </c>
      <c r="R43">
        <f t="shared" si="12"/>
        <v>37.28871504652605</v>
      </c>
      <c r="S43">
        <f t="shared" si="13"/>
        <v>38.367108494974673</v>
      </c>
      <c r="T43">
        <f t="shared" si="14"/>
        <v>39.482083407497846</v>
      </c>
      <c r="U43">
        <f t="shared" si="15"/>
        <v>40.633639784095571</v>
      </c>
      <c r="V43">
        <f t="shared" si="16"/>
        <v>41.821777624767854</v>
      </c>
      <c r="W43">
        <f t="shared" si="17"/>
        <v>43.046496929514689</v>
      </c>
      <c r="X43">
        <f t="shared" si="18"/>
        <v>44.307797698336067</v>
      </c>
      <c r="Y43">
        <f t="shared" si="19"/>
        <v>45.605679931232011</v>
      </c>
      <c r="Z43">
        <f t="shared" si="20"/>
        <v>46.940143628202492</v>
      </c>
      <c r="AA43">
        <f t="shared" si="21"/>
        <v>48.311188789247538</v>
      </c>
      <c r="AB43">
        <f t="shared" si="22"/>
        <v>49.718815414367128</v>
      </c>
      <c r="AC43">
        <f t="shared" si="23"/>
        <v>51.16302350356127</v>
      </c>
      <c r="AD43">
        <f t="shared" si="24"/>
        <v>52.643813056829963</v>
      </c>
      <c r="AE43">
        <f t="shared" si="25"/>
        <v>54.161184074173214</v>
      </c>
      <c r="AF43">
        <f t="shared" si="26"/>
        <v>55.715136555591016</v>
      </c>
      <c r="AG43">
        <f t="shared" si="27"/>
        <v>57.30567050108337</v>
      </c>
      <c r="AH43">
        <f t="shared" si="28"/>
        <v>58.932785910650281</v>
      </c>
      <c r="AI43">
        <f t="shared" si="29"/>
        <v>60.596482784291723</v>
      </c>
      <c r="AJ43">
        <f t="shared" si="30"/>
        <v>62.296761122007737</v>
      </c>
      <c r="AK43">
        <f t="shared" si="31"/>
        <v>64.033620923798296</v>
      </c>
      <c r="AL43">
        <f t="shared" si="32"/>
        <v>65.807062189663412</v>
      </c>
      <c r="AM43">
        <f t="shared" si="33"/>
        <v>67.617084919603087</v>
      </c>
      <c r="AN43">
        <f t="shared" si="34"/>
        <v>69.463689113617292</v>
      </c>
      <c r="AO43">
        <f t="shared" si="35"/>
        <v>71.346874771706055</v>
      </c>
      <c r="AP43">
        <f t="shared" si="36"/>
        <v>73.266641893869377</v>
      </c>
      <c r="AQ43">
        <f t="shared" si="37"/>
        <v>75.222990480107256</v>
      </c>
      <c r="AR43">
        <f t="shared" si="38"/>
        <v>77.21592053041968</v>
      </c>
      <c r="AS43">
        <f t="shared" si="39"/>
        <v>79.245432044806648</v>
      </c>
      <c r="AT43">
        <f t="shared" si="40"/>
        <v>81.311525023268189</v>
      </c>
      <c r="AU43">
        <f t="shared" si="41"/>
        <v>83.414199465804273</v>
      </c>
      <c r="AV43">
        <f t="shared" si="42"/>
        <v>85.553455372414902</v>
      </c>
      <c r="AW43">
        <f t="shared" si="43"/>
        <v>87.729292743100089</v>
      </c>
      <c r="AX43">
        <f t="shared" si="44"/>
        <v>89.94171157785982</v>
      </c>
      <c r="AY43">
        <f t="shared" si="45"/>
        <v>92.190711876694124</v>
      </c>
      <c r="AZ43">
        <f t="shared" si="46"/>
        <v>94.476293639602957</v>
      </c>
      <c r="BA43">
        <f t="shared" si="47"/>
        <v>96.798456866586335</v>
      </c>
      <c r="BB43">
        <f t="shared" si="48"/>
        <v>99.157201557644299</v>
      </c>
      <c r="BC43">
        <f t="shared" si="49"/>
        <v>101.55252771277679</v>
      </c>
      <c r="BD43">
        <f t="shared" si="50"/>
        <v>103.98443533198385</v>
      </c>
      <c r="BE43">
        <f t="shared" si="51"/>
        <v>106.45292441526544</v>
      </c>
    </row>
    <row r="44" spans="6:57">
      <c r="F44">
        <v>7</v>
      </c>
      <c r="G44">
        <f t="shared" si="1"/>
        <v>29.215086683757839</v>
      </c>
      <c r="H44">
        <f t="shared" si="2"/>
        <v>29.908447693284252</v>
      </c>
      <c r="I44">
        <f t="shared" si="3"/>
        <v>30.638390166885223</v>
      </c>
      <c r="J44">
        <f t="shared" si="4"/>
        <v>31.404914104560742</v>
      </c>
      <c r="K44">
        <f t="shared" si="5"/>
        <v>32.208019506310812</v>
      </c>
      <c r="L44">
        <f t="shared" si="6"/>
        <v>33.047706372135437</v>
      </c>
      <c r="M44">
        <f t="shared" si="7"/>
        <v>33.923974702034613</v>
      </c>
      <c r="N44">
        <f t="shared" si="8"/>
        <v>34.83682449600834</v>
      </c>
      <c r="O44">
        <f t="shared" si="9"/>
        <v>35.786255754056619</v>
      </c>
      <c r="P44">
        <f t="shared" si="10"/>
        <v>36.772268476179455</v>
      </c>
      <c r="Q44">
        <f t="shared" si="11"/>
        <v>37.794862662376836</v>
      </c>
      <c r="R44">
        <f t="shared" si="12"/>
        <v>38.854038312648775</v>
      </c>
      <c r="S44">
        <f t="shared" si="13"/>
        <v>39.949795426995266</v>
      </c>
      <c r="T44">
        <f t="shared" si="14"/>
        <v>41.082134005416307</v>
      </c>
      <c r="U44">
        <f t="shared" si="15"/>
        <v>42.251054047911893</v>
      </c>
      <c r="V44">
        <f t="shared" si="16"/>
        <v>43.456555554482037</v>
      </c>
      <c r="W44">
        <f t="shared" si="17"/>
        <v>44.698638525126739</v>
      </c>
      <c r="X44">
        <f t="shared" si="18"/>
        <v>45.977302959845986</v>
      </c>
      <c r="Y44">
        <f t="shared" si="19"/>
        <v>47.292548858639783</v>
      </c>
      <c r="Z44">
        <f t="shared" si="20"/>
        <v>48.644376221508139</v>
      </c>
      <c r="AA44">
        <f t="shared" si="21"/>
        <v>50.032785048451039</v>
      </c>
      <c r="AB44">
        <f t="shared" si="22"/>
        <v>51.457775339468498</v>
      </c>
      <c r="AC44">
        <f t="shared" si="23"/>
        <v>52.919347094560514</v>
      </c>
      <c r="AD44">
        <f t="shared" si="24"/>
        <v>54.417500313727075</v>
      </c>
      <c r="AE44">
        <f t="shared" si="25"/>
        <v>55.952234996968187</v>
      </c>
      <c r="AF44">
        <f t="shared" si="26"/>
        <v>57.52355114428385</v>
      </c>
      <c r="AG44">
        <f t="shared" si="27"/>
        <v>59.131448755674072</v>
      </c>
      <c r="AH44">
        <f t="shared" si="28"/>
        <v>60.775927831138844</v>
      </c>
      <c r="AI44">
        <f t="shared" si="29"/>
        <v>62.456988370678147</v>
      </c>
      <c r="AJ44">
        <f t="shared" si="30"/>
        <v>64.174630374292022</v>
      </c>
      <c r="AK44">
        <f t="shared" si="31"/>
        <v>65.928853841980455</v>
      </c>
      <c r="AL44">
        <f t="shared" si="32"/>
        <v>67.719658773743433</v>
      </c>
      <c r="AM44">
        <f t="shared" si="33"/>
        <v>69.547045169580969</v>
      </c>
      <c r="AN44">
        <f t="shared" si="34"/>
        <v>71.411013029493034</v>
      </c>
      <c r="AO44">
        <f t="shared" si="35"/>
        <v>73.311562353479673</v>
      </c>
      <c r="AP44">
        <f t="shared" si="36"/>
        <v>75.248693141540869</v>
      </c>
      <c r="AQ44">
        <f t="shared" si="37"/>
        <v>77.22240539367661</v>
      </c>
      <c r="AR44">
        <f t="shared" si="38"/>
        <v>79.232699109886894</v>
      </c>
      <c r="AS44">
        <f t="shared" si="39"/>
        <v>81.279574290171723</v>
      </c>
      <c r="AT44">
        <f t="shared" si="40"/>
        <v>83.363030934531125</v>
      </c>
      <c r="AU44">
        <f t="shared" si="41"/>
        <v>85.48306904296507</v>
      </c>
      <c r="AV44">
        <f t="shared" si="42"/>
        <v>87.63968861547356</v>
      </c>
      <c r="AW44">
        <f t="shared" si="43"/>
        <v>89.832889652056622</v>
      </c>
      <c r="AX44">
        <f t="shared" si="44"/>
        <v>92.062672152714214</v>
      </c>
      <c r="AY44">
        <f t="shared" si="45"/>
        <v>94.329036117446392</v>
      </c>
      <c r="AZ44">
        <f t="shared" si="46"/>
        <v>96.631981546253087</v>
      </c>
      <c r="BA44">
        <f t="shared" si="47"/>
        <v>98.97150843913434</v>
      </c>
      <c r="BB44">
        <f t="shared" si="48"/>
        <v>101.34761679609016</v>
      </c>
      <c r="BC44">
        <f t="shared" si="49"/>
        <v>103.76030661712052</v>
      </c>
      <c r="BD44">
        <f t="shared" si="50"/>
        <v>106.20957790222545</v>
      </c>
      <c r="BE44">
        <f t="shared" si="51"/>
        <v>108.69543065140491</v>
      </c>
    </row>
    <row r="45" spans="6:57">
      <c r="F45">
        <v>7.2</v>
      </c>
      <c r="G45">
        <f t="shared" si="1"/>
        <v>30.625981703093277</v>
      </c>
      <c r="H45">
        <f t="shared" si="2"/>
        <v>31.336706378517558</v>
      </c>
      <c r="I45">
        <f t="shared" si="3"/>
        <v>32.084012518016387</v>
      </c>
      <c r="J45">
        <f t="shared" si="4"/>
        <v>32.867900121589777</v>
      </c>
      <c r="K45">
        <f t="shared" si="5"/>
        <v>33.688369189237712</v>
      </c>
      <c r="L45">
        <f t="shared" si="6"/>
        <v>34.545419720960204</v>
      </c>
      <c r="M45">
        <f t="shared" si="7"/>
        <v>35.439051716757241</v>
      </c>
      <c r="N45">
        <f t="shared" si="8"/>
        <v>36.369265176628836</v>
      </c>
      <c r="O45">
        <f t="shared" si="9"/>
        <v>37.336060100574983</v>
      </c>
      <c r="P45">
        <f t="shared" si="10"/>
        <v>38.33943648859568</v>
      </c>
      <c r="Q45">
        <f t="shared" si="11"/>
        <v>39.379394340690929</v>
      </c>
      <c r="R45">
        <f t="shared" si="12"/>
        <v>40.455933656860729</v>
      </c>
      <c r="S45">
        <f t="shared" si="13"/>
        <v>41.569054437105088</v>
      </c>
      <c r="T45">
        <f t="shared" si="14"/>
        <v>42.718756681423983</v>
      </c>
      <c r="U45">
        <f t="shared" si="15"/>
        <v>43.905040389817444</v>
      </c>
      <c r="V45">
        <f t="shared" si="16"/>
        <v>45.127905562285456</v>
      </c>
      <c r="W45">
        <f t="shared" si="17"/>
        <v>46.387352198828019</v>
      </c>
      <c r="X45">
        <f t="shared" si="18"/>
        <v>47.683380299445126</v>
      </c>
      <c r="Y45">
        <f t="shared" si="19"/>
        <v>49.015989864136792</v>
      </c>
      <c r="Z45">
        <f t="shared" si="20"/>
        <v>50.385180892903008</v>
      </c>
      <c r="AA45">
        <f t="shared" si="21"/>
        <v>51.790953385743776</v>
      </c>
      <c r="AB45">
        <f t="shared" si="22"/>
        <v>53.233307342659103</v>
      </c>
      <c r="AC45">
        <f t="shared" si="23"/>
        <v>54.71224276364898</v>
      </c>
      <c r="AD45">
        <f t="shared" si="24"/>
        <v>56.227759648713402</v>
      </c>
      <c r="AE45">
        <f t="shared" si="25"/>
        <v>57.779857997852382</v>
      </c>
      <c r="AF45">
        <f t="shared" si="26"/>
        <v>59.368537811065906</v>
      </c>
      <c r="AG45">
        <f t="shared" si="27"/>
        <v>60.993799088353995</v>
      </c>
      <c r="AH45">
        <f t="shared" si="28"/>
        <v>62.655641829716629</v>
      </c>
      <c r="AI45">
        <f t="shared" si="29"/>
        <v>64.354066035153807</v>
      </c>
      <c r="AJ45">
        <f t="shared" si="30"/>
        <v>66.089071704665542</v>
      </c>
      <c r="AK45">
        <f t="shared" si="31"/>
        <v>67.860658838251851</v>
      </c>
      <c r="AL45">
        <f t="shared" si="32"/>
        <v>69.668827435912689</v>
      </c>
      <c r="AM45">
        <f t="shared" si="33"/>
        <v>71.513577497648086</v>
      </c>
      <c r="AN45">
        <f t="shared" si="34"/>
        <v>73.394909023458027</v>
      </c>
      <c r="AO45">
        <f t="shared" si="35"/>
        <v>75.312822013342526</v>
      </c>
      <c r="AP45">
        <f t="shared" si="36"/>
        <v>77.267316467301583</v>
      </c>
      <c r="AQ45">
        <f t="shared" si="37"/>
        <v>79.258392385335185</v>
      </c>
      <c r="AR45">
        <f t="shared" si="38"/>
        <v>81.28604976744333</v>
      </c>
      <c r="AS45">
        <f t="shared" si="39"/>
        <v>83.350288613626034</v>
      </c>
      <c r="AT45">
        <f t="shared" si="40"/>
        <v>85.451108923883297</v>
      </c>
      <c r="AU45">
        <f t="shared" si="41"/>
        <v>87.588510698215117</v>
      </c>
      <c r="AV45">
        <f t="shared" si="42"/>
        <v>89.762493936621468</v>
      </c>
      <c r="AW45">
        <f t="shared" si="43"/>
        <v>91.973058639102376</v>
      </c>
      <c r="AX45">
        <f t="shared" si="44"/>
        <v>94.220204805657858</v>
      </c>
      <c r="AY45">
        <f t="shared" si="45"/>
        <v>96.503932436287883</v>
      </c>
      <c r="AZ45">
        <f t="shared" si="46"/>
        <v>98.824241530992438</v>
      </c>
      <c r="BA45">
        <f t="shared" si="47"/>
        <v>101.18113208977155</v>
      </c>
      <c r="BB45">
        <f t="shared" si="48"/>
        <v>103.57460411262525</v>
      </c>
      <c r="BC45">
        <f t="shared" si="49"/>
        <v>106.00465759955345</v>
      </c>
      <c r="BD45">
        <f t="shared" si="50"/>
        <v>108.47129255055627</v>
      </c>
      <c r="BE45">
        <f t="shared" si="51"/>
        <v>110.97450896563359</v>
      </c>
    </row>
    <row r="46" spans="6:57">
      <c r="F46">
        <v>7.4</v>
      </c>
      <c r="G46">
        <f t="shared" si="1"/>
        <v>32.073448800517944</v>
      </c>
      <c r="H46">
        <f t="shared" si="2"/>
        <v>32.801537141840086</v>
      </c>
      <c r="I46">
        <f t="shared" si="3"/>
        <v>33.566206947236786</v>
      </c>
      <c r="J46">
        <f t="shared" si="4"/>
        <v>34.367458216708037</v>
      </c>
      <c r="K46">
        <f t="shared" si="5"/>
        <v>35.20529095025384</v>
      </c>
      <c r="L46">
        <f t="shared" si="6"/>
        <v>36.079705147874186</v>
      </c>
      <c r="M46">
        <f t="shared" si="7"/>
        <v>36.990700809569098</v>
      </c>
      <c r="N46">
        <f t="shared" si="8"/>
        <v>37.938277935338554</v>
      </c>
      <c r="O46">
        <f t="shared" si="9"/>
        <v>38.922436525182562</v>
      </c>
      <c r="P46">
        <f t="shared" si="10"/>
        <v>39.94317657910112</v>
      </c>
      <c r="Q46">
        <f t="shared" si="11"/>
        <v>41.000498097094244</v>
      </c>
      <c r="R46">
        <f t="shared" si="12"/>
        <v>42.094401079161905</v>
      </c>
      <c r="S46">
        <f t="shared" si="13"/>
        <v>43.224885525304124</v>
      </c>
      <c r="T46">
        <f t="shared" si="14"/>
        <v>44.391951435520895</v>
      </c>
      <c r="U46">
        <f t="shared" si="15"/>
        <v>45.595598809812216</v>
      </c>
      <c r="V46">
        <f t="shared" si="16"/>
        <v>46.835827648178089</v>
      </c>
      <c r="W46">
        <f t="shared" si="17"/>
        <v>48.11263795061852</v>
      </c>
      <c r="X46">
        <f t="shared" si="18"/>
        <v>49.426029717133495</v>
      </c>
      <c r="Y46">
        <f t="shared" si="19"/>
        <v>50.776002947723022</v>
      </c>
      <c r="Z46">
        <f t="shared" si="20"/>
        <v>52.162557642387107</v>
      </c>
      <c r="AA46">
        <f t="shared" si="21"/>
        <v>53.585693801125743</v>
      </c>
      <c r="AB46">
        <f t="shared" si="22"/>
        <v>55.04541142393893</v>
      </c>
      <c r="AC46">
        <f t="shared" si="23"/>
        <v>56.541710510826668</v>
      </c>
      <c r="AD46">
        <f t="shared" si="24"/>
        <v>58.074591061788958</v>
      </c>
      <c r="AE46">
        <f t="shared" si="25"/>
        <v>59.644053076825799</v>
      </c>
      <c r="AF46">
        <f t="shared" si="26"/>
        <v>61.250096555937198</v>
      </c>
      <c r="AG46">
        <f t="shared" si="27"/>
        <v>62.892721499123148</v>
      </c>
      <c r="AH46">
        <f t="shared" si="28"/>
        <v>64.571927906383635</v>
      </c>
      <c r="AI46">
        <f t="shared" si="29"/>
        <v>66.287715777718688</v>
      </c>
      <c r="AJ46">
        <f t="shared" si="30"/>
        <v>68.040085113128299</v>
      </c>
      <c r="AK46">
        <f t="shared" si="31"/>
        <v>69.829035912612454</v>
      </c>
      <c r="AL46">
        <f t="shared" si="32"/>
        <v>71.654568176171168</v>
      </c>
      <c r="AM46">
        <f t="shared" si="33"/>
        <v>73.516681903804425</v>
      </c>
      <c r="AN46">
        <f t="shared" si="34"/>
        <v>75.415377095512227</v>
      </c>
      <c r="AO46">
        <f t="shared" si="35"/>
        <v>77.350653751294587</v>
      </c>
      <c r="AP46">
        <f t="shared" si="36"/>
        <v>79.322511871151505</v>
      </c>
      <c r="AQ46">
        <f t="shared" si="37"/>
        <v>81.330951455082982</v>
      </c>
      <c r="AR46">
        <f t="shared" si="38"/>
        <v>83.375972503089002</v>
      </c>
      <c r="AS46">
        <f t="shared" si="39"/>
        <v>85.457575015169567</v>
      </c>
      <c r="AT46">
        <f t="shared" si="40"/>
        <v>87.57575899132469</v>
      </c>
      <c r="AU46">
        <f t="shared" si="41"/>
        <v>89.730524431554358</v>
      </c>
      <c r="AV46">
        <f t="shared" si="42"/>
        <v>91.921871335858583</v>
      </c>
      <c r="AW46">
        <f t="shared" si="43"/>
        <v>94.149799704237381</v>
      </c>
      <c r="AX46">
        <f t="shared" si="44"/>
        <v>96.414309536690695</v>
      </c>
      <c r="AY46">
        <f t="shared" si="45"/>
        <v>98.715400833218595</v>
      </c>
      <c r="AZ46">
        <f t="shared" si="46"/>
        <v>101.05307359382103</v>
      </c>
      <c r="BA46">
        <f t="shared" si="47"/>
        <v>103.427327818498</v>
      </c>
      <c r="BB46">
        <f t="shared" si="48"/>
        <v>105.83816350724956</v>
      </c>
      <c r="BC46">
        <f t="shared" si="49"/>
        <v>108.28558066007565</v>
      </c>
      <c r="BD46">
        <f t="shared" si="50"/>
        <v>110.76957927697629</v>
      </c>
      <c r="BE46">
        <f t="shared" si="51"/>
        <v>113.29015935795148</v>
      </c>
    </row>
    <row r="47" spans="6:57">
      <c r="F47">
        <v>7.6</v>
      </c>
      <c r="G47">
        <f t="shared" si="1"/>
        <v>33.557487976031844</v>
      </c>
      <c r="H47">
        <f t="shared" si="2"/>
        <v>34.302939983251854</v>
      </c>
      <c r="I47">
        <f t="shared" si="3"/>
        <v>35.084973454546414</v>
      </c>
      <c r="J47">
        <f t="shared" si="4"/>
        <v>35.903588389915527</v>
      </c>
      <c r="K47">
        <f t="shared" si="5"/>
        <v>36.75878478935919</v>
      </c>
      <c r="L47">
        <f t="shared" si="6"/>
        <v>37.650562652877412</v>
      </c>
      <c r="M47">
        <f t="shared" si="7"/>
        <v>38.578921980470184</v>
      </c>
      <c r="N47">
        <f t="shared" si="8"/>
        <v>39.543862772137508</v>
      </c>
      <c r="O47">
        <f t="shared" si="9"/>
        <v>40.545385027879384</v>
      </c>
      <c r="P47">
        <f t="shared" si="10"/>
        <v>41.58348874769581</v>
      </c>
      <c r="Q47">
        <f t="shared" si="11"/>
        <v>42.658173931586788</v>
      </c>
      <c r="R47">
        <f t="shared" si="12"/>
        <v>43.769440579552317</v>
      </c>
      <c r="S47">
        <f t="shared" si="13"/>
        <v>44.917288691592404</v>
      </c>
      <c r="T47">
        <f t="shared" si="14"/>
        <v>46.101718267707035</v>
      </c>
      <c r="U47">
        <f t="shared" si="15"/>
        <v>47.322729307896225</v>
      </c>
      <c r="V47">
        <f t="shared" si="16"/>
        <v>48.580321812159966</v>
      </c>
      <c r="W47">
        <f t="shared" si="17"/>
        <v>49.87449578049825</v>
      </c>
      <c r="X47">
        <f t="shared" si="18"/>
        <v>51.205251212911094</v>
      </c>
      <c r="Y47">
        <f t="shared" si="19"/>
        <v>52.572588109398488</v>
      </c>
      <c r="Z47">
        <f t="shared" si="20"/>
        <v>53.976506469960434</v>
      </c>
      <c r="AA47">
        <f t="shared" si="21"/>
        <v>55.417006294596938</v>
      </c>
      <c r="AB47">
        <f t="shared" si="22"/>
        <v>56.894087583307993</v>
      </c>
      <c r="AC47">
        <f t="shared" si="23"/>
        <v>58.407750336093599</v>
      </c>
      <c r="AD47">
        <f t="shared" si="24"/>
        <v>59.95799455295375</v>
      </c>
      <c r="AE47">
        <f t="shared" si="25"/>
        <v>61.544820233888458</v>
      </c>
      <c r="AF47">
        <f t="shared" si="26"/>
        <v>63.168227378897711</v>
      </c>
      <c r="AG47">
        <f t="shared" si="27"/>
        <v>64.828215987981537</v>
      </c>
      <c r="AH47">
        <f t="shared" si="28"/>
        <v>66.524786061139892</v>
      </c>
      <c r="AI47">
        <f t="shared" si="29"/>
        <v>68.257937598372806</v>
      </c>
      <c r="AJ47">
        <f t="shared" si="30"/>
        <v>70.027670599680278</v>
      </c>
      <c r="AK47">
        <f t="shared" si="31"/>
        <v>71.833985065062294</v>
      </c>
      <c r="AL47">
        <f t="shared" si="32"/>
        <v>73.676880994518882</v>
      </c>
      <c r="AM47">
        <f t="shared" si="33"/>
        <v>75.55635838805</v>
      </c>
      <c r="AN47">
        <f t="shared" si="34"/>
        <v>77.472417245655663</v>
      </c>
      <c r="AO47">
        <f t="shared" si="35"/>
        <v>79.425057567335884</v>
      </c>
      <c r="AP47">
        <f t="shared" si="36"/>
        <v>81.414279353090677</v>
      </c>
      <c r="AQ47">
        <f t="shared" si="37"/>
        <v>83.440082602920015</v>
      </c>
      <c r="AR47">
        <f t="shared" si="38"/>
        <v>85.502467316823896</v>
      </c>
      <c r="AS47">
        <f t="shared" si="39"/>
        <v>87.601433494802336</v>
      </c>
      <c r="AT47">
        <f t="shared" si="40"/>
        <v>89.73698113685532</v>
      </c>
      <c r="AU47">
        <f t="shared" si="41"/>
        <v>91.909110242982862</v>
      </c>
      <c r="AV47">
        <f t="shared" si="42"/>
        <v>94.117820813184949</v>
      </c>
      <c r="AW47">
        <f t="shared" si="43"/>
        <v>96.363112847461608</v>
      </c>
      <c r="AX47">
        <f t="shared" si="44"/>
        <v>98.644986345812782</v>
      </c>
      <c r="AY47">
        <f t="shared" si="45"/>
        <v>100.96344130823854</v>
      </c>
      <c r="AZ47">
        <f t="shared" si="46"/>
        <v>103.31847773473883</v>
      </c>
      <c r="BA47">
        <f t="shared" si="47"/>
        <v>105.71009562531368</v>
      </c>
      <c r="BB47">
        <f t="shared" si="48"/>
        <v>108.13829497996311</v>
      </c>
      <c r="BC47">
        <f t="shared" si="49"/>
        <v>110.60307579868706</v>
      </c>
      <c r="BD47">
        <f t="shared" si="50"/>
        <v>113.10443808148558</v>
      </c>
      <c r="BE47">
        <f t="shared" si="51"/>
        <v>115.64238182835862</v>
      </c>
    </row>
    <row r="48" spans="6:57">
      <c r="F48">
        <v>7.8</v>
      </c>
      <c r="G48">
        <f t="shared" si="1"/>
        <v>35.078099229634972</v>
      </c>
      <c r="H48">
        <f t="shared" si="2"/>
        <v>35.840914902752843</v>
      </c>
      <c r="I48">
        <f t="shared" si="3"/>
        <v>36.640312039945279</v>
      </c>
      <c r="J48">
        <f t="shared" si="4"/>
        <v>37.476290641212252</v>
      </c>
      <c r="K48">
        <f t="shared" si="5"/>
        <v>38.34885070655379</v>
      </c>
      <c r="L48">
        <f t="shared" si="6"/>
        <v>39.257992235969866</v>
      </c>
      <c r="M48">
        <f t="shared" si="7"/>
        <v>40.203715229460499</v>
      </c>
      <c r="N48">
        <f t="shared" si="8"/>
        <v>41.186019687025691</v>
      </c>
      <c r="O48">
        <f t="shared" si="9"/>
        <v>42.204905608665428</v>
      </c>
      <c r="P48">
        <f t="shared" si="10"/>
        <v>43.260372994379722</v>
      </c>
      <c r="Q48">
        <f t="shared" si="11"/>
        <v>44.352421844168568</v>
      </c>
      <c r="R48">
        <f t="shared" si="12"/>
        <v>45.481052158031957</v>
      </c>
      <c r="S48">
        <f t="shared" si="13"/>
        <v>46.646263935969912</v>
      </c>
      <c r="T48">
        <f t="shared" si="14"/>
        <v>47.848057177982405</v>
      </c>
      <c r="U48">
        <f t="shared" si="15"/>
        <v>49.086431884069455</v>
      </c>
      <c r="V48">
        <f t="shared" si="16"/>
        <v>50.361388054231064</v>
      </c>
      <c r="W48">
        <f t="shared" si="17"/>
        <v>51.672925688467217</v>
      </c>
      <c r="X48">
        <f t="shared" si="18"/>
        <v>53.021044786777928</v>
      </c>
      <c r="Y48">
        <f t="shared" si="19"/>
        <v>54.40574534916319</v>
      </c>
      <c r="Z48">
        <f t="shared" si="20"/>
        <v>55.827027375623004</v>
      </c>
      <c r="AA48">
        <f t="shared" si="21"/>
        <v>57.284890866157369</v>
      </c>
      <c r="AB48">
        <f t="shared" si="22"/>
        <v>58.779335820766278</v>
      </c>
      <c r="AC48">
        <f t="shared" si="23"/>
        <v>60.310362239449752</v>
      </c>
      <c r="AD48">
        <f t="shared" si="24"/>
        <v>61.877970122207763</v>
      </c>
      <c r="AE48">
        <f t="shared" si="25"/>
        <v>63.48215946904034</v>
      </c>
      <c r="AF48">
        <f t="shared" si="26"/>
        <v>65.122930279947468</v>
      </c>
      <c r="AG48">
        <f t="shared" si="27"/>
        <v>66.80028255492914</v>
      </c>
      <c r="AH48">
        <f t="shared" si="28"/>
        <v>68.514216293985385</v>
      </c>
      <c r="AI48">
        <f t="shared" si="29"/>
        <v>70.264731497116145</v>
      </c>
      <c r="AJ48">
        <f t="shared" si="30"/>
        <v>72.051828164321492</v>
      </c>
      <c r="AK48">
        <f t="shared" si="31"/>
        <v>73.875506295601369</v>
      </c>
      <c r="AL48">
        <f t="shared" si="32"/>
        <v>75.735765890955804</v>
      </c>
      <c r="AM48">
        <f t="shared" si="33"/>
        <v>77.632606950384798</v>
      </c>
      <c r="AN48">
        <f t="shared" si="34"/>
        <v>79.566029473888335</v>
      </c>
      <c r="AO48">
        <f t="shared" si="35"/>
        <v>81.536033461466431</v>
      </c>
      <c r="AP48">
        <f t="shared" si="36"/>
        <v>83.542618913119071</v>
      </c>
      <c r="AQ48">
        <f t="shared" si="37"/>
        <v>85.585785828846269</v>
      </c>
      <c r="AR48">
        <f t="shared" si="38"/>
        <v>87.665534208648026</v>
      </c>
      <c r="AS48">
        <f t="shared" si="39"/>
        <v>89.781864052524327</v>
      </c>
      <c r="AT48">
        <f t="shared" si="40"/>
        <v>91.934775360475172</v>
      </c>
      <c r="AU48">
        <f t="shared" si="41"/>
        <v>94.124268132500589</v>
      </c>
      <c r="AV48">
        <f t="shared" si="42"/>
        <v>96.350342368600536</v>
      </c>
      <c r="AW48">
        <f t="shared" si="43"/>
        <v>98.612998068775056</v>
      </c>
      <c r="AX48">
        <f t="shared" si="44"/>
        <v>100.91223523302412</v>
      </c>
      <c r="AY48">
        <f t="shared" si="45"/>
        <v>103.24805386134774</v>
      </c>
      <c r="AZ48">
        <f t="shared" si="46"/>
        <v>105.62045395374589</v>
      </c>
      <c r="BA48">
        <f t="shared" si="47"/>
        <v>108.02943551021859</v>
      </c>
      <c r="BB48">
        <f t="shared" si="48"/>
        <v>110.47499853076587</v>
      </c>
      <c r="BC48">
        <f t="shared" si="49"/>
        <v>112.95714301538769</v>
      </c>
      <c r="BD48">
        <f t="shared" si="50"/>
        <v>115.47586896408409</v>
      </c>
      <c r="BE48">
        <f t="shared" si="51"/>
        <v>118.031176376855</v>
      </c>
    </row>
    <row r="49" spans="6:57">
      <c r="F49">
        <v>8</v>
      </c>
      <c r="G49">
        <f t="shared" si="1"/>
        <v>36.63528256132733</v>
      </c>
      <c r="H49">
        <f t="shared" si="2"/>
        <v>37.415461900343068</v>
      </c>
      <c r="I49">
        <f t="shared" si="3"/>
        <v>38.232222703433358</v>
      </c>
      <c r="J49">
        <f t="shared" si="4"/>
        <v>39.085564970598206</v>
      </c>
      <c r="K49">
        <f t="shared" si="5"/>
        <v>39.975488701837605</v>
      </c>
      <c r="L49">
        <f t="shared" si="6"/>
        <v>40.901993897151549</v>
      </c>
      <c r="M49">
        <f t="shared" si="7"/>
        <v>41.86508055654005</v>
      </c>
      <c r="N49">
        <f t="shared" si="8"/>
        <v>42.864748680003103</v>
      </c>
      <c r="O49">
        <f t="shared" si="9"/>
        <v>43.900998267540707</v>
      </c>
      <c r="P49">
        <f t="shared" si="10"/>
        <v>44.973829319152863</v>
      </c>
      <c r="Q49">
        <f t="shared" si="11"/>
        <v>46.083241834839569</v>
      </c>
      <c r="R49">
        <f t="shared" si="12"/>
        <v>47.229235814600827</v>
      </c>
      <c r="S49">
        <f t="shared" si="13"/>
        <v>48.411811258436636</v>
      </c>
      <c r="T49">
        <f t="shared" si="14"/>
        <v>49.630968166347003</v>
      </c>
      <c r="U49">
        <f t="shared" si="15"/>
        <v>50.886706538331921</v>
      </c>
      <c r="V49">
        <f t="shared" si="16"/>
        <v>52.179026374391391</v>
      </c>
      <c r="W49">
        <f t="shared" si="17"/>
        <v>53.507927674525412</v>
      </c>
      <c r="X49">
        <f t="shared" si="18"/>
        <v>54.873410438733984</v>
      </c>
      <c r="Y49">
        <f t="shared" si="19"/>
        <v>56.275474667017114</v>
      </c>
      <c r="Z49">
        <f t="shared" si="20"/>
        <v>57.714120359374789</v>
      </c>
      <c r="AA49">
        <f t="shared" si="21"/>
        <v>59.189347515807022</v>
      </c>
      <c r="AB49">
        <f t="shared" si="22"/>
        <v>60.701156136313799</v>
      </c>
      <c r="AC49">
        <f t="shared" si="23"/>
        <v>62.249546220895134</v>
      </c>
      <c r="AD49">
        <f t="shared" si="24"/>
        <v>63.834517769551013</v>
      </c>
      <c r="AE49">
        <f t="shared" si="25"/>
        <v>65.456070782281444</v>
      </c>
      <c r="AF49">
        <f t="shared" si="26"/>
        <v>67.114205259086447</v>
      </c>
      <c r="AG49">
        <f t="shared" si="27"/>
        <v>68.808921199965994</v>
      </c>
      <c r="AH49">
        <f t="shared" si="28"/>
        <v>70.540218604920085</v>
      </c>
      <c r="AI49">
        <f t="shared" si="29"/>
        <v>72.30809747394872</v>
      </c>
      <c r="AJ49">
        <f t="shared" si="30"/>
        <v>74.112557807051928</v>
      </c>
      <c r="AK49">
        <f t="shared" si="31"/>
        <v>75.953599604229666</v>
      </c>
      <c r="AL49">
        <f t="shared" si="32"/>
        <v>77.831222865481976</v>
      </c>
      <c r="AM49">
        <f t="shared" si="33"/>
        <v>79.745427590808831</v>
      </c>
      <c r="AN49">
        <f t="shared" si="34"/>
        <v>81.696213780210229</v>
      </c>
      <c r="AO49">
        <f t="shared" si="35"/>
        <v>83.683581433686186</v>
      </c>
      <c r="AP49">
        <f t="shared" si="36"/>
        <v>85.707530551236687</v>
      </c>
      <c r="AQ49">
        <f t="shared" si="37"/>
        <v>87.76806113286176</v>
      </c>
      <c r="AR49">
        <f t="shared" si="38"/>
        <v>89.865173178561378</v>
      </c>
      <c r="AS49">
        <f t="shared" si="39"/>
        <v>91.998866688335539</v>
      </c>
      <c r="AT49">
        <f t="shared" si="40"/>
        <v>94.169141662184245</v>
      </c>
      <c r="AU49">
        <f t="shared" si="41"/>
        <v>96.375998100107537</v>
      </c>
      <c r="AV49">
        <f t="shared" si="42"/>
        <v>98.619436002105331</v>
      </c>
      <c r="AW49">
        <f t="shared" si="43"/>
        <v>100.89945536817773</v>
      </c>
      <c r="AX49">
        <f t="shared" si="44"/>
        <v>103.21605619832465</v>
      </c>
      <c r="AY49">
        <f t="shared" si="45"/>
        <v>105.56923849254615</v>
      </c>
      <c r="AZ49">
        <f t="shared" si="46"/>
        <v>107.95900225084216</v>
      </c>
      <c r="BA49">
        <f t="shared" si="47"/>
        <v>110.38534747321273</v>
      </c>
      <c r="BB49">
        <f t="shared" si="48"/>
        <v>112.84827415965788</v>
      </c>
      <c r="BC49">
        <f t="shared" si="49"/>
        <v>115.34778231017756</v>
      </c>
      <c r="BD49">
        <f t="shared" si="50"/>
        <v>117.88387192477182</v>
      </c>
      <c r="BE49">
        <f t="shared" si="51"/>
        <v>120.4565430034406</v>
      </c>
    </row>
    <row r="50" spans="6:57">
      <c r="F50">
        <v>8.1999999999999993</v>
      </c>
      <c r="G50">
        <f t="shared" si="1"/>
        <v>38.229037971108923</v>
      </c>
      <c r="H50">
        <f t="shared" si="2"/>
        <v>39.02658097602253</v>
      </c>
      <c r="I50">
        <f t="shared" si="3"/>
        <v>39.86070544501068</v>
      </c>
      <c r="J50">
        <f t="shared" si="4"/>
        <v>40.731411378073396</v>
      </c>
      <c r="K50">
        <f t="shared" si="5"/>
        <v>41.638698775210649</v>
      </c>
      <c r="L50">
        <f t="shared" si="6"/>
        <v>42.582567636422468</v>
      </c>
      <c r="M50">
        <f t="shared" si="7"/>
        <v>43.56301796170883</v>
      </c>
      <c r="N50">
        <f t="shared" si="8"/>
        <v>44.580049751069751</v>
      </c>
      <c r="O50">
        <f t="shared" si="9"/>
        <v>45.633663004505216</v>
      </c>
      <c r="P50">
        <f t="shared" si="10"/>
        <v>46.723857722015239</v>
      </c>
      <c r="Q50">
        <f t="shared" si="11"/>
        <v>47.850633903599807</v>
      </c>
      <c r="R50">
        <f t="shared" si="12"/>
        <v>49.01399154925894</v>
      </c>
      <c r="S50">
        <f t="shared" si="13"/>
        <v>50.213930658992609</v>
      </c>
      <c r="T50">
        <f t="shared" si="14"/>
        <v>51.450451232800845</v>
      </c>
      <c r="U50">
        <f t="shared" si="15"/>
        <v>52.723553270683624</v>
      </c>
      <c r="V50">
        <f t="shared" si="16"/>
        <v>54.033236772640961</v>
      </c>
      <c r="W50">
        <f t="shared" si="17"/>
        <v>55.379501738672843</v>
      </c>
      <c r="X50">
        <f t="shared" si="18"/>
        <v>56.762348168779283</v>
      </c>
      <c r="Y50">
        <f t="shared" si="19"/>
        <v>58.181776062960282</v>
      </c>
      <c r="Z50">
        <f t="shared" si="20"/>
        <v>59.637785421215817</v>
      </c>
      <c r="AA50">
        <f t="shared" si="21"/>
        <v>61.130376243545911</v>
      </c>
      <c r="AB50">
        <f t="shared" si="22"/>
        <v>62.659548529950555</v>
      </c>
      <c r="AC50">
        <f t="shared" si="23"/>
        <v>64.225302280429759</v>
      </c>
      <c r="AD50">
        <f t="shared" si="24"/>
        <v>65.827637494983492</v>
      </c>
      <c r="AE50">
        <f t="shared" si="25"/>
        <v>67.466554173611797</v>
      </c>
      <c r="AF50">
        <f t="shared" si="26"/>
        <v>69.142052316314661</v>
      </c>
      <c r="AG50">
        <f t="shared" si="27"/>
        <v>70.854131923092069</v>
      </c>
      <c r="AH50">
        <f t="shared" si="28"/>
        <v>72.602792993944036</v>
      </c>
      <c r="AI50">
        <f t="shared" si="29"/>
        <v>74.388035528870532</v>
      </c>
      <c r="AJ50">
        <f t="shared" si="30"/>
        <v>76.2098595278716</v>
      </c>
      <c r="AK50">
        <f t="shared" si="31"/>
        <v>78.068264990947213</v>
      </c>
      <c r="AL50">
        <f t="shared" si="32"/>
        <v>79.963251918097384</v>
      </c>
      <c r="AM50">
        <f t="shared" si="33"/>
        <v>81.894820309322114</v>
      </c>
      <c r="AN50">
        <f t="shared" si="34"/>
        <v>83.862970164621359</v>
      </c>
      <c r="AO50">
        <f t="shared" si="35"/>
        <v>85.867701483995191</v>
      </c>
      <c r="AP50">
        <f t="shared" si="36"/>
        <v>87.909014267443567</v>
      </c>
      <c r="AQ50">
        <f t="shared" si="37"/>
        <v>89.986908514966501</v>
      </c>
      <c r="AR50">
        <f t="shared" si="38"/>
        <v>92.101384226563979</v>
      </c>
      <c r="AS50">
        <f t="shared" si="39"/>
        <v>94.252441402236002</v>
      </c>
      <c r="AT50">
        <f t="shared" si="40"/>
        <v>96.440080041982597</v>
      </c>
      <c r="AU50">
        <f t="shared" si="41"/>
        <v>98.664300145803708</v>
      </c>
      <c r="AV50">
        <f t="shared" si="42"/>
        <v>100.92510171369941</v>
      </c>
      <c r="AW50">
        <f t="shared" si="43"/>
        <v>103.22248474566965</v>
      </c>
      <c r="AX50">
        <f t="shared" si="44"/>
        <v>105.55644924171443</v>
      </c>
      <c r="AY50">
        <f t="shared" si="45"/>
        <v>107.92699520183379</v>
      </c>
      <c r="AZ50">
        <f t="shared" si="46"/>
        <v>110.33412262602769</v>
      </c>
      <c r="BA50">
        <f t="shared" si="47"/>
        <v>112.77783151429612</v>
      </c>
      <c r="BB50">
        <f t="shared" si="48"/>
        <v>115.25812186663913</v>
      </c>
      <c r="BC50">
        <f t="shared" si="49"/>
        <v>117.77499368305666</v>
      </c>
      <c r="BD50">
        <f t="shared" si="50"/>
        <v>120.3284469635488</v>
      </c>
      <c r="BE50">
        <f t="shared" si="51"/>
        <v>122.91848170811544</v>
      </c>
    </row>
    <row r="51" spans="6:57">
      <c r="F51">
        <v>8.4</v>
      </c>
      <c r="G51">
        <f t="shared" si="1"/>
        <v>39.859365458979731</v>
      </c>
      <c r="H51">
        <f t="shared" si="2"/>
        <v>40.674272129791206</v>
      </c>
      <c r="I51">
        <f t="shared" si="3"/>
        <v>41.525760264677224</v>
      </c>
      <c r="J51">
        <f t="shared" si="4"/>
        <v>42.413829863637801</v>
      </c>
      <c r="K51">
        <f t="shared" si="5"/>
        <v>43.338480926672922</v>
      </c>
      <c r="L51">
        <f t="shared" si="6"/>
        <v>44.299713453782601</v>
      </c>
      <c r="M51">
        <f t="shared" si="7"/>
        <v>45.297527444966832</v>
      </c>
      <c r="N51">
        <f t="shared" si="8"/>
        <v>46.331922900225607</v>
      </c>
      <c r="O51">
        <f t="shared" si="9"/>
        <v>47.402899819558954</v>
      </c>
      <c r="P51">
        <f t="shared" si="10"/>
        <v>48.510458202966838</v>
      </c>
      <c r="Q51">
        <f t="shared" si="11"/>
        <v>49.654598050449273</v>
      </c>
      <c r="R51">
        <f t="shared" si="12"/>
        <v>50.835319362006267</v>
      </c>
      <c r="S51">
        <f t="shared" si="13"/>
        <v>52.052622137637805</v>
      </c>
      <c r="T51">
        <f t="shared" si="14"/>
        <v>53.306506377343901</v>
      </c>
      <c r="U51">
        <f t="shared" si="15"/>
        <v>54.596972081124541</v>
      </c>
      <c r="V51">
        <f t="shared" si="16"/>
        <v>55.924019248979739</v>
      </c>
      <c r="W51">
        <f t="shared" si="17"/>
        <v>57.287647880909496</v>
      </c>
      <c r="X51">
        <f t="shared" si="18"/>
        <v>58.687857976913797</v>
      </c>
      <c r="Y51">
        <f t="shared" si="19"/>
        <v>60.124649536992649</v>
      </c>
      <c r="Z51">
        <f t="shared" si="20"/>
        <v>61.59802256114606</v>
      </c>
      <c r="AA51">
        <f t="shared" si="21"/>
        <v>63.107977049374014</v>
      </c>
      <c r="AB51">
        <f t="shared" si="22"/>
        <v>64.654513001676534</v>
      </c>
      <c r="AC51">
        <f t="shared" si="23"/>
        <v>66.237630418053598</v>
      </c>
      <c r="AD51">
        <f t="shared" si="24"/>
        <v>67.857329298505206</v>
      </c>
      <c r="AE51">
        <f t="shared" si="25"/>
        <v>69.513609643031373</v>
      </c>
      <c r="AF51">
        <f t="shared" si="26"/>
        <v>71.206471451632098</v>
      </c>
      <c r="AG51">
        <f t="shared" si="27"/>
        <v>72.935914724307366</v>
      </c>
      <c r="AH51">
        <f t="shared" si="28"/>
        <v>74.701939461057179</v>
      </c>
      <c r="AI51">
        <f t="shared" si="29"/>
        <v>76.504545661881565</v>
      </c>
      <c r="AJ51">
        <f t="shared" si="30"/>
        <v>78.343733326780495</v>
      </c>
      <c r="AK51">
        <f t="shared" si="31"/>
        <v>80.219502455753968</v>
      </c>
      <c r="AL51">
        <f t="shared" si="32"/>
        <v>82.131853048802</v>
      </c>
      <c r="AM51">
        <f t="shared" si="33"/>
        <v>84.080785105924591</v>
      </c>
      <c r="AN51">
        <f t="shared" si="34"/>
        <v>86.066298627121711</v>
      </c>
      <c r="AO51">
        <f t="shared" si="35"/>
        <v>88.088393612393403</v>
      </c>
      <c r="AP51">
        <f t="shared" si="36"/>
        <v>90.14707006173964</v>
      </c>
      <c r="AQ51">
        <f t="shared" si="37"/>
        <v>92.242327975160435</v>
      </c>
      <c r="AR51">
        <f t="shared" si="38"/>
        <v>94.374167352655775</v>
      </c>
      <c r="AS51">
        <f t="shared" si="39"/>
        <v>96.542588194225672</v>
      </c>
      <c r="AT51">
        <f t="shared" si="40"/>
        <v>98.747590499870114</v>
      </c>
      <c r="AU51">
        <f t="shared" si="41"/>
        <v>100.98917426958914</v>
      </c>
      <c r="AV51">
        <f t="shared" si="42"/>
        <v>103.26733950338266</v>
      </c>
      <c r="AW51">
        <f t="shared" si="43"/>
        <v>105.58208620125079</v>
      </c>
      <c r="AX51">
        <f t="shared" si="44"/>
        <v>107.93341436319344</v>
      </c>
      <c r="AY51">
        <f t="shared" si="45"/>
        <v>110.32132398921067</v>
      </c>
      <c r="AZ51">
        <f t="shared" si="46"/>
        <v>112.74581507930239</v>
      </c>
      <c r="BA51">
        <f t="shared" si="47"/>
        <v>115.20688763346871</v>
      </c>
      <c r="BB51">
        <f t="shared" si="48"/>
        <v>117.70454165170959</v>
      </c>
      <c r="BC51">
        <f t="shared" si="49"/>
        <v>120.23877713402499</v>
      </c>
      <c r="BD51">
        <f t="shared" si="50"/>
        <v>122.80959408041498</v>
      </c>
      <c r="BE51">
        <f t="shared" si="51"/>
        <v>125.41699249087949</v>
      </c>
    </row>
    <row r="52" spans="6:57">
      <c r="F52">
        <v>8.6</v>
      </c>
      <c r="G52">
        <f t="shared" si="1"/>
        <v>41.526265024939789</v>
      </c>
      <c r="H52">
        <f t="shared" si="2"/>
        <v>42.358535361649125</v>
      </c>
      <c r="I52">
        <f t="shared" si="3"/>
        <v>43.227387162433011</v>
      </c>
      <c r="J52">
        <f t="shared" si="4"/>
        <v>44.132820427291449</v>
      </c>
      <c r="K52">
        <f t="shared" si="5"/>
        <v>45.074835156224445</v>
      </c>
      <c r="L52">
        <f t="shared" si="6"/>
        <v>46.053431349231985</v>
      </c>
      <c r="M52">
        <f t="shared" si="7"/>
        <v>47.068609006314077</v>
      </c>
      <c r="N52">
        <f t="shared" si="8"/>
        <v>48.120368127470726</v>
      </c>
      <c r="O52">
        <f t="shared" si="9"/>
        <v>49.208708712701927</v>
      </c>
      <c r="P52">
        <f t="shared" si="10"/>
        <v>50.333630762007679</v>
      </c>
      <c r="Q52">
        <f t="shared" si="11"/>
        <v>51.495134275387983</v>
      </c>
      <c r="R52">
        <f t="shared" si="12"/>
        <v>52.69321925284283</v>
      </c>
      <c r="S52">
        <f t="shared" si="13"/>
        <v>53.927885694372243</v>
      </c>
      <c r="T52">
        <f t="shared" si="14"/>
        <v>55.199133599976207</v>
      </c>
      <c r="U52">
        <f t="shared" si="15"/>
        <v>56.506962969654715</v>
      </c>
      <c r="V52">
        <f t="shared" si="16"/>
        <v>57.851373803407782</v>
      </c>
      <c r="W52">
        <f t="shared" si="17"/>
        <v>59.232366101235385</v>
      </c>
      <c r="X52">
        <f t="shared" si="18"/>
        <v>60.649939863137554</v>
      </c>
      <c r="Y52">
        <f t="shared" si="19"/>
        <v>62.104095089114281</v>
      </c>
      <c r="Z52">
        <f t="shared" si="20"/>
        <v>63.594831779165546</v>
      </c>
      <c r="AA52">
        <f t="shared" si="21"/>
        <v>65.122149933291382</v>
      </c>
      <c r="AB52">
        <f t="shared" si="22"/>
        <v>66.686049551491749</v>
      </c>
      <c r="AC52">
        <f t="shared" si="23"/>
        <v>68.286530633766674</v>
      </c>
      <c r="AD52">
        <f t="shared" si="24"/>
        <v>69.923593180116157</v>
      </c>
      <c r="AE52">
        <f t="shared" si="25"/>
        <v>71.597237190540184</v>
      </c>
      <c r="AF52">
        <f t="shared" si="26"/>
        <v>73.30746266503877</v>
      </c>
      <c r="AG52">
        <f t="shared" si="27"/>
        <v>75.054269603611914</v>
      </c>
      <c r="AH52">
        <f t="shared" si="28"/>
        <v>76.837658006259602</v>
      </c>
      <c r="AI52">
        <f t="shared" si="29"/>
        <v>78.657627872981834</v>
      </c>
      <c r="AJ52">
        <f t="shared" si="30"/>
        <v>80.514179203778639</v>
      </c>
      <c r="AK52">
        <f t="shared" si="31"/>
        <v>82.407311998649973</v>
      </c>
      <c r="AL52">
        <f t="shared" si="32"/>
        <v>84.33702625759588</v>
      </c>
      <c r="AM52">
        <f t="shared" si="33"/>
        <v>86.303321980616317</v>
      </c>
      <c r="AN52">
        <f t="shared" si="34"/>
        <v>88.306199167711313</v>
      </c>
      <c r="AO52">
        <f t="shared" si="35"/>
        <v>90.345657818880866</v>
      </c>
      <c r="AP52">
        <f t="shared" si="36"/>
        <v>92.421697934124978</v>
      </c>
      <c r="AQ52">
        <f t="shared" si="37"/>
        <v>94.534319513443648</v>
      </c>
      <c r="AR52">
        <f t="shared" si="38"/>
        <v>96.683522556836834</v>
      </c>
      <c r="AS52">
        <f t="shared" si="39"/>
        <v>98.869307064304593</v>
      </c>
      <c r="AT52">
        <f t="shared" si="40"/>
        <v>101.09167303584691</v>
      </c>
      <c r="AU52">
        <f t="shared" si="41"/>
        <v>103.35062047146378</v>
      </c>
      <c r="AV52">
        <f t="shared" si="42"/>
        <v>105.64614937115519</v>
      </c>
      <c r="AW52">
        <f t="shared" si="43"/>
        <v>107.97825973492118</v>
      </c>
      <c r="AX52">
        <f t="shared" si="44"/>
        <v>110.34695156276169</v>
      </c>
      <c r="AY52">
        <f t="shared" si="45"/>
        <v>112.75222485467677</v>
      </c>
      <c r="AZ52">
        <f t="shared" si="46"/>
        <v>115.19407961066639</v>
      </c>
      <c r="BA52">
        <f t="shared" si="47"/>
        <v>117.67251583073055</v>
      </c>
      <c r="BB52">
        <f t="shared" si="48"/>
        <v>120.1875335148693</v>
      </c>
      <c r="BC52">
        <f t="shared" si="49"/>
        <v>122.73913266308259</v>
      </c>
      <c r="BD52">
        <f t="shared" si="50"/>
        <v>125.32731327537041</v>
      </c>
      <c r="BE52">
        <f t="shared" si="51"/>
        <v>127.95207535173279</v>
      </c>
    </row>
    <row r="53" spans="6:57">
      <c r="F53">
        <v>8.8000000000000007</v>
      </c>
      <c r="G53">
        <f t="shared" si="1"/>
        <v>43.229736668989062</v>
      </c>
      <c r="H53">
        <f t="shared" si="2"/>
        <v>44.079370671596259</v>
      </c>
      <c r="I53">
        <f t="shared" si="3"/>
        <v>44.965586138278013</v>
      </c>
      <c r="J53">
        <f t="shared" si="4"/>
        <v>45.888383069034319</v>
      </c>
      <c r="K53">
        <f t="shared" si="5"/>
        <v>46.847761463865176</v>
      </c>
      <c r="L53">
        <f t="shared" si="6"/>
        <v>47.843721322770577</v>
      </c>
      <c r="M53">
        <f t="shared" si="7"/>
        <v>48.876262645750536</v>
      </c>
      <c r="N53">
        <f t="shared" si="8"/>
        <v>49.945385432805047</v>
      </c>
      <c r="O53">
        <f t="shared" si="9"/>
        <v>51.051089683934116</v>
      </c>
      <c r="P53">
        <f t="shared" si="10"/>
        <v>52.193375399137729</v>
      </c>
      <c r="Q53">
        <f t="shared" si="11"/>
        <v>53.3722425784159</v>
      </c>
      <c r="R53">
        <f t="shared" si="12"/>
        <v>54.587691221768615</v>
      </c>
      <c r="S53">
        <f t="shared" si="13"/>
        <v>55.839721329195889</v>
      </c>
      <c r="T53">
        <f t="shared" si="14"/>
        <v>57.128332900697714</v>
      </c>
      <c r="U53">
        <f t="shared" si="15"/>
        <v>58.45352593627409</v>
      </c>
      <c r="V53">
        <f t="shared" si="16"/>
        <v>59.815300435925018</v>
      </c>
      <c r="W53">
        <f t="shared" si="17"/>
        <v>61.213656399650496</v>
      </c>
      <c r="X53">
        <f t="shared" si="18"/>
        <v>62.648593827450526</v>
      </c>
      <c r="Y53">
        <f t="shared" si="19"/>
        <v>64.120112719325121</v>
      </c>
      <c r="Z53">
        <f t="shared" si="20"/>
        <v>65.628213075274246</v>
      </c>
      <c r="AA53">
        <f t="shared" si="21"/>
        <v>67.172894895297944</v>
      </c>
      <c r="AB53">
        <f t="shared" si="22"/>
        <v>68.754158179396185</v>
      </c>
      <c r="AC53">
        <f t="shared" si="23"/>
        <v>70.372002927568971</v>
      </c>
      <c r="AD53">
        <f t="shared" si="24"/>
        <v>72.026429139816315</v>
      </c>
      <c r="AE53">
        <f t="shared" si="25"/>
        <v>73.717436816138218</v>
      </c>
      <c r="AF53">
        <f t="shared" si="26"/>
        <v>75.445025956534664</v>
      </c>
      <c r="AG53">
        <f t="shared" si="27"/>
        <v>77.209196561005669</v>
      </c>
      <c r="AH53">
        <f t="shared" si="28"/>
        <v>79.009948629551218</v>
      </c>
      <c r="AI53">
        <f t="shared" si="29"/>
        <v>80.847282162171325</v>
      </c>
      <c r="AJ53">
        <f t="shared" si="30"/>
        <v>82.721197158865976</v>
      </c>
      <c r="AK53">
        <f t="shared" si="31"/>
        <v>84.631693619635186</v>
      </c>
      <c r="AL53">
        <f t="shared" si="32"/>
        <v>86.578771544478954</v>
      </c>
      <c r="AM53">
        <f t="shared" si="33"/>
        <v>88.562430933397266</v>
      </c>
      <c r="AN53">
        <f t="shared" si="34"/>
        <v>90.582671786390122</v>
      </c>
      <c r="AO53">
        <f t="shared" si="35"/>
        <v>92.639494103457537</v>
      </c>
      <c r="AP53">
        <f t="shared" si="36"/>
        <v>94.73289788459951</v>
      </c>
      <c r="AQ53">
        <f t="shared" si="37"/>
        <v>96.862883129816041</v>
      </c>
      <c r="AR53">
        <f t="shared" si="38"/>
        <v>99.029449839107102</v>
      </c>
      <c r="AS53">
        <f t="shared" si="39"/>
        <v>101.23259801247274</v>
      </c>
      <c r="AT53">
        <f t="shared" si="40"/>
        <v>103.4723276499129</v>
      </c>
      <c r="AU53">
        <f t="shared" si="41"/>
        <v>105.74863875142765</v>
      </c>
      <c r="AV53">
        <f t="shared" si="42"/>
        <v>108.06153131701691</v>
      </c>
      <c r="AW53">
        <f t="shared" si="43"/>
        <v>110.41100534668075</v>
      </c>
      <c r="AX53">
        <f t="shared" si="44"/>
        <v>112.79706084041914</v>
      </c>
      <c r="AY53">
        <f t="shared" si="45"/>
        <v>115.21969779823209</v>
      </c>
      <c r="AZ53">
        <f t="shared" si="46"/>
        <v>117.67891622011958</v>
      </c>
      <c r="BA53">
        <f t="shared" si="47"/>
        <v>120.1747161060816</v>
      </c>
      <c r="BB53">
        <f t="shared" si="48"/>
        <v>122.70709745611822</v>
      </c>
      <c r="BC53">
        <f t="shared" si="49"/>
        <v>125.27606027022935</v>
      </c>
      <c r="BD53">
        <f t="shared" si="50"/>
        <v>127.88160454841505</v>
      </c>
      <c r="BE53">
        <f t="shared" si="51"/>
        <v>130.5237302906753</v>
      </c>
    </row>
    <row r="54" spans="6:57">
      <c r="F54">
        <v>9</v>
      </c>
      <c r="G54">
        <f t="shared" si="1"/>
        <v>44.969780391127564</v>
      </c>
      <c r="H54">
        <f t="shared" si="2"/>
        <v>45.836778059632628</v>
      </c>
      <c r="I54">
        <f t="shared" si="3"/>
        <v>46.740357192212244</v>
      </c>
      <c r="J54">
        <f t="shared" si="4"/>
        <v>47.68051778886641</v>
      </c>
      <c r="K54">
        <f t="shared" si="5"/>
        <v>48.657259849595128</v>
      </c>
      <c r="L54">
        <f t="shared" si="6"/>
        <v>49.670583374398404</v>
      </c>
      <c r="M54">
        <f t="shared" si="7"/>
        <v>50.720488363276232</v>
      </c>
      <c r="N54">
        <f t="shared" si="8"/>
        <v>51.806974816228603</v>
      </c>
      <c r="O54">
        <f t="shared" si="9"/>
        <v>52.930042733255533</v>
      </c>
      <c r="P54">
        <f t="shared" si="10"/>
        <v>54.089692114357014</v>
      </c>
      <c r="Q54">
        <f t="shared" si="11"/>
        <v>55.285922959533053</v>
      </c>
      <c r="R54">
        <f t="shared" si="12"/>
        <v>56.51873526878363</v>
      </c>
      <c r="S54">
        <f t="shared" si="13"/>
        <v>57.788129042108771</v>
      </c>
      <c r="T54">
        <f t="shared" si="14"/>
        <v>59.094104279508457</v>
      </c>
      <c r="U54">
        <f t="shared" si="15"/>
        <v>60.436660980982694</v>
      </c>
      <c r="V54">
        <f t="shared" si="16"/>
        <v>61.815799146531489</v>
      </c>
      <c r="W54">
        <f t="shared" si="17"/>
        <v>63.231518776154836</v>
      </c>
      <c r="X54">
        <f t="shared" si="18"/>
        <v>64.683819869852726</v>
      </c>
      <c r="Y54">
        <f t="shared" si="19"/>
        <v>66.172702427625183</v>
      </c>
      <c r="Z54">
        <f t="shared" si="20"/>
        <v>67.698166449472183</v>
      </c>
      <c r="AA54">
        <f t="shared" si="21"/>
        <v>69.260211935393727</v>
      </c>
      <c r="AB54">
        <f t="shared" si="22"/>
        <v>70.858838885389844</v>
      </c>
      <c r="AC54">
        <f t="shared" si="23"/>
        <v>72.494047299460505</v>
      </c>
      <c r="AD54">
        <f t="shared" si="24"/>
        <v>74.165837177605709</v>
      </c>
      <c r="AE54">
        <f t="shared" si="25"/>
        <v>75.874208519825473</v>
      </c>
      <c r="AF54">
        <f t="shared" si="26"/>
        <v>77.61916132611978</v>
      </c>
      <c r="AG54">
        <f t="shared" si="27"/>
        <v>79.400695596488646</v>
      </c>
      <c r="AH54">
        <f t="shared" si="28"/>
        <v>81.21881133093207</v>
      </c>
      <c r="AI54">
        <f t="shared" si="29"/>
        <v>83.073508529450038</v>
      </c>
      <c r="AJ54">
        <f t="shared" si="30"/>
        <v>84.96478719204255</v>
      </c>
      <c r="AK54">
        <f t="shared" si="31"/>
        <v>86.892647318709635</v>
      </c>
      <c r="AL54">
        <f t="shared" si="32"/>
        <v>88.857088909451264</v>
      </c>
      <c r="AM54">
        <f t="shared" si="33"/>
        <v>90.858111964267437</v>
      </c>
      <c r="AN54">
        <f t="shared" si="34"/>
        <v>92.895716483158168</v>
      </c>
      <c r="AO54">
        <f t="shared" si="35"/>
        <v>94.969902466123443</v>
      </c>
      <c r="AP54">
        <f t="shared" si="36"/>
        <v>97.080669913163291</v>
      </c>
      <c r="AQ54">
        <f t="shared" si="37"/>
        <v>99.228018824277683</v>
      </c>
      <c r="AR54">
        <f t="shared" si="38"/>
        <v>101.41194919946662</v>
      </c>
      <c r="AS54">
        <f t="shared" si="39"/>
        <v>103.63246103873009</v>
      </c>
      <c r="AT54">
        <f t="shared" si="40"/>
        <v>105.88955434206814</v>
      </c>
      <c r="AU54">
        <f t="shared" si="41"/>
        <v>108.18322910948073</v>
      </c>
      <c r="AV54">
        <f t="shared" si="42"/>
        <v>110.51348534096786</v>
      </c>
      <c r="AW54">
        <f t="shared" si="43"/>
        <v>112.88032303652959</v>
      </c>
      <c r="AX54">
        <f t="shared" si="44"/>
        <v>115.28374219616583</v>
      </c>
      <c r="AY54">
        <f t="shared" si="45"/>
        <v>117.72374281987663</v>
      </c>
      <c r="AZ54">
        <f t="shared" si="46"/>
        <v>120.20032490766198</v>
      </c>
      <c r="BA54">
        <f t="shared" si="47"/>
        <v>122.71348845952188</v>
      </c>
      <c r="BB54">
        <f t="shared" si="48"/>
        <v>125.26323347545636</v>
      </c>
      <c r="BC54">
        <f t="shared" si="49"/>
        <v>127.84955995546537</v>
      </c>
      <c r="BD54">
        <f t="shared" si="50"/>
        <v>130.47246789954892</v>
      </c>
      <c r="BE54">
        <f t="shared" si="51"/>
        <v>133.13195730770704</v>
      </c>
    </row>
    <row r="55" spans="6:57">
      <c r="F55">
        <v>9.1999999999999993</v>
      </c>
      <c r="G55">
        <f t="shared" si="1"/>
        <v>46.746396191355316</v>
      </c>
      <c r="H55">
        <f t="shared" si="2"/>
        <v>47.630757525758241</v>
      </c>
      <c r="I55">
        <f t="shared" si="3"/>
        <v>48.551700324235725</v>
      </c>
      <c r="J55">
        <f t="shared" si="4"/>
        <v>49.509224586787759</v>
      </c>
      <c r="K55">
        <f t="shared" si="5"/>
        <v>50.503330313414338</v>
      </c>
      <c r="L55">
        <f t="shared" si="6"/>
        <v>51.534017504115482</v>
      </c>
      <c r="M55">
        <f t="shared" si="7"/>
        <v>52.60128615889117</v>
      </c>
      <c r="N55">
        <f t="shared" si="8"/>
        <v>53.70513627774141</v>
      </c>
      <c r="O55">
        <f t="shared" si="9"/>
        <v>54.845567860666208</v>
      </c>
      <c r="P55">
        <f t="shared" si="10"/>
        <v>56.022580907665549</v>
      </c>
      <c r="Q55">
        <f t="shared" si="11"/>
        <v>57.236175418739442</v>
      </c>
      <c r="R55">
        <f t="shared" si="12"/>
        <v>58.486351393887901</v>
      </c>
      <c r="S55">
        <f t="shared" si="13"/>
        <v>59.773108833110896</v>
      </c>
      <c r="T55">
        <f t="shared" si="14"/>
        <v>61.09644773640845</v>
      </c>
      <c r="U55">
        <f t="shared" si="15"/>
        <v>62.456368103780562</v>
      </c>
      <c r="V55">
        <f t="shared" si="16"/>
        <v>63.852869935227218</v>
      </c>
      <c r="W55">
        <f t="shared" si="17"/>
        <v>65.285953230748433</v>
      </c>
      <c r="X55">
        <f t="shared" si="18"/>
        <v>66.755617990344192</v>
      </c>
      <c r="Y55">
        <f t="shared" si="19"/>
        <v>68.261864214014508</v>
      </c>
      <c r="Z55">
        <f t="shared" si="20"/>
        <v>69.804691901759369</v>
      </c>
      <c r="AA55">
        <f t="shared" si="21"/>
        <v>71.384101053578789</v>
      </c>
      <c r="AB55">
        <f t="shared" si="22"/>
        <v>73.000091669472766</v>
      </c>
      <c r="AC55">
        <f t="shared" si="23"/>
        <v>74.652663749441288</v>
      </c>
      <c r="AD55">
        <f t="shared" si="24"/>
        <v>76.341817293484354</v>
      </c>
      <c r="AE55">
        <f t="shared" si="25"/>
        <v>78.067552301601978</v>
      </c>
      <c r="AF55">
        <f t="shared" si="26"/>
        <v>79.829868773794161</v>
      </c>
      <c r="AG55">
        <f t="shared" si="27"/>
        <v>81.628766710060887</v>
      </c>
      <c r="AH55">
        <f t="shared" si="28"/>
        <v>83.464246110402172</v>
      </c>
      <c r="AI55">
        <f t="shared" si="29"/>
        <v>85.336306974818001</v>
      </c>
      <c r="AJ55">
        <f t="shared" si="30"/>
        <v>87.244949303308402</v>
      </c>
      <c r="AK55">
        <f t="shared" si="31"/>
        <v>89.190173095873334</v>
      </c>
      <c r="AL55">
        <f t="shared" si="32"/>
        <v>91.171978352512824</v>
      </c>
      <c r="AM55">
        <f t="shared" si="33"/>
        <v>93.190365073226872</v>
      </c>
      <c r="AN55">
        <f t="shared" si="34"/>
        <v>95.245333258015449</v>
      </c>
      <c r="AO55">
        <f t="shared" si="35"/>
        <v>97.3368829068786</v>
      </c>
      <c r="AP55">
        <f t="shared" si="36"/>
        <v>99.465014019816309</v>
      </c>
      <c r="AQ55">
        <f t="shared" si="37"/>
        <v>101.62972659682856</v>
      </c>
      <c r="AR55">
        <f t="shared" si="38"/>
        <v>103.83102063791537</v>
      </c>
      <c r="AS55">
        <f t="shared" si="39"/>
        <v>106.06889614307671</v>
      </c>
      <c r="AT55">
        <f t="shared" si="40"/>
        <v>108.34335311231261</v>
      </c>
      <c r="AU55">
        <f t="shared" si="41"/>
        <v>110.65439154562307</v>
      </c>
      <c r="AV55">
        <f t="shared" si="42"/>
        <v>113.00201144300809</v>
      </c>
      <c r="AW55">
        <f t="shared" si="43"/>
        <v>115.38621280446766</v>
      </c>
      <c r="AX55">
        <f t="shared" si="44"/>
        <v>117.80699563000177</v>
      </c>
      <c r="AY55">
        <f t="shared" si="45"/>
        <v>120.26435991961046</v>
      </c>
      <c r="AZ55">
        <f t="shared" si="46"/>
        <v>122.75830567329368</v>
      </c>
      <c r="BA55">
        <f t="shared" si="47"/>
        <v>125.28883289105144</v>
      </c>
      <c r="BB55">
        <f t="shared" si="48"/>
        <v>127.85594157288375</v>
      </c>
      <c r="BC55">
        <f t="shared" si="49"/>
        <v>130.45963171879063</v>
      </c>
      <c r="BD55">
        <f t="shared" si="50"/>
        <v>133.09990332877209</v>
      </c>
      <c r="BE55">
        <f t="shared" si="51"/>
        <v>135.77675640282803</v>
      </c>
    </row>
    <row r="56" spans="6:57">
      <c r="F56">
        <v>9.4</v>
      </c>
      <c r="G56">
        <f t="shared" si="1"/>
        <v>48.559584069672269</v>
      </c>
      <c r="H56">
        <f t="shared" si="2"/>
        <v>49.461309069973062</v>
      </c>
      <c r="I56">
        <f t="shared" si="3"/>
        <v>50.399615534348413</v>
      </c>
      <c r="J56">
        <f t="shared" si="4"/>
        <v>51.374503462798309</v>
      </c>
      <c r="K56">
        <f t="shared" si="5"/>
        <v>52.385972855322763</v>
      </c>
      <c r="L56">
        <f t="shared" si="6"/>
        <v>53.43402371192176</v>
      </c>
      <c r="M56">
        <f t="shared" si="7"/>
        <v>54.518656032595317</v>
      </c>
      <c r="N56">
        <f t="shared" si="8"/>
        <v>55.639869817343424</v>
      </c>
      <c r="O56">
        <f t="shared" si="9"/>
        <v>56.797665066166083</v>
      </c>
      <c r="P56">
        <f t="shared" si="10"/>
        <v>57.992041779063292</v>
      </c>
      <c r="Q56">
        <f t="shared" si="11"/>
        <v>59.222999956035054</v>
      </c>
      <c r="R56">
        <f t="shared" si="12"/>
        <v>60.490539597081373</v>
      </c>
      <c r="S56">
        <f t="shared" si="13"/>
        <v>61.794660702202236</v>
      </c>
      <c r="T56">
        <f t="shared" si="14"/>
        <v>63.135363271397651</v>
      </c>
      <c r="U56">
        <f t="shared" si="15"/>
        <v>64.512647304667624</v>
      </c>
      <c r="V56">
        <f t="shared" si="16"/>
        <v>65.926512802012155</v>
      </c>
      <c r="W56">
        <f t="shared" si="17"/>
        <v>67.376959763431216</v>
      </c>
      <c r="X56">
        <f t="shared" si="18"/>
        <v>68.86398818892485</v>
      </c>
      <c r="Y56">
        <f t="shared" si="19"/>
        <v>70.387598078493028</v>
      </c>
      <c r="Z56">
        <f t="shared" si="20"/>
        <v>71.94778943213575</v>
      </c>
      <c r="AA56">
        <f t="shared" si="21"/>
        <v>73.544562249853044</v>
      </c>
      <c r="AB56">
        <f t="shared" si="22"/>
        <v>75.177916531644868</v>
      </c>
      <c r="AC56">
        <f t="shared" si="23"/>
        <v>76.847852277511265</v>
      </c>
      <c r="AD56">
        <f t="shared" si="24"/>
        <v>78.554369487452192</v>
      </c>
      <c r="AE56">
        <f t="shared" si="25"/>
        <v>80.297468161467691</v>
      </c>
      <c r="AF56">
        <f t="shared" si="26"/>
        <v>82.077148299557734</v>
      </c>
      <c r="AG56">
        <f t="shared" si="27"/>
        <v>83.893409901722336</v>
      </c>
      <c r="AH56">
        <f t="shared" si="28"/>
        <v>85.746252967961482</v>
      </c>
      <c r="AI56">
        <f t="shared" si="29"/>
        <v>87.635677498275172</v>
      </c>
      <c r="AJ56">
        <f t="shared" si="30"/>
        <v>89.561683492663434</v>
      </c>
      <c r="AK56">
        <f t="shared" si="31"/>
        <v>91.52427095112624</v>
      </c>
      <c r="AL56">
        <f t="shared" si="32"/>
        <v>93.523439873663591</v>
      </c>
      <c r="AM56">
        <f t="shared" si="33"/>
        <v>95.5591902602755</v>
      </c>
      <c r="AN56">
        <f t="shared" si="34"/>
        <v>97.631522110961939</v>
      </c>
      <c r="AO56">
        <f t="shared" si="35"/>
        <v>99.740435425722964</v>
      </c>
      <c r="AP56">
        <f t="shared" si="36"/>
        <v>101.88593020455852</v>
      </c>
      <c r="AQ56">
        <f t="shared" si="37"/>
        <v>104.06800644746866</v>
      </c>
      <c r="AR56">
        <f t="shared" si="38"/>
        <v>106.28666415445332</v>
      </c>
      <c r="AS56">
        <f t="shared" si="39"/>
        <v>108.54190332551252</v>
      </c>
      <c r="AT56">
        <f t="shared" si="40"/>
        <v>110.83372396064631</v>
      </c>
      <c r="AU56">
        <f t="shared" si="41"/>
        <v>113.16212605985464</v>
      </c>
      <c r="AV56">
        <f t="shared" si="42"/>
        <v>115.52710962313751</v>
      </c>
      <c r="AW56">
        <f t="shared" si="43"/>
        <v>117.92867465049494</v>
      </c>
      <c r="AX56">
        <f t="shared" si="44"/>
        <v>120.36682114192692</v>
      </c>
      <c r="AY56">
        <f t="shared" si="45"/>
        <v>122.84154909743347</v>
      </c>
      <c r="AZ56">
        <f t="shared" si="46"/>
        <v>125.35285851701454</v>
      </c>
      <c r="BA56">
        <f t="shared" si="47"/>
        <v>127.90074940067016</v>
      </c>
      <c r="BB56">
        <f t="shared" si="48"/>
        <v>130.48522174840036</v>
      </c>
      <c r="BC56">
        <f t="shared" si="49"/>
        <v>133.10627556020512</v>
      </c>
      <c r="BD56">
        <f t="shared" si="50"/>
        <v>135.76391083608439</v>
      </c>
      <c r="BE56">
        <f t="shared" si="51"/>
        <v>138.45812757603824</v>
      </c>
    </row>
    <row r="57" spans="6:57">
      <c r="F57">
        <v>9.6</v>
      </c>
      <c r="G57">
        <f t="shared" si="1"/>
        <v>50.409344026078479</v>
      </c>
      <c r="H57">
        <f t="shared" si="2"/>
        <v>51.32843269227714</v>
      </c>
      <c r="I57">
        <f t="shared" si="3"/>
        <v>52.284102822550352</v>
      </c>
      <c r="J57">
        <f t="shared" si="4"/>
        <v>53.276354416898108</v>
      </c>
      <c r="K57">
        <f t="shared" si="5"/>
        <v>54.30518747532043</v>
      </c>
      <c r="L57">
        <f t="shared" si="6"/>
        <v>55.370601997817296</v>
      </c>
      <c r="M57">
        <f t="shared" si="7"/>
        <v>56.472597984388713</v>
      </c>
      <c r="N57">
        <f t="shared" si="8"/>
        <v>57.611175435034681</v>
      </c>
      <c r="O57">
        <f t="shared" si="9"/>
        <v>58.786334349755208</v>
      </c>
      <c r="P57">
        <f t="shared" si="10"/>
        <v>59.998074728550286</v>
      </c>
      <c r="Q57">
        <f t="shared" si="11"/>
        <v>61.246396571419908</v>
      </c>
      <c r="R57">
        <f t="shared" si="12"/>
        <v>62.531299878364095</v>
      </c>
      <c r="S57">
        <f t="shared" si="13"/>
        <v>63.852784649382819</v>
      </c>
      <c r="T57">
        <f t="shared" si="14"/>
        <v>65.210850884476116</v>
      </c>
      <c r="U57">
        <f t="shared" si="15"/>
        <v>66.605498583643936</v>
      </c>
      <c r="V57">
        <f t="shared" si="16"/>
        <v>68.036727746886328</v>
      </c>
      <c r="W57">
        <f t="shared" si="17"/>
        <v>69.504538374203278</v>
      </c>
      <c r="X57">
        <f t="shared" si="18"/>
        <v>71.008930465594759</v>
      </c>
      <c r="Y57">
        <f t="shared" si="19"/>
        <v>72.549904021060811</v>
      </c>
      <c r="Z57">
        <f t="shared" si="20"/>
        <v>74.127459040601394</v>
      </c>
      <c r="AA57">
        <f t="shared" si="21"/>
        <v>75.74159552421655</v>
      </c>
      <c r="AB57">
        <f t="shared" si="22"/>
        <v>77.392313471906249</v>
      </c>
      <c r="AC57">
        <f t="shared" si="23"/>
        <v>79.079612883670507</v>
      </c>
      <c r="AD57">
        <f t="shared" si="24"/>
        <v>80.803493759509308</v>
      </c>
      <c r="AE57">
        <f t="shared" si="25"/>
        <v>82.563956099422654</v>
      </c>
      <c r="AF57">
        <f t="shared" si="26"/>
        <v>84.360999903410573</v>
      </c>
      <c r="AG57">
        <f t="shared" si="27"/>
        <v>86.194625171473035</v>
      </c>
      <c r="AH57">
        <f t="shared" si="28"/>
        <v>88.064831903610042</v>
      </c>
      <c r="AI57">
        <f t="shared" si="29"/>
        <v>89.971620099821592</v>
      </c>
      <c r="AJ57">
        <f t="shared" si="30"/>
        <v>91.91498976010773</v>
      </c>
      <c r="AK57">
        <f t="shared" si="31"/>
        <v>93.894940884468397</v>
      </c>
      <c r="AL57">
        <f t="shared" si="32"/>
        <v>95.911473472903623</v>
      </c>
      <c r="AM57">
        <f t="shared" si="33"/>
        <v>97.964587525413393</v>
      </c>
      <c r="AN57">
        <f t="shared" si="34"/>
        <v>100.05428304199771</v>
      </c>
      <c r="AO57">
        <f t="shared" si="35"/>
        <v>102.18056002265658</v>
      </c>
      <c r="AP57">
        <f t="shared" si="36"/>
        <v>104.34341846739002</v>
      </c>
      <c r="AQ57">
        <f t="shared" si="37"/>
        <v>106.542858376198</v>
      </c>
      <c r="AR57">
        <f t="shared" si="38"/>
        <v>108.77887974908053</v>
      </c>
      <c r="AS57">
        <f t="shared" si="39"/>
        <v>111.05148258603762</v>
      </c>
      <c r="AT57">
        <f t="shared" si="40"/>
        <v>113.36066688706924</v>
      </c>
      <c r="AU57">
        <f t="shared" si="41"/>
        <v>115.70643265217544</v>
      </c>
      <c r="AV57">
        <f t="shared" si="42"/>
        <v>118.08877988135617</v>
      </c>
      <c r="AW57">
        <f t="shared" si="43"/>
        <v>120.50770857461148</v>
      </c>
      <c r="AX57">
        <f t="shared" si="44"/>
        <v>122.96321873194131</v>
      </c>
      <c r="AY57">
        <f t="shared" si="45"/>
        <v>125.45531035334572</v>
      </c>
      <c r="AZ57">
        <f t="shared" si="46"/>
        <v>127.98398343882465</v>
      </c>
      <c r="BA57">
        <f t="shared" si="47"/>
        <v>130.54923798837814</v>
      </c>
      <c r="BB57">
        <f t="shared" si="48"/>
        <v>133.15107400200623</v>
      </c>
      <c r="BC57">
        <f t="shared" si="49"/>
        <v>135.78949147970883</v>
      </c>
      <c r="BD57">
        <f t="shared" si="50"/>
        <v>138.464490421486</v>
      </c>
      <c r="BE57">
        <f t="shared" si="51"/>
        <v>141.1760708273377</v>
      </c>
    </row>
    <row r="58" spans="6:57">
      <c r="F58">
        <v>9.8000000000000007</v>
      </c>
      <c r="G58">
        <f t="shared" si="1"/>
        <v>52.295676060573896</v>
      </c>
      <c r="H58">
        <f t="shared" si="2"/>
        <v>53.232128392670418</v>
      </c>
      <c r="I58">
        <f t="shared" si="3"/>
        <v>54.205162188841499</v>
      </c>
      <c r="J58">
        <f t="shared" si="4"/>
        <v>55.214777449087123</v>
      </c>
      <c r="K58">
        <f t="shared" si="5"/>
        <v>56.260974173407305</v>
      </c>
      <c r="L58">
        <f t="shared" si="6"/>
        <v>57.343752361802032</v>
      </c>
      <c r="M58">
        <f t="shared" si="7"/>
        <v>58.463112014271317</v>
      </c>
      <c r="N58">
        <f t="shared" si="8"/>
        <v>59.619053130815153</v>
      </c>
      <c r="O58">
        <f t="shared" si="9"/>
        <v>60.811575711433548</v>
      </c>
      <c r="P58">
        <f t="shared" si="10"/>
        <v>62.04067975612648</v>
      </c>
      <c r="Q58">
        <f t="shared" si="11"/>
        <v>63.306365264893977</v>
      </c>
      <c r="R58">
        <f t="shared" si="12"/>
        <v>64.608632237736018</v>
      </c>
      <c r="S58">
        <f t="shared" si="13"/>
        <v>65.94748067465261</v>
      </c>
      <c r="T58">
        <f t="shared" si="14"/>
        <v>67.32291057564376</v>
      </c>
      <c r="U58">
        <f t="shared" si="15"/>
        <v>68.734921940709455</v>
      </c>
      <c r="V58">
        <f t="shared" si="16"/>
        <v>70.183514769849722</v>
      </c>
      <c r="W58">
        <f t="shared" si="17"/>
        <v>71.668689063064519</v>
      </c>
      <c r="X58">
        <f t="shared" si="18"/>
        <v>73.190444820353875</v>
      </c>
      <c r="Y58">
        <f t="shared" si="19"/>
        <v>74.748782041717789</v>
      </c>
      <c r="Z58">
        <f t="shared" si="20"/>
        <v>76.343700727156246</v>
      </c>
      <c r="AA58">
        <f t="shared" si="21"/>
        <v>77.975200876669263</v>
      </c>
      <c r="AB58">
        <f t="shared" si="22"/>
        <v>79.643282490256823</v>
      </c>
      <c r="AC58">
        <f t="shared" si="23"/>
        <v>81.347945567918941</v>
      </c>
      <c r="AD58">
        <f t="shared" si="24"/>
        <v>83.089190109655604</v>
      </c>
      <c r="AE58">
        <f t="shared" si="25"/>
        <v>84.867016115466839</v>
      </c>
      <c r="AF58">
        <f t="shared" si="26"/>
        <v>86.681423585352604</v>
      </c>
      <c r="AG58">
        <f t="shared" si="27"/>
        <v>88.532412519312928</v>
      </c>
      <c r="AH58">
        <f t="shared" si="28"/>
        <v>90.419982917347809</v>
      </c>
      <c r="AI58">
        <f t="shared" si="29"/>
        <v>92.344134779457235</v>
      </c>
      <c r="AJ58">
        <f t="shared" si="30"/>
        <v>94.304868105641219</v>
      </c>
      <c r="AK58">
        <f t="shared" si="31"/>
        <v>96.302182895899747</v>
      </c>
      <c r="AL58">
        <f t="shared" si="32"/>
        <v>98.336079150232834</v>
      </c>
      <c r="AM58">
        <f t="shared" si="33"/>
        <v>100.40655686864048</v>
      </c>
      <c r="AN58">
        <f t="shared" si="34"/>
        <v>102.51361605112265</v>
      </c>
      <c r="AO58">
        <f t="shared" si="35"/>
        <v>104.6572566976794</v>
      </c>
      <c r="AP58">
        <f t="shared" si="36"/>
        <v>106.83747880831069</v>
      </c>
      <c r="AQ58">
        <f t="shared" si="37"/>
        <v>109.05428238301654</v>
      </c>
      <c r="AR58">
        <f t="shared" si="38"/>
        <v>111.30766742179694</v>
      </c>
      <c r="AS58">
        <f t="shared" si="39"/>
        <v>113.59763392465189</v>
      </c>
      <c r="AT58">
        <f t="shared" si="40"/>
        <v>115.92418189158138</v>
      </c>
      <c r="AU58">
        <f t="shared" si="41"/>
        <v>118.28731132258545</v>
      </c>
      <c r="AV58">
        <f t="shared" si="42"/>
        <v>120.68702221766405</v>
      </c>
      <c r="AW58">
        <f t="shared" si="43"/>
        <v>123.12331457681721</v>
      </c>
      <c r="AX58">
        <f t="shared" si="44"/>
        <v>125.59618840004492</v>
      </c>
      <c r="AY58">
        <f t="shared" si="45"/>
        <v>128.1056436873472</v>
      </c>
      <c r="AZ58">
        <f t="shared" si="46"/>
        <v>130.65168043872399</v>
      </c>
      <c r="BA58">
        <f t="shared" si="47"/>
        <v>133.23429865417535</v>
      </c>
      <c r="BB58">
        <f t="shared" si="48"/>
        <v>135.85349833370128</v>
      </c>
      <c r="BC58">
        <f t="shared" si="49"/>
        <v>138.50927947730173</v>
      </c>
      <c r="BD58">
        <f t="shared" si="50"/>
        <v>141.20164208497678</v>
      </c>
      <c r="BE58">
        <f t="shared" si="51"/>
        <v>143.93058615672635</v>
      </c>
    </row>
    <row r="59" spans="6:57">
      <c r="F59">
        <v>10</v>
      </c>
      <c r="G59">
        <f t="shared" si="1"/>
        <v>2.7798699951090384</v>
      </c>
      <c r="H59">
        <f t="shared" si="2"/>
        <v>2.8481390323123197</v>
      </c>
      <c r="I59">
        <f t="shared" si="3"/>
        <v>2.952989533590153</v>
      </c>
      <c r="J59">
        <f t="shared" si="4"/>
        <v>3.0944214989425385</v>
      </c>
      <c r="K59">
        <f t="shared" si="5"/>
        <v>3.272434928369476</v>
      </c>
      <c r="L59">
        <f t="shared" si="6"/>
        <v>3.4870298218709648</v>
      </c>
      <c r="M59">
        <f t="shared" si="7"/>
        <v>3.7382061794470065</v>
      </c>
      <c r="N59">
        <f t="shared" si="8"/>
        <v>4.0259640010975994</v>
      </c>
      <c r="O59">
        <f t="shared" si="9"/>
        <v>4.3503032868227454</v>
      </c>
      <c r="P59">
        <f t="shared" si="10"/>
        <v>4.7112240366224434</v>
      </c>
      <c r="Q59">
        <f t="shared" si="11"/>
        <v>5.1087262504966926</v>
      </c>
      <c r="R59">
        <f t="shared" si="12"/>
        <v>5.5428099284454948</v>
      </c>
      <c r="S59">
        <f t="shared" si="13"/>
        <v>6.0134750704688482</v>
      </c>
      <c r="T59">
        <f t="shared" si="14"/>
        <v>6.5207216765667546</v>
      </c>
      <c r="U59">
        <f t="shared" si="15"/>
        <v>7.0645497467392122</v>
      </c>
      <c r="V59">
        <f t="shared" si="16"/>
        <v>7.6449592809862228</v>
      </c>
      <c r="W59">
        <f t="shared" si="17"/>
        <v>8.2619502793077864</v>
      </c>
      <c r="X59">
        <f t="shared" si="18"/>
        <v>8.9155227417038976</v>
      </c>
      <c r="Y59">
        <f t="shared" si="19"/>
        <v>9.6056766681745653</v>
      </c>
      <c r="Z59">
        <f t="shared" si="20"/>
        <v>10.332412058719783</v>
      </c>
      <c r="AA59">
        <f t="shared" si="21"/>
        <v>11.095728913339553</v>
      </c>
      <c r="AB59">
        <f t="shared" si="22"/>
        <v>11.895627232033876</v>
      </c>
      <c r="AC59">
        <f t="shared" si="23"/>
        <v>12.732107014802752</v>
      </c>
      <c r="AD59">
        <f t="shared" si="24"/>
        <v>13.605168261646174</v>
      </c>
      <c r="AE59">
        <f t="shared" si="25"/>
        <v>14.514810972564154</v>
      </c>
      <c r="AF59">
        <f t="shared" si="26"/>
        <v>15.461035147556686</v>
      </c>
      <c r="AG59">
        <f t="shared" si="27"/>
        <v>16.44384078662377</v>
      </c>
      <c r="AH59">
        <f t="shared" si="28"/>
        <v>17.463227889765406</v>
      </c>
      <c r="AI59">
        <f t="shared" si="29"/>
        <v>18.519196456981589</v>
      </c>
      <c r="AJ59">
        <f t="shared" si="30"/>
        <v>19.611746488272331</v>
      </c>
      <c r="AK59">
        <f t="shared" si="31"/>
        <v>20.74087798363762</v>
      </c>
      <c r="AL59">
        <f t="shared" si="32"/>
        <v>21.906590943077465</v>
      </c>
      <c r="AM59">
        <f t="shared" si="33"/>
        <v>23.108885366591863</v>
      </c>
      <c r="AN59">
        <f t="shared" si="34"/>
        <v>24.347761254180803</v>
      </c>
      <c r="AO59">
        <f t="shared" si="35"/>
        <v>25.623218605844301</v>
      </c>
      <c r="AP59">
        <f t="shared" si="36"/>
        <v>26.935257421582357</v>
      </c>
      <c r="AQ59">
        <f t="shared" si="37"/>
        <v>28.28387770139496</v>
      </c>
      <c r="AR59">
        <f t="shared" si="38"/>
        <v>29.669079445282115</v>
      </c>
      <c r="AS59">
        <f t="shared" si="39"/>
        <v>31.090862653243818</v>
      </c>
      <c r="AT59">
        <f t="shared" si="40"/>
        <v>32.549227325280079</v>
      </c>
      <c r="AU59">
        <f t="shared" si="41"/>
        <v>34.044173461390891</v>
      </c>
      <c r="AV59">
        <f t="shared" si="42"/>
        <v>35.575701061576254</v>
      </c>
      <c r="AW59">
        <f t="shared" si="43"/>
        <v>37.143810125836168</v>
      </c>
      <c r="AX59">
        <f t="shared" si="44"/>
        <v>38.748500654170634</v>
      </c>
      <c r="AY59">
        <f t="shared" si="45"/>
        <v>40.389772646579665</v>
      </c>
      <c r="AZ59">
        <f t="shared" si="46"/>
        <v>42.067626103063233</v>
      </c>
      <c r="BA59">
        <f t="shared" si="47"/>
        <v>43.782061023621345</v>
      </c>
      <c r="BB59">
        <f t="shared" si="48"/>
        <v>45.533077408254037</v>
      </c>
      <c r="BC59">
        <f t="shared" si="49"/>
        <v>47.320675256961259</v>
      </c>
      <c r="BD59">
        <f t="shared" si="50"/>
        <v>49.144854569743046</v>
      </c>
      <c r="BE59">
        <f t="shared" si="51"/>
        <v>51.00561534659937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2.123 Линейная</vt:lpstr>
      <vt:lpstr>2.123 Нелинейная</vt:lpstr>
      <vt:lpstr>2.123 Нелин. множественная</vt:lpstr>
      <vt:lpstr>2.123 Нелин. поверхность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Sos ouda</dc:creator>
  <cp:lastModifiedBy>Sos ouda</cp:lastModifiedBy>
  <dcterms:created xsi:type="dcterms:W3CDTF">2025-09-22T10:09:16Z</dcterms:created>
  <dcterms:modified xsi:type="dcterms:W3CDTF">2025-10-06T15:35:27Z</dcterms:modified>
</cp:coreProperties>
</file>