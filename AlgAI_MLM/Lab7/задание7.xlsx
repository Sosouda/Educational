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6.xml" ContentType="application/vnd.openxmlformats-officedocument.drawing+xml"/>
  <Override PartName="/xl/charts/chart9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0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7.xml" ContentType="application/vnd.openxmlformats-officedocument.drawing+xml"/>
  <Override PartName="/xl/charts/chart11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2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3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hsran\Documents\Вилисов\Задание7\"/>
    </mc:Choice>
  </mc:AlternateContent>
  <xr:revisionPtr revIDLastSave="0" documentId="13_ncr:1_{73E5CEB8-F603-41F7-9DD7-AF418C3E3759}" xr6:coauthVersionLast="47" xr6:coauthVersionMax="47" xr10:uidLastSave="{00000000-0000-0000-0000-000000000000}"/>
  <bookViews>
    <workbookView xWindow="4590" yWindow="2775" windowWidth="21600" windowHeight="11295" xr2:uid="{00000000-000D-0000-FFFF-FFFF00000000}"/>
  </bookViews>
  <sheets>
    <sheet name="2 переменные" sheetId="1" r:id="rId1"/>
    <sheet name="20 с.в." sheetId="2" r:id="rId2"/>
    <sheet name=" без х0" sheetId="3" r:id="rId3"/>
    <sheet name="3D без х0" sheetId="4" r:id="rId4"/>
    <sheet name="5 переменных" sheetId="5" r:id="rId5"/>
    <sheet name="Совм.классы" sheetId="6" r:id="rId6"/>
    <sheet name="Разд.классы" sheetId="7" r:id="rId7"/>
  </sheets>
  <definedNames>
    <definedName name="solver_adj" localSheetId="2" hidden="1">' без х0'!$AH$21:$AJ$21</definedName>
    <definedName name="solver_adj" localSheetId="0" hidden="1">'2 переменные'!$AH$21:$AJ$21</definedName>
    <definedName name="solver_adj" localSheetId="1" hidden="1">'20 с.в.'!$AH$21:$AJ$21</definedName>
    <definedName name="solver_adj" localSheetId="4" hidden="1">'5 переменных'!$AN$18:$AS$18</definedName>
    <definedName name="solver_adj" localSheetId="5" hidden="1">Совм.классы!$AI$17:$AK$17</definedName>
    <definedName name="solver_cvg" localSheetId="2" hidden="1">0.0001</definedName>
    <definedName name="solver_cvg" localSheetId="0" hidden="1">0.0001</definedName>
    <definedName name="solver_cvg" localSheetId="1" hidden="1">0.0001</definedName>
    <definedName name="solver_cvg" localSheetId="4" hidden="1">0.0001</definedName>
    <definedName name="solver_cvg" localSheetId="5" hidden="1">0.0001</definedName>
    <definedName name="solver_drv" localSheetId="2" hidden="1">1</definedName>
    <definedName name="solver_drv" localSheetId="0" hidden="1">1</definedName>
    <definedName name="solver_drv" localSheetId="1" hidden="1">1</definedName>
    <definedName name="solver_drv" localSheetId="4" hidden="1">1</definedName>
    <definedName name="solver_drv" localSheetId="5" hidden="1">1</definedName>
    <definedName name="solver_eng" localSheetId="2" hidden="1">1</definedName>
    <definedName name="solver_eng" localSheetId="0" hidden="1">3</definedName>
    <definedName name="solver_eng" localSheetId="1" hidden="1">3</definedName>
    <definedName name="solver_eng" localSheetId="4" hidden="1">3</definedName>
    <definedName name="solver_eng" localSheetId="6" hidden="1">1</definedName>
    <definedName name="solver_eng" localSheetId="5" hidden="1">3</definedName>
    <definedName name="solver_est" localSheetId="2" hidden="1">1</definedName>
    <definedName name="solver_est" localSheetId="0" hidden="1">1</definedName>
    <definedName name="solver_est" localSheetId="1" hidden="1">1</definedName>
    <definedName name="solver_est" localSheetId="4" hidden="1">1</definedName>
    <definedName name="solver_est" localSheetId="5" hidden="1">1</definedName>
    <definedName name="solver_itr" localSheetId="2" hidden="1">2147483647</definedName>
    <definedName name="solver_itr" localSheetId="0" hidden="1">2147483647</definedName>
    <definedName name="solver_itr" localSheetId="1" hidden="1">2147483647</definedName>
    <definedName name="solver_itr" localSheetId="4" hidden="1">2147483647</definedName>
    <definedName name="solver_itr" localSheetId="5" hidden="1">2147483647</definedName>
    <definedName name="solver_lhs1" localSheetId="2" hidden="1">' без х0'!$AH$21:$AJ$21</definedName>
    <definedName name="solver_lhs1" localSheetId="0" hidden="1">'2 переменные'!$AH$21:$AJ$21</definedName>
    <definedName name="solver_lhs1" localSheetId="1" hidden="1">'20 с.в.'!$AH$21:$AJ$21</definedName>
    <definedName name="solver_lhs1" localSheetId="4" hidden="1">'5 переменных'!$AN$18:$AS$18</definedName>
    <definedName name="solver_lhs1" localSheetId="5" hidden="1">Совм.классы!$AI$17:$AK$17</definedName>
    <definedName name="solver_lhs2" localSheetId="2" hidden="1">' без х0'!$AH$21:$AJ$21</definedName>
    <definedName name="solver_lhs2" localSheetId="0" hidden="1">'2 переменные'!$AH$21:$AJ$21</definedName>
    <definedName name="solver_lhs2" localSheetId="1" hidden="1">'20 с.в.'!$AH$21:$AJ$21</definedName>
    <definedName name="solver_lhs2" localSheetId="4" hidden="1">'5 переменных'!$AN$18:$AS$18</definedName>
    <definedName name="solver_lhs2" localSheetId="5" hidden="1">Совм.классы!$AI$17:$AK$17</definedName>
    <definedName name="solver_mip" localSheetId="2" hidden="1">2147483647</definedName>
    <definedName name="solver_mip" localSheetId="0" hidden="1">2147483647</definedName>
    <definedName name="solver_mip" localSheetId="1" hidden="1">2147483647</definedName>
    <definedName name="solver_mip" localSheetId="4" hidden="1">2147483647</definedName>
    <definedName name="solver_mip" localSheetId="5" hidden="1">2147483647</definedName>
    <definedName name="solver_mni" localSheetId="2" hidden="1">30</definedName>
    <definedName name="solver_mni" localSheetId="0" hidden="1">30</definedName>
    <definedName name="solver_mni" localSheetId="1" hidden="1">30</definedName>
    <definedName name="solver_mni" localSheetId="4" hidden="1">30</definedName>
    <definedName name="solver_mni" localSheetId="5" hidden="1">30</definedName>
    <definedName name="solver_mrt" localSheetId="2" hidden="1">0.075</definedName>
    <definedName name="solver_mrt" localSheetId="0" hidden="1">0.075</definedName>
    <definedName name="solver_mrt" localSheetId="1" hidden="1">0.075</definedName>
    <definedName name="solver_mrt" localSheetId="4" hidden="1">0.075</definedName>
    <definedName name="solver_mrt" localSheetId="5" hidden="1">0.075</definedName>
    <definedName name="solver_msl" localSheetId="2" hidden="1">2</definedName>
    <definedName name="solver_msl" localSheetId="0" hidden="1">2</definedName>
    <definedName name="solver_msl" localSheetId="1" hidden="1">2</definedName>
    <definedName name="solver_msl" localSheetId="4" hidden="1">2</definedName>
    <definedName name="solver_msl" localSheetId="5" hidden="1">2</definedName>
    <definedName name="solver_neg" localSheetId="2" hidden="1">1</definedName>
    <definedName name="solver_neg" localSheetId="0" hidden="1">1</definedName>
    <definedName name="solver_neg" localSheetId="1" hidden="1">1</definedName>
    <definedName name="solver_neg" localSheetId="4" hidden="1">1</definedName>
    <definedName name="solver_neg" localSheetId="6" hidden="1">1</definedName>
    <definedName name="solver_neg" localSheetId="5" hidden="1">1</definedName>
    <definedName name="solver_nod" localSheetId="2" hidden="1">2147483647</definedName>
    <definedName name="solver_nod" localSheetId="0" hidden="1">2147483647</definedName>
    <definedName name="solver_nod" localSheetId="1" hidden="1">2147483647</definedName>
    <definedName name="solver_nod" localSheetId="4" hidden="1">2147483647</definedName>
    <definedName name="solver_nod" localSheetId="5" hidden="1">2147483647</definedName>
    <definedName name="solver_num" localSheetId="2" hidden="1">2</definedName>
    <definedName name="solver_num" localSheetId="0" hidden="1">2</definedName>
    <definedName name="solver_num" localSheetId="1" hidden="1">2</definedName>
    <definedName name="solver_num" localSheetId="4" hidden="1">2</definedName>
    <definedName name="solver_num" localSheetId="6" hidden="1">0</definedName>
    <definedName name="solver_num" localSheetId="5" hidden="1">2</definedName>
    <definedName name="solver_nwt" localSheetId="2" hidden="1">1</definedName>
    <definedName name="solver_nwt" localSheetId="0" hidden="1">1</definedName>
    <definedName name="solver_nwt" localSheetId="1" hidden="1">1</definedName>
    <definedName name="solver_nwt" localSheetId="4" hidden="1">1</definedName>
    <definedName name="solver_nwt" localSheetId="5" hidden="1">1</definedName>
    <definedName name="solver_opt" localSheetId="2" hidden="1">' без х0'!$AK$20</definedName>
    <definedName name="solver_opt" localSheetId="0" hidden="1">'2 переменные'!$AK$20</definedName>
    <definedName name="solver_opt" localSheetId="1" hidden="1">'20 с.в.'!$AK$20</definedName>
    <definedName name="solver_opt" localSheetId="4" hidden="1">'5 переменных'!$AR$17</definedName>
    <definedName name="solver_opt" localSheetId="6" hidden="1">Разд.классы!$BG$20</definedName>
    <definedName name="solver_opt" localSheetId="5" hidden="1">Совм.классы!$AL$16</definedName>
    <definedName name="solver_pre" localSheetId="2" hidden="1">0.000001</definedName>
    <definedName name="solver_pre" localSheetId="0" hidden="1">0.000001</definedName>
    <definedName name="solver_pre" localSheetId="1" hidden="1">0.000001</definedName>
    <definedName name="solver_pre" localSheetId="4" hidden="1">0.000001</definedName>
    <definedName name="solver_pre" localSheetId="5" hidden="1">0.000001</definedName>
    <definedName name="solver_rbv" localSheetId="2" hidden="1">1</definedName>
    <definedName name="solver_rbv" localSheetId="0" hidden="1">1</definedName>
    <definedName name="solver_rbv" localSheetId="1" hidden="1">1</definedName>
    <definedName name="solver_rbv" localSheetId="4" hidden="1">1</definedName>
    <definedName name="solver_rbv" localSheetId="5" hidden="1">1</definedName>
    <definedName name="solver_rel1" localSheetId="2" hidden="1">1</definedName>
    <definedName name="solver_rel1" localSheetId="0" hidden="1">1</definedName>
    <definedName name="solver_rel1" localSheetId="1" hidden="1">1</definedName>
    <definedName name="solver_rel1" localSheetId="4" hidden="1">1</definedName>
    <definedName name="solver_rel1" localSheetId="5" hidden="1">1</definedName>
    <definedName name="solver_rel2" localSheetId="2" hidden="1">3</definedName>
    <definedName name="solver_rel2" localSheetId="0" hidden="1">3</definedName>
    <definedName name="solver_rel2" localSheetId="1" hidden="1">3</definedName>
    <definedName name="solver_rel2" localSheetId="4" hidden="1">3</definedName>
    <definedName name="solver_rel2" localSheetId="5" hidden="1">3</definedName>
    <definedName name="solver_rhs1" localSheetId="2" hidden="1">100</definedName>
    <definedName name="solver_rhs1" localSheetId="0" hidden="1">100</definedName>
    <definedName name="solver_rhs1" localSheetId="1" hidden="1">100</definedName>
    <definedName name="solver_rhs1" localSheetId="4" hidden="1">100</definedName>
    <definedName name="solver_rhs1" localSheetId="5" hidden="1">100</definedName>
    <definedName name="solver_rhs2" localSheetId="2" hidden="1">-100</definedName>
    <definedName name="solver_rhs2" localSheetId="0" hidden="1">-100</definedName>
    <definedName name="solver_rhs2" localSheetId="1" hidden="1">-100</definedName>
    <definedName name="solver_rhs2" localSheetId="4" hidden="1">-100</definedName>
    <definedName name="solver_rhs2" localSheetId="5" hidden="1">-100</definedName>
    <definedName name="solver_rlx" localSheetId="2" hidden="1">2</definedName>
    <definedName name="solver_rlx" localSheetId="0" hidden="1">2</definedName>
    <definedName name="solver_rlx" localSheetId="1" hidden="1">2</definedName>
    <definedName name="solver_rlx" localSheetId="4" hidden="1">2</definedName>
    <definedName name="solver_rlx" localSheetId="5" hidden="1">2</definedName>
    <definedName name="solver_rsd" localSheetId="2" hidden="1">0</definedName>
    <definedName name="solver_rsd" localSheetId="0" hidden="1">0</definedName>
    <definedName name="solver_rsd" localSheetId="1" hidden="1">0</definedName>
    <definedName name="solver_rsd" localSheetId="4" hidden="1">0</definedName>
    <definedName name="solver_rsd" localSheetId="5" hidden="1">0</definedName>
    <definedName name="solver_scl" localSheetId="2" hidden="1">1</definedName>
    <definedName name="solver_scl" localSheetId="0" hidden="1">1</definedName>
    <definedName name="solver_scl" localSheetId="1" hidden="1">1</definedName>
    <definedName name="solver_scl" localSheetId="4" hidden="1">1</definedName>
    <definedName name="solver_scl" localSheetId="5" hidden="1">1</definedName>
    <definedName name="solver_sho" localSheetId="2" hidden="1">2</definedName>
    <definedName name="solver_sho" localSheetId="0" hidden="1">2</definedName>
    <definedName name="solver_sho" localSheetId="1" hidden="1">2</definedName>
    <definedName name="solver_sho" localSheetId="4" hidden="1">2</definedName>
    <definedName name="solver_sho" localSheetId="5" hidden="1">2</definedName>
    <definedName name="solver_ssz" localSheetId="2" hidden="1">100</definedName>
    <definedName name="solver_ssz" localSheetId="0" hidden="1">100</definedName>
    <definedName name="solver_ssz" localSheetId="1" hidden="1">100</definedName>
    <definedName name="solver_ssz" localSheetId="4" hidden="1">100</definedName>
    <definedName name="solver_ssz" localSheetId="5" hidden="1">100</definedName>
    <definedName name="solver_tim" localSheetId="2" hidden="1">2147483647</definedName>
    <definedName name="solver_tim" localSheetId="0" hidden="1">2147483647</definedName>
    <definedName name="solver_tim" localSheetId="1" hidden="1">2147483647</definedName>
    <definedName name="solver_tim" localSheetId="4" hidden="1">2147483647</definedName>
    <definedName name="solver_tim" localSheetId="5" hidden="1">2147483647</definedName>
    <definedName name="solver_tol" localSheetId="2" hidden="1">0.01</definedName>
    <definedName name="solver_tol" localSheetId="0" hidden="1">0.01</definedName>
    <definedName name="solver_tol" localSheetId="1" hidden="1">0.01</definedName>
    <definedName name="solver_tol" localSheetId="4" hidden="1">0.01</definedName>
    <definedName name="solver_tol" localSheetId="5" hidden="1">0.01</definedName>
    <definedName name="solver_typ" localSheetId="2" hidden="1">2</definedName>
    <definedName name="solver_typ" localSheetId="0" hidden="1">2</definedName>
    <definedName name="solver_typ" localSheetId="1" hidden="1">2</definedName>
    <definedName name="solver_typ" localSheetId="4" hidden="1">2</definedName>
    <definedName name="solver_typ" localSheetId="6" hidden="1">1</definedName>
    <definedName name="solver_typ" localSheetId="5" hidden="1">2</definedName>
    <definedName name="solver_val" localSheetId="2" hidden="1">0</definedName>
    <definedName name="solver_val" localSheetId="0" hidden="1">0</definedName>
    <definedName name="solver_val" localSheetId="1" hidden="1">0</definedName>
    <definedName name="solver_val" localSheetId="4" hidden="1">0</definedName>
    <definedName name="solver_val" localSheetId="6" hidden="1">0</definedName>
    <definedName name="solver_val" localSheetId="5" hidden="1">0</definedName>
    <definedName name="solver_ver" localSheetId="2" hidden="1">3</definedName>
    <definedName name="solver_ver" localSheetId="0" hidden="1">3</definedName>
    <definedName name="solver_ver" localSheetId="1" hidden="1">3</definedName>
    <definedName name="solver_ver" localSheetId="4" hidden="1">3</definedName>
    <definedName name="solver_ver" localSheetId="6" hidden="1">3</definedName>
    <definedName name="solver_ver" localSheetId="5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4" i="1" l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3" i="1"/>
  <c r="AV35" i="1"/>
  <c r="AU34" i="1"/>
  <c r="S23" i="1"/>
  <c r="K23" i="1"/>
  <c r="I23" i="1"/>
  <c r="AV35" i="2"/>
  <c r="J21" i="7" l="1"/>
  <c r="J22" i="7"/>
  <c r="J23" i="7"/>
  <c r="J24" i="7"/>
  <c r="J25" i="7"/>
  <c r="J26" i="7"/>
  <c r="J27" i="7"/>
  <c r="J28" i="7"/>
  <c r="J29" i="7"/>
  <c r="K29" i="7" s="1"/>
  <c r="J30" i="7"/>
  <c r="J31" i="7"/>
  <c r="J32" i="7"/>
  <c r="J33" i="7"/>
  <c r="J34" i="7"/>
  <c r="J35" i="7"/>
  <c r="J36" i="7"/>
  <c r="J37" i="7"/>
  <c r="J38" i="7"/>
  <c r="J39" i="7"/>
  <c r="J40" i="7"/>
  <c r="J41" i="7"/>
  <c r="AI44" i="7" s="1"/>
  <c r="J42" i="7"/>
  <c r="J43" i="7"/>
  <c r="J44" i="7"/>
  <c r="J45" i="7"/>
  <c r="J46" i="7"/>
  <c r="J47" i="7"/>
  <c r="J48" i="7"/>
  <c r="J49" i="7"/>
  <c r="J50" i="7"/>
  <c r="J51" i="7"/>
  <c r="J52" i="7"/>
  <c r="J53" i="7"/>
  <c r="K53" i="7" s="1"/>
  <c r="J54" i="7"/>
  <c r="J55" i="7"/>
  <c r="J56" i="7"/>
  <c r="J57" i="7"/>
  <c r="J58" i="7"/>
  <c r="J59" i="7"/>
  <c r="J60" i="7"/>
  <c r="J61" i="7"/>
  <c r="J62" i="7"/>
  <c r="J63" i="7"/>
  <c r="J64" i="7"/>
  <c r="J65" i="7"/>
  <c r="J66" i="7"/>
  <c r="J67" i="7"/>
  <c r="J68" i="7"/>
  <c r="J69" i="7"/>
  <c r="J70" i="7"/>
  <c r="J71" i="7"/>
  <c r="J72" i="7"/>
  <c r="J73" i="7"/>
  <c r="J74" i="7"/>
  <c r="J75" i="7"/>
  <c r="J76" i="7"/>
  <c r="J77" i="7"/>
  <c r="J78" i="7"/>
  <c r="J79" i="7"/>
  <c r="J80" i="7"/>
  <c r="J81" i="7"/>
  <c r="J82" i="7"/>
  <c r="J83" i="7"/>
  <c r="J84" i="7"/>
  <c r="J85" i="7"/>
  <c r="J86" i="7"/>
  <c r="J87" i="7"/>
  <c r="J88" i="7"/>
  <c r="J89" i="7"/>
  <c r="J90" i="7"/>
  <c r="K90" i="7" s="1"/>
  <c r="J91" i="7"/>
  <c r="J92" i="7"/>
  <c r="J93" i="7"/>
  <c r="J94" i="7"/>
  <c r="J95" i="7"/>
  <c r="J96" i="7"/>
  <c r="J97" i="7"/>
  <c r="J98" i="7"/>
  <c r="J99" i="7"/>
  <c r="J100" i="7"/>
  <c r="J101" i="7"/>
  <c r="J102" i="7"/>
  <c r="K102" i="7" s="1"/>
  <c r="J103" i="7"/>
  <c r="J104" i="7"/>
  <c r="J105" i="7"/>
  <c r="J106" i="7"/>
  <c r="J107" i="7"/>
  <c r="J108" i="7"/>
  <c r="J109" i="7"/>
  <c r="J110" i="7"/>
  <c r="J111" i="7"/>
  <c r="J112" i="7"/>
  <c r="J113" i="7"/>
  <c r="J114" i="7"/>
  <c r="K114" i="7" s="1"/>
  <c r="J115" i="7"/>
  <c r="J116" i="7"/>
  <c r="J117" i="7"/>
  <c r="J118" i="7"/>
  <c r="J119" i="7"/>
  <c r="J120" i="7"/>
  <c r="J121" i="7"/>
  <c r="J122" i="7"/>
  <c r="J123" i="7"/>
  <c r="J124" i="7"/>
  <c r="J125" i="7"/>
  <c r="J126" i="7"/>
  <c r="J127" i="7"/>
  <c r="J128" i="7"/>
  <c r="J129" i="7"/>
  <c r="J130" i="7"/>
  <c r="J131" i="7"/>
  <c r="J132" i="7"/>
  <c r="J133" i="7"/>
  <c r="J134" i="7"/>
  <c r="J135" i="7"/>
  <c r="J136" i="7"/>
  <c r="J137" i="7"/>
  <c r="J138" i="7"/>
  <c r="J139" i="7"/>
  <c r="J140" i="7"/>
  <c r="J141" i="7"/>
  <c r="J142" i="7"/>
  <c r="J143" i="7"/>
  <c r="J144" i="7"/>
  <c r="J145" i="7"/>
  <c r="J146" i="7"/>
  <c r="J147" i="7"/>
  <c r="J148" i="7"/>
  <c r="J149" i="7"/>
  <c r="K149" i="7" s="1"/>
  <c r="J150" i="7"/>
  <c r="J151" i="7"/>
  <c r="J152" i="7"/>
  <c r="J153" i="7"/>
  <c r="J154" i="7"/>
  <c r="J155" i="7"/>
  <c r="J156" i="7"/>
  <c r="J157" i="7"/>
  <c r="J158" i="7"/>
  <c r="J159" i="7"/>
  <c r="J160" i="7"/>
  <c r="J161" i="7"/>
  <c r="J162" i="7"/>
  <c r="K162" i="7" s="1"/>
  <c r="J163" i="7"/>
  <c r="J164" i="7"/>
  <c r="J165" i="7"/>
  <c r="J166" i="7"/>
  <c r="J167" i="7"/>
  <c r="J168" i="7"/>
  <c r="J169" i="7"/>
  <c r="J170" i="7"/>
  <c r="J171" i="7"/>
  <c r="J172" i="7"/>
  <c r="J173" i="7"/>
  <c r="J174" i="7"/>
  <c r="J175" i="7"/>
  <c r="J176" i="7"/>
  <c r="J177" i="7"/>
  <c r="J178" i="7"/>
  <c r="J179" i="7"/>
  <c r="J180" i="7"/>
  <c r="J181" i="7"/>
  <c r="J182" i="7"/>
  <c r="J183" i="7"/>
  <c r="J184" i="7"/>
  <c r="J185" i="7"/>
  <c r="J186" i="7"/>
  <c r="J187" i="7"/>
  <c r="K187" i="7" s="1"/>
  <c r="J188" i="7"/>
  <c r="J189" i="7"/>
  <c r="J190" i="7"/>
  <c r="J191" i="7"/>
  <c r="J192" i="7"/>
  <c r="J193" i="7"/>
  <c r="J194" i="7"/>
  <c r="J195" i="7"/>
  <c r="J196" i="7"/>
  <c r="J197" i="7"/>
  <c r="J198" i="7"/>
  <c r="J199" i="7"/>
  <c r="J200" i="7"/>
  <c r="J201" i="7"/>
  <c r="J202" i="7"/>
  <c r="J203" i="7"/>
  <c r="J204" i="7"/>
  <c r="J205" i="7"/>
  <c r="J206" i="7"/>
  <c r="J207" i="7"/>
  <c r="J208" i="7"/>
  <c r="J209" i="7"/>
  <c r="J210" i="7"/>
  <c r="J211" i="7"/>
  <c r="J212" i="7"/>
  <c r="J213" i="7"/>
  <c r="J214" i="7"/>
  <c r="J215" i="7"/>
  <c r="J216" i="7"/>
  <c r="J217" i="7"/>
  <c r="J218" i="7"/>
  <c r="J219" i="7"/>
  <c r="I21" i="7"/>
  <c r="I22" i="7"/>
  <c r="I23" i="7"/>
  <c r="I24" i="7"/>
  <c r="I25" i="7"/>
  <c r="I26" i="7"/>
  <c r="I27" i="7"/>
  <c r="I28" i="7"/>
  <c r="I29" i="7"/>
  <c r="I30" i="7"/>
  <c r="I31" i="7"/>
  <c r="I32" i="7"/>
  <c r="I33" i="7"/>
  <c r="I34" i="7"/>
  <c r="I35" i="7"/>
  <c r="I36" i="7"/>
  <c r="I37" i="7"/>
  <c r="I38" i="7"/>
  <c r="I39" i="7"/>
  <c r="I40" i="7"/>
  <c r="I41" i="7"/>
  <c r="I42" i="7"/>
  <c r="I43" i="7"/>
  <c r="I44" i="7"/>
  <c r="I45" i="7"/>
  <c r="I46" i="7"/>
  <c r="I47" i="7"/>
  <c r="I48" i="7"/>
  <c r="I49" i="7"/>
  <c r="I50" i="7"/>
  <c r="I51" i="7"/>
  <c r="I52" i="7"/>
  <c r="I53" i="7"/>
  <c r="I54" i="7"/>
  <c r="I55" i="7"/>
  <c r="I56" i="7"/>
  <c r="I57" i="7"/>
  <c r="I58" i="7"/>
  <c r="I59" i="7"/>
  <c r="I60" i="7"/>
  <c r="I61" i="7"/>
  <c r="I62" i="7"/>
  <c r="I63" i="7"/>
  <c r="I64" i="7"/>
  <c r="I65" i="7"/>
  <c r="I66" i="7"/>
  <c r="I67" i="7"/>
  <c r="I68" i="7"/>
  <c r="I69" i="7"/>
  <c r="I70" i="7"/>
  <c r="I71" i="7"/>
  <c r="I72" i="7"/>
  <c r="I73" i="7"/>
  <c r="I74" i="7"/>
  <c r="I75" i="7"/>
  <c r="I76" i="7"/>
  <c r="I77" i="7"/>
  <c r="I78" i="7"/>
  <c r="I79" i="7"/>
  <c r="I80" i="7"/>
  <c r="I81" i="7"/>
  <c r="I82" i="7"/>
  <c r="I83" i="7"/>
  <c r="I84" i="7"/>
  <c r="I85" i="7"/>
  <c r="I86" i="7"/>
  <c r="I87" i="7"/>
  <c r="I88" i="7"/>
  <c r="I89" i="7"/>
  <c r="I90" i="7"/>
  <c r="I91" i="7"/>
  <c r="I92" i="7"/>
  <c r="I93" i="7"/>
  <c r="I94" i="7"/>
  <c r="I95" i="7"/>
  <c r="I96" i="7"/>
  <c r="I97" i="7"/>
  <c r="I98" i="7"/>
  <c r="I99" i="7"/>
  <c r="I100" i="7"/>
  <c r="I101" i="7"/>
  <c r="I102" i="7"/>
  <c r="I103" i="7"/>
  <c r="I104" i="7"/>
  <c r="I105" i="7"/>
  <c r="I106" i="7"/>
  <c r="I107" i="7"/>
  <c r="I108" i="7"/>
  <c r="I109" i="7"/>
  <c r="I110" i="7"/>
  <c r="I111" i="7"/>
  <c r="I112" i="7"/>
  <c r="I113" i="7"/>
  <c r="I114" i="7"/>
  <c r="I115" i="7"/>
  <c r="I116" i="7"/>
  <c r="I117" i="7"/>
  <c r="I118" i="7"/>
  <c r="I119" i="7"/>
  <c r="I120" i="7"/>
  <c r="I121" i="7"/>
  <c r="I122" i="7"/>
  <c r="I123" i="7"/>
  <c r="I124" i="7"/>
  <c r="I125" i="7"/>
  <c r="I126" i="7"/>
  <c r="I127" i="7"/>
  <c r="I128" i="7"/>
  <c r="I129" i="7"/>
  <c r="I130" i="7"/>
  <c r="I131" i="7"/>
  <c r="I132" i="7"/>
  <c r="I133" i="7"/>
  <c r="I134" i="7"/>
  <c r="I135" i="7"/>
  <c r="I136" i="7"/>
  <c r="I137" i="7"/>
  <c r="I138" i="7"/>
  <c r="I139" i="7"/>
  <c r="I140" i="7"/>
  <c r="I141" i="7"/>
  <c r="I142" i="7"/>
  <c r="I143" i="7"/>
  <c r="I144" i="7"/>
  <c r="I145" i="7"/>
  <c r="I146" i="7"/>
  <c r="I147" i="7"/>
  <c r="I148" i="7"/>
  <c r="I149" i="7"/>
  <c r="I150" i="7"/>
  <c r="I151" i="7"/>
  <c r="I152" i="7"/>
  <c r="I153" i="7"/>
  <c r="I154" i="7"/>
  <c r="I155" i="7"/>
  <c r="I156" i="7"/>
  <c r="I157" i="7"/>
  <c r="I158" i="7"/>
  <c r="I159" i="7"/>
  <c r="I160" i="7"/>
  <c r="I161" i="7"/>
  <c r="I162" i="7"/>
  <c r="I163" i="7"/>
  <c r="I164" i="7"/>
  <c r="I165" i="7"/>
  <c r="I166" i="7"/>
  <c r="I167" i="7"/>
  <c r="I168" i="7"/>
  <c r="I169" i="7"/>
  <c r="I170" i="7"/>
  <c r="I171" i="7"/>
  <c r="I172" i="7"/>
  <c r="I173" i="7"/>
  <c r="I174" i="7"/>
  <c r="I175" i="7"/>
  <c r="I176" i="7"/>
  <c r="I177" i="7"/>
  <c r="I178" i="7"/>
  <c r="I179" i="7"/>
  <c r="I180" i="7"/>
  <c r="I181" i="7"/>
  <c r="I182" i="7"/>
  <c r="I183" i="7"/>
  <c r="I184" i="7"/>
  <c r="I185" i="7"/>
  <c r="I186" i="7"/>
  <c r="I187" i="7"/>
  <c r="I188" i="7"/>
  <c r="I189" i="7"/>
  <c r="I190" i="7"/>
  <c r="I191" i="7"/>
  <c r="I192" i="7"/>
  <c r="I193" i="7"/>
  <c r="I194" i="7"/>
  <c r="I195" i="7"/>
  <c r="I196" i="7"/>
  <c r="I197" i="7"/>
  <c r="I198" i="7"/>
  <c r="I199" i="7"/>
  <c r="I200" i="7"/>
  <c r="I201" i="7"/>
  <c r="I202" i="7"/>
  <c r="I203" i="7"/>
  <c r="I204" i="7"/>
  <c r="I205" i="7"/>
  <c r="I206" i="7"/>
  <c r="I207" i="7"/>
  <c r="I208" i="7"/>
  <c r="I209" i="7"/>
  <c r="I210" i="7"/>
  <c r="I211" i="7"/>
  <c r="I212" i="7"/>
  <c r="I213" i="7"/>
  <c r="I214" i="7"/>
  <c r="I215" i="7"/>
  <c r="I216" i="7"/>
  <c r="I217" i="7"/>
  <c r="I218" i="7"/>
  <c r="I219" i="7"/>
  <c r="K21" i="7"/>
  <c r="P21" i="7" s="1"/>
  <c r="H219" i="7"/>
  <c r="H218" i="7"/>
  <c r="H217" i="7"/>
  <c r="H216" i="7"/>
  <c r="H215" i="7"/>
  <c r="H214" i="7"/>
  <c r="H213" i="7"/>
  <c r="H212" i="7"/>
  <c r="H211" i="7"/>
  <c r="H210" i="7"/>
  <c r="H209" i="7"/>
  <c r="H208" i="7"/>
  <c r="H207" i="7"/>
  <c r="H206" i="7"/>
  <c r="H205" i="7"/>
  <c r="H204" i="7"/>
  <c r="K203" i="7"/>
  <c r="H203" i="7"/>
  <c r="K202" i="7"/>
  <c r="H202" i="7"/>
  <c r="K201" i="7"/>
  <c r="H201" i="7"/>
  <c r="H200" i="7"/>
  <c r="H199" i="7"/>
  <c r="H198" i="7"/>
  <c r="H197" i="7"/>
  <c r="H196" i="7"/>
  <c r="K195" i="7"/>
  <c r="H195" i="7"/>
  <c r="H194" i="7"/>
  <c r="H193" i="7"/>
  <c r="H192" i="7"/>
  <c r="K191" i="7"/>
  <c r="H191" i="7"/>
  <c r="H190" i="7"/>
  <c r="H189" i="7"/>
  <c r="H188" i="7"/>
  <c r="H187" i="7"/>
  <c r="H186" i="7"/>
  <c r="H185" i="7"/>
  <c r="H184" i="7"/>
  <c r="K183" i="7"/>
  <c r="H183" i="7"/>
  <c r="H182" i="7"/>
  <c r="H181" i="7"/>
  <c r="H180" i="7"/>
  <c r="K179" i="7"/>
  <c r="H179" i="7"/>
  <c r="H178" i="7"/>
  <c r="H177" i="7"/>
  <c r="H176" i="7"/>
  <c r="K175" i="7"/>
  <c r="H175" i="7"/>
  <c r="H174" i="7"/>
  <c r="H173" i="7"/>
  <c r="H172" i="7"/>
  <c r="K171" i="7"/>
  <c r="H171" i="7"/>
  <c r="H170" i="7"/>
  <c r="H169" i="7"/>
  <c r="H168" i="7"/>
  <c r="K167" i="7"/>
  <c r="H167" i="7"/>
  <c r="H166" i="7"/>
  <c r="H165" i="7"/>
  <c r="H164" i="7"/>
  <c r="K163" i="7"/>
  <c r="H163" i="7"/>
  <c r="H162" i="7"/>
  <c r="H161" i="7"/>
  <c r="H160" i="7"/>
  <c r="K159" i="7"/>
  <c r="H159" i="7"/>
  <c r="H158" i="7"/>
  <c r="H157" i="7"/>
  <c r="H156" i="7"/>
  <c r="H155" i="7"/>
  <c r="H154" i="7"/>
  <c r="H153" i="7"/>
  <c r="H152" i="7"/>
  <c r="H151" i="7"/>
  <c r="H150" i="7"/>
  <c r="H149" i="7"/>
  <c r="H148" i="7"/>
  <c r="K147" i="7"/>
  <c r="H147" i="7"/>
  <c r="H146" i="7"/>
  <c r="H145" i="7"/>
  <c r="H144" i="7"/>
  <c r="K143" i="7"/>
  <c r="H143" i="7"/>
  <c r="H142" i="7"/>
  <c r="H141" i="7"/>
  <c r="H140" i="7"/>
  <c r="K139" i="7"/>
  <c r="H139" i="7"/>
  <c r="H138" i="7"/>
  <c r="H137" i="7"/>
  <c r="H136" i="7"/>
  <c r="K135" i="7"/>
  <c r="H135" i="7"/>
  <c r="H134" i="7"/>
  <c r="H133" i="7"/>
  <c r="H132" i="7"/>
  <c r="K131" i="7"/>
  <c r="H131" i="7"/>
  <c r="H130" i="7"/>
  <c r="H129" i="7"/>
  <c r="H128" i="7"/>
  <c r="K127" i="7"/>
  <c r="H127" i="7"/>
  <c r="H126" i="7"/>
  <c r="H125" i="7"/>
  <c r="H124" i="7"/>
  <c r="K123" i="7"/>
  <c r="H123" i="7"/>
  <c r="K122" i="7"/>
  <c r="H122" i="7"/>
  <c r="H121" i="7"/>
  <c r="H120" i="7"/>
  <c r="K119" i="7"/>
  <c r="H119" i="7"/>
  <c r="H118" i="7"/>
  <c r="K117" i="7"/>
  <c r="H117" i="7"/>
  <c r="H116" i="7"/>
  <c r="K115" i="7"/>
  <c r="H115" i="7"/>
  <c r="H114" i="7"/>
  <c r="H113" i="7"/>
  <c r="H112" i="7"/>
  <c r="K111" i="7"/>
  <c r="H111" i="7"/>
  <c r="H110" i="7"/>
  <c r="H109" i="7"/>
  <c r="H108" i="7"/>
  <c r="K107" i="7"/>
  <c r="H107" i="7"/>
  <c r="K106" i="7"/>
  <c r="H106" i="7"/>
  <c r="H105" i="7"/>
  <c r="H104" i="7"/>
  <c r="K103" i="7"/>
  <c r="H103" i="7"/>
  <c r="H102" i="7"/>
  <c r="H101" i="7"/>
  <c r="H100" i="7"/>
  <c r="K99" i="7"/>
  <c r="H99" i="7"/>
  <c r="H98" i="7"/>
  <c r="H97" i="7"/>
  <c r="H96" i="7"/>
  <c r="K95" i="7"/>
  <c r="H95" i="7"/>
  <c r="K94" i="7"/>
  <c r="H94" i="7"/>
  <c r="H93" i="7"/>
  <c r="H92" i="7"/>
  <c r="K91" i="7"/>
  <c r="H91" i="7"/>
  <c r="H90" i="7"/>
  <c r="H89" i="7"/>
  <c r="H88" i="7"/>
  <c r="H87" i="7"/>
  <c r="H86" i="7"/>
  <c r="H85" i="7"/>
  <c r="H84" i="7"/>
  <c r="K83" i="7"/>
  <c r="H83" i="7"/>
  <c r="H82" i="7"/>
  <c r="H81" i="7"/>
  <c r="H80" i="7"/>
  <c r="BM79" i="7"/>
  <c r="BL79" i="7" s="1"/>
  <c r="BJ79" i="7"/>
  <c r="H79" i="7"/>
  <c r="BM78" i="7"/>
  <c r="BK78" i="7" s="1"/>
  <c r="BJ78" i="7"/>
  <c r="H78" i="7"/>
  <c r="BM77" i="7"/>
  <c r="BY77" i="7" s="1"/>
  <c r="BJ77" i="7"/>
  <c r="H77" i="7"/>
  <c r="BM76" i="7"/>
  <c r="BL76" i="7" s="1"/>
  <c r="BJ76" i="7"/>
  <c r="K76" i="7"/>
  <c r="H76" i="7"/>
  <c r="BM75" i="7"/>
  <c r="BK75" i="7" s="1"/>
  <c r="BJ75" i="7"/>
  <c r="H75" i="7"/>
  <c r="BM74" i="7"/>
  <c r="BK74" i="7" s="1"/>
  <c r="BJ74" i="7"/>
  <c r="K74" i="7"/>
  <c r="H74" i="7"/>
  <c r="BM73" i="7"/>
  <c r="BJ73" i="7"/>
  <c r="H73" i="7"/>
  <c r="BM72" i="7"/>
  <c r="BL72" i="7" s="1"/>
  <c r="BY72" i="7" s="1"/>
  <c r="BJ72" i="7"/>
  <c r="H72" i="7"/>
  <c r="BX71" i="7"/>
  <c r="BM71" i="7"/>
  <c r="BL71" i="7" s="1"/>
  <c r="BW71" i="7" s="1"/>
  <c r="BJ71" i="7"/>
  <c r="K71" i="7"/>
  <c r="H71" i="7"/>
  <c r="BM70" i="7"/>
  <c r="BL70" i="7" s="1"/>
  <c r="BW70" i="7" s="1"/>
  <c r="BJ70" i="7"/>
  <c r="H70" i="7"/>
  <c r="BM69" i="7"/>
  <c r="BK69" i="7" s="1"/>
  <c r="BJ69" i="7"/>
  <c r="K69" i="7"/>
  <c r="H69" i="7"/>
  <c r="BM68" i="7"/>
  <c r="BJ68" i="7"/>
  <c r="H68" i="7"/>
  <c r="BM67" i="7"/>
  <c r="BJ67" i="7"/>
  <c r="H67" i="7"/>
  <c r="BM66" i="7"/>
  <c r="BJ66" i="7"/>
  <c r="H66" i="7"/>
  <c r="BM65" i="7"/>
  <c r="BL65" i="7" s="1"/>
  <c r="BJ65" i="7"/>
  <c r="K65" i="7"/>
  <c r="H65" i="7"/>
  <c r="BM64" i="7"/>
  <c r="BK64" i="7" s="1"/>
  <c r="BJ64" i="7"/>
  <c r="H64" i="7"/>
  <c r="BM63" i="7"/>
  <c r="BL63" i="7" s="1"/>
  <c r="BJ63" i="7"/>
  <c r="H63" i="7"/>
  <c r="BM62" i="7"/>
  <c r="BL62" i="7" s="1"/>
  <c r="BJ62" i="7"/>
  <c r="K62" i="7"/>
  <c r="H62" i="7"/>
  <c r="BM61" i="7"/>
  <c r="BK61" i="7" s="1"/>
  <c r="BJ61" i="7"/>
  <c r="H61" i="7"/>
  <c r="BM60" i="7"/>
  <c r="BY60" i="7" s="1"/>
  <c r="BJ60" i="7"/>
  <c r="H60" i="7"/>
  <c r="BM59" i="7"/>
  <c r="BL59" i="7" s="1"/>
  <c r="BY59" i="7" s="1"/>
  <c r="BJ59" i="7"/>
  <c r="H59" i="7"/>
  <c r="BM58" i="7"/>
  <c r="BJ58" i="7"/>
  <c r="H58" i="7"/>
  <c r="BM57" i="7"/>
  <c r="BJ57" i="7"/>
  <c r="K57" i="7"/>
  <c r="H57" i="7"/>
  <c r="BM56" i="7"/>
  <c r="BL56" i="7" s="1"/>
  <c r="BJ56" i="7"/>
  <c r="H56" i="7"/>
  <c r="BM55" i="7"/>
  <c r="BJ55" i="7"/>
  <c r="K55" i="7"/>
  <c r="H55" i="7"/>
  <c r="BM54" i="7"/>
  <c r="BK54" i="7" s="1"/>
  <c r="BX54" i="7" s="1"/>
  <c r="BJ54" i="7"/>
  <c r="H54" i="7"/>
  <c r="BM53" i="7"/>
  <c r="BJ53" i="7"/>
  <c r="H53" i="7"/>
  <c r="BM52" i="7"/>
  <c r="BJ52" i="7"/>
  <c r="K52" i="7"/>
  <c r="H52" i="7"/>
  <c r="BM51" i="7"/>
  <c r="BL51" i="7" s="1"/>
  <c r="BW51" i="7" s="1"/>
  <c r="BJ51" i="7"/>
  <c r="H51" i="7"/>
  <c r="BM50" i="7"/>
  <c r="BK50" i="7" s="1"/>
  <c r="BJ50" i="7"/>
  <c r="H50" i="7"/>
  <c r="BM49" i="7"/>
  <c r="BK49" i="7" s="1"/>
  <c r="BX49" i="7" s="1"/>
  <c r="BJ49" i="7"/>
  <c r="H49" i="7"/>
  <c r="BM48" i="7"/>
  <c r="BJ48" i="7"/>
  <c r="K48" i="7"/>
  <c r="H48" i="7"/>
  <c r="BM47" i="7"/>
  <c r="BK47" i="7" s="1"/>
  <c r="BJ47" i="7"/>
  <c r="K47" i="7"/>
  <c r="H47" i="7"/>
  <c r="BM46" i="7"/>
  <c r="BJ46" i="7"/>
  <c r="H46" i="7"/>
  <c r="BM45" i="7"/>
  <c r="BJ45" i="7"/>
  <c r="K45" i="7"/>
  <c r="H45" i="7"/>
  <c r="BM44" i="7"/>
  <c r="BK44" i="7" s="1"/>
  <c r="BJ44" i="7"/>
  <c r="H44" i="7"/>
  <c r="BM43" i="7"/>
  <c r="BJ43" i="7"/>
  <c r="H43" i="7"/>
  <c r="BM42" i="7"/>
  <c r="BK42" i="7" s="1"/>
  <c r="BX42" i="7" s="1"/>
  <c r="BJ42" i="7"/>
  <c r="H42" i="7"/>
  <c r="BM41" i="7"/>
  <c r="BL41" i="7" s="1"/>
  <c r="BY41" i="7" s="1"/>
  <c r="BJ41" i="7"/>
  <c r="H41" i="7"/>
  <c r="BM40" i="7"/>
  <c r="BL40" i="7" s="1"/>
  <c r="BY40" i="7" s="1"/>
  <c r="BJ40" i="7"/>
  <c r="H40" i="7"/>
  <c r="BM39" i="7"/>
  <c r="BY39" i="7" s="1"/>
  <c r="BJ39" i="7"/>
  <c r="H39" i="7"/>
  <c r="BM38" i="7"/>
  <c r="BL38" i="7" s="1"/>
  <c r="BJ38" i="7"/>
  <c r="K38" i="7"/>
  <c r="H38" i="7"/>
  <c r="BM37" i="7"/>
  <c r="BJ37" i="7"/>
  <c r="H37" i="7"/>
  <c r="BM36" i="7"/>
  <c r="BJ36" i="7"/>
  <c r="H36" i="7"/>
  <c r="BM35" i="7"/>
  <c r="BK35" i="7" s="1"/>
  <c r="BJ35" i="7"/>
  <c r="K35" i="7"/>
  <c r="H35" i="7"/>
  <c r="BM34" i="7"/>
  <c r="BK34" i="7" s="1"/>
  <c r="BJ34" i="7"/>
  <c r="H34" i="7"/>
  <c r="BM33" i="7"/>
  <c r="BJ33" i="7"/>
  <c r="AZ33" i="7"/>
  <c r="AY33" i="7"/>
  <c r="H33" i="7"/>
  <c r="BM32" i="7"/>
  <c r="BL32" i="7" s="1"/>
  <c r="BW32" i="7" s="1"/>
  <c r="BJ32" i="7"/>
  <c r="AZ32" i="7"/>
  <c r="AX32" i="7"/>
  <c r="H32" i="7"/>
  <c r="BM31" i="7"/>
  <c r="BK31" i="7" s="1"/>
  <c r="BV31" i="7" s="1"/>
  <c r="BJ31" i="7"/>
  <c r="H31" i="7"/>
  <c r="BM30" i="7"/>
  <c r="BJ30" i="7"/>
  <c r="H30" i="7"/>
  <c r="BM29" i="7"/>
  <c r="BJ29" i="7"/>
  <c r="H29" i="7"/>
  <c r="BM28" i="7"/>
  <c r="BL28" i="7" s="1"/>
  <c r="BW28" i="7" s="1"/>
  <c r="BJ28" i="7"/>
  <c r="H28" i="7"/>
  <c r="BM27" i="7"/>
  <c r="BK27" i="7" s="1"/>
  <c r="BJ27" i="7"/>
  <c r="K27" i="7"/>
  <c r="H27" i="7"/>
  <c r="BM26" i="7"/>
  <c r="BK26" i="7" s="1"/>
  <c r="BX26" i="7" s="1"/>
  <c r="BJ26" i="7"/>
  <c r="H26" i="7"/>
  <c r="BM25" i="7"/>
  <c r="BL25" i="7" s="1"/>
  <c r="BY25" i="7" s="1"/>
  <c r="BJ25" i="7"/>
  <c r="K25" i="7"/>
  <c r="H25" i="7"/>
  <c r="BM24" i="7"/>
  <c r="BK24" i="7" s="1"/>
  <c r="BJ24" i="7"/>
  <c r="H24" i="7"/>
  <c r="BM23" i="7"/>
  <c r="BK23" i="7" s="1"/>
  <c r="BJ23" i="7"/>
  <c r="K23" i="7"/>
  <c r="H23" i="7"/>
  <c r="BM22" i="7"/>
  <c r="BY22" i="7" s="1"/>
  <c r="BJ22" i="7"/>
  <c r="BD22" i="7"/>
  <c r="BD23" i="7" s="1"/>
  <c r="BD24" i="7" s="1"/>
  <c r="BD25" i="7" s="1"/>
  <c r="BD26" i="7" s="1"/>
  <c r="BD27" i="7" s="1"/>
  <c r="BD28" i="7" s="1"/>
  <c r="BD29" i="7" s="1"/>
  <c r="BD30" i="7" s="1"/>
  <c r="BD31" i="7" s="1"/>
  <c r="BD32" i="7" s="1"/>
  <c r="BD33" i="7" s="1"/>
  <c r="BD34" i="7" s="1"/>
  <c r="BD35" i="7" s="1"/>
  <c r="BD36" i="7" s="1"/>
  <c r="BD37" i="7" s="1"/>
  <c r="BD38" i="7" s="1"/>
  <c r="BD39" i="7" s="1"/>
  <c r="BD40" i="7" s="1"/>
  <c r="BD41" i="7" s="1"/>
  <c r="BD42" i="7" s="1"/>
  <c r="BD43" i="7" s="1"/>
  <c r="BD44" i="7" s="1"/>
  <c r="BD45" i="7" s="1"/>
  <c r="BD46" i="7" s="1"/>
  <c r="BD47" i="7" s="1"/>
  <c r="BD48" i="7" s="1"/>
  <c r="BD49" i="7" s="1"/>
  <c r="BD50" i="7" s="1"/>
  <c r="BD51" i="7" s="1"/>
  <c r="BD52" i="7" s="1"/>
  <c r="BD53" i="7" s="1"/>
  <c r="BD54" i="7" s="1"/>
  <c r="BD55" i="7" s="1"/>
  <c r="BD56" i="7" s="1"/>
  <c r="BD57" i="7" s="1"/>
  <c r="BD58" i="7" s="1"/>
  <c r="BD59" i="7" s="1"/>
  <c r="BD60" i="7" s="1"/>
  <c r="BD61" i="7" s="1"/>
  <c r="BD62" i="7" s="1"/>
  <c r="BD63" i="7" s="1"/>
  <c r="BD64" i="7" s="1"/>
  <c r="BD65" i="7" s="1"/>
  <c r="BD66" i="7" s="1"/>
  <c r="BD67" i="7" s="1"/>
  <c r="BD68" i="7" s="1"/>
  <c r="BD69" i="7" s="1"/>
  <c r="BD70" i="7" s="1"/>
  <c r="BD71" i="7" s="1"/>
  <c r="BD72" i="7" s="1"/>
  <c r="BD73" i="7" s="1"/>
  <c r="BD74" i="7" s="1"/>
  <c r="BD75" i="7" s="1"/>
  <c r="BD76" i="7" s="1"/>
  <c r="BD77" i="7" s="1"/>
  <c r="BD78" i="7" s="1"/>
  <c r="BD79" i="7" s="1"/>
  <c r="K22" i="7"/>
  <c r="H22" i="7"/>
  <c r="BM21" i="7"/>
  <c r="BL21" i="7" s="1"/>
  <c r="BJ21" i="7"/>
  <c r="H21" i="7"/>
  <c r="BM20" i="7"/>
  <c r="BJ20" i="7"/>
  <c r="BD20" i="7"/>
  <c r="BD21" i="7" s="1"/>
  <c r="J20" i="7"/>
  <c r="I20" i="7"/>
  <c r="K20" i="7" s="1"/>
  <c r="P20" i="7" s="1"/>
  <c r="H20" i="7"/>
  <c r="B20" i="7"/>
  <c r="B21" i="7" s="1"/>
  <c r="B22" i="7" s="1"/>
  <c r="B23" i="7" s="1"/>
  <c r="B24" i="7" s="1"/>
  <c r="B25" i="7" s="1"/>
  <c r="B26" i="7" s="1"/>
  <c r="B27" i="7" s="1"/>
  <c r="B28" i="7" s="1"/>
  <c r="B29" i="7" s="1"/>
  <c r="B30" i="7" s="1"/>
  <c r="B31" i="7" s="1"/>
  <c r="B32" i="7" s="1"/>
  <c r="B33" i="7" s="1"/>
  <c r="B34" i="7" s="1"/>
  <c r="B35" i="7" s="1"/>
  <c r="B36" i="7" s="1"/>
  <c r="B37" i="7" s="1"/>
  <c r="B38" i="7" s="1"/>
  <c r="B39" i="7" s="1"/>
  <c r="B40" i="7" s="1"/>
  <c r="B41" i="7" s="1"/>
  <c r="B42" i="7" s="1"/>
  <c r="B43" i="7" s="1"/>
  <c r="B44" i="7" s="1"/>
  <c r="B45" i="7" s="1"/>
  <c r="B46" i="7" s="1"/>
  <c r="B47" i="7" s="1"/>
  <c r="B48" i="7" s="1"/>
  <c r="B49" i="7" s="1"/>
  <c r="B50" i="7" s="1"/>
  <c r="B51" i="7" s="1"/>
  <c r="B52" i="7" s="1"/>
  <c r="B53" i="7" s="1"/>
  <c r="B54" i="7" s="1"/>
  <c r="B55" i="7" s="1"/>
  <c r="B56" i="7" s="1"/>
  <c r="B57" i="7" s="1"/>
  <c r="B58" i="7" s="1"/>
  <c r="B59" i="7" s="1"/>
  <c r="B60" i="7" s="1"/>
  <c r="B61" i="7" s="1"/>
  <c r="B62" i="7" s="1"/>
  <c r="B63" i="7" s="1"/>
  <c r="B64" i="7" s="1"/>
  <c r="B65" i="7" s="1"/>
  <c r="B66" i="7" s="1"/>
  <c r="B67" i="7" s="1"/>
  <c r="B68" i="7" s="1"/>
  <c r="B69" i="7" s="1"/>
  <c r="B70" i="7" s="1"/>
  <c r="B71" i="7" s="1"/>
  <c r="B72" i="7" s="1"/>
  <c r="B73" i="7" s="1"/>
  <c r="B74" i="7" s="1"/>
  <c r="B75" i="7" s="1"/>
  <c r="B76" i="7" s="1"/>
  <c r="B77" i="7" s="1"/>
  <c r="B78" i="7" s="1"/>
  <c r="B79" i="7" s="1"/>
  <c r="B80" i="7" s="1"/>
  <c r="B81" i="7" s="1"/>
  <c r="B82" i="7" s="1"/>
  <c r="B83" i="7" s="1"/>
  <c r="B84" i="7" s="1"/>
  <c r="B85" i="7" s="1"/>
  <c r="B86" i="7" s="1"/>
  <c r="B87" i="7" s="1"/>
  <c r="B88" i="7" s="1"/>
  <c r="B89" i="7" s="1"/>
  <c r="B90" i="7" s="1"/>
  <c r="B91" i="7" s="1"/>
  <c r="B92" i="7" s="1"/>
  <c r="B93" i="7" s="1"/>
  <c r="B94" i="7" s="1"/>
  <c r="B95" i="7" s="1"/>
  <c r="B96" i="7" s="1"/>
  <c r="B97" i="7" s="1"/>
  <c r="B98" i="7" s="1"/>
  <c r="B99" i="7" s="1"/>
  <c r="B100" i="7" s="1"/>
  <c r="B101" i="7" s="1"/>
  <c r="B102" i="7" s="1"/>
  <c r="B103" i="7" s="1"/>
  <c r="B104" i="7" s="1"/>
  <c r="B105" i="7" s="1"/>
  <c r="B106" i="7" s="1"/>
  <c r="B107" i="7" s="1"/>
  <c r="B108" i="7" s="1"/>
  <c r="B109" i="7" s="1"/>
  <c r="B110" i="7" s="1"/>
  <c r="B111" i="7" s="1"/>
  <c r="B112" i="7" s="1"/>
  <c r="B113" i="7" s="1"/>
  <c r="B114" i="7" s="1"/>
  <c r="B115" i="7" s="1"/>
  <c r="B116" i="7" s="1"/>
  <c r="B117" i="7" s="1"/>
  <c r="B118" i="7" s="1"/>
  <c r="B119" i="7" s="1"/>
  <c r="B120" i="7" s="1"/>
  <c r="B121" i="7" s="1"/>
  <c r="B122" i="7" s="1"/>
  <c r="B123" i="7" s="1"/>
  <c r="B124" i="7" s="1"/>
  <c r="B125" i="7" s="1"/>
  <c r="B126" i="7" s="1"/>
  <c r="B127" i="7" s="1"/>
  <c r="B128" i="7" s="1"/>
  <c r="B129" i="7" s="1"/>
  <c r="B130" i="7" s="1"/>
  <c r="B131" i="7" s="1"/>
  <c r="B132" i="7" s="1"/>
  <c r="B133" i="7" s="1"/>
  <c r="B134" i="7" s="1"/>
  <c r="B135" i="7" s="1"/>
  <c r="B136" i="7" s="1"/>
  <c r="B137" i="7" s="1"/>
  <c r="B138" i="7" s="1"/>
  <c r="B139" i="7" s="1"/>
  <c r="B140" i="7" s="1"/>
  <c r="B141" i="7" s="1"/>
  <c r="B142" i="7" s="1"/>
  <c r="B143" i="7" s="1"/>
  <c r="B144" i="7" s="1"/>
  <c r="B145" i="7" s="1"/>
  <c r="B146" i="7" s="1"/>
  <c r="B147" i="7" s="1"/>
  <c r="B148" i="7" s="1"/>
  <c r="B149" i="7" s="1"/>
  <c r="B150" i="7" s="1"/>
  <c r="B151" i="7" s="1"/>
  <c r="B152" i="7" s="1"/>
  <c r="B153" i="7" s="1"/>
  <c r="B154" i="7" s="1"/>
  <c r="B155" i="7" s="1"/>
  <c r="B156" i="7" s="1"/>
  <c r="B157" i="7" s="1"/>
  <c r="B158" i="7" s="1"/>
  <c r="B159" i="7" s="1"/>
  <c r="B160" i="7" s="1"/>
  <c r="B161" i="7" s="1"/>
  <c r="B162" i="7" s="1"/>
  <c r="B163" i="7" s="1"/>
  <c r="B164" i="7" s="1"/>
  <c r="B165" i="7" s="1"/>
  <c r="B166" i="7" s="1"/>
  <c r="B167" i="7" s="1"/>
  <c r="B168" i="7" s="1"/>
  <c r="B169" i="7" s="1"/>
  <c r="B170" i="7" s="1"/>
  <c r="B171" i="7" s="1"/>
  <c r="B172" i="7" s="1"/>
  <c r="B173" i="7" s="1"/>
  <c r="B174" i="7" s="1"/>
  <c r="B175" i="7" s="1"/>
  <c r="B176" i="7" s="1"/>
  <c r="B177" i="7" s="1"/>
  <c r="B178" i="7" s="1"/>
  <c r="B179" i="7" s="1"/>
  <c r="B180" i="7" s="1"/>
  <c r="B181" i="7" s="1"/>
  <c r="B182" i="7" s="1"/>
  <c r="B183" i="7" s="1"/>
  <c r="B184" i="7" s="1"/>
  <c r="B185" i="7" s="1"/>
  <c r="B186" i="7" s="1"/>
  <c r="B187" i="7" s="1"/>
  <c r="B188" i="7" s="1"/>
  <c r="B189" i="7" s="1"/>
  <c r="B190" i="7" s="1"/>
  <c r="B191" i="7" s="1"/>
  <c r="B192" i="7" s="1"/>
  <c r="B193" i="7" s="1"/>
  <c r="B194" i="7" s="1"/>
  <c r="B195" i="7" s="1"/>
  <c r="B196" i="7" s="1"/>
  <c r="B197" i="7" s="1"/>
  <c r="B198" i="7" s="1"/>
  <c r="B199" i="7" s="1"/>
  <c r="B200" i="7" s="1"/>
  <c r="B201" i="7" s="1"/>
  <c r="B202" i="7" s="1"/>
  <c r="B203" i="7" s="1"/>
  <c r="B204" i="7" s="1"/>
  <c r="B205" i="7" s="1"/>
  <c r="B206" i="7" s="1"/>
  <c r="B207" i="7" s="1"/>
  <c r="B208" i="7" s="1"/>
  <c r="B209" i="7" s="1"/>
  <c r="B210" i="7" s="1"/>
  <c r="B211" i="7" s="1"/>
  <c r="B212" i="7" s="1"/>
  <c r="B213" i="7" s="1"/>
  <c r="B214" i="7" s="1"/>
  <c r="B215" i="7" s="1"/>
  <c r="B216" i="7" s="1"/>
  <c r="B217" i="7" s="1"/>
  <c r="B218" i="7" s="1"/>
  <c r="B219" i="7" s="1"/>
  <c r="AZ19" i="7"/>
  <c r="AX19" i="7"/>
  <c r="AT19" i="7"/>
  <c r="AS19" i="7"/>
  <c r="AR19" i="7"/>
  <c r="I23" i="3"/>
  <c r="J23" i="3"/>
  <c r="I24" i="3"/>
  <c r="J24" i="3"/>
  <c r="I25" i="3"/>
  <c r="J25" i="3"/>
  <c r="I26" i="3"/>
  <c r="J26" i="3"/>
  <c r="I27" i="3"/>
  <c r="J27" i="3"/>
  <c r="I28" i="3"/>
  <c r="J28" i="3"/>
  <c r="I29" i="3"/>
  <c r="J29" i="3"/>
  <c r="I30" i="3"/>
  <c r="J30" i="3"/>
  <c r="I31" i="3"/>
  <c r="J31" i="3"/>
  <c r="I32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00" i="3"/>
  <c r="J201" i="3"/>
  <c r="J202" i="3"/>
  <c r="J203" i="3"/>
  <c r="J204" i="3"/>
  <c r="J205" i="3"/>
  <c r="J206" i="3"/>
  <c r="J207" i="3"/>
  <c r="J208" i="3"/>
  <c r="J209" i="3"/>
  <c r="J210" i="3"/>
  <c r="J211" i="3"/>
  <c r="J212" i="3"/>
  <c r="J213" i="3"/>
  <c r="J214" i="3"/>
  <c r="J215" i="3"/>
  <c r="J216" i="3"/>
  <c r="J217" i="3"/>
  <c r="J218" i="3"/>
  <c r="J219" i="3"/>
  <c r="J220" i="3"/>
  <c r="J221" i="3"/>
  <c r="J222" i="3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3" i="2"/>
  <c r="I23" i="2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0" i="6"/>
  <c r="K219" i="6"/>
  <c r="H219" i="6"/>
  <c r="K218" i="6"/>
  <c r="H218" i="6"/>
  <c r="K217" i="6"/>
  <c r="I217" i="6" s="1"/>
  <c r="P217" i="6" s="1"/>
  <c r="H217" i="6"/>
  <c r="K216" i="6"/>
  <c r="H216" i="6"/>
  <c r="K215" i="6"/>
  <c r="H215" i="6"/>
  <c r="K214" i="6"/>
  <c r="H214" i="6"/>
  <c r="K213" i="6"/>
  <c r="H213" i="6"/>
  <c r="K212" i="6"/>
  <c r="H212" i="6"/>
  <c r="K211" i="6"/>
  <c r="J211" i="6" s="1"/>
  <c r="Q211" i="6" s="1"/>
  <c r="H211" i="6"/>
  <c r="K210" i="6"/>
  <c r="H210" i="6"/>
  <c r="K209" i="6"/>
  <c r="H209" i="6"/>
  <c r="K208" i="6"/>
  <c r="H208" i="6"/>
  <c r="K207" i="6"/>
  <c r="Q207" i="6" s="1"/>
  <c r="H207" i="6"/>
  <c r="K206" i="6"/>
  <c r="H206" i="6"/>
  <c r="K205" i="6"/>
  <c r="H205" i="6"/>
  <c r="K204" i="6"/>
  <c r="J204" i="6" s="1"/>
  <c r="O204" i="6" s="1"/>
  <c r="H204" i="6"/>
  <c r="K203" i="6"/>
  <c r="H203" i="6"/>
  <c r="K202" i="6"/>
  <c r="J202" i="6" s="1"/>
  <c r="Q202" i="6" s="1"/>
  <c r="H202" i="6"/>
  <c r="K201" i="6"/>
  <c r="H201" i="6"/>
  <c r="K200" i="6"/>
  <c r="H200" i="6"/>
  <c r="K199" i="6"/>
  <c r="J199" i="6" s="1"/>
  <c r="H199" i="6"/>
  <c r="K198" i="6"/>
  <c r="J198" i="6" s="1"/>
  <c r="H198" i="6"/>
  <c r="K197" i="6"/>
  <c r="H197" i="6"/>
  <c r="K196" i="6"/>
  <c r="H196" i="6"/>
  <c r="K195" i="6"/>
  <c r="J195" i="6" s="1"/>
  <c r="H195" i="6"/>
  <c r="K194" i="6"/>
  <c r="J194" i="6" s="1"/>
  <c r="H194" i="6"/>
  <c r="K193" i="6"/>
  <c r="I193" i="6" s="1"/>
  <c r="N193" i="6" s="1"/>
  <c r="H193" i="6"/>
  <c r="K192" i="6"/>
  <c r="H192" i="6"/>
  <c r="K191" i="6"/>
  <c r="J191" i="6" s="1"/>
  <c r="H191" i="6"/>
  <c r="K190" i="6"/>
  <c r="J190" i="6" s="1"/>
  <c r="H190" i="6"/>
  <c r="K189" i="6"/>
  <c r="H189" i="6"/>
  <c r="K188" i="6"/>
  <c r="H188" i="6"/>
  <c r="K187" i="6"/>
  <c r="Q187" i="6" s="1"/>
  <c r="H187" i="6"/>
  <c r="K186" i="6"/>
  <c r="J186" i="6" s="1"/>
  <c r="H186" i="6"/>
  <c r="K185" i="6"/>
  <c r="J185" i="6" s="1"/>
  <c r="H185" i="6"/>
  <c r="K184" i="6"/>
  <c r="H184" i="6"/>
  <c r="K183" i="6"/>
  <c r="H183" i="6"/>
  <c r="K182" i="6"/>
  <c r="H182" i="6"/>
  <c r="K181" i="6"/>
  <c r="H181" i="6"/>
  <c r="K180" i="6"/>
  <c r="J180" i="6" s="1"/>
  <c r="H180" i="6"/>
  <c r="K179" i="6"/>
  <c r="I179" i="6" s="1"/>
  <c r="H179" i="6"/>
  <c r="K178" i="6"/>
  <c r="J178" i="6" s="1"/>
  <c r="Q178" i="6" s="1"/>
  <c r="H178" i="6"/>
  <c r="K177" i="6"/>
  <c r="H177" i="6"/>
  <c r="K176" i="6"/>
  <c r="J176" i="6" s="1"/>
  <c r="H176" i="6"/>
  <c r="K175" i="6"/>
  <c r="H175" i="6"/>
  <c r="K174" i="6"/>
  <c r="H174" i="6"/>
  <c r="K173" i="6"/>
  <c r="J173" i="6" s="1"/>
  <c r="H173" i="6"/>
  <c r="K172" i="6"/>
  <c r="P172" i="6" s="1"/>
  <c r="H172" i="6"/>
  <c r="K171" i="6"/>
  <c r="H171" i="6"/>
  <c r="K170" i="6"/>
  <c r="H170" i="6"/>
  <c r="K169" i="6"/>
  <c r="I169" i="6" s="1"/>
  <c r="H169" i="6"/>
  <c r="K168" i="6"/>
  <c r="J168" i="6" s="1"/>
  <c r="H168" i="6"/>
  <c r="K167" i="6"/>
  <c r="J167" i="6" s="1"/>
  <c r="Q167" i="6" s="1"/>
  <c r="H167" i="6"/>
  <c r="K166" i="6"/>
  <c r="J166" i="6" s="1"/>
  <c r="H166" i="6"/>
  <c r="K165" i="6"/>
  <c r="H165" i="6"/>
  <c r="K164" i="6"/>
  <c r="H164" i="6"/>
  <c r="K163" i="6"/>
  <c r="H163" i="6"/>
  <c r="K162" i="6"/>
  <c r="H162" i="6"/>
  <c r="K161" i="6"/>
  <c r="H161" i="6"/>
  <c r="K160" i="6"/>
  <c r="H160" i="6"/>
  <c r="K159" i="6"/>
  <c r="H159" i="6"/>
  <c r="K158" i="6"/>
  <c r="H158" i="6"/>
  <c r="K157" i="6"/>
  <c r="J157" i="6" s="1"/>
  <c r="H157" i="6"/>
  <c r="K156" i="6"/>
  <c r="Q156" i="6" s="1"/>
  <c r="H156" i="6"/>
  <c r="K155" i="6"/>
  <c r="H155" i="6"/>
  <c r="K154" i="6"/>
  <c r="I154" i="6" s="1"/>
  <c r="H154" i="6"/>
  <c r="K153" i="6"/>
  <c r="I153" i="6" s="1"/>
  <c r="H153" i="6"/>
  <c r="K152" i="6"/>
  <c r="H152" i="6"/>
  <c r="K151" i="6"/>
  <c r="J151" i="6" s="1"/>
  <c r="H151" i="6"/>
  <c r="K150" i="6"/>
  <c r="H150" i="6"/>
  <c r="K149" i="6"/>
  <c r="H149" i="6"/>
  <c r="K148" i="6"/>
  <c r="J148" i="6" s="1"/>
  <c r="H148" i="6"/>
  <c r="K147" i="6"/>
  <c r="J147" i="6" s="1"/>
  <c r="Q147" i="6" s="1"/>
  <c r="H147" i="6"/>
  <c r="K146" i="6"/>
  <c r="H146" i="6"/>
  <c r="K145" i="6"/>
  <c r="J145" i="6" s="1"/>
  <c r="H145" i="6"/>
  <c r="K144" i="6"/>
  <c r="H144" i="6"/>
  <c r="K143" i="6"/>
  <c r="I143" i="6" s="1"/>
  <c r="H143" i="6"/>
  <c r="K142" i="6"/>
  <c r="Q142" i="6" s="1"/>
  <c r="H142" i="6"/>
  <c r="K141" i="6"/>
  <c r="Q141" i="6" s="1"/>
  <c r="H141" i="6"/>
  <c r="K140" i="6"/>
  <c r="J140" i="6" s="1"/>
  <c r="H140" i="6"/>
  <c r="K139" i="6"/>
  <c r="J139" i="6" s="1"/>
  <c r="H139" i="6"/>
  <c r="K138" i="6"/>
  <c r="H138" i="6"/>
  <c r="K137" i="6"/>
  <c r="J137" i="6" s="1"/>
  <c r="H137" i="6"/>
  <c r="K136" i="6"/>
  <c r="J136" i="6" s="1"/>
  <c r="H136" i="6"/>
  <c r="K135" i="6"/>
  <c r="H135" i="6"/>
  <c r="K134" i="6"/>
  <c r="H134" i="6"/>
  <c r="K133" i="6"/>
  <c r="J133" i="6" s="1"/>
  <c r="H133" i="6"/>
  <c r="K132" i="6"/>
  <c r="H132" i="6"/>
  <c r="K131" i="6"/>
  <c r="H131" i="6"/>
  <c r="K130" i="6"/>
  <c r="J130" i="6" s="1"/>
  <c r="H130" i="6"/>
  <c r="K129" i="6"/>
  <c r="H129" i="6"/>
  <c r="K128" i="6"/>
  <c r="P128" i="6" s="1"/>
  <c r="H128" i="6"/>
  <c r="K127" i="6"/>
  <c r="J127" i="6" s="1"/>
  <c r="H127" i="6"/>
  <c r="K126" i="6"/>
  <c r="J126" i="6" s="1"/>
  <c r="H126" i="6"/>
  <c r="K125" i="6"/>
  <c r="H125" i="6"/>
  <c r="K124" i="6"/>
  <c r="J124" i="6" s="1"/>
  <c r="H124" i="6"/>
  <c r="K123" i="6"/>
  <c r="H123" i="6"/>
  <c r="K122" i="6"/>
  <c r="H122" i="6"/>
  <c r="K121" i="6"/>
  <c r="H121" i="6"/>
  <c r="K120" i="6"/>
  <c r="H120" i="6"/>
  <c r="K119" i="6"/>
  <c r="J119" i="6" s="1"/>
  <c r="H119" i="6"/>
  <c r="K118" i="6"/>
  <c r="J118" i="6" s="1"/>
  <c r="H118" i="6"/>
  <c r="K117" i="6"/>
  <c r="J117" i="6" s="1"/>
  <c r="H117" i="6"/>
  <c r="K116" i="6"/>
  <c r="J116" i="6" s="1"/>
  <c r="H116" i="6"/>
  <c r="K115" i="6"/>
  <c r="J115" i="6" s="1"/>
  <c r="H115" i="6"/>
  <c r="K114" i="6"/>
  <c r="J114" i="6" s="1"/>
  <c r="H114" i="6"/>
  <c r="K113" i="6"/>
  <c r="I113" i="6" s="1"/>
  <c r="H113" i="6"/>
  <c r="K112" i="6"/>
  <c r="J112" i="6" s="1"/>
  <c r="H112" i="6"/>
  <c r="K111" i="6"/>
  <c r="J111" i="6" s="1"/>
  <c r="H111" i="6"/>
  <c r="K110" i="6"/>
  <c r="J110" i="6" s="1"/>
  <c r="H110" i="6"/>
  <c r="K109" i="6"/>
  <c r="J109" i="6" s="1"/>
  <c r="H109" i="6"/>
  <c r="K108" i="6"/>
  <c r="J108" i="6" s="1"/>
  <c r="H108" i="6"/>
  <c r="K107" i="6"/>
  <c r="J107" i="6" s="1"/>
  <c r="H107" i="6"/>
  <c r="K106" i="6"/>
  <c r="J106" i="6" s="1"/>
  <c r="H106" i="6"/>
  <c r="K105" i="6"/>
  <c r="J105" i="6" s="1"/>
  <c r="H105" i="6"/>
  <c r="K104" i="6"/>
  <c r="J104" i="6" s="1"/>
  <c r="H104" i="6"/>
  <c r="K103" i="6"/>
  <c r="J103" i="6" s="1"/>
  <c r="H103" i="6"/>
  <c r="K102" i="6"/>
  <c r="J102" i="6" s="1"/>
  <c r="H102" i="6"/>
  <c r="K101" i="6"/>
  <c r="J101" i="6" s="1"/>
  <c r="H101" i="6"/>
  <c r="K100" i="6"/>
  <c r="J100" i="6" s="1"/>
  <c r="H100" i="6"/>
  <c r="K99" i="6"/>
  <c r="J99" i="6" s="1"/>
  <c r="H99" i="6"/>
  <c r="K98" i="6"/>
  <c r="H98" i="6"/>
  <c r="K97" i="6"/>
  <c r="H97" i="6"/>
  <c r="K96" i="6"/>
  <c r="Q96" i="6" s="1"/>
  <c r="H96" i="6"/>
  <c r="K95" i="6"/>
  <c r="H95" i="6"/>
  <c r="K94" i="6"/>
  <c r="H94" i="6"/>
  <c r="K93" i="6"/>
  <c r="J93" i="6" s="1"/>
  <c r="O93" i="6" s="1"/>
  <c r="H93" i="6"/>
  <c r="K92" i="6"/>
  <c r="J92" i="6" s="1"/>
  <c r="H92" i="6"/>
  <c r="K91" i="6"/>
  <c r="J91" i="6" s="1"/>
  <c r="H91" i="6"/>
  <c r="K90" i="6"/>
  <c r="J90" i="6" s="1"/>
  <c r="H90" i="6"/>
  <c r="K89" i="6"/>
  <c r="J89" i="6" s="1"/>
  <c r="H89" i="6"/>
  <c r="K88" i="6"/>
  <c r="Q88" i="6" s="1"/>
  <c r="H88" i="6"/>
  <c r="K87" i="6"/>
  <c r="J87" i="6" s="1"/>
  <c r="O87" i="6" s="1"/>
  <c r="H87" i="6"/>
  <c r="K86" i="6"/>
  <c r="J86" i="6" s="1"/>
  <c r="H86" i="6"/>
  <c r="K85" i="6"/>
  <c r="H85" i="6"/>
  <c r="K84" i="6"/>
  <c r="H84" i="6"/>
  <c r="K83" i="6"/>
  <c r="H83" i="6"/>
  <c r="K82" i="6"/>
  <c r="P82" i="6" s="1"/>
  <c r="H82" i="6"/>
  <c r="K81" i="6"/>
  <c r="H81" i="6"/>
  <c r="K80" i="6"/>
  <c r="H80" i="6"/>
  <c r="BM79" i="6"/>
  <c r="BL79" i="6" s="1"/>
  <c r="BJ79" i="6"/>
  <c r="K79" i="6"/>
  <c r="H79" i="6"/>
  <c r="BM78" i="6"/>
  <c r="BJ78" i="6"/>
  <c r="K78" i="6"/>
  <c r="H78" i="6"/>
  <c r="BM77" i="6"/>
  <c r="BL77" i="6" s="1"/>
  <c r="BJ77" i="6"/>
  <c r="K77" i="6"/>
  <c r="H77" i="6"/>
  <c r="BM76" i="6"/>
  <c r="BL76" i="6" s="1"/>
  <c r="BJ76" i="6"/>
  <c r="K76" i="6"/>
  <c r="I76" i="6" s="1"/>
  <c r="P76" i="6" s="1"/>
  <c r="H76" i="6"/>
  <c r="BM75" i="6"/>
  <c r="BK75" i="6" s="1"/>
  <c r="BJ75" i="6"/>
  <c r="K75" i="6"/>
  <c r="J75" i="6" s="1"/>
  <c r="H75" i="6"/>
  <c r="BM74" i="6"/>
  <c r="BJ74" i="6"/>
  <c r="K74" i="6"/>
  <c r="H74" i="6"/>
  <c r="BM73" i="6"/>
  <c r="BL73" i="6" s="1"/>
  <c r="BJ73" i="6"/>
  <c r="K73" i="6"/>
  <c r="I73" i="6" s="1"/>
  <c r="H73" i="6"/>
  <c r="BM72" i="6"/>
  <c r="BL72" i="6" s="1"/>
  <c r="BK72" i="6"/>
  <c r="BJ72" i="6"/>
  <c r="K72" i="6"/>
  <c r="J72" i="6" s="1"/>
  <c r="H72" i="6"/>
  <c r="BM71" i="6"/>
  <c r="BK71" i="6" s="1"/>
  <c r="BJ71" i="6"/>
  <c r="K71" i="6"/>
  <c r="H71" i="6"/>
  <c r="BM70" i="6"/>
  <c r="BJ70" i="6"/>
  <c r="K70" i="6"/>
  <c r="H70" i="6"/>
  <c r="BM69" i="6"/>
  <c r="BL69" i="6" s="1"/>
  <c r="BK69" i="6"/>
  <c r="BJ69" i="6"/>
  <c r="K69" i="6"/>
  <c r="J69" i="6" s="1"/>
  <c r="H69" i="6"/>
  <c r="BM68" i="6"/>
  <c r="BK68" i="6" s="1"/>
  <c r="BJ68" i="6"/>
  <c r="K68" i="6"/>
  <c r="I68" i="6" s="1"/>
  <c r="H68" i="6"/>
  <c r="BM67" i="6"/>
  <c r="BK67" i="6" s="1"/>
  <c r="BJ67" i="6"/>
  <c r="K67" i="6"/>
  <c r="H67" i="6"/>
  <c r="BM66" i="6"/>
  <c r="BJ66" i="6"/>
  <c r="K66" i="6"/>
  <c r="H66" i="6"/>
  <c r="BM65" i="6"/>
  <c r="BL65" i="6" s="1"/>
  <c r="BK65" i="6"/>
  <c r="BJ65" i="6"/>
  <c r="K65" i="6"/>
  <c r="J65" i="6" s="1"/>
  <c r="H65" i="6"/>
  <c r="BM64" i="6"/>
  <c r="BL64" i="6" s="1"/>
  <c r="BJ64" i="6"/>
  <c r="K64" i="6"/>
  <c r="H64" i="6"/>
  <c r="BM63" i="6"/>
  <c r="BK63" i="6" s="1"/>
  <c r="BJ63" i="6"/>
  <c r="K63" i="6"/>
  <c r="J63" i="6" s="1"/>
  <c r="H63" i="6"/>
  <c r="BM62" i="6"/>
  <c r="BL62" i="6" s="1"/>
  <c r="BJ62" i="6"/>
  <c r="K62" i="6"/>
  <c r="I62" i="6" s="1"/>
  <c r="N62" i="6" s="1"/>
  <c r="H62" i="6"/>
  <c r="BM61" i="6"/>
  <c r="BL61" i="6" s="1"/>
  <c r="BJ61" i="6"/>
  <c r="K61" i="6"/>
  <c r="J61" i="6" s="1"/>
  <c r="O61" i="6" s="1"/>
  <c r="H61" i="6"/>
  <c r="BM60" i="6"/>
  <c r="BL60" i="6" s="1"/>
  <c r="BJ60" i="6"/>
  <c r="K60" i="6"/>
  <c r="I60" i="6" s="1"/>
  <c r="H60" i="6"/>
  <c r="BM59" i="6"/>
  <c r="BK59" i="6" s="1"/>
  <c r="BJ59" i="6"/>
  <c r="K59" i="6"/>
  <c r="Q59" i="6" s="1"/>
  <c r="H59" i="6"/>
  <c r="BM58" i="6"/>
  <c r="BL58" i="6" s="1"/>
  <c r="BJ58" i="6"/>
  <c r="K58" i="6"/>
  <c r="J58" i="6" s="1"/>
  <c r="Q58" i="6" s="1"/>
  <c r="H58" i="6"/>
  <c r="BM57" i="6"/>
  <c r="BK57" i="6" s="1"/>
  <c r="BJ57" i="6"/>
  <c r="K57" i="6"/>
  <c r="J57" i="6" s="1"/>
  <c r="H57" i="6"/>
  <c r="BM56" i="6"/>
  <c r="BL56" i="6" s="1"/>
  <c r="BJ56" i="6"/>
  <c r="K56" i="6"/>
  <c r="H56" i="6"/>
  <c r="BM55" i="6"/>
  <c r="BJ55" i="6"/>
  <c r="K55" i="6"/>
  <c r="H55" i="6"/>
  <c r="BM54" i="6"/>
  <c r="BL54" i="6" s="1"/>
  <c r="BJ54" i="6"/>
  <c r="K54" i="6"/>
  <c r="Q54" i="6" s="1"/>
  <c r="H54" i="6"/>
  <c r="BM53" i="6"/>
  <c r="BL53" i="6" s="1"/>
  <c r="BJ53" i="6"/>
  <c r="K53" i="6"/>
  <c r="H53" i="6"/>
  <c r="BM52" i="6"/>
  <c r="BL52" i="6" s="1"/>
  <c r="BJ52" i="6"/>
  <c r="K52" i="6"/>
  <c r="H52" i="6"/>
  <c r="BM51" i="6"/>
  <c r="BJ51" i="6"/>
  <c r="K51" i="6"/>
  <c r="H51" i="6"/>
  <c r="BM50" i="6"/>
  <c r="BK50" i="6" s="1"/>
  <c r="BJ50" i="6"/>
  <c r="K50" i="6"/>
  <c r="H50" i="6"/>
  <c r="BM49" i="6"/>
  <c r="BL49" i="6" s="1"/>
  <c r="BJ49" i="6"/>
  <c r="K49" i="6"/>
  <c r="J49" i="6" s="1"/>
  <c r="H49" i="6"/>
  <c r="BM48" i="6"/>
  <c r="BL48" i="6" s="1"/>
  <c r="BJ48" i="6"/>
  <c r="K48" i="6"/>
  <c r="J48" i="6" s="1"/>
  <c r="H48" i="6"/>
  <c r="BM47" i="6"/>
  <c r="BL47" i="6" s="1"/>
  <c r="BJ47" i="6"/>
  <c r="K47" i="6"/>
  <c r="I47" i="6" s="1"/>
  <c r="H47" i="6"/>
  <c r="BM46" i="6"/>
  <c r="BK46" i="6" s="1"/>
  <c r="BL46" i="6"/>
  <c r="BJ46" i="6"/>
  <c r="K46" i="6"/>
  <c r="J46" i="6" s="1"/>
  <c r="Q46" i="6" s="1"/>
  <c r="H46" i="6"/>
  <c r="BM45" i="6"/>
  <c r="BK45" i="6" s="1"/>
  <c r="BJ45" i="6"/>
  <c r="K45" i="6"/>
  <c r="H45" i="6"/>
  <c r="BM44" i="6"/>
  <c r="BL44" i="6" s="1"/>
  <c r="BJ44" i="6"/>
  <c r="K44" i="6"/>
  <c r="H44" i="6"/>
  <c r="BM43" i="6"/>
  <c r="BJ43" i="6"/>
  <c r="K43" i="6"/>
  <c r="H43" i="6"/>
  <c r="BM42" i="6"/>
  <c r="BL42" i="6" s="1"/>
  <c r="BJ42" i="6"/>
  <c r="K42" i="6"/>
  <c r="H42" i="6"/>
  <c r="BM41" i="6"/>
  <c r="BL41" i="6" s="1"/>
  <c r="BJ41" i="6"/>
  <c r="K41" i="6"/>
  <c r="J41" i="6" s="1"/>
  <c r="H41" i="6"/>
  <c r="BM40" i="6"/>
  <c r="BL40" i="6" s="1"/>
  <c r="BJ40" i="6"/>
  <c r="K40" i="6"/>
  <c r="H40" i="6"/>
  <c r="BM39" i="6"/>
  <c r="BJ39" i="6"/>
  <c r="K39" i="6"/>
  <c r="J39" i="6" s="1"/>
  <c r="Q39" i="6" s="1"/>
  <c r="H39" i="6"/>
  <c r="BM38" i="6"/>
  <c r="BL38" i="6" s="1"/>
  <c r="BJ38" i="6"/>
  <c r="K38" i="6"/>
  <c r="I38" i="6" s="1"/>
  <c r="H38" i="6"/>
  <c r="BM37" i="6"/>
  <c r="BL37" i="6" s="1"/>
  <c r="BJ37" i="6"/>
  <c r="K37" i="6"/>
  <c r="J37" i="6" s="1"/>
  <c r="H37" i="6"/>
  <c r="BM36" i="6"/>
  <c r="BL36" i="6" s="1"/>
  <c r="BJ36" i="6"/>
  <c r="K36" i="6"/>
  <c r="H36" i="6"/>
  <c r="BM35" i="6"/>
  <c r="BL35" i="6" s="1"/>
  <c r="BJ35" i="6"/>
  <c r="K35" i="6"/>
  <c r="I35" i="6" s="1"/>
  <c r="P35" i="6" s="1"/>
  <c r="H35" i="6"/>
  <c r="BM34" i="6"/>
  <c r="BL34" i="6" s="1"/>
  <c r="BJ34" i="6"/>
  <c r="K34" i="6"/>
  <c r="I34" i="6" s="1"/>
  <c r="H34" i="6"/>
  <c r="BM33" i="6"/>
  <c r="BJ33" i="6"/>
  <c r="AZ33" i="6"/>
  <c r="AY33" i="6"/>
  <c r="K33" i="6"/>
  <c r="H33" i="6"/>
  <c r="BM32" i="6"/>
  <c r="BK32" i="6" s="1"/>
  <c r="BJ32" i="6"/>
  <c r="AZ32" i="6"/>
  <c r="AX32" i="6"/>
  <c r="K32" i="6"/>
  <c r="J32" i="6" s="1"/>
  <c r="H32" i="6"/>
  <c r="BM31" i="6"/>
  <c r="BL31" i="6" s="1"/>
  <c r="BJ31" i="6"/>
  <c r="K31" i="6"/>
  <c r="I31" i="6" s="1"/>
  <c r="P31" i="6" s="1"/>
  <c r="H31" i="6"/>
  <c r="BM30" i="6"/>
  <c r="BL30" i="6" s="1"/>
  <c r="BJ30" i="6"/>
  <c r="K30" i="6"/>
  <c r="Q30" i="6" s="1"/>
  <c r="H30" i="6"/>
  <c r="BM29" i="6"/>
  <c r="BK29" i="6" s="1"/>
  <c r="BJ29" i="6"/>
  <c r="K29" i="6"/>
  <c r="H29" i="6"/>
  <c r="BM28" i="6"/>
  <c r="BL28" i="6" s="1"/>
  <c r="BK28" i="6"/>
  <c r="BJ28" i="6"/>
  <c r="K28" i="6"/>
  <c r="J28" i="6" s="1"/>
  <c r="H28" i="6"/>
  <c r="BM27" i="6"/>
  <c r="BL27" i="6"/>
  <c r="BK27" i="6"/>
  <c r="BJ27" i="6"/>
  <c r="K27" i="6"/>
  <c r="J27" i="6" s="1"/>
  <c r="H27" i="6"/>
  <c r="BM26" i="6"/>
  <c r="BL26" i="6" s="1"/>
  <c r="BK26" i="6"/>
  <c r="BJ26" i="6"/>
  <c r="K26" i="6"/>
  <c r="H26" i="6"/>
  <c r="BM25" i="6"/>
  <c r="BK25" i="6" s="1"/>
  <c r="BJ25" i="6"/>
  <c r="K25" i="6"/>
  <c r="J25" i="6" s="1"/>
  <c r="H25" i="6"/>
  <c r="BM24" i="6"/>
  <c r="BL24" i="6" s="1"/>
  <c r="BJ24" i="6"/>
  <c r="K24" i="6"/>
  <c r="H24" i="6"/>
  <c r="BM23" i="6"/>
  <c r="BL23" i="6" s="1"/>
  <c r="BJ23" i="6"/>
  <c r="K23" i="6"/>
  <c r="I23" i="6" s="1"/>
  <c r="H23" i="6"/>
  <c r="BM22" i="6"/>
  <c r="BL22" i="6" s="1"/>
  <c r="BJ22" i="6"/>
  <c r="K22" i="6"/>
  <c r="I22" i="6" s="1"/>
  <c r="H22" i="6"/>
  <c r="BM21" i="6"/>
  <c r="BL21" i="6" s="1"/>
  <c r="BJ21" i="6"/>
  <c r="K21" i="6"/>
  <c r="I21" i="6" s="1"/>
  <c r="H21" i="6"/>
  <c r="BM20" i="6"/>
  <c r="BK20" i="6" s="1"/>
  <c r="BL20" i="6"/>
  <c r="BJ20" i="6"/>
  <c r="BD20" i="6"/>
  <c r="BD21" i="6" s="1"/>
  <c r="BD22" i="6" s="1"/>
  <c r="BD23" i="6" s="1"/>
  <c r="BD24" i="6" s="1"/>
  <c r="BD25" i="6" s="1"/>
  <c r="BD26" i="6" s="1"/>
  <c r="BD27" i="6" s="1"/>
  <c r="BD28" i="6" s="1"/>
  <c r="BD29" i="6" s="1"/>
  <c r="BD30" i="6" s="1"/>
  <c r="BD31" i="6" s="1"/>
  <c r="BD32" i="6" s="1"/>
  <c r="BD33" i="6" s="1"/>
  <c r="BD34" i="6" s="1"/>
  <c r="BD35" i="6" s="1"/>
  <c r="BD36" i="6" s="1"/>
  <c r="BD37" i="6" s="1"/>
  <c r="BD38" i="6" s="1"/>
  <c r="BD39" i="6" s="1"/>
  <c r="BD40" i="6" s="1"/>
  <c r="BD41" i="6" s="1"/>
  <c r="BD42" i="6" s="1"/>
  <c r="BD43" i="6" s="1"/>
  <c r="BD44" i="6" s="1"/>
  <c r="BD45" i="6" s="1"/>
  <c r="BD46" i="6" s="1"/>
  <c r="BD47" i="6" s="1"/>
  <c r="BD48" i="6" s="1"/>
  <c r="BD49" i="6" s="1"/>
  <c r="BD50" i="6" s="1"/>
  <c r="BD51" i="6" s="1"/>
  <c r="BD52" i="6" s="1"/>
  <c r="BD53" i="6" s="1"/>
  <c r="BD54" i="6" s="1"/>
  <c r="BD55" i="6" s="1"/>
  <c r="BD56" i="6" s="1"/>
  <c r="BD57" i="6" s="1"/>
  <c r="BD58" i="6" s="1"/>
  <c r="BD59" i="6" s="1"/>
  <c r="BD60" i="6" s="1"/>
  <c r="BD61" i="6" s="1"/>
  <c r="BD62" i="6" s="1"/>
  <c r="BD63" i="6" s="1"/>
  <c r="BD64" i="6" s="1"/>
  <c r="BD65" i="6" s="1"/>
  <c r="BD66" i="6" s="1"/>
  <c r="BD67" i="6" s="1"/>
  <c r="BD68" i="6" s="1"/>
  <c r="BD69" i="6" s="1"/>
  <c r="BD70" i="6" s="1"/>
  <c r="BD71" i="6" s="1"/>
  <c r="BD72" i="6" s="1"/>
  <c r="BD73" i="6" s="1"/>
  <c r="BD74" i="6" s="1"/>
  <c r="BD75" i="6" s="1"/>
  <c r="BD76" i="6" s="1"/>
  <c r="BD77" i="6" s="1"/>
  <c r="BD78" i="6" s="1"/>
  <c r="BD79" i="6" s="1"/>
  <c r="K20" i="6"/>
  <c r="H20" i="6"/>
  <c r="B20" i="6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B33" i="6" s="1"/>
  <c r="B34" i="6" s="1"/>
  <c r="B35" i="6" s="1"/>
  <c r="B36" i="6" s="1"/>
  <c r="B37" i="6" s="1"/>
  <c r="B38" i="6" s="1"/>
  <c r="B39" i="6" s="1"/>
  <c r="B40" i="6" s="1"/>
  <c r="B41" i="6" s="1"/>
  <c r="B42" i="6" s="1"/>
  <c r="B43" i="6" s="1"/>
  <c r="B44" i="6" s="1"/>
  <c r="B45" i="6" s="1"/>
  <c r="B46" i="6" s="1"/>
  <c r="B47" i="6" s="1"/>
  <c r="B48" i="6" s="1"/>
  <c r="B49" i="6" s="1"/>
  <c r="B50" i="6" s="1"/>
  <c r="B51" i="6" s="1"/>
  <c r="B52" i="6" s="1"/>
  <c r="B53" i="6" s="1"/>
  <c r="B54" i="6" s="1"/>
  <c r="B55" i="6" s="1"/>
  <c r="B56" i="6" s="1"/>
  <c r="B57" i="6" s="1"/>
  <c r="B58" i="6" s="1"/>
  <c r="B59" i="6" s="1"/>
  <c r="B60" i="6" s="1"/>
  <c r="B61" i="6" s="1"/>
  <c r="B62" i="6" s="1"/>
  <c r="B63" i="6" s="1"/>
  <c r="B64" i="6" s="1"/>
  <c r="B65" i="6" s="1"/>
  <c r="B66" i="6" s="1"/>
  <c r="B67" i="6" s="1"/>
  <c r="B68" i="6" s="1"/>
  <c r="B69" i="6" s="1"/>
  <c r="B70" i="6" s="1"/>
  <c r="B71" i="6" s="1"/>
  <c r="B72" i="6" s="1"/>
  <c r="B73" i="6" s="1"/>
  <c r="B74" i="6" s="1"/>
  <c r="B75" i="6" s="1"/>
  <c r="B76" i="6" s="1"/>
  <c r="B77" i="6" s="1"/>
  <c r="B78" i="6" s="1"/>
  <c r="B79" i="6" s="1"/>
  <c r="B80" i="6" s="1"/>
  <c r="B81" i="6" s="1"/>
  <c r="B82" i="6" s="1"/>
  <c r="B83" i="6" s="1"/>
  <c r="B84" i="6" s="1"/>
  <c r="B85" i="6" s="1"/>
  <c r="B86" i="6" s="1"/>
  <c r="B87" i="6" s="1"/>
  <c r="B88" i="6" s="1"/>
  <c r="B89" i="6" s="1"/>
  <c r="B90" i="6" s="1"/>
  <c r="B91" i="6" s="1"/>
  <c r="B92" i="6" s="1"/>
  <c r="B93" i="6" s="1"/>
  <c r="B94" i="6" s="1"/>
  <c r="B95" i="6" s="1"/>
  <c r="B96" i="6" s="1"/>
  <c r="B97" i="6" s="1"/>
  <c r="B98" i="6" s="1"/>
  <c r="B99" i="6" s="1"/>
  <c r="B100" i="6" s="1"/>
  <c r="B101" i="6" s="1"/>
  <c r="B102" i="6" s="1"/>
  <c r="B103" i="6" s="1"/>
  <c r="B104" i="6" s="1"/>
  <c r="B105" i="6" s="1"/>
  <c r="B106" i="6" s="1"/>
  <c r="B107" i="6" s="1"/>
  <c r="B108" i="6" s="1"/>
  <c r="B109" i="6" s="1"/>
  <c r="B110" i="6" s="1"/>
  <c r="B111" i="6" s="1"/>
  <c r="B112" i="6" s="1"/>
  <c r="B113" i="6" s="1"/>
  <c r="B114" i="6" s="1"/>
  <c r="B115" i="6" s="1"/>
  <c r="B116" i="6" s="1"/>
  <c r="B117" i="6" s="1"/>
  <c r="B118" i="6" s="1"/>
  <c r="B119" i="6" s="1"/>
  <c r="B120" i="6" s="1"/>
  <c r="B121" i="6" s="1"/>
  <c r="B122" i="6" s="1"/>
  <c r="B123" i="6" s="1"/>
  <c r="B124" i="6" s="1"/>
  <c r="B125" i="6" s="1"/>
  <c r="B126" i="6" s="1"/>
  <c r="B127" i="6" s="1"/>
  <c r="B128" i="6" s="1"/>
  <c r="B129" i="6" s="1"/>
  <c r="B130" i="6" s="1"/>
  <c r="B131" i="6" s="1"/>
  <c r="B132" i="6" s="1"/>
  <c r="B133" i="6" s="1"/>
  <c r="B134" i="6" s="1"/>
  <c r="B135" i="6" s="1"/>
  <c r="B136" i="6" s="1"/>
  <c r="B137" i="6" s="1"/>
  <c r="B138" i="6" s="1"/>
  <c r="B139" i="6" s="1"/>
  <c r="B140" i="6" s="1"/>
  <c r="B141" i="6" s="1"/>
  <c r="B142" i="6" s="1"/>
  <c r="B143" i="6" s="1"/>
  <c r="B144" i="6" s="1"/>
  <c r="B145" i="6" s="1"/>
  <c r="B146" i="6" s="1"/>
  <c r="B147" i="6" s="1"/>
  <c r="B148" i="6" s="1"/>
  <c r="B149" i="6" s="1"/>
  <c r="B150" i="6" s="1"/>
  <c r="B151" i="6" s="1"/>
  <c r="B152" i="6" s="1"/>
  <c r="B153" i="6" s="1"/>
  <c r="B154" i="6" s="1"/>
  <c r="B155" i="6" s="1"/>
  <c r="B156" i="6" s="1"/>
  <c r="B157" i="6" s="1"/>
  <c r="B158" i="6" s="1"/>
  <c r="B159" i="6" s="1"/>
  <c r="B160" i="6" s="1"/>
  <c r="B161" i="6" s="1"/>
  <c r="B162" i="6" s="1"/>
  <c r="B163" i="6" s="1"/>
  <c r="B164" i="6" s="1"/>
  <c r="B165" i="6" s="1"/>
  <c r="B166" i="6" s="1"/>
  <c r="B167" i="6" s="1"/>
  <c r="B168" i="6" s="1"/>
  <c r="B169" i="6" s="1"/>
  <c r="B170" i="6" s="1"/>
  <c r="B171" i="6" s="1"/>
  <c r="B172" i="6" s="1"/>
  <c r="B173" i="6" s="1"/>
  <c r="B174" i="6" s="1"/>
  <c r="B175" i="6" s="1"/>
  <c r="B176" i="6" s="1"/>
  <c r="B177" i="6" s="1"/>
  <c r="B178" i="6" s="1"/>
  <c r="B179" i="6" s="1"/>
  <c r="B180" i="6" s="1"/>
  <c r="B181" i="6" s="1"/>
  <c r="B182" i="6" s="1"/>
  <c r="B183" i="6" s="1"/>
  <c r="B184" i="6" s="1"/>
  <c r="B185" i="6" s="1"/>
  <c r="B186" i="6" s="1"/>
  <c r="B187" i="6" s="1"/>
  <c r="B188" i="6" s="1"/>
  <c r="B189" i="6" s="1"/>
  <c r="B190" i="6" s="1"/>
  <c r="B191" i="6" s="1"/>
  <c r="B192" i="6" s="1"/>
  <c r="B193" i="6" s="1"/>
  <c r="B194" i="6" s="1"/>
  <c r="B195" i="6" s="1"/>
  <c r="B196" i="6" s="1"/>
  <c r="B197" i="6" s="1"/>
  <c r="B198" i="6" s="1"/>
  <c r="B199" i="6" s="1"/>
  <c r="B200" i="6" s="1"/>
  <c r="B201" i="6" s="1"/>
  <c r="B202" i="6" s="1"/>
  <c r="B203" i="6" s="1"/>
  <c r="B204" i="6" s="1"/>
  <c r="B205" i="6" s="1"/>
  <c r="B206" i="6" s="1"/>
  <c r="B207" i="6" s="1"/>
  <c r="B208" i="6" s="1"/>
  <c r="B209" i="6" s="1"/>
  <c r="B210" i="6" s="1"/>
  <c r="B211" i="6" s="1"/>
  <c r="B212" i="6" s="1"/>
  <c r="B213" i="6" s="1"/>
  <c r="B214" i="6" s="1"/>
  <c r="B215" i="6" s="1"/>
  <c r="B216" i="6" s="1"/>
  <c r="B217" i="6" s="1"/>
  <c r="B218" i="6" s="1"/>
  <c r="B219" i="6" s="1"/>
  <c r="AT19" i="6"/>
  <c r="AS19" i="6"/>
  <c r="AR19" i="6"/>
  <c r="AZ19" i="6" s="1"/>
  <c r="BK70" i="7" l="1"/>
  <c r="BV70" i="7" s="1"/>
  <c r="BY51" i="7"/>
  <c r="BY28" i="7"/>
  <c r="BY70" i="7"/>
  <c r="BL54" i="7"/>
  <c r="BY54" i="7" s="1"/>
  <c r="BK40" i="7"/>
  <c r="BX40" i="7" s="1"/>
  <c r="BK79" i="7"/>
  <c r="BX79" i="7" s="1"/>
  <c r="BV40" i="7"/>
  <c r="BL77" i="7"/>
  <c r="BW77" i="7" s="1"/>
  <c r="BV79" i="7"/>
  <c r="BW25" i="7"/>
  <c r="BL50" i="7"/>
  <c r="BW50" i="7" s="1"/>
  <c r="BK60" i="7"/>
  <c r="BV60" i="7" s="1"/>
  <c r="BL74" i="7"/>
  <c r="BW74" i="7" s="1"/>
  <c r="BV69" i="7"/>
  <c r="BL35" i="7"/>
  <c r="BW35" i="7" s="1"/>
  <c r="BL78" i="7"/>
  <c r="BK68" i="7"/>
  <c r="BX68" i="7" s="1"/>
  <c r="BV24" i="7"/>
  <c r="BL27" i="7"/>
  <c r="BW27" i="7" s="1"/>
  <c r="BV42" i="7"/>
  <c r="BK65" i="7"/>
  <c r="BX65" i="7" s="1"/>
  <c r="BX70" i="7"/>
  <c r="BL33" i="7"/>
  <c r="BY33" i="7" s="1"/>
  <c r="K152" i="7"/>
  <c r="K68" i="7"/>
  <c r="K56" i="7"/>
  <c r="K44" i="7"/>
  <c r="K151" i="7"/>
  <c r="K188" i="7"/>
  <c r="K212" i="7"/>
  <c r="K219" i="7"/>
  <c r="K215" i="7"/>
  <c r="K213" i="7"/>
  <c r="K210" i="7"/>
  <c r="O210" i="7" s="1"/>
  <c r="K209" i="7"/>
  <c r="P209" i="7" s="1"/>
  <c r="K207" i="7"/>
  <c r="K205" i="7"/>
  <c r="K200" i="7"/>
  <c r="K198" i="7"/>
  <c r="K197" i="7"/>
  <c r="K194" i="7"/>
  <c r="K193" i="7"/>
  <c r="K190" i="7"/>
  <c r="K189" i="7"/>
  <c r="K186" i="7"/>
  <c r="K185" i="7"/>
  <c r="O185" i="7" s="1"/>
  <c r="K182" i="7"/>
  <c r="N182" i="7" s="1"/>
  <c r="K181" i="7"/>
  <c r="K178" i="7"/>
  <c r="K176" i="7"/>
  <c r="K174" i="7"/>
  <c r="K173" i="7"/>
  <c r="K170" i="7"/>
  <c r="K169" i="7"/>
  <c r="K166" i="7"/>
  <c r="K165" i="7"/>
  <c r="K164" i="7"/>
  <c r="K161" i="7"/>
  <c r="K158" i="7"/>
  <c r="K157" i="7"/>
  <c r="K155" i="7"/>
  <c r="Q155" i="7" s="1"/>
  <c r="K154" i="7"/>
  <c r="K153" i="7"/>
  <c r="K150" i="7"/>
  <c r="O150" i="7" s="1"/>
  <c r="K146" i="7"/>
  <c r="K145" i="7"/>
  <c r="K142" i="7"/>
  <c r="K141" i="7"/>
  <c r="K140" i="7"/>
  <c r="K138" i="7"/>
  <c r="Q138" i="7" s="1"/>
  <c r="K137" i="7"/>
  <c r="N137" i="7" s="1"/>
  <c r="K134" i="7"/>
  <c r="K133" i="7"/>
  <c r="K130" i="7"/>
  <c r="K129" i="7"/>
  <c r="K128" i="7"/>
  <c r="P128" i="7" s="1"/>
  <c r="K126" i="7"/>
  <c r="K125" i="7"/>
  <c r="K121" i="7"/>
  <c r="K118" i="7"/>
  <c r="Q118" i="7" s="1"/>
  <c r="K113" i="7"/>
  <c r="P113" i="7" s="1"/>
  <c r="K110" i="7"/>
  <c r="O110" i="7" s="1"/>
  <c r="K109" i="7"/>
  <c r="K105" i="7"/>
  <c r="K101" i="7"/>
  <c r="K98" i="7"/>
  <c r="K93" i="7"/>
  <c r="K89" i="7"/>
  <c r="K87" i="7"/>
  <c r="K86" i="7"/>
  <c r="K82" i="7"/>
  <c r="K81" i="7"/>
  <c r="K79" i="7"/>
  <c r="K75" i="7"/>
  <c r="O75" i="7" s="1"/>
  <c r="K66" i="7"/>
  <c r="K63" i="7"/>
  <c r="K61" i="7"/>
  <c r="O61" i="7" s="1"/>
  <c r="K60" i="7"/>
  <c r="K59" i="7"/>
  <c r="K54" i="7"/>
  <c r="P54" i="7" s="1"/>
  <c r="K50" i="7"/>
  <c r="K43" i="7"/>
  <c r="K42" i="7"/>
  <c r="P42" i="7" s="1"/>
  <c r="K39" i="7"/>
  <c r="K37" i="7"/>
  <c r="K33" i="7"/>
  <c r="P33" i="7" s="1"/>
  <c r="K26" i="7"/>
  <c r="Q26" i="7" s="1"/>
  <c r="K77" i="7"/>
  <c r="Q77" i="7" s="1"/>
  <c r="K31" i="7"/>
  <c r="Q31" i="7" s="1"/>
  <c r="K217" i="7"/>
  <c r="P217" i="7" s="1"/>
  <c r="K73" i="7"/>
  <c r="Q73" i="7" s="1"/>
  <c r="K206" i="7"/>
  <c r="Q206" i="7" s="1"/>
  <c r="K214" i="7"/>
  <c r="P214" i="7" s="1"/>
  <c r="K218" i="7"/>
  <c r="P218" i="7" s="1"/>
  <c r="K40" i="7"/>
  <c r="K46" i="7"/>
  <c r="N46" i="7" s="1"/>
  <c r="K64" i="7"/>
  <c r="K70" i="7"/>
  <c r="K32" i="7"/>
  <c r="K78" i="7"/>
  <c r="K199" i="7"/>
  <c r="K211" i="7"/>
  <c r="Q211" i="7" s="1"/>
  <c r="K51" i="7"/>
  <c r="N51" i="7" s="1"/>
  <c r="K72" i="7"/>
  <c r="K24" i="7"/>
  <c r="P24" i="7" s="1"/>
  <c r="AI29" i="7"/>
  <c r="K28" i="7"/>
  <c r="K30" i="7"/>
  <c r="Q30" i="7" s="1"/>
  <c r="K36" i="7"/>
  <c r="K49" i="7"/>
  <c r="P49" i="7" s="1"/>
  <c r="K58" i="7"/>
  <c r="P58" i="7" s="1"/>
  <c r="K67" i="7"/>
  <c r="K80" i="7"/>
  <c r="Q80" i="7" s="1"/>
  <c r="K84" i="7"/>
  <c r="K88" i="7"/>
  <c r="K92" i="7"/>
  <c r="N92" i="7" s="1"/>
  <c r="AI99" i="7"/>
  <c r="K100" i="7"/>
  <c r="N100" i="7" s="1"/>
  <c r="K104" i="7"/>
  <c r="O104" i="7" s="1"/>
  <c r="K108" i="7"/>
  <c r="K112" i="7"/>
  <c r="K116" i="7"/>
  <c r="Q116" i="7" s="1"/>
  <c r="K120" i="7"/>
  <c r="Q120" i="7" s="1"/>
  <c r="K124" i="7"/>
  <c r="N124" i="7" s="1"/>
  <c r="K132" i="7"/>
  <c r="O132" i="7" s="1"/>
  <c r="K136" i="7"/>
  <c r="K144" i="7"/>
  <c r="K148" i="7"/>
  <c r="K156" i="7"/>
  <c r="Q156" i="7" s="1"/>
  <c r="K160" i="7"/>
  <c r="K168" i="7"/>
  <c r="K172" i="7"/>
  <c r="K180" i="7"/>
  <c r="K184" i="7"/>
  <c r="K192" i="7"/>
  <c r="Q192" i="7" s="1"/>
  <c r="K196" i="7"/>
  <c r="N196" i="7" s="1"/>
  <c r="K204" i="7"/>
  <c r="P204" i="7" s="1"/>
  <c r="K208" i="7"/>
  <c r="Q208" i="7" s="1"/>
  <c r="K216" i="7"/>
  <c r="K41" i="7"/>
  <c r="AI216" i="7"/>
  <c r="AI88" i="7"/>
  <c r="AI100" i="7"/>
  <c r="AI164" i="7"/>
  <c r="AI176" i="7"/>
  <c r="AI180" i="7"/>
  <c r="AI188" i="7"/>
  <c r="AJ188" i="7" s="1"/>
  <c r="AK188" i="7" s="1"/>
  <c r="K97" i="7"/>
  <c r="K85" i="7"/>
  <c r="K96" i="7"/>
  <c r="P25" i="7"/>
  <c r="K34" i="7"/>
  <c r="Q34" i="7" s="1"/>
  <c r="AI182" i="7"/>
  <c r="K177" i="7"/>
  <c r="P177" i="7" s="1"/>
  <c r="N127" i="7"/>
  <c r="O56" i="7"/>
  <c r="AI221" i="7"/>
  <c r="AI219" i="7"/>
  <c r="AI214" i="7"/>
  <c r="AI191" i="7"/>
  <c r="AJ191" i="7" s="1"/>
  <c r="AK191" i="7" s="1"/>
  <c r="AI170" i="7"/>
  <c r="AI168" i="7"/>
  <c r="AI144" i="7"/>
  <c r="AI70" i="7"/>
  <c r="P65" i="7"/>
  <c r="P59" i="7"/>
  <c r="AI50" i="7"/>
  <c r="AI24" i="7"/>
  <c r="S20" i="7"/>
  <c r="T20" i="7" s="1"/>
  <c r="AI36" i="7"/>
  <c r="AI46" i="7"/>
  <c r="AJ46" i="7" s="1"/>
  <c r="AK46" i="7" s="1"/>
  <c r="AI147" i="7"/>
  <c r="AI151" i="7"/>
  <c r="AI179" i="7"/>
  <c r="AI183" i="7"/>
  <c r="AI120" i="7"/>
  <c r="AJ120" i="7" s="1"/>
  <c r="AK120" i="7" s="1"/>
  <c r="Q105" i="7"/>
  <c r="P153" i="7"/>
  <c r="N169" i="7"/>
  <c r="P212" i="7"/>
  <c r="AI125" i="7"/>
  <c r="AI47" i="7"/>
  <c r="P95" i="7"/>
  <c r="AI109" i="7"/>
  <c r="O122" i="7"/>
  <c r="AI45" i="7"/>
  <c r="AI56" i="7"/>
  <c r="N62" i="7"/>
  <c r="O134" i="7"/>
  <c r="AI141" i="7"/>
  <c r="AI157" i="7"/>
  <c r="AJ157" i="7" s="1"/>
  <c r="AK157" i="7" s="1"/>
  <c r="AI161" i="7"/>
  <c r="O194" i="7"/>
  <c r="AI213" i="7"/>
  <c r="Q103" i="7"/>
  <c r="P107" i="7"/>
  <c r="AI118" i="7"/>
  <c r="AJ118" i="7" s="1"/>
  <c r="AK118" i="7" s="1"/>
  <c r="AI130" i="7"/>
  <c r="AJ130" i="7" s="1"/>
  <c r="AK130" i="7" s="1"/>
  <c r="Q22" i="7"/>
  <c r="AI37" i="7"/>
  <c r="AI75" i="7"/>
  <c r="N115" i="7"/>
  <c r="P119" i="7"/>
  <c r="AI123" i="7"/>
  <c r="P203" i="7"/>
  <c r="AI79" i="7"/>
  <c r="P200" i="7"/>
  <c r="N74" i="7"/>
  <c r="AI166" i="7"/>
  <c r="Q129" i="7"/>
  <c r="AI186" i="7"/>
  <c r="AJ186" i="7" s="1"/>
  <c r="AK186" i="7" s="1"/>
  <c r="AI175" i="7"/>
  <c r="Q187" i="7"/>
  <c r="AI32" i="7"/>
  <c r="AJ32" i="7" s="1"/>
  <c r="AK32" i="7" s="1"/>
  <c r="AI184" i="7"/>
  <c r="AJ184" i="7" s="1"/>
  <c r="AK184" i="7" s="1"/>
  <c r="AI85" i="7"/>
  <c r="P139" i="7"/>
  <c r="AI154" i="7"/>
  <c r="O38" i="7"/>
  <c r="AI136" i="7"/>
  <c r="AJ136" i="7" s="1"/>
  <c r="AK136" i="7" s="1"/>
  <c r="P190" i="7"/>
  <c r="AI23" i="7"/>
  <c r="AI59" i="7"/>
  <c r="AJ59" i="7" s="1"/>
  <c r="AK59" i="7" s="1"/>
  <c r="AI110" i="7"/>
  <c r="AI26" i="7"/>
  <c r="AJ26" i="7" s="1"/>
  <c r="AK26" i="7" s="1"/>
  <c r="Q29" i="7"/>
  <c r="P68" i="7"/>
  <c r="P94" i="7"/>
  <c r="O101" i="7"/>
  <c r="AI158" i="7"/>
  <c r="AJ158" i="7" s="1"/>
  <c r="AK158" i="7" s="1"/>
  <c r="Q188" i="7"/>
  <c r="Q195" i="7"/>
  <c r="P121" i="7"/>
  <c r="O121" i="7"/>
  <c r="N121" i="7"/>
  <c r="O65" i="7"/>
  <c r="BW21" i="7"/>
  <c r="BK25" i="7"/>
  <c r="BX25" i="7" s="1"/>
  <c r="BL31" i="7"/>
  <c r="BW31" i="7" s="1"/>
  <c r="BY32" i="7"/>
  <c r="P37" i="7"/>
  <c r="Q39" i="7"/>
  <c r="BW41" i="7"/>
  <c r="BL44" i="7"/>
  <c r="BW44" i="7" s="1"/>
  <c r="AI54" i="7"/>
  <c r="Q63" i="7"/>
  <c r="BX69" i="7"/>
  <c r="BW79" i="7"/>
  <c r="AI121" i="7"/>
  <c r="AI124" i="7"/>
  <c r="AJ124" i="7" s="1"/>
  <c r="AK124" i="7" s="1"/>
  <c r="N126" i="7"/>
  <c r="AI140" i="7"/>
  <c r="AI185" i="7"/>
  <c r="AI218" i="7"/>
  <c r="AJ218" i="7" s="1"/>
  <c r="AK218" i="7" s="1"/>
  <c r="BL24" i="7"/>
  <c r="BY24" i="7" s="1"/>
  <c r="BX31" i="7"/>
  <c r="BV44" i="7"/>
  <c r="BW54" i="7"/>
  <c r="N56" i="7"/>
  <c r="AI63" i="7"/>
  <c r="BL61" i="7"/>
  <c r="AI71" i="7"/>
  <c r="AJ71" i="7" s="1"/>
  <c r="AK71" i="7" s="1"/>
  <c r="BY79" i="7"/>
  <c r="AI101" i="7"/>
  <c r="AI107" i="7"/>
  <c r="AI116" i="7"/>
  <c r="P123" i="7"/>
  <c r="AI155" i="7"/>
  <c r="AI39" i="7"/>
  <c r="BL43" i="7"/>
  <c r="BY43" i="7" s="1"/>
  <c r="BX44" i="7"/>
  <c r="BV54" i="7"/>
  <c r="P67" i="7"/>
  <c r="BX78" i="7"/>
  <c r="AI113" i="7"/>
  <c r="AI127" i="7"/>
  <c r="O176" i="7"/>
  <c r="BL23" i="7"/>
  <c r="BY23" i="7" s="1"/>
  <c r="BK39" i="7"/>
  <c r="BV39" i="7" s="1"/>
  <c r="BW40" i="7"/>
  <c r="BY44" i="7"/>
  <c r="BK48" i="7"/>
  <c r="BV48" i="7" s="1"/>
  <c r="BK51" i="7"/>
  <c r="BV51" i="7" s="1"/>
  <c r="BY61" i="7"/>
  <c r="BY63" i="7"/>
  <c r="AI87" i="7"/>
  <c r="AI119" i="7"/>
  <c r="BL39" i="7"/>
  <c r="BW39" i="7" s="1"/>
  <c r="BL42" i="7"/>
  <c r="BY42" i="7" s="1"/>
  <c r="BL48" i="7"/>
  <c r="BW48" i="7" s="1"/>
  <c r="AI61" i="7"/>
  <c r="AI152" i="7"/>
  <c r="O198" i="7"/>
  <c r="BX23" i="7"/>
  <c r="BX51" i="7"/>
  <c r="AI102" i="7"/>
  <c r="AI108" i="7"/>
  <c r="AJ108" i="7" s="1"/>
  <c r="AK108" i="7" s="1"/>
  <c r="O135" i="7"/>
  <c r="AI189" i="7"/>
  <c r="AI217" i="7"/>
  <c r="BK22" i="7"/>
  <c r="BV22" i="7" s="1"/>
  <c r="BX39" i="7"/>
  <c r="AI142" i="7"/>
  <c r="BW59" i="7"/>
  <c r="BL22" i="7"/>
  <c r="BW22" i="7" s="1"/>
  <c r="AI27" i="7"/>
  <c r="BK33" i="7"/>
  <c r="BV33" i="7" s="1"/>
  <c r="BV34" i="7"/>
  <c r="Q44" i="7"/>
  <c r="BX48" i="7"/>
  <c r="BK55" i="7"/>
  <c r="BX55" i="7" s="1"/>
  <c r="BW56" i="7"/>
  <c r="BL69" i="7"/>
  <c r="BY69" i="7" s="1"/>
  <c r="BY71" i="7"/>
  <c r="BW72" i="7"/>
  <c r="Q93" i="7"/>
  <c r="AI114" i="7"/>
  <c r="AI122" i="7"/>
  <c r="BX36" i="7"/>
  <c r="BY56" i="7"/>
  <c r="BK59" i="7"/>
  <c r="BX59" i="7" s="1"/>
  <c r="AI76" i="7"/>
  <c r="Q86" i="7"/>
  <c r="Q90" i="7"/>
  <c r="AI103" i="7"/>
  <c r="AJ103" i="7" s="1"/>
  <c r="AK103" i="7" s="1"/>
  <c r="P125" i="7"/>
  <c r="AI160" i="7"/>
  <c r="AJ160" i="7" s="1"/>
  <c r="AK160" i="7" s="1"/>
  <c r="N167" i="7"/>
  <c r="AI177" i="7"/>
  <c r="AI215" i="7"/>
  <c r="BV26" i="7"/>
  <c r="BL26" i="7"/>
  <c r="BY26" i="7" s="1"/>
  <c r="AI31" i="7"/>
  <c r="BK36" i="7"/>
  <c r="BV36" i="7" s="1"/>
  <c r="BW38" i="7"/>
  <c r="N76" i="7"/>
  <c r="AI89" i="7"/>
  <c r="AI187" i="7"/>
  <c r="N39" i="7"/>
  <c r="BY30" i="7"/>
  <c r="Q38" i="7"/>
  <c r="Q23" i="7"/>
  <c r="P23" i="7"/>
  <c r="BK20" i="7"/>
  <c r="BX20" i="7" s="1"/>
  <c r="AI53" i="7"/>
  <c r="BL20" i="7"/>
  <c r="BY20" i="7" s="1"/>
  <c r="BL30" i="7"/>
  <c r="BW30" i="7" s="1"/>
  <c r="AI38" i="7"/>
  <c r="BY38" i="7"/>
  <c r="O23" i="7"/>
  <c r="BX45" i="7"/>
  <c r="BL45" i="7"/>
  <c r="BW45" i="7" s="1"/>
  <c r="BK45" i="7"/>
  <c r="BV45" i="7" s="1"/>
  <c r="AI69" i="7"/>
  <c r="BV23" i="7"/>
  <c r="BK30" i="7"/>
  <c r="BX30" i="7" s="1"/>
  <c r="AI28" i="7"/>
  <c r="AJ28" i="7" s="1"/>
  <c r="AK28" i="7" s="1"/>
  <c r="AI30" i="7"/>
  <c r="AI34" i="7"/>
  <c r="BY45" i="7"/>
  <c r="BY46" i="7"/>
  <c r="BL46" i="7"/>
  <c r="BW46" i="7" s="1"/>
  <c r="BK46" i="7"/>
  <c r="BV46" i="7" s="1"/>
  <c r="N23" i="7"/>
  <c r="BL37" i="7"/>
  <c r="BY37" i="7" s="1"/>
  <c r="BK37" i="7"/>
  <c r="BX37" i="7" s="1"/>
  <c r="BK21" i="7"/>
  <c r="BX21" i="7" s="1"/>
  <c r="BL29" i="7"/>
  <c r="BY29" i="7" s="1"/>
  <c r="BK29" i="7"/>
  <c r="BX29" i="7" s="1"/>
  <c r="AI40" i="7"/>
  <c r="BK58" i="7"/>
  <c r="BV58" i="7" s="1"/>
  <c r="BY58" i="7"/>
  <c r="BX58" i="7"/>
  <c r="BL58" i="7"/>
  <c r="BW58" i="7" s="1"/>
  <c r="AI48" i="7"/>
  <c r="AI105" i="7"/>
  <c r="BY21" i="7"/>
  <c r="P22" i="7"/>
  <c r="BX22" i="7"/>
  <c r="O25" i="7"/>
  <c r="N25" i="7"/>
  <c r="AI25" i="7"/>
  <c r="BL34" i="7"/>
  <c r="BY34" i="7" s="1"/>
  <c r="BX34" i="7"/>
  <c r="BX47" i="7"/>
  <c r="BV47" i="7"/>
  <c r="BL47" i="7"/>
  <c r="BY47" i="7" s="1"/>
  <c r="BK38" i="7"/>
  <c r="BX38" i="7" s="1"/>
  <c r="AI43" i="7"/>
  <c r="Q52" i="7"/>
  <c r="P52" i="7"/>
  <c r="O52" i="7"/>
  <c r="N52" i="7"/>
  <c r="AI67" i="7"/>
  <c r="BX24" i="7"/>
  <c r="Q25" i="7"/>
  <c r="AI35" i="7"/>
  <c r="Q33" i="7"/>
  <c r="N59" i="7"/>
  <c r="Q59" i="7"/>
  <c r="O59" i="7"/>
  <c r="BL36" i="7"/>
  <c r="BY36" i="7" s="1"/>
  <c r="AI41" i="7"/>
  <c r="AI51" i="7"/>
  <c r="BL53" i="7"/>
  <c r="BW53" i="7" s="1"/>
  <c r="Q56" i="7"/>
  <c r="BL57" i="7"/>
  <c r="BW57" i="7" s="1"/>
  <c r="BK57" i="7"/>
  <c r="BX57" i="7" s="1"/>
  <c r="P93" i="7"/>
  <c r="O93" i="7"/>
  <c r="N93" i="7"/>
  <c r="AI33" i="7"/>
  <c r="AI42" i="7"/>
  <c r="AI77" i="7"/>
  <c r="Q74" i="7"/>
  <c r="P74" i="7"/>
  <c r="O74" i="7"/>
  <c r="BV27" i="7"/>
  <c r="BK28" i="7"/>
  <c r="BV28" i="7" s="1"/>
  <c r="BK32" i="7"/>
  <c r="BX32" i="7" s="1"/>
  <c r="BV35" i="7"/>
  <c r="BK41" i="7"/>
  <c r="AI55" i="7"/>
  <c r="AJ55" i="7" s="1"/>
  <c r="AK55" i="7" s="1"/>
  <c r="P56" i="7"/>
  <c r="AI64" i="7"/>
  <c r="Q65" i="7"/>
  <c r="N65" i="7"/>
  <c r="BK43" i="7"/>
  <c r="BX43" i="7" s="1"/>
  <c r="AI52" i="7"/>
  <c r="AJ52" i="7" s="1"/>
  <c r="AK52" i="7" s="1"/>
  <c r="BX27" i="7"/>
  <c r="BX35" i="7"/>
  <c r="BL49" i="7"/>
  <c r="BY49" i="7" s="1"/>
  <c r="BV49" i="7"/>
  <c r="BV50" i="7"/>
  <c r="P57" i="7"/>
  <c r="AI57" i="7"/>
  <c r="BY57" i="7"/>
  <c r="BY27" i="7"/>
  <c r="BY35" i="7"/>
  <c r="N57" i="7"/>
  <c r="BX50" i="7"/>
  <c r="O57" i="7"/>
  <c r="AI49" i="7"/>
  <c r="AJ49" i="7" s="1"/>
  <c r="AK49" i="7" s="1"/>
  <c r="BK52" i="7"/>
  <c r="Q57" i="7"/>
  <c r="BL60" i="7"/>
  <c r="BW60" i="7" s="1"/>
  <c r="BX60" i="7"/>
  <c r="BL52" i="7"/>
  <c r="BK53" i="7"/>
  <c r="BV53" i="7" s="1"/>
  <c r="AI58" i="7"/>
  <c r="AI62" i="7"/>
  <c r="AJ62" i="7" s="1"/>
  <c r="AK62" i="7" s="1"/>
  <c r="BX64" i="7"/>
  <c r="BW64" i="7"/>
  <c r="BV64" i="7"/>
  <c r="BL64" i="7"/>
  <c r="BY64" i="7" s="1"/>
  <c r="BY67" i="7"/>
  <c r="BX67" i="7"/>
  <c r="BL67" i="7"/>
  <c r="BW67" i="7" s="1"/>
  <c r="BK67" i="7"/>
  <c r="BV67" i="7" s="1"/>
  <c r="AI81" i="7"/>
  <c r="O68" i="7"/>
  <c r="N68" i="7"/>
  <c r="AI74" i="7"/>
  <c r="BY62" i="7"/>
  <c r="BX62" i="7"/>
  <c r="Q68" i="7"/>
  <c r="AI80" i="7"/>
  <c r="AJ80" i="7" s="1"/>
  <c r="AK80" i="7" s="1"/>
  <c r="P115" i="7"/>
  <c r="BL55" i="7"/>
  <c r="BY55" i="7" s="1"/>
  <c r="BK56" i="7"/>
  <c r="BX56" i="7" s="1"/>
  <c r="AI60" i="7"/>
  <c r="AJ60" i="7" s="1"/>
  <c r="AK60" i="7" s="1"/>
  <c r="BL68" i="7"/>
  <c r="BY68" i="7" s="1"/>
  <c r="BV61" i="7"/>
  <c r="BK63" i="7"/>
  <c r="BX63" i="7" s="1"/>
  <c r="BW65" i="7"/>
  <c r="AI73" i="7"/>
  <c r="BW61" i="7"/>
  <c r="BW62" i="7"/>
  <c r="AI78" i="7"/>
  <c r="BX61" i="7"/>
  <c r="BW63" i="7"/>
  <c r="BK66" i="7"/>
  <c r="BX66" i="7" s="1"/>
  <c r="O67" i="7"/>
  <c r="BX75" i="7"/>
  <c r="BV75" i="7"/>
  <c r="BL75" i="7"/>
  <c r="BY75" i="7" s="1"/>
  <c r="AI84" i="7"/>
  <c r="AI66" i="7"/>
  <c r="BL66" i="7"/>
  <c r="BY66" i="7" s="1"/>
  <c r="AI72" i="7"/>
  <c r="BL73" i="7"/>
  <c r="BW73" i="7" s="1"/>
  <c r="BK73" i="7"/>
  <c r="BX73" i="7" s="1"/>
  <c r="AJ70" i="7"/>
  <c r="AK70" i="7" s="1"/>
  <c r="BY76" i="7"/>
  <c r="BW76" i="7"/>
  <c r="BK76" i="7"/>
  <c r="BX76" i="7" s="1"/>
  <c r="AI111" i="7"/>
  <c r="AI65" i="7"/>
  <c r="BK62" i="7"/>
  <c r="BV62" i="7" s="1"/>
  <c r="BY65" i="7"/>
  <c r="AI68" i="7"/>
  <c r="AJ68" i="7" s="1"/>
  <c r="AK68" i="7" s="1"/>
  <c r="BK77" i="7"/>
  <c r="BX77" i="7" s="1"/>
  <c r="AI82" i="7"/>
  <c r="AI117" i="7"/>
  <c r="BV74" i="7"/>
  <c r="AI86" i="7"/>
  <c r="BK71" i="7"/>
  <c r="BV71" i="7" s="1"/>
  <c r="BX74" i="7"/>
  <c r="AI112" i="7"/>
  <c r="AI134" i="7"/>
  <c r="BK72" i="7"/>
  <c r="BX72" i="7" s="1"/>
  <c r="BY74" i="7"/>
  <c r="P104" i="7"/>
  <c r="P105" i="7"/>
  <c r="BV78" i="7"/>
  <c r="AI83" i="7"/>
  <c r="P134" i="7"/>
  <c r="Q134" i="7"/>
  <c r="AI90" i="7"/>
  <c r="AI106" i="7"/>
  <c r="AI115" i="7"/>
  <c r="AI91" i="7"/>
  <c r="AI92" i="7"/>
  <c r="AI93" i="7"/>
  <c r="AI94" i="7"/>
  <c r="AI95" i="7"/>
  <c r="AI96" i="7"/>
  <c r="AJ96" i="7" s="1"/>
  <c r="AK96" i="7" s="1"/>
  <c r="AI97" i="7"/>
  <c r="AJ97" i="7" s="1"/>
  <c r="AK97" i="7" s="1"/>
  <c r="AI98" i="7"/>
  <c r="O157" i="7"/>
  <c r="N157" i="7"/>
  <c r="Q157" i="7"/>
  <c r="P157" i="7"/>
  <c r="AI104" i="7"/>
  <c r="Q127" i="7"/>
  <c r="P127" i="7"/>
  <c r="AI133" i="7"/>
  <c r="AI139" i="7"/>
  <c r="AI149" i="7"/>
  <c r="Q133" i="7"/>
  <c r="N133" i="7"/>
  <c r="Q139" i="7"/>
  <c r="N117" i="7"/>
  <c r="AI126" i="7"/>
  <c r="AI129" i="7"/>
  <c r="O127" i="7"/>
  <c r="AI135" i="7"/>
  <c r="O133" i="7"/>
  <c r="O117" i="7"/>
  <c r="AI132" i="7"/>
  <c r="P133" i="7"/>
  <c r="AI146" i="7"/>
  <c r="AI163" i="7"/>
  <c r="P117" i="7"/>
  <c r="Q117" i="7"/>
  <c r="Q121" i="7"/>
  <c r="AI128" i="7"/>
  <c r="AI131" i="7"/>
  <c r="AI143" i="7"/>
  <c r="AI150" i="7"/>
  <c r="AI138" i="7"/>
  <c r="AI159" i="7"/>
  <c r="AJ159" i="7" s="1"/>
  <c r="AK159" i="7" s="1"/>
  <c r="AI137" i="7"/>
  <c r="AJ137" i="7" s="1"/>
  <c r="AK137" i="7" s="1"/>
  <c r="O154" i="7"/>
  <c r="O156" i="7"/>
  <c r="N156" i="7"/>
  <c r="O153" i="7"/>
  <c r="AI162" i="7"/>
  <c r="AJ162" i="7" s="1"/>
  <c r="AK162" i="7" s="1"/>
  <c r="N154" i="7"/>
  <c r="Q190" i="7"/>
  <c r="N153" i="7"/>
  <c r="P154" i="7"/>
  <c r="O159" i="7"/>
  <c r="N159" i="7"/>
  <c r="Q159" i="7"/>
  <c r="P159" i="7"/>
  <c r="AI169" i="7"/>
  <c r="Q154" i="7"/>
  <c r="AI171" i="7"/>
  <c r="AJ179" i="7"/>
  <c r="AK179" i="7" s="1"/>
  <c r="AI148" i="7"/>
  <c r="AI173" i="7"/>
  <c r="AI145" i="7"/>
  <c r="N177" i="7"/>
  <c r="AI200" i="7"/>
  <c r="AI153" i="7"/>
  <c r="AI156" i="7"/>
  <c r="AI172" i="7"/>
  <c r="AI165" i="7"/>
  <c r="Q194" i="7"/>
  <c r="O167" i="7"/>
  <c r="AI167" i="7"/>
  <c r="Q219" i="7"/>
  <c r="P219" i="7"/>
  <c r="O219" i="7"/>
  <c r="N219" i="7"/>
  <c r="O155" i="7"/>
  <c r="N155" i="7"/>
  <c r="P167" i="7"/>
  <c r="Q191" i="7"/>
  <c r="P191" i="7"/>
  <c r="O191" i="7"/>
  <c r="N191" i="7"/>
  <c r="Q196" i="7"/>
  <c r="O196" i="7"/>
  <c r="P155" i="7"/>
  <c r="Q167" i="7"/>
  <c r="Q169" i="7"/>
  <c r="AI174" i="7"/>
  <c r="AI194" i="7"/>
  <c r="AJ194" i="7" s="1"/>
  <c r="AK194" i="7" s="1"/>
  <c r="AI199" i="7"/>
  <c r="AJ199" i="7" s="1"/>
  <c r="AK199" i="7" s="1"/>
  <c r="Q200" i="7"/>
  <c r="O200" i="7"/>
  <c r="N200" i="7"/>
  <c r="Q201" i="7"/>
  <c r="P201" i="7"/>
  <c r="O201" i="7"/>
  <c r="N201" i="7"/>
  <c r="Q202" i="7"/>
  <c r="P202" i="7"/>
  <c r="O202" i="7"/>
  <c r="N202" i="7"/>
  <c r="Q205" i="7"/>
  <c r="P205" i="7"/>
  <c r="O205" i="7"/>
  <c r="N205" i="7"/>
  <c r="Q207" i="7"/>
  <c r="P207" i="7"/>
  <c r="O207" i="7"/>
  <c r="N207" i="7"/>
  <c r="O208" i="7"/>
  <c r="AI192" i="7"/>
  <c r="AJ192" i="7" s="1"/>
  <c r="AK192" i="7" s="1"/>
  <c r="AI195" i="7"/>
  <c r="AI201" i="7"/>
  <c r="AJ201" i="7" s="1"/>
  <c r="AK201" i="7" s="1"/>
  <c r="AI178" i="7"/>
  <c r="AI196" i="7"/>
  <c r="AI202" i="7"/>
  <c r="Q215" i="7"/>
  <c r="P215" i="7"/>
  <c r="O215" i="7"/>
  <c r="N215" i="7"/>
  <c r="Q181" i="7"/>
  <c r="P181" i="7"/>
  <c r="AI181" i="7"/>
  <c r="Q183" i="7"/>
  <c r="P183" i="7"/>
  <c r="Q189" i="7"/>
  <c r="P189" i="7"/>
  <c r="O189" i="7"/>
  <c r="N181" i="7"/>
  <c r="N183" i="7"/>
  <c r="N189" i="7"/>
  <c r="AI193" i="7"/>
  <c r="AI197" i="7"/>
  <c r="AJ197" i="7" s="1"/>
  <c r="AK197" i="7" s="1"/>
  <c r="Q213" i="7"/>
  <c r="P213" i="7"/>
  <c r="O213" i="7"/>
  <c r="N213" i="7"/>
  <c r="O181" i="7"/>
  <c r="O183" i="7"/>
  <c r="AI190" i="7"/>
  <c r="AI203" i="7"/>
  <c r="AJ203" i="7" s="1"/>
  <c r="AK203" i="7" s="1"/>
  <c r="AI204" i="7"/>
  <c r="AJ204" i="7" s="1"/>
  <c r="AK204" i="7" s="1"/>
  <c r="AI205" i="7"/>
  <c r="AJ205" i="7" s="1"/>
  <c r="AK205" i="7" s="1"/>
  <c r="AI206" i="7"/>
  <c r="AJ206" i="7" s="1"/>
  <c r="AK206" i="7" s="1"/>
  <c r="AI207" i="7"/>
  <c r="AI208" i="7"/>
  <c r="AJ208" i="7" s="1"/>
  <c r="AK208" i="7" s="1"/>
  <c r="AI209" i="7"/>
  <c r="AI210" i="7"/>
  <c r="AJ210" i="7" s="1"/>
  <c r="AK210" i="7" s="1"/>
  <c r="AI211" i="7"/>
  <c r="AJ211" i="7" s="1"/>
  <c r="AK211" i="7" s="1"/>
  <c r="AI212" i="7"/>
  <c r="Q212" i="7"/>
  <c r="O212" i="7"/>
  <c r="N212" i="7"/>
  <c r="AI198" i="7"/>
  <c r="AJ198" i="7" s="1"/>
  <c r="AK198" i="7" s="1"/>
  <c r="P211" i="7"/>
  <c r="O211" i="7"/>
  <c r="N211" i="7"/>
  <c r="AI220" i="7"/>
  <c r="AI222" i="7"/>
  <c r="AJ222" i="7" s="1"/>
  <c r="AK222" i="7" s="1"/>
  <c r="I178" i="6"/>
  <c r="J143" i="6"/>
  <c r="O143" i="6" s="1"/>
  <c r="I87" i="6"/>
  <c r="I157" i="6"/>
  <c r="I65" i="6"/>
  <c r="AI68" i="6" s="1"/>
  <c r="AJ68" i="6" s="1"/>
  <c r="AK68" i="6" s="1"/>
  <c r="I218" i="6"/>
  <c r="P218" i="6" s="1"/>
  <c r="J218" i="6"/>
  <c r="O218" i="6" s="1"/>
  <c r="I128" i="6"/>
  <c r="N128" i="6" s="1"/>
  <c r="I25" i="6"/>
  <c r="AI28" i="6" s="1"/>
  <c r="AJ28" i="6" s="1"/>
  <c r="AK28" i="6" s="1"/>
  <c r="J179" i="6"/>
  <c r="AI182" i="6" s="1"/>
  <c r="AJ182" i="6" s="1"/>
  <c r="AK182" i="6" s="1"/>
  <c r="P190" i="6"/>
  <c r="P25" i="6"/>
  <c r="I30" i="6"/>
  <c r="I147" i="6"/>
  <c r="AI150" i="6" s="1"/>
  <c r="AJ150" i="6" s="1"/>
  <c r="AK150" i="6" s="1"/>
  <c r="Q190" i="6"/>
  <c r="N217" i="6"/>
  <c r="I46" i="6"/>
  <c r="P46" i="6" s="1"/>
  <c r="N76" i="6"/>
  <c r="I202" i="6"/>
  <c r="N202" i="6" s="1"/>
  <c r="N60" i="6"/>
  <c r="O147" i="6"/>
  <c r="O46" i="6"/>
  <c r="I33" i="6"/>
  <c r="P33" i="6" s="1"/>
  <c r="N35" i="6"/>
  <c r="I104" i="6"/>
  <c r="AI107" i="6" s="1"/>
  <c r="AJ107" i="6" s="1"/>
  <c r="AK107" i="6" s="1"/>
  <c r="J172" i="6"/>
  <c r="O172" i="6" s="1"/>
  <c r="J193" i="6"/>
  <c r="AI196" i="6" s="1"/>
  <c r="AJ196" i="6" s="1"/>
  <c r="AK196" i="6" s="1"/>
  <c r="I32" i="6"/>
  <c r="N32" i="6" s="1"/>
  <c r="BL57" i="6"/>
  <c r="J113" i="6"/>
  <c r="Q172" i="6"/>
  <c r="BK42" i="6"/>
  <c r="BK60" i="6"/>
  <c r="P124" i="6"/>
  <c r="J128" i="6"/>
  <c r="O128" i="6" s="1"/>
  <c r="I177" i="6"/>
  <c r="P177" i="6" s="1"/>
  <c r="I186" i="6"/>
  <c r="I190" i="6"/>
  <c r="AI193" i="6" s="1"/>
  <c r="AJ193" i="6" s="1"/>
  <c r="AK193" i="6" s="1"/>
  <c r="I199" i="6"/>
  <c r="N199" i="6" s="1"/>
  <c r="J217" i="6"/>
  <c r="Q217" i="6" s="1"/>
  <c r="BK23" i="6"/>
  <c r="I110" i="6"/>
  <c r="Q124" i="6"/>
  <c r="O173" i="6"/>
  <c r="J177" i="6"/>
  <c r="Q177" i="6" s="1"/>
  <c r="I213" i="6"/>
  <c r="P213" i="6" s="1"/>
  <c r="BL63" i="6"/>
  <c r="J213" i="6"/>
  <c r="Q213" i="6" s="1"/>
  <c r="N68" i="6"/>
  <c r="J174" i="6"/>
  <c r="I195" i="6"/>
  <c r="AI198" i="6" s="1"/>
  <c r="AJ198" i="6" s="1"/>
  <c r="AK198" i="6" s="1"/>
  <c r="N31" i="6"/>
  <c r="BK48" i="6"/>
  <c r="BK56" i="6"/>
  <c r="I64" i="6"/>
  <c r="P64" i="6" s="1"/>
  <c r="I116" i="6"/>
  <c r="AI119" i="6" s="1"/>
  <c r="AJ119" i="6" s="1"/>
  <c r="AK119" i="6" s="1"/>
  <c r="I126" i="6"/>
  <c r="N126" i="6" s="1"/>
  <c r="I188" i="6"/>
  <c r="N188" i="6" s="1"/>
  <c r="BK76" i="6"/>
  <c r="I175" i="6"/>
  <c r="N175" i="6" s="1"/>
  <c r="J188" i="6"/>
  <c r="I201" i="6"/>
  <c r="P201" i="6" s="1"/>
  <c r="BK54" i="6"/>
  <c r="I112" i="6"/>
  <c r="I172" i="6"/>
  <c r="N172" i="6" s="1"/>
  <c r="J175" i="6"/>
  <c r="O175" i="6" s="1"/>
  <c r="J192" i="6"/>
  <c r="J201" i="6"/>
  <c r="Q201" i="6" s="1"/>
  <c r="I211" i="6"/>
  <c r="P211" i="6" s="1"/>
  <c r="P90" i="6"/>
  <c r="BK52" i="6"/>
  <c r="O65" i="6"/>
  <c r="O69" i="6"/>
  <c r="I82" i="6"/>
  <c r="N82" i="6" s="1"/>
  <c r="Q90" i="6"/>
  <c r="I95" i="6"/>
  <c r="P95" i="6" s="1"/>
  <c r="I142" i="6"/>
  <c r="N142" i="6" s="1"/>
  <c r="I150" i="6"/>
  <c r="P150" i="6" s="1"/>
  <c r="N153" i="6"/>
  <c r="I168" i="6"/>
  <c r="P168" i="6" s="1"/>
  <c r="Q174" i="6"/>
  <c r="O39" i="6"/>
  <c r="I42" i="6"/>
  <c r="P42" i="6" s="1"/>
  <c r="I44" i="6"/>
  <c r="N44" i="6" s="1"/>
  <c r="BL50" i="6"/>
  <c r="I72" i="6"/>
  <c r="P72" i="6" s="1"/>
  <c r="J82" i="6"/>
  <c r="O82" i="6" s="1"/>
  <c r="J95" i="6"/>
  <c r="Q95" i="6" s="1"/>
  <c r="I109" i="6"/>
  <c r="AI112" i="6" s="1"/>
  <c r="AJ112" i="6" s="1"/>
  <c r="AK112" i="6" s="1"/>
  <c r="I125" i="6"/>
  <c r="N125" i="6" s="1"/>
  <c r="J134" i="6"/>
  <c r="O134" i="6" s="1"/>
  <c r="J142" i="6"/>
  <c r="AI145" i="6" s="1"/>
  <c r="AJ145" i="6" s="1"/>
  <c r="AK145" i="6" s="1"/>
  <c r="P147" i="6"/>
  <c r="I187" i="6"/>
  <c r="N187" i="6" s="1"/>
  <c r="J206" i="6"/>
  <c r="Q206" i="6" s="1"/>
  <c r="P153" i="6"/>
  <c r="Q168" i="6"/>
  <c r="AI181" i="6"/>
  <c r="AJ181" i="6" s="1"/>
  <c r="AK181" i="6" s="1"/>
  <c r="J187" i="6"/>
  <c r="BK31" i="6"/>
  <c r="J33" i="6"/>
  <c r="O33" i="6" s="1"/>
  <c r="J64" i="6"/>
  <c r="O64" i="6" s="1"/>
  <c r="O25" i="6"/>
  <c r="O91" i="6"/>
  <c r="I106" i="6"/>
  <c r="AI109" i="6" s="1"/>
  <c r="AJ109" i="6" s="1"/>
  <c r="AK109" i="6" s="1"/>
  <c r="I118" i="6"/>
  <c r="AI121" i="6" s="1"/>
  <c r="AJ121" i="6" s="1"/>
  <c r="AK121" i="6" s="1"/>
  <c r="J135" i="6"/>
  <c r="O135" i="6" s="1"/>
  <c r="O139" i="6"/>
  <c r="AI146" i="6"/>
  <c r="AJ146" i="6" s="1"/>
  <c r="AK146" i="6" s="1"/>
  <c r="O145" i="6"/>
  <c r="J154" i="6"/>
  <c r="AI157" i="6" s="1"/>
  <c r="AJ157" i="6" s="1"/>
  <c r="AK157" i="6" s="1"/>
  <c r="AI160" i="6"/>
  <c r="AJ160" i="6" s="1"/>
  <c r="AK160" i="6" s="1"/>
  <c r="J165" i="6"/>
  <c r="Q165" i="6" s="1"/>
  <c r="I173" i="6"/>
  <c r="AI176" i="6" s="1"/>
  <c r="AJ176" i="6" s="1"/>
  <c r="AK176" i="6" s="1"/>
  <c r="I191" i="6"/>
  <c r="N191" i="6" s="1"/>
  <c r="J60" i="6"/>
  <c r="AI63" i="6" s="1"/>
  <c r="AJ63" i="6" s="1"/>
  <c r="AK63" i="6" s="1"/>
  <c r="I80" i="6"/>
  <c r="P80" i="6" s="1"/>
  <c r="I84" i="6"/>
  <c r="P84" i="6" s="1"/>
  <c r="J97" i="6"/>
  <c r="O97" i="6" s="1"/>
  <c r="Q139" i="6"/>
  <c r="Q145" i="6"/>
  <c r="O148" i="6"/>
  <c r="Q157" i="6"/>
  <c r="I176" i="6"/>
  <c r="AI179" i="6" s="1"/>
  <c r="AJ179" i="6" s="1"/>
  <c r="AK179" i="6" s="1"/>
  <c r="I200" i="6"/>
  <c r="P200" i="6" s="1"/>
  <c r="J208" i="6"/>
  <c r="Q208" i="6" s="1"/>
  <c r="I212" i="6"/>
  <c r="P212" i="6" s="1"/>
  <c r="BK35" i="6"/>
  <c r="BK49" i="6"/>
  <c r="I54" i="6"/>
  <c r="N54" i="6" s="1"/>
  <c r="O75" i="6"/>
  <c r="J80" i="6"/>
  <c r="Q80" i="6" s="1"/>
  <c r="J84" i="6"/>
  <c r="O84" i="6" s="1"/>
  <c r="I103" i="6"/>
  <c r="AI106" i="6" s="1"/>
  <c r="AJ106" i="6" s="1"/>
  <c r="AK106" i="6" s="1"/>
  <c r="I107" i="6"/>
  <c r="AI110" i="6" s="1"/>
  <c r="AJ110" i="6" s="1"/>
  <c r="AK110" i="6" s="1"/>
  <c r="I115" i="6"/>
  <c r="AI118" i="6" s="1"/>
  <c r="AJ118" i="6" s="1"/>
  <c r="AK118" i="6" s="1"/>
  <c r="I119" i="6"/>
  <c r="AI122" i="6" s="1"/>
  <c r="AJ122" i="6" s="1"/>
  <c r="AK122" i="6" s="1"/>
  <c r="I124" i="6"/>
  <c r="AI127" i="6" s="1"/>
  <c r="AJ127" i="6" s="1"/>
  <c r="AK127" i="6" s="1"/>
  <c r="Q143" i="6"/>
  <c r="Q148" i="6"/>
  <c r="I155" i="6"/>
  <c r="N155" i="6" s="1"/>
  <c r="Q173" i="6"/>
  <c r="J200" i="6"/>
  <c r="Q200" i="6" s="1"/>
  <c r="J212" i="6"/>
  <c r="Q212" i="6" s="1"/>
  <c r="I216" i="6"/>
  <c r="P216" i="6" s="1"/>
  <c r="I219" i="6"/>
  <c r="N219" i="6" s="1"/>
  <c r="BK21" i="6"/>
  <c r="Q32" i="6"/>
  <c r="I43" i="6"/>
  <c r="P43" i="6" s="1"/>
  <c r="BL45" i="6"/>
  <c r="J54" i="6"/>
  <c r="O54" i="6" s="1"/>
  <c r="O58" i="6"/>
  <c r="BL68" i="6"/>
  <c r="J132" i="6"/>
  <c r="O132" i="6" s="1"/>
  <c r="Q136" i="6"/>
  <c r="I158" i="6"/>
  <c r="N158" i="6" s="1"/>
  <c r="O176" i="6"/>
  <c r="J216" i="6"/>
  <c r="Q216" i="6" s="1"/>
  <c r="J219" i="6"/>
  <c r="O219" i="6" s="1"/>
  <c r="J24" i="6"/>
  <c r="Q24" i="6" s="1"/>
  <c r="I52" i="6"/>
  <c r="P52" i="6" s="1"/>
  <c r="J73" i="6"/>
  <c r="O73" i="6" s="1"/>
  <c r="O124" i="6"/>
  <c r="I144" i="6"/>
  <c r="N144" i="6" s="1"/>
  <c r="J158" i="6"/>
  <c r="Q158" i="6" s="1"/>
  <c r="I167" i="6"/>
  <c r="P167" i="6" s="1"/>
  <c r="I174" i="6"/>
  <c r="N174" i="6" s="1"/>
  <c r="O89" i="6"/>
  <c r="P130" i="6"/>
  <c r="O140" i="6"/>
  <c r="O151" i="6"/>
  <c r="N154" i="6"/>
  <c r="N179" i="6"/>
  <c r="P193" i="6"/>
  <c r="P204" i="6"/>
  <c r="O130" i="6"/>
  <c r="P30" i="6"/>
  <c r="P20" i="6"/>
  <c r="BL32" i="6"/>
  <c r="I51" i="6"/>
  <c r="P51" i="6" s="1"/>
  <c r="I58" i="6"/>
  <c r="P58" i="6" s="1"/>
  <c r="BK64" i="6"/>
  <c r="BL67" i="6"/>
  <c r="I69" i="6"/>
  <c r="N69" i="6" s="1"/>
  <c r="Q75" i="6"/>
  <c r="Q89" i="6"/>
  <c r="J123" i="6"/>
  <c r="Q123" i="6" s="1"/>
  <c r="J125" i="6"/>
  <c r="O125" i="6" s="1"/>
  <c r="Q130" i="6"/>
  <c r="Q140" i="6"/>
  <c r="J144" i="6"/>
  <c r="Q144" i="6" s="1"/>
  <c r="J150" i="6"/>
  <c r="Q150" i="6" s="1"/>
  <c r="N157" i="6"/>
  <c r="Q193" i="6"/>
  <c r="O202" i="6"/>
  <c r="Q204" i="6"/>
  <c r="I29" i="6"/>
  <c r="P29" i="6" s="1"/>
  <c r="BK41" i="6"/>
  <c r="BK44" i="6"/>
  <c r="I53" i="6"/>
  <c r="P53" i="6" s="1"/>
  <c r="P54" i="6"/>
  <c r="O72" i="6"/>
  <c r="BK73" i="6"/>
  <c r="I102" i="6"/>
  <c r="AI105" i="6" s="1"/>
  <c r="AJ105" i="6" s="1"/>
  <c r="AK105" i="6" s="1"/>
  <c r="I105" i="6"/>
  <c r="P105" i="6" s="1"/>
  <c r="I108" i="6"/>
  <c r="AI111" i="6" s="1"/>
  <c r="AJ111" i="6" s="1"/>
  <c r="AK111" i="6" s="1"/>
  <c r="I111" i="6"/>
  <c r="AI114" i="6" s="1"/>
  <c r="AJ114" i="6" s="1"/>
  <c r="AK114" i="6" s="1"/>
  <c r="I114" i="6"/>
  <c r="AI117" i="6" s="1"/>
  <c r="AJ117" i="6" s="1"/>
  <c r="AK117" i="6" s="1"/>
  <c r="I117" i="6"/>
  <c r="N117" i="6" s="1"/>
  <c r="I120" i="6"/>
  <c r="P120" i="6" s="1"/>
  <c r="P142" i="6"/>
  <c r="Q151" i="6"/>
  <c r="J153" i="6"/>
  <c r="Q153" i="6" s="1"/>
  <c r="P154" i="6"/>
  <c r="I156" i="6"/>
  <c r="N156" i="6" s="1"/>
  <c r="O157" i="6"/>
  <c r="I159" i="6"/>
  <c r="P159" i="6" s="1"/>
  <c r="I171" i="6"/>
  <c r="P171" i="6" s="1"/>
  <c r="I180" i="6"/>
  <c r="N180" i="6" s="1"/>
  <c r="P186" i="6"/>
  <c r="I198" i="6"/>
  <c r="N198" i="6" s="1"/>
  <c r="I207" i="6"/>
  <c r="N207" i="6" s="1"/>
  <c r="I209" i="6"/>
  <c r="N209" i="6" s="1"/>
  <c r="J22" i="6"/>
  <c r="AI25" i="6" s="1"/>
  <c r="AJ25" i="6" s="1"/>
  <c r="AK25" i="6" s="1"/>
  <c r="J29" i="6"/>
  <c r="Q29" i="6" s="1"/>
  <c r="BK30" i="6"/>
  <c r="J40" i="6"/>
  <c r="Q40" i="6" s="1"/>
  <c r="I48" i="6"/>
  <c r="AI51" i="6" s="1"/>
  <c r="AJ51" i="6" s="1"/>
  <c r="AK51" i="6" s="1"/>
  <c r="I50" i="6"/>
  <c r="P50" i="6" s="1"/>
  <c r="J53" i="6"/>
  <c r="O53" i="6" s="1"/>
  <c r="I61" i="6"/>
  <c r="N61" i="6" s="1"/>
  <c r="J71" i="6"/>
  <c r="Q71" i="6" s="1"/>
  <c r="BL75" i="6"/>
  <c r="I77" i="6"/>
  <c r="N77" i="6" s="1"/>
  <c r="I93" i="6"/>
  <c r="N93" i="6" s="1"/>
  <c r="J120" i="6"/>
  <c r="O120" i="6" s="1"/>
  <c r="I131" i="6"/>
  <c r="N131" i="6" s="1"/>
  <c r="P136" i="6"/>
  <c r="I141" i="6"/>
  <c r="N141" i="6" s="1"/>
  <c r="I149" i="6"/>
  <c r="P149" i="6" s="1"/>
  <c r="Q154" i="6"/>
  <c r="J156" i="6"/>
  <c r="O156" i="6" s="1"/>
  <c r="P157" i="6"/>
  <c r="J159" i="6"/>
  <c r="Q159" i="6" s="1"/>
  <c r="I166" i="6"/>
  <c r="J171" i="6"/>
  <c r="Q171" i="6" s="1"/>
  <c r="P175" i="6"/>
  <c r="I184" i="6"/>
  <c r="P184" i="6" s="1"/>
  <c r="I203" i="6"/>
  <c r="P203" i="6" s="1"/>
  <c r="I205" i="6"/>
  <c r="P205" i="6" s="1"/>
  <c r="J207" i="6"/>
  <c r="O207" i="6" s="1"/>
  <c r="J209" i="6"/>
  <c r="Q209" i="6" s="1"/>
  <c r="O211" i="6"/>
  <c r="I214" i="6"/>
  <c r="P214" i="6" s="1"/>
  <c r="N20" i="6"/>
  <c r="I36" i="6"/>
  <c r="P36" i="6" s="1"/>
  <c r="J50" i="6"/>
  <c r="Q50" i="6" s="1"/>
  <c r="J77" i="6"/>
  <c r="I81" i="6"/>
  <c r="P81" i="6" s="1"/>
  <c r="I83" i="6"/>
  <c r="N83" i="6" s="1"/>
  <c r="I85" i="6"/>
  <c r="P85" i="6" s="1"/>
  <c r="J88" i="6"/>
  <c r="O88" i="6" s="1"/>
  <c r="J129" i="6"/>
  <c r="O129" i="6" s="1"/>
  <c r="J131" i="6"/>
  <c r="Q131" i="6" s="1"/>
  <c r="I134" i="6"/>
  <c r="AI137" i="6" s="1"/>
  <c r="AJ137" i="6" s="1"/>
  <c r="AK137" i="6" s="1"/>
  <c r="J141" i="6"/>
  <c r="O141" i="6" s="1"/>
  <c r="I146" i="6"/>
  <c r="N146" i="6" s="1"/>
  <c r="J149" i="6"/>
  <c r="Q149" i="6" s="1"/>
  <c r="I152" i="6"/>
  <c r="J184" i="6"/>
  <c r="Q184" i="6" s="1"/>
  <c r="J203" i="6"/>
  <c r="O203" i="6" s="1"/>
  <c r="J205" i="6"/>
  <c r="O205" i="6" s="1"/>
  <c r="J214" i="6"/>
  <c r="Q214" i="6" s="1"/>
  <c r="P22" i="6"/>
  <c r="J68" i="6"/>
  <c r="Q68" i="6" s="1"/>
  <c r="J81" i="6"/>
  <c r="Q81" i="6" s="1"/>
  <c r="J83" i="6"/>
  <c r="J85" i="6"/>
  <c r="O85" i="6" s="1"/>
  <c r="I99" i="6"/>
  <c r="AI102" i="6" s="1"/>
  <c r="AJ102" i="6" s="1"/>
  <c r="AK102" i="6" s="1"/>
  <c r="AI115" i="6"/>
  <c r="AJ115" i="6" s="1"/>
  <c r="AK115" i="6" s="1"/>
  <c r="J146" i="6"/>
  <c r="Q146" i="6" s="1"/>
  <c r="J152" i="6"/>
  <c r="Q152" i="6" s="1"/>
  <c r="P207" i="6"/>
  <c r="P96" i="6"/>
  <c r="P156" i="6"/>
  <c r="O24" i="6"/>
  <c r="J31" i="6"/>
  <c r="AI34" i="6" s="1"/>
  <c r="AJ34" i="6" s="1"/>
  <c r="AK34" i="6" s="1"/>
  <c r="J35" i="6"/>
  <c r="Q35" i="6" s="1"/>
  <c r="BK36" i="6"/>
  <c r="I39" i="6"/>
  <c r="AI42" i="6" s="1"/>
  <c r="AJ42" i="6" s="1"/>
  <c r="AK42" i="6" s="1"/>
  <c r="J42" i="6"/>
  <c r="Q42" i="6" s="1"/>
  <c r="J76" i="6"/>
  <c r="Q76" i="6" s="1"/>
  <c r="N81" i="6"/>
  <c r="O83" i="6"/>
  <c r="N85" i="6"/>
  <c r="I91" i="6"/>
  <c r="P91" i="6" s="1"/>
  <c r="J94" i="6"/>
  <c r="Q94" i="6" s="1"/>
  <c r="P141" i="6"/>
  <c r="I145" i="6"/>
  <c r="N145" i="6" s="1"/>
  <c r="I148" i="6"/>
  <c r="AI151" i="6" s="1"/>
  <c r="AJ151" i="6" s="1"/>
  <c r="AK151" i="6" s="1"/>
  <c r="N152" i="6"/>
  <c r="J155" i="6"/>
  <c r="P187" i="6"/>
  <c r="I210" i="6"/>
  <c r="P210" i="6" s="1"/>
  <c r="J26" i="6"/>
  <c r="Q26" i="6" s="1"/>
  <c r="O32" i="6"/>
  <c r="BK40" i="6"/>
  <c r="BK58" i="6"/>
  <c r="J67" i="6"/>
  <c r="Q67" i="6" s="1"/>
  <c r="BL71" i="6"/>
  <c r="BK77" i="6"/>
  <c r="I89" i="6"/>
  <c r="P89" i="6" s="1"/>
  <c r="I100" i="6"/>
  <c r="N100" i="6" s="1"/>
  <c r="I122" i="6"/>
  <c r="P122" i="6" s="1"/>
  <c r="I130" i="6"/>
  <c r="AI133" i="6" s="1"/>
  <c r="AJ133" i="6" s="1"/>
  <c r="AK133" i="6" s="1"/>
  <c r="P134" i="6"/>
  <c r="I140" i="6"/>
  <c r="AI143" i="6" s="1"/>
  <c r="AJ143" i="6" s="1"/>
  <c r="AK143" i="6" s="1"/>
  <c r="N143" i="6"/>
  <c r="I151" i="6"/>
  <c r="AI154" i="6" s="1"/>
  <c r="AJ154" i="6" s="1"/>
  <c r="AK154" i="6" s="1"/>
  <c r="I170" i="6"/>
  <c r="P170" i="6" s="1"/>
  <c r="P176" i="6"/>
  <c r="I185" i="6"/>
  <c r="AI188" i="6" s="1"/>
  <c r="AJ188" i="6" s="1"/>
  <c r="AK188" i="6" s="1"/>
  <c r="J210" i="6"/>
  <c r="Q210" i="6" s="1"/>
  <c r="I215" i="6"/>
  <c r="P215" i="6" s="1"/>
  <c r="P219" i="6"/>
  <c r="N21" i="6"/>
  <c r="I97" i="6"/>
  <c r="N97" i="6" s="1"/>
  <c r="AI113" i="6"/>
  <c r="AJ113" i="6" s="1"/>
  <c r="AK113" i="6" s="1"/>
  <c r="J122" i="6"/>
  <c r="O122" i="6" s="1"/>
  <c r="I132" i="6"/>
  <c r="N132" i="6" s="1"/>
  <c r="J138" i="6"/>
  <c r="Q138" i="6" s="1"/>
  <c r="I165" i="6"/>
  <c r="N165" i="6" s="1"/>
  <c r="J170" i="6"/>
  <c r="O170" i="6" s="1"/>
  <c r="Q176" i="6"/>
  <c r="I204" i="6"/>
  <c r="AI207" i="6" s="1"/>
  <c r="AJ207" i="6" s="1"/>
  <c r="AK207" i="6" s="1"/>
  <c r="I206" i="6"/>
  <c r="P206" i="6" s="1"/>
  <c r="I208" i="6"/>
  <c r="P208" i="6" s="1"/>
  <c r="J215" i="6"/>
  <c r="Q215" i="6" s="1"/>
  <c r="P68" i="6"/>
  <c r="P144" i="6"/>
  <c r="N64" i="6"/>
  <c r="P143" i="6"/>
  <c r="Q22" i="6"/>
  <c r="BK24" i="6"/>
  <c r="I28" i="6"/>
  <c r="N28" i="6" s="1"/>
  <c r="J21" i="6"/>
  <c r="Q21" i="6" s="1"/>
  <c r="J23" i="6"/>
  <c r="Q23" i="6" s="1"/>
  <c r="BL33" i="6"/>
  <c r="BK33" i="6"/>
  <c r="BK34" i="6"/>
  <c r="BK38" i="6"/>
  <c r="BL39" i="6"/>
  <c r="BK39" i="6"/>
  <c r="AX19" i="6"/>
  <c r="N30" i="6"/>
  <c r="N23" i="6"/>
  <c r="P21" i="6"/>
  <c r="I27" i="6"/>
  <c r="N27" i="6" s="1"/>
  <c r="O28" i="6"/>
  <c r="Q28" i="6"/>
  <c r="N34" i="6"/>
  <c r="J34" i="6"/>
  <c r="Q34" i="6" s="1"/>
  <c r="BK22" i="6"/>
  <c r="P23" i="6"/>
  <c r="J20" i="6"/>
  <c r="S20" i="6" s="1"/>
  <c r="T20" i="6" s="1"/>
  <c r="U20" i="6" s="1"/>
  <c r="I26" i="6"/>
  <c r="N26" i="6" s="1"/>
  <c r="O27" i="6"/>
  <c r="BL29" i="6"/>
  <c r="P34" i="6"/>
  <c r="P27" i="6"/>
  <c r="Q27" i="6"/>
  <c r="BL51" i="6"/>
  <c r="BK51" i="6"/>
  <c r="AI76" i="6"/>
  <c r="AJ76" i="6" s="1"/>
  <c r="AK76" i="6" s="1"/>
  <c r="P38" i="6"/>
  <c r="N38" i="6"/>
  <c r="J38" i="6"/>
  <c r="AI41" i="6" s="1"/>
  <c r="AJ41" i="6" s="1"/>
  <c r="AK41" i="6" s="1"/>
  <c r="J45" i="6"/>
  <c r="O45" i="6" s="1"/>
  <c r="I45" i="6"/>
  <c r="N45" i="6" s="1"/>
  <c r="P60" i="6"/>
  <c r="N22" i="6"/>
  <c r="I24" i="6"/>
  <c r="N24" i="6" s="1"/>
  <c r="BL25" i="6"/>
  <c r="BL43" i="6"/>
  <c r="BK43" i="6"/>
  <c r="O48" i="6"/>
  <c r="BL70" i="6"/>
  <c r="BK70" i="6"/>
  <c r="J74" i="6"/>
  <c r="Q74" i="6" s="1"/>
  <c r="I74" i="6"/>
  <c r="P74" i="6" s="1"/>
  <c r="I37" i="6"/>
  <c r="AI40" i="6" s="1"/>
  <c r="AJ40" i="6" s="1"/>
  <c r="AK40" i="6" s="1"/>
  <c r="BK37" i="6"/>
  <c r="I41" i="6"/>
  <c r="AI44" i="6" s="1"/>
  <c r="AJ44" i="6" s="1"/>
  <c r="AK44" i="6" s="1"/>
  <c r="J55" i="6"/>
  <c r="Q55" i="6" s="1"/>
  <c r="I55" i="6"/>
  <c r="P55" i="6" s="1"/>
  <c r="I56" i="6"/>
  <c r="N56" i="6" s="1"/>
  <c r="N33" i="6"/>
  <c r="J43" i="6"/>
  <c r="O43" i="6" s="1"/>
  <c r="I49" i="6"/>
  <c r="AI52" i="6" s="1"/>
  <c r="AJ52" i="6" s="1"/>
  <c r="AK52" i="6" s="1"/>
  <c r="J51" i="6"/>
  <c r="O51" i="6" s="1"/>
  <c r="BK53" i="6"/>
  <c r="J56" i="6"/>
  <c r="Q56" i="6" s="1"/>
  <c r="I57" i="6"/>
  <c r="P57" i="6" s="1"/>
  <c r="Q61" i="6"/>
  <c r="P61" i="6"/>
  <c r="J62" i="6"/>
  <c r="O62" i="6" s="1"/>
  <c r="BL66" i="6"/>
  <c r="BK66" i="6"/>
  <c r="J78" i="6"/>
  <c r="O78" i="6" s="1"/>
  <c r="I78" i="6"/>
  <c r="P78" i="6" s="1"/>
  <c r="BK47" i="6"/>
  <c r="Q48" i="6"/>
  <c r="BL59" i="6"/>
  <c r="Q57" i="6"/>
  <c r="O63" i="6"/>
  <c r="I63" i="6"/>
  <c r="AI66" i="6" s="1"/>
  <c r="AJ66" i="6" s="1"/>
  <c r="AK66" i="6" s="1"/>
  <c r="BL74" i="6"/>
  <c r="BK74" i="6"/>
  <c r="Q33" i="6"/>
  <c r="J36" i="6"/>
  <c r="Q36" i="6" s="1"/>
  <c r="O37" i="6"/>
  <c r="I40" i="6"/>
  <c r="P40" i="6" s="1"/>
  <c r="O41" i="6"/>
  <c r="J44" i="6"/>
  <c r="J52" i="6"/>
  <c r="Q52" i="6" s="1"/>
  <c r="P62" i="6"/>
  <c r="J66" i="6"/>
  <c r="Q66" i="6" s="1"/>
  <c r="I66" i="6"/>
  <c r="P66" i="6" s="1"/>
  <c r="J70" i="6"/>
  <c r="Q70" i="6" s="1"/>
  <c r="I70" i="6"/>
  <c r="P70" i="6" s="1"/>
  <c r="BL78" i="6"/>
  <c r="BK78" i="6"/>
  <c r="AI90" i="6"/>
  <c r="AJ90" i="6" s="1"/>
  <c r="AK90" i="6" s="1"/>
  <c r="O49" i="6"/>
  <c r="O57" i="6"/>
  <c r="BK61" i="6"/>
  <c r="J30" i="6"/>
  <c r="O30" i="6" s="1"/>
  <c r="Q37" i="6"/>
  <c r="Q41" i="6"/>
  <c r="BL55" i="6"/>
  <c r="BK55" i="6"/>
  <c r="BK62" i="6"/>
  <c r="Q63" i="6"/>
  <c r="P44" i="6"/>
  <c r="P47" i="6"/>
  <c r="J47" i="6"/>
  <c r="Q47" i="6" s="1"/>
  <c r="Q49" i="6"/>
  <c r="P59" i="6"/>
  <c r="J59" i="6"/>
  <c r="O59" i="6" s="1"/>
  <c r="I59" i="6"/>
  <c r="Q25" i="6"/>
  <c r="N47" i="6"/>
  <c r="Q53" i="6"/>
  <c r="Q72" i="6"/>
  <c r="P99" i="6"/>
  <c r="O99" i="6"/>
  <c r="I86" i="6"/>
  <c r="N86" i="6" s="1"/>
  <c r="I92" i="6"/>
  <c r="N92" i="6" s="1"/>
  <c r="I98" i="6"/>
  <c r="N98" i="6" s="1"/>
  <c r="N99" i="6"/>
  <c r="N65" i="6"/>
  <c r="N73" i="6"/>
  <c r="N87" i="6"/>
  <c r="P88" i="6"/>
  <c r="J98" i="6"/>
  <c r="Q98" i="6" s="1"/>
  <c r="Q99" i="6"/>
  <c r="P65" i="6"/>
  <c r="P69" i="6"/>
  <c r="P73" i="6"/>
  <c r="P77" i="6"/>
  <c r="P87" i="6"/>
  <c r="P93" i="6"/>
  <c r="Q100" i="6"/>
  <c r="P100" i="6"/>
  <c r="O100" i="6"/>
  <c r="I101" i="6"/>
  <c r="AI104" i="6" s="1"/>
  <c r="AJ104" i="6" s="1"/>
  <c r="AK104" i="6" s="1"/>
  <c r="Q65" i="6"/>
  <c r="I67" i="6"/>
  <c r="N67" i="6" s="1"/>
  <c r="Q69" i="6"/>
  <c r="I71" i="6"/>
  <c r="N71" i="6" s="1"/>
  <c r="Q73" i="6"/>
  <c r="I75" i="6"/>
  <c r="P75" i="6" s="1"/>
  <c r="Q77" i="6"/>
  <c r="I79" i="6"/>
  <c r="N79" i="6" s="1"/>
  <c r="O86" i="6"/>
  <c r="Q87" i="6"/>
  <c r="I90" i="6"/>
  <c r="N90" i="6" s="1"/>
  <c r="O92" i="6"/>
  <c r="Q93" i="6"/>
  <c r="I96" i="6"/>
  <c r="N96" i="6" s="1"/>
  <c r="AI116" i="6"/>
  <c r="AJ116" i="6" s="1"/>
  <c r="AK116" i="6" s="1"/>
  <c r="J79" i="6"/>
  <c r="O79" i="6" s="1"/>
  <c r="BK79" i="6"/>
  <c r="P86" i="6"/>
  <c r="P92" i="6"/>
  <c r="J96" i="6"/>
  <c r="O96" i="6" s="1"/>
  <c r="Q101" i="6"/>
  <c r="P101" i="6"/>
  <c r="O101" i="6"/>
  <c r="Q86" i="6"/>
  <c r="Q92" i="6"/>
  <c r="Q102" i="6"/>
  <c r="O102" i="6"/>
  <c r="Q82" i="6"/>
  <c r="Q83" i="6"/>
  <c r="Q84" i="6"/>
  <c r="Q85" i="6"/>
  <c r="I88" i="6"/>
  <c r="N88" i="6" s="1"/>
  <c r="O90" i="6"/>
  <c r="Q91" i="6"/>
  <c r="I94" i="6"/>
  <c r="N94" i="6" s="1"/>
  <c r="AI170" i="6"/>
  <c r="AJ170" i="6" s="1"/>
  <c r="AK170" i="6" s="1"/>
  <c r="AI189" i="6"/>
  <c r="AJ189" i="6" s="1"/>
  <c r="AK189" i="6" s="1"/>
  <c r="I121" i="6"/>
  <c r="P121" i="6" s="1"/>
  <c r="I127" i="6"/>
  <c r="AI130" i="6" s="1"/>
  <c r="AJ130" i="6" s="1"/>
  <c r="AK130" i="6" s="1"/>
  <c r="I133" i="6"/>
  <c r="AI136" i="6" s="1"/>
  <c r="AJ136" i="6" s="1"/>
  <c r="AK136" i="6" s="1"/>
  <c r="J162" i="6"/>
  <c r="O162" i="6" s="1"/>
  <c r="I162" i="6"/>
  <c r="N162" i="6" s="1"/>
  <c r="Q162" i="6"/>
  <c r="P162" i="6"/>
  <c r="J121" i="6"/>
  <c r="Q121" i="6" s="1"/>
  <c r="Q129" i="6"/>
  <c r="Q135" i="6"/>
  <c r="Q175" i="6"/>
  <c r="J181" i="6"/>
  <c r="Q181" i="6" s="1"/>
  <c r="I181" i="6"/>
  <c r="N181" i="6" s="1"/>
  <c r="Q122" i="6"/>
  <c r="O127" i="6"/>
  <c r="Q128" i="6"/>
  <c r="O133" i="6"/>
  <c r="Q134" i="6"/>
  <c r="I137" i="6"/>
  <c r="AI140" i="6" s="1"/>
  <c r="AJ140" i="6" s="1"/>
  <c r="AK140" i="6" s="1"/>
  <c r="J160" i="6"/>
  <c r="O160" i="6" s="1"/>
  <c r="I160" i="6"/>
  <c r="N160" i="6" s="1"/>
  <c r="Q160" i="6"/>
  <c r="P160" i="6"/>
  <c r="N105" i="6"/>
  <c r="N106" i="6"/>
  <c r="N108" i="6"/>
  <c r="N109" i="6"/>
  <c r="N110" i="6"/>
  <c r="N111" i="6"/>
  <c r="N112" i="6"/>
  <c r="N113" i="6"/>
  <c r="O137" i="6"/>
  <c r="J163" i="6"/>
  <c r="O163" i="6" s="1"/>
  <c r="I163" i="6"/>
  <c r="N163" i="6" s="1"/>
  <c r="Q163" i="6"/>
  <c r="P163" i="6"/>
  <c r="O103" i="6"/>
  <c r="O104" i="6"/>
  <c r="O105" i="6"/>
  <c r="O106" i="6"/>
  <c r="O107" i="6"/>
  <c r="O108" i="6"/>
  <c r="O109" i="6"/>
  <c r="O110" i="6"/>
  <c r="O111" i="6"/>
  <c r="O112" i="6"/>
  <c r="O113" i="6"/>
  <c r="O114" i="6"/>
  <c r="O115" i="6"/>
  <c r="O116" i="6"/>
  <c r="O117" i="6"/>
  <c r="O118" i="6"/>
  <c r="O119" i="6"/>
  <c r="O126" i="6"/>
  <c r="Q127" i="6"/>
  <c r="Q133" i="6"/>
  <c r="P202" i="6"/>
  <c r="AI205" i="6"/>
  <c r="AJ205" i="6" s="1"/>
  <c r="AK205" i="6" s="1"/>
  <c r="P104" i="6"/>
  <c r="P107" i="6"/>
  <c r="P109" i="6"/>
  <c r="P110" i="6"/>
  <c r="P111" i="6"/>
  <c r="P112" i="6"/>
  <c r="P113" i="6"/>
  <c r="P115" i="6"/>
  <c r="P117" i="6"/>
  <c r="P126" i="6"/>
  <c r="Q137" i="6"/>
  <c r="Q103" i="6"/>
  <c r="Q104" i="6"/>
  <c r="Q105" i="6"/>
  <c r="Q106" i="6"/>
  <c r="Q107" i="6"/>
  <c r="Q108" i="6"/>
  <c r="Q109" i="6"/>
  <c r="Q110" i="6"/>
  <c r="Q111" i="6"/>
  <c r="Q112" i="6"/>
  <c r="Q113" i="6"/>
  <c r="Q114" i="6"/>
  <c r="Q115" i="6"/>
  <c r="Q116" i="6"/>
  <c r="Q117" i="6"/>
  <c r="Q118" i="6"/>
  <c r="Q119" i="6"/>
  <c r="Q126" i="6"/>
  <c r="Q132" i="6"/>
  <c r="I136" i="6"/>
  <c r="AI139" i="6" s="1"/>
  <c r="AJ139" i="6" s="1"/>
  <c r="AK139" i="6" s="1"/>
  <c r="J164" i="6"/>
  <c r="Q164" i="6" s="1"/>
  <c r="I164" i="6"/>
  <c r="N164" i="6" s="1"/>
  <c r="I123" i="6"/>
  <c r="N123" i="6" s="1"/>
  <c r="I129" i="6"/>
  <c r="I135" i="6"/>
  <c r="O136" i="6"/>
  <c r="J161" i="6"/>
  <c r="Q161" i="6" s="1"/>
  <c r="I161" i="6"/>
  <c r="P161" i="6" s="1"/>
  <c r="J197" i="6"/>
  <c r="Q197" i="6" s="1"/>
  <c r="O167" i="6"/>
  <c r="O177" i="6"/>
  <c r="P179" i="6"/>
  <c r="Q179" i="6"/>
  <c r="O179" i="6"/>
  <c r="I182" i="6"/>
  <c r="P182" i="6" s="1"/>
  <c r="O186" i="6"/>
  <c r="Q186" i="6"/>
  <c r="I197" i="6"/>
  <c r="J182" i="6"/>
  <c r="Q182" i="6" s="1"/>
  <c r="N186" i="6"/>
  <c r="J169" i="6"/>
  <c r="AI172" i="6" s="1"/>
  <c r="AJ172" i="6" s="1"/>
  <c r="AK172" i="6" s="1"/>
  <c r="O174" i="6"/>
  <c r="O194" i="6"/>
  <c r="I194" i="6"/>
  <c r="AI197" i="6" s="1"/>
  <c r="AJ197" i="6" s="1"/>
  <c r="AK197" i="6" s="1"/>
  <c r="Q194" i="6"/>
  <c r="O166" i="6"/>
  <c r="N166" i="6"/>
  <c r="N169" i="6"/>
  <c r="AI169" i="6"/>
  <c r="AJ169" i="6" s="1"/>
  <c r="AK169" i="6" s="1"/>
  <c r="I138" i="6"/>
  <c r="P138" i="6" s="1"/>
  <c r="I139" i="6"/>
  <c r="N139" i="6" s="1"/>
  <c r="P166" i="6"/>
  <c r="P169" i="6"/>
  <c r="O180" i="6"/>
  <c r="Q180" i="6"/>
  <c r="O188" i="6"/>
  <c r="J189" i="6"/>
  <c r="Q189" i="6" s="1"/>
  <c r="I189" i="6"/>
  <c r="N189" i="6" s="1"/>
  <c r="Q166" i="6"/>
  <c r="AI171" i="6"/>
  <c r="AJ171" i="6" s="1"/>
  <c r="AK171" i="6" s="1"/>
  <c r="P180" i="6"/>
  <c r="J183" i="6"/>
  <c r="O183" i="6" s="1"/>
  <c r="I183" i="6"/>
  <c r="N183" i="6" s="1"/>
  <c r="Q188" i="6"/>
  <c r="O168" i="6"/>
  <c r="N168" i="6"/>
  <c r="O185" i="6"/>
  <c r="Q185" i="6"/>
  <c r="P185" i="6"/>
  <c r="O192" i="6"/>
  <c r="Q192" i="6"/>
  <c r="I192" i="6"/>
  <c r="P192" i="6" s="1"/>
  <c r="I196" i="6"/>
  <c r="N196" i="6" s="1"/>
  <c r="P199" i="6"/>
  <c r="O199" i="6"/>
  <c r="O193" i="6"/>
  <c r="J196" i="6"/>
  <c r="O196" i="6" s="1"/>
  <c r="Q199" i="6"/>
  <c r="AI221" i="6"/>
  <c r="AJ221" i="6" s="1"/>
  <c r="AK221" i="6" s="1"/>
  <c r="O191" i="6"/>
  <c r="P178" i="6"/>
  <c r="O195" i="6"/>
  <c r="N195" i="6"/>
  <c r="O198" i="6"/>
  <c r="N176" i="6"/>
  <c r="N177" i="6"/>
  <c r="N178" i="6"/>
  <c r="O190" i="6"/>
  <c r="P195" i="6"/>
  <c r="Q198" i="6"/>
  <c r="O178" i="6"/>
  <c r="N184" i="6"/>
  <c r="Q191" i="6"/>
  <c r="Q195" i="6"/>
  <c r="N218" i="6"/>
  <c r="BW78" i="7" l="1"/>
  <c r="BY78" i="7"/>
  <c r="BY73" i="7"/>
  <c r="BY53" i="7"/>
  <c r="BX53" i="7"/>
  <c r="BY50" i="7"/>
  <c r="BY48" i="7"/>
  <c r="BX46" i="7"/>
  <c r="BX33" i="7"/>
  <c r="BY31" i="7"/>
  <c r="BX28" i="7"/>
  <c r="BW37" i="7"/>
  <c r="BW75" i="7"/>
  <c r="BV32" i="7"/>
  <c r="BW24" i="7"/>
  <c r="BV65" i="7"/>
  <c r="BW66" i="7"/>
  <c r="BV72" i="7"/>
  <c r="BW43" i="7"/>
  <c r="BV25" i="7"/>
  <c r="BV59" i="7"/>
  <c r="BW69" i="7"/>
  <c r="BV63" i="7"/>
  <c r="BV20" i="7"/>
  <c r="BW36" i="7"/>
  <c r="BV38" i="7"/>
  <c r="BV55" i="7"/>
  <c r="BV66" i="7"/>
  <c r="BW42" i="7"/>
  <c r="BX41" i="7"/>
  <c r="BV41" i="7"/>
  <c r="BW33" i="7"/>
  <c r="BW47" i="7"/>
  <c r="BV77" i="7"/>
  <c r="BV68" i="7"/>
  <c r="BW20" i="7"/>
  <c r="BV43" i="7"/>
  <c r="BW34" i="7"/>
  <c r="BV37" i="7"/>
  <c r="BW23" i="7"/>
  <c r="BV76" i="7"/>
  <c r="BV30" i="7"/>
  <c r="BV21" i="7"/>
  <c r="BW55" i="7"/>
  <c r="BV56" i="7"/>
  <c r="BW68" i="7"/>
  <c r="P210" i="7"/>
  <c r="Q210" i="7"/>
  <c r="N116" i="7"/>
  <c r="N185" i="7"/>
  <c r="O116" i="7"/>
  <c r="P75" i="7"/>
  <c r="AJ119" i="7"/>
  <c r="AK119" i="7" s="1"/>
  <c r="N33" i="7"/>
  <c r="Q75" i="7"/>
  <c r="AJ113" i="7"/>
  <c r="AK113" i="7" s="1"/>
  <c r="AJ161" i="7"/>
  <c r="AK161" i="7" s="1"/>
  <c r="N75" i="7"/>
  <c r="AJ216" i="7"/>
  <c r="AK216" i="7" s="1"/>
  <c r="Q185" i="7"/>
  <c r="P185" i="7"/>
  <c r="O33" i="7"/>
  <c r="N210" i="7"/>
  <c r="AJ213" i="7"/>
  <c r="AK213" i="7" s="1"/>
  <c r="AJ78" i="7"/>
  <c r="AK78" i="7" s="1"/>
  <c r="BW26" i="7"/>
  <c r="N158" i="7"/>
  <c r="O158" i="7"/>
  <c r="AJ140" i="7"/>
  <c r="AK140" i="7" s="1"/>
  <c r="P158" i="7"/>
  <c r="O137" i="7"/>
  <c r="P137" i="7"/>
  <c r="Q137" i="7"/>
  <c r="Q158" i="7"/>
  <c r="AJ99" i="7"/>
  <c r="AK99" i="7" s="1"/>
  <c r="AJ36" i="7"/>
  <c r="AK36" i="7" s="1"/>
  <c r="N206" i="7"/>
  <c r="Q128" i="7"/>
  <c r="Q218" i="7"/>
  <c r="N218" i="7"/>
  <c r="Q217" i="7"/>
  <c r="N217" i="7"/>
  <c r="AJ219" i="7"/>
  <c r="AK219" i="7" s="1"/>
  <c r="AJ217" i="7"/>
  <c r="AK217" i="7" s="1"/>
  <c r="AJ214" i="7"/>
  <c r="AK214" i="7" s="1"/>
  <c r="N208" i="7"/>
  <c r="O204" i="7"/>
  <c r="Q204" i="7"/>
  <c r="AJ207" i="7"/>
  <c r="AK207" i="7" s="1"/>
  <c r="N204" i="7"/>
  <c r="P196" i="7"/>
  <c r="O177" i="7"/>
  <c r="AJ135" i="7"/>
  <c r="AK135" i="7" s="1"/>
  <c r="Q132" i="7"/>
  <c r="N132" i="7"/>
  <c r="P46" i="7"/>
  <c r="O46" i="7"/>
  <c r="P34" i="7"/>
  <c r="N34" i="7"/>
  <c r="O34" i="7"/>
  <c r="AJ37" i="7"/>
  <c r="AK37" i="7" s="1"/>
  <c r="AJ29" i="7"/>
  <c r="AK29" i="7" s="1"/>
  <c r="N26" i="7"/>
  <c r="O26" i="7"/>
  <c r="P26" i="7"/>
  <c r="AJ195" i="7"/>
  <c r="AK195" i="7" s="1"/>
  <c r="AJ221" i="7"/>
  <c r="AK221" i="7" s="1"/>
  <c r="O218" i="7"/>
  <c r="AJ220" i="7"/>
  <c r="AK220" i="7" s="1"/>
  <c r="O216" i="7"/>
  <c r="Q216" i="7"/>
  <c r="N216" i="7"/>
  <c r="P216" i="7"/>
  <c r="Q214" i="7"/>
  <c r="N214" i="7"/>
  <c r="O214" i="7"/>
  <c r="AJ215" i="7"/>
  <c r="AK215" i="7" s="1"/>
  <c r="Q209" i="7"/>
  <c r="P208" i="7"/>
  <c r="O206" i="7"/>
  <c r="P206" i="7"/>
  <c r="AJ209" i="7"/>
  <c r="AK209" i="7" s="1"/>
  <c r="Q203" i="7"/>
  <c r="P198" i="7"/>
  <c r="Q198" i="7"/>
  <c r="N198" i="7"/>
  <c r="P194" i="7"/>
  <c r="N194" i="7"/>
  <c r="N192" i="7"/>
  <c r="O192" i="7"/>
  <c r="P192" i="7"/>
  <c r="AJ190" i="7"/>
  <c r="AK190" i="7" s="1"/>
  <c r="O187" i="7"/>
  <c r="P187" i="7"/>
  <c r="O182" i="7"/>
  <c r="P182" i="7"/>
  <c r="Q182" i="7"/>
  <c r="P176" i="7"/>
  <c r="N176" i="7"/>
  <c r="Q176" i="7"/>
  <c r="O169" i="7"/>
  <c r="AJ172" i="7"/>
  <c r="AK172" i="7" s="1"/>
  <c r="P169" i="7"/>
  <c r="P156" i="7"/>
  <c r="Q153" i="7"/>
  <c r="AJ156" i="7"/>
  <c r="AK156" i="7" s="1"/>
  <c r="AJ153" i="7"/>
  <c r="AK153" i="7" s="1"/>
  <c r="N150" i="7"/>
  <c r="N139" i="7"/>
  <c r="AJ142" i="7"/>
  <c r="AK142" i="7" s="1"/>
  <c r="N135" i="7"/>
  <c r="AJ138" i="7"/>
  <c r="AK138" i="7" s="1"/>
  <c r="P135" i="7"/>
  <c r="Q135" i="7"/>
  <c r="N134" i="7"/>
  <c r="N129" i="7"/>
  <c r="N128" i="7"/>
  <c r="O128" i="7"/>
  <c r="P126" i="7"/>
  <c r="Q126" i="7"/>
  <c r="AJ129" i="7"/>
  <c r="AK129" i="7" s="1"/>
  <c r="O126" i="7"/>
  <c r="Q125" i="7"/>
  <c r="Q123" i="7"/>
  <c r="Q122" i="7"/>
  <c r="AJ125" i="7"/>
  <c r="AK125" i="7" s="1"/>
  <c r="P122" i="7"/>
  <c r="N122" i="7"/>
  <c r="AJ123" i="7"/>
  <c r="AK123" i="7" s="1"/>
  <c r="N120" i="7"/>
  <c r="O120" i="7"/>
  <c r="P120" i="7"/>
  <c r="AJ122" i="7"/>
  <c r="AK122" i="7" s="1"/>
  <c r="O119" i="7"/>
  <c r="N119" i="7"/>
  <c r="AJ121" i="7"/>
  <c r="AK121" i="7" s="1"/>
  <c r="N118" i="7"/>
  <c r="O118" i="7"/>
  <c r="P118" i="7"/>
  <c r="O115" i="7"/>
  <c r="Q115" i="7"/>
  <c r="AJ116" i="7"/>
  <c r="AK116" i="7" s="1"/>
  <c r="N113" i="7"/>
  <c r="O113" i="7"/>
  <c r="Q113" i="7"/>
  <c r="N110" i="7"/>
  <c r="P110" i="7"/>
  <c r="Q110" i="7"/>
  <c r="AJ110" i="7"/>
  <c r="AK110" i="7" s="1"/>
  <c r="Q107" i="7"/>
  <c r="N107" i="7"/>
  <c r="O107" i="7"/>
  <c r="N105" i="7"/>
  <c r="O105" i="7"/>
  <c r="Q104" i="7"/>
  <c r="AJ107" i="7"/>
  <c r="AK107" i="7" s="1"/>
  <c r="N104" i="7"/>
  <c r="N103" i="7"/>
  <c r="P103" i="7"/>
  <c r="O103" i="7"/>
  <c r="AJ106" i="7"/>
  <c r="AK106" i="7" s="1"/>
  <c r="AJ104" i="7"/>
  <c r="AK104" i="7" s="1"/>
  <c r="Q101" i="7"/>
  <c r="P101" i="7"/>
  <c r="N101" i="7"/>
  <c r="AJ98" i="7"/>
  <c r="AK98" i="7" s="1"/>
  <c r="Q95" i="7"/>
  <c r="N95" i="7"/>
  <c r="O95" i="7"/>
  <c r="AJ95" i="7"/>
  <c r="AK95" i="7" s="1"/>
  <c r="O90" i="7"/>
  <c r="AJ89" i="7"/>
  <c r="AK89" i="7" s="1"/>
  <c r="N86" i="7"/>
  <c r="N77" i="7"/>
  <c r="O77" i="7"/>
  <c r="P77" i="7"/>
  <c r="AJ79" i="7"/>
  <c r="AK79" i="7" s="1"/>
  <c r="O76" i="7"/>
  <c r="P76" i="7"/>
  <c r="Q76" i="7"/>
  <c r="AJ66" i="7"/>
  <c r="AK66" i="7" s="1"/>
  <c r="P63" i="7"/>
  <c r="N63" i="7"/>
  <c r="AJ65" i="7"/>
  <c r="AK65" i="7" s="1"/>
  <c r="O62" i="7"/>
  <c r="P62" i="7"/>
  <c r="Q62" i="7"/>
  <c r="N61" i="7"/>
  <c r="P61" i="7"/>
  <c r="Q61" i="7"/>
  <c r="AJ64" i="7"/>
  <c r="AK64" i="7" s="1"/>
  <c r="O58" i="7"/>
  <c r="Q58" i="7"/>
  <c r="N58" i="7"/>
  <c r="AJ61" i="7"/>
  <c r="AK61" i="7" s="1"/>
  <c r="N54" i="7"/>
  <c r="O51" i="7"/>
  <c r="Q51" i="7"/>
  <c r="Q46" i="7"/>
  <c r="N44" i="7"/>
  <c r="O42" i="7"/>
  <c r="N42" i="7"/>
  <c r="P38" i="7"/>
  <c r="N31" i="7"/>
  <c r="N29" i="7"/>
  <c r="P29" i="7"/>
  <c r="O29" i="7"/>
  <c r="AJ25" i="7"/>
  <c r="AK25" i="7" s="1"/>
  <c r="N22" i="7"/>
  <c r="O22" i="7"/>
  <c r="N97" i="7"/>
  <c r="Q97" i="7"/>
  <c r="O97" i="7"/>
  <c r="AJ100" i="7"/>
  <c r="AK100" i="7" s="1"/>
  <c r="O86" i="7"/>
  <c r="Q119" i="7"/>
  <c r="P97" i="7"/>
  <c r="AJ47" i="7"/>
  <c r="AK47" i="7" s="1"/>
  <c r="O44" i="7"/>
  <c r="P44" i="7"/>
  <c r="AJ31" i="7"/>
  <c r="AK31" i="7" s="1"/>
  <c r="AJ128" i="7"/>
  <c r="AK128" i="7" s="1"/>
  <c r="AJ126" i="7"/>
  <c r="AK126" i="7" s="1"/>
  <c r="O39" i="7"/>
  <c r="N195" i="7"/>
  <c r="O123" i="7"/>
  <c r="N123" i="7"/>
  <c r="P39" i="7"/>
  <c r="O195" i="7"/>
  <c r="P124" i="7"/>
  <c r="P100" i="7"/>
  <c r="P195" i="7"/>
  <c r="Q124" i="7"/>
  <c r="P90" i="7"/>
  <c r="AJ83" i="7"/>
  <c r="AK83" i="7" s="1"/>
  <c r="Q94" i="7"/>
  <c r="N73" i="7"/>
  <c r="N67" i="7"/>
  <c r="O54" i="7"/>
  <c r="Q42" i="7"/>
  <c r="N49" i="7"/>
  <c r="N37" i="7"/>
  <c r="Q100" i="7"/>
  <c r="P132" i="7"/>
  <c r="AJ127" i="7"/>
  <c r="AK127" i="7" s="1"/>
  <c r="AJ93" i="7"/>
  <c r="AK93" i="7" s="1"/>
  <c r="AJ76" i="7"/>
  <c r="AK76" i="7" s="1"/>
  <c r="P73" i="7"/>
  <c r="AJ40" i="7"/>
  <c r="AK40" i="7" s="1"/>
  <c r="AJ45" i="7"/>
  <c r="AK45" i="7" s="1"/>
  <c r="O49" i="7"/>
  <c r="O37" i="7"/>
  <c r="N94" i="7"/>
  <c r="O100" i="7"/>
  <c r="P80" i="7"/>
  <c r="AJ212" i="7"/>
  <c r="AK212" i="7" s="1"/>
  <c r="P129" i="7"/>
  <c r="O31" i="7"/>
  <c r="Q37" i="7"/>
  <c r="AJ180" i="7"/>
  <c r="AK180" i="7" s="1"/>
  <c r="N188" i="7"/>
  <c r="P31" i="7"/>
  <c r="N209" i="7"/>
  <c r="N203" i="7"/>
  <c r="AJ132" i="7"/>
  <c r="AK132" i="7" s="1"/>
  <c r="N90" i="7"/>
  <c r="Q67" i="7"/>
  <c r="N187" i="7"/>
  <c r="O217" i="7"/>
  <c r="O209" i="7"/>
  <c r="O203" i="7"/>
  <c r="Q177" i="7"/>
  <c r="P188" i="7"/>
  <c r="O190" i="7"/>
  <c r="AJ185" i="7"/>
  <c r="AK185" i="7" s="1"/>
  <c r="O129" i="7"/>
  <c r="O139" i="7"/>
  <c r="P116" i="7"/>
  <c r="O80" i="7"/>
  <c r="N80" i="7"/>
  <c r="P92" i="7"/>
  <c r="O125" i="7"/>
  <c r="P86" i="7"/>
  <c r="AJ42" i="7"/>
  <c r="AK42" i="7" s="1"/>
  <c r="P51" i="7"/>
  <c r="Q28" i="7"/>
  <c r="N38" i="7"/>
  <c r="P30" i="7"/>
  <c r="O73" i="7"/>
  <c r="O124" i="7"/>
  <c r="AJ193" i="7"/>
  <c r="AK193" i="7" s="1"/>
  <c r="N30" i="7"/>
  <c r="O188" i="7"/>
  <c r="N190" i="7"/>
  <c r="N125" i="7"/>
  <c r="AJ77" i="7"/>
  <c r="AK77" i="7" s="1"/>
  <c r="O30" i="7"/>
  <c r="AJ131" i="7"/>
  <c r="AK131" i="7" s="1"/>
  <c r="AJ33" i="7"/>
  <c r="AK33" i="7" s="1"/>
  <c r="AJ41" i="7"/>
  <c r="AK41" i="7" s="1"/>
  <c r="AJ54" i="7"/>
  <c r="AK54" i="7" s="1"/>
  <c r="AJ34" i="7"/>
  <c r="AK34" i="7" s="1"/>
  <c r="O63" i="7"/>
  <c r="O94" i="7"/>
  <c r="AJ109" i="7"/>
  <c r="AK109" i="7" s="1"/>
  <c r="Q106" i="7"/>
  <c r="P106" i="7"/>
  <c r="O106" i="7"/>
  <c r="O24" i="7"/>
  <c r="P138" i="7"/>
  <c r="Q54" i="7"/>
  <c r="AJ57" i="7"/>
  <c r="AK57" i="7" s="1"/>
  <c r="Q43" i="7"/>
  <c r="O138" i="7"/>
  <c r="AJ141" i="7"/>
  <c r="AK141" i="7" s="1"/>
  <c r="BV73" i="7"/>
  <c r="N43" i="7"/>
  <c r="BV29" i="7"/>
  <c r="Q24" i="7"/>
  <c r="AJ27" i="7"/>
  <c r="AK27" i="7" s="1"/>
  <c r="N106" i="7"/>
  <c r="N138" i="7"/>
  <c r="Q92" i="7"/>
  <c r="BY52" i="7"/>
  <c r="BW52" i="7"/>
  <c r="BW29" i="7"/>
  <c r="N24" i="7"/>
  <c r="P36" i="7"/>
  <c r="O36" i="7"/>
  <c r="N36" i="7"/>
  <c r="AJ39" i="7"/>
  <c r="AK39" i="7" s="1"/>
  <c r="BX52" i="7"/>
  <c r="BV52" i="7"/>
  <c r="AJ170" i="7"/>
  <c r="AK170" i="7" s="1"/>
  <c r="O92" i="7"/>
  <c r="BW49" i="7"/>
  <c r="AJ75" i="7"/>
  <c r="AK75" i="7" s="1"/>
  <c r="N72" i="7"/>
  <c r="Q72" i="7"/>
  <c r="P72" i="7"/>
  <c r="O72" i="7"/>
  <c r="P43" i="7"/>
  <c r="Q49" i="7"/>
  <c r="N28" i="7"/>
  <c r="O28" i="7"/>
  <c r="P28" i="7"/>
  <c r="Q150" i="7"/>
  <c r="P150" i="7"/>
  <c r="O43" i="7"/>
  <c r="Q96" i="7"/>
  <c r="P96" i="7"/>
  <c r="O96" i="7"/>
  <c r="N96" i="7"/>
  <c r="Q36" i="7"/>
  <c r="BV57" i="7"/>
  <c r="AJ133" i="7"/>
  <c r="AK133" i="7" s="1"/>
  <c r="Q130" i="7"/>
  <c r="P130" i="7"/>
  <c r="O130" i="7"/>
  <c r="N130" i="7"/>
  <c r="O69" i="7"/>
  <c r="N69" i="7"/>
  <c r="AJ72" i="7"/>
  <c r="AK72" i="7" s="1"/>
  <c r="Q69" i="7"/>
  <c r="P69" i="7"/>
  <c r="AJ63" i="7"/>
  <c r="AK63" i="7" s="1"/>
  <c r="Q60" i="7"/>
  <c r="P60" i="7"/>
  <c r="O60" i="7"/>
  <c r="N60" i="7"/>
  <c r="N174" i="7"/>
  <c r="AJ177" i="7"/>
  <c r="AK177" i="7" s="1"/>
  <c r="Q174" i="7"/>
  <c r="O174" i="7"/>
  <c r="P174" i="7"/>
  <c r="AJ187" i="7"/>
  <c r="AK187" i="7" s="1"/>
  <c r="Q184" i="7"/>
  <c r="P184" i="7"/>
  <c r="O184" i="7"/>
  <c r="N184" i="7"/>
  <c r="N171" i="7"/>
  <c r="Q171" i="7"/>
  <c r="P171" i="7"/>
  <c r="O171" i="7"/>
  <c r="AJ174" i="7"/>
  <c r="AK174" i="7" s="1"/>
  <c r="P41" i="7"/>
  <c r="N41" i="7"/>
  <c r="AJ44" i="7"/>
  <c r="AK44" i="7" s="1"/>
  <c r="Q41" i="7"/>
  <c r="O41" i="7"/>
  <c r="Q66" i="7"/>
  <c r="P66" i="7"/>
  <c r="O66" i="7"/>
  <c r="N66" i="7"/>
  <c r="AJ69" i="7"/>
  <c r="AK69" i="7" s="1"/>
  <c r="AJ182" i="7"/>
  <c r="AK182" i="7" s="1"/>
  <c r="Q179" i="7"/>
  <c r="P179" i="7"/>
  <c r="O179" i="7"/>
  <c r="N179" i="7"/>
  <c r="AJ144" i="7"/>
  <c r="AK144" i="7" s="1"/>
  <c r="Q141" i="7"/>
  <c r="N141" i="7"/>
  <c r="P141" i="7"/>
  <c r="O141" i="7"/>
  <c r="Q81" i="7"/>
  <c r="P81" i="7"/>
  <c r="AJ84" i="7"/>
  <c r="AK84" i="7" s="1"/>
  <c r="O81" i="7"/>
  <c r="N81" i="7"/>
  <c r="Q27" i="7"/>
  <c r="O27" i="7"/>
  <c r="N27" i="7"/>
  <c r="AJ30" i="7"/>
  <c r="AK30" i="7" s="1"/>
  <c r="P27" i="7"/>
  <c r="N166" i="7"/>
  <c r="AJ169" i="7"/>
  <c r="AK169" i="7" s="1"/>
  <c r="Q166" i="7"/>
  <c r="P166" i="7"/>
  <c r="O166" i="7"/>
  <c r="AJ112" i="7"/>
  <c r="AK112" i="7" s="1"/>
  <c r="Q109" i="7"/>
  <c r="P109" i="7"/>
  <c r="O109" i="7"/>
  <c r="N109" i="7"/>
  <c r="N173" i="7"/>
  <c r="P173" i="7"/>
  <c r="Q173" i="7"/>
  <c r="O173" i="7"/>
  <c r="AJ176" i="7"/>
  <c r="AK176" i="7" s="1"/>
  <c r="AJ90" i="7"/>
  <c r="AK90" i="7" s="1"/>
  <c r="Q87" i="7"/>
  <c r="N87" i="7"/>
  <c r="P87" i="7"/>
  <c r="O87" i="7"/>
  <c r="Q197" i="7"/>
  <c r="P197" i="7"/>
  <c r="O197" i="7"/>
  <c r="AJ200" i="7"/>
  <c r="AK200" i="7" s="1"/>
  <c r="N197" i="7"/>
  <c r="AJ189" i="7"/>
  <c r="AK189" i="7" s="1"/>
  <c r="Q186" i="7"/>
  <c r="P186" i="7"/>
  <c r="O186" i="7"/>
  <c r="N186" i="7"/>
  <c r="AJ85" i="7"/>
  <c r="AK85" i="7" s="1"/>
  <c r="N82" i="7"/>
  <c r="Q82" i="7"/>
  <c r="P82" i="7"/>
  <c r="O82" i="7"/>
  <c r="AJ91" i="7"/>
  <c r="AK91" i="7" s="1"/>
  <c r="Q88" i="7"/>
  <c r="P88" i="7"/>
  <c r="O88" i="7"/>
  <c r="N88" i="7"/>
  <c r="AJ92" i="7"/>
  <c r="AK92" i="7" s="1"/>
  <c r="Q89" i="7"/>
  <c r="P89" i="7"/>
  <c r="O89" i="7"/>
  <c r="N89" i="7"/>
  <c r="N165" i="7"/>
  <c r="Q165" i="7"/>
  <c r="P165" i="7"/>
  <c r="O165" i="7"/>
  <c r="AJ168" i="7"/>
  <c r="AK168" i="7" s="1"/>
  <c r="N168" i="7"/>
  <c r="AJ171" i="7"/>
  <c r="AK171" i="7" s="1"/>
  <c r="Q168" i="7"/>
  <c r="P168" i="7"/>
  <c r="O168" i="7"/>
  <c r="N162" i="7"/>
  <c r="AJ165" i="7"/>
  <c r="AK165" i="7" s="1"/>
  <c r="Q162" i="7"/>
  <c r="P162" i="7"/>
  <c r="O162" i="7"/>
  <c r="Q78" i="7"/>
  <c r="AJ81" i="7"/>
  <c r="AK81" i="7" s="1"/>
  <c r="P78" i="7"/>
  <c r="O78" i="7"/>
  <c r="N78" i="7"/>
  <c r="AJ181" i="7"/>
  <c r="AK181" i="7" s="1"/>
  <c r="N178" i="7"/>
  <c r="P178" i="7"/>
  <c r="Q178" i="7"/>
  <c r="O178" i="7"/>
  <c r="AJ155" i="7"/>
  <c r="AK155" i="7" s="1"/>
  <c r="Q152" i="7"/>
  <c r="P152" i="7"/>
  <c r="O152" i="7"/>
  <c r="N152" i="7"/>
  <c r="AJ151" i="7"/>
  <c r="AK151" i="7" s="1"/>
  <c r="P148" i="7"/>
  <c r="O148" i="7"/>
  <c r="N148" i="7"/>
  <c r="Q148" i="7"/>
  <c r="AJ111" i="7"/>
  <c r="AK111" i="7" s="1"/>
  <c r="Q108" i="7"/>
  <c r="P108" i="7"/>
  <c r="O108" i="7"/>
  <c r="N108" i="7"/>
  <c r="Q79" i="7"/>
  <c r="P79" i="7"/>
  <c r="O79" i="7"/>
  <c r="N79" i="7"/>
  <c r="AJ82" i="7"/>
  <c r="AK82" i="7" s="1"/>
  <c r="N55" i="7"/>
  <c r="P55" i="7"/>
  <c r="AJ58" i="7"/>
  <c r="AK58" i="7" s="1"/>
  <c r="O55" i="7"/>
  <c r="Q55" i="7"/>
  <c r="N47" i="7"/>
  <c r="AJ50" i="7"/>
  <c r="AK50" i="7" s="1"/>
  <c r="P47" i="7"/>
  <c r="Q47" i="7"/>
  <c r="O47" i="7"/>
  <c r="AJ183" i="7"/>
  <c r="AK183" i="7" s="1"/>
  <c r="Q180" i="7"/>
  <c r="P180" i="7"/>
  <c r="O180" i="7"/>
  <c r="N180" i="7"/>
  <c r="N175" i="7"/>
  <c r="AJ178" i="7"/>
  <c r="AK178" i="7" s="1"/>
  <c r="Q175" i="7"/>
  <c r="P175" i="7"/>
  <c r="O175" i="7"/>
  <c r="N164" i="7"/>
  <c r="O164" i="7"/>
  <c r="AJ167" i="7"/>
  <c r="AK167" i="7" s="1"/>
  <c r="Q164" i="7"/>
  <c r="P164" i="7"/>
  <c r="N170" i="7"/>
  <c r="AJ173" i="7"/>
  <c r="AK173" i="7" s="1"/>
  <c r="Q170" i="7"/>
  <c r="P170" i="7"/>
  <c r="O170" i="7"/>
  <c r="AJ148" i="7"/>
  <c r="AK148" i="7" s="1"/>
  <c r="P145" i="7"/>
  <c r="O145" i="7"/>
  <c r="N145" i="7"/>
  <c r="Q145" i="7"/>
  <c r="N160" i="7"/>
  <c r="AJ163" i="7"/>
  <c r="AK163" i="7" s="1"/>
  <c r="Q160" i="7"/>
  <c r="P160" i="7"/>
  <c r="O160" i="7"/>
  <c r="AJ117" i="7"/>
  <c r="AK117" i="7" s="1"/>
  <c r="Q114" i="7"/>
  <c r="P114" i="7"/>
  <c r="O114" i="7"/>
  <c r="N114" i="7"/>
  <c r="Q64" i="7"/>
  <c r="P64" i="7"/>
  <c r="O64" i="7"/>
  <c r="AJ67" i="7"/>
  <c r="AK67" i="7" s="1"/>
  <c r="N64" i="7"/>
  <c r="N21" i="7"/>
  <c r="Q21" i="7"/>
  <c r="AJ24" i="7"/>
  <c r="AK24" i="7" s="1"/>
  <c r="O21" i="7"/>
  <c r="AJ150" i="7"/>
  <c r="AK150" i="7" s="1"/>
  <c r="Q147" i="7"/>
  <c r="N147" i="7"/>
  <c r="P147" i="7"/>
  <c r="O147" i="7"/>
  <c r="N35" i="7"/>
  <c r="AJ38" i="7"/>
  <c r="AK38" i="7" s="1"/>
  <c r="Q35" i="7"/>
  <c r="P35" i="7"/>
  <c r="O35" i="7"/>
  <c r="N161" i="7"/>
  <c r="O161" i="7"/>
  <c r="AJ164" i="7"/>
  <c r="AK164" i="7" s="1"/>
  <c r="Q161" i="7"/>
  <c r="P161" i="7"/>
  <c r="N163" i="7"/>
  <c r="Q163" i="7"/>
  <c r="AJ166" i="7"/>
  <c r="AK166" i="7" s="1"/>
  <c r="P163" i="7"/>
  <c r="O163" i="7"/>
  <c r="P142" i="7"/>
  <c r="O142" i="7"/>
  <c r="N142" i="7"/>
  <c r="AJ145" i="7"/>
  <c r="AK145" i="7" s="1"/>
  <c r="Q142" i="7"/>
  <c r="AJ114" i="7"/>
  <c r="AK114" i="7" s="1"/>
  <c r="P111" i="7"/>
  <c r="O111" i="7"/>
  <c r="N111" i="7"/>
  <c r="Q111" i="7"/>
  <c r="N85" i="7"/>
  <c r="AJ88" i="7"/>
  <c r="AK88" i="7" s="1"/>
  <c r="P85" i="7"/>
  <c r="Q85" i="7"/>
  <c r="O85" i="7"/>
  <c r="P83" i="7"/>
  <c r="O83" i="7"/>
  <c r="N83" i="7"/>
  <c r="AJ86" i="7"/>
  <c r="AK86" i="7" s="1"/>
  <c r="Q83" i="7"/>
  <c r="P53" i="7"/>
  <c r="O53" i="7"/>
  <c r="N53" i="7"/>
  <c r="Q53" i="7"/>
  <c r="AJ56" i="7"/>
  <c r="AK56" i="7" s="1"/>
  <c r="Q48" i="7"/>
  <c r="AJ51" i="7"/>
  <c r="AK51" i="7" s="1"/>
  <c r="P48" i="7"/>
  <c r="N48" i="7"/>
  <c r="O48" i="7"/>
  <c r="Q50" i="7"/>
  <c r="P50" i="7"/>
  <c r="O50" i="7"/>
  <c r="AJ53" i="7"/>
  <c r="AK53" i="7" s="1"/>
  <c r="N50" i="7"/>
  <c r="AJ152" i="7"/>
  <c r="AK152" i="7" s="1"/>
  <c r="Q149" i="7"/>
  <c r="P149" i="7"/>
  <c r="O149" i="7"/>
  <c r="N149" i="7"/>
  <c r="O98" i="7"/>
  <c r="N98" i="7"/>
  <c r="Q98" i="7"/>
  <c r="P98" i="7"/>
  <c r="AJ101" i="7"/>
  <c r="AK101" i="7" s="1"/>
  <c r="Q146" i="7"/>
  <c r="P146" i="7"/>
  <c r="O146" i="7"/>
  <c r="AJ149" i="7"/>
  <c r="AK149" i="7" s="1"/>
  <c r="N146" i="7"/>
  <c r="P45" i="7"/>
  <c r="AJ48" i="7"/>
  <c r="AK48" i="7" s="1"/>
  <c r="Q45" i="7"/>
  <c r="O45" i="7"/>
  <c r="N45" i="7"/>
  <c r="Q40" i="7"/>
  <c r="O40" i="7"/>
  <c r="N40" i="7"/>
  <c r="AJ43" i="7"/>
  <c r="AK43" i="7" s="1"/>
  <c r="P40" i="7"/>
  <c r="U20" i="7"/>
  <c r="AL16" i="7"/>
  <c r="Q20" i="7"/>
  <c r="O20" i="7"/>
  <c r="AJ23" i="7"/>
  <c r="AK23" i="7" s="1"/>
  <c r="N20" i="7"/>
  <c r="Q199" i="7"/>
  <c r="P199" i="7"/>
  <c r="O199" i="7"/>
  <c r="N199" i="7"/>
  <c r="AJ202" i="7"/>
  <c r="AK202" i="7" s="1"/>
  <c r="N172" i="7"/>
  <c r="P172" i="7"/>
  <c r="O172" i="7"/>
  <c r="AJ175" i="7"/>
  <c r="AK175" i="7" s="1"/>
  <c r="Q172" i="7"/>
  <c r="N99" i="7"/>
  <c r="AJ102" i="7"/>
  <c r="AK102" i="7" s="1"/>
  <c r="Q99" i="7"/>
  <c r="P99" i="7"/>
  <c r="O99" i="7"/>
  <c r="N136" i="7"/>
  <c r="Q136" i="7"/>
  <c r="P136" i="7"/>
  <c r="O136" i="7"/>
  <c r="AJ139" i="7"/>
  <c r="AK139" i="7" s="1"/>
  <c r="Q131" i="7"/>
  <c r="P131" i="7"/>
  <c r="AJ134" i="7"/>
  <c r="AK134" i="7" s="1"/>
  <c r="O131" i="7"/>
  <c r="N131" i="7"/>
  <c r="N70" i="7"/>
  <c r="AJ73" i="7"/>
  <c r="AK73" i="7" s="1"/>
  <c r="Q70" i="7"/>
  <c r="P70" i="7"/>
  <c r="O70" i="7"/>
  <c r="AJ74" i="7"/>
  <c r="AK74" i="7" s="1"/>
  <c r="Q71" i="7"/>
  <c r="P71" i="7"/>
  <c r="O71" i="7"/>
  <c r="N71" i="7"/>
  <c r="Q102" i="7"/>
  <c r="P102" i="7"/>
  <c r="O102" i="7"/>
  <c r="N102" i="7"/>
  <c r="AJ105" i="7"/>
  <c r="AK105" i="7" s="1"/>
  <c r="AJ154" i="7"/>
  <c r="AK154" i="7" s="1"/>
  <c r="Q151" i="7"/>
  <c r="P151" i="7"/>
  <c r="O151" i="7"/>
  <c r="N151" i="7"/>
  <c r="AJ147" i="7"/>
  <c r="AK147" i="7" s="1"/>
  <c r="Q144" i="7"/>
  <c r="N144" i="7"/>
  <c r="P144" i="7"/>
  <c r="O144" i="7"/>
  <c r="AJ143" i="7"/>
  <c r="AK143" i="7" s="1"/>
  <c r="Q140" i="7"/>
  <c r="P140" i="7"/>
  <c r="O140" i="7"/>
  <c r="N140" i="7"/>
  <c r="AJ196" i="7"/>
  <c r="AK196" i="7" s="1"/>
  <c r="Q193" i="7"/>
  <c r="P193" i="7"/>
  <c r="O193" i="7"/>
  <c r="N193" i="7"/>
  <c r="AJ146" i="7"/>
  <c r="AK146" i="7" s="1"/>
  <c r="Q143" i="7"/>
  <c r="P143" i="7"/>
  <c r="O143" i="7"/>
  <c r="N143" i="7"/>
  <c r="AJ115" i="7"/>
  <c r="AK115" i="7" s="1"/>
  <c r="Q112" i="7"/>
  <c r="P112" i="7"/>
  <c r="O112" i="7"/>
  <c r="N112" i="7"/>
  <c r="AJ94" i="7"/>
  <c r="AK94" i="7" s="1"/>
  <c r="Q91" i="7"/>
  <c r="P91" i="7"/>
  <c r="O91" i="7"/>
  <c r="N91" i="7"/>
  <c r="Q84" i="7"/>
  <c r="P84" i="7"/>
  <c r="O84" i="7"/>
  <c r="N84" i="7"/>
  <c r="AJ87" i="7"/>
  <c r="AK87" i="7" s="1"/>
  <c r="P32" i="7"/>
  <c r="O32" i="7"/>
  <c r="AJ35" i="7"/>
  <c r="AK35" i="7" s="1"/>
  <c r="N32" i="7"/>
  <c r="Q32" i="7"/>
  <c r="AI180" i="6"/>
  <c r="AJ180" i="6" s="1"/>
  <c r="AK180" i="6" s="1"/>
  <c r="AI47" i="6"/>
  <c r="AJ47" i="6" s="1"/>
  <c r="AK47" i="6" s="1"/>
  <c r="P97" i="6"/>
  <c r="AI190" i="6"/>
  <c r="AJ190" i="6" s="1"/>
  <c r="AK190" i="6" s="1"/>
  <c r="N53" i="6"/>
  <c r="Q62" i="6"/>
  <c r="Q205" i="6"/>
  <c r="AI208" i="6"/>
  <c r="AJ208" i="6" s="1"/>
  <c r="AK208" i="6" s="1"/>
  <c r="Q120" i="6"/>
  <c r="Q125" i="6"/>
  <c r="Q196" i="6"/>
  <c r="Q45" i="6"/>
  <c r="N25" i="6"/>
  <c r="AI214" i="6"/>
  <c r="AJ214" i="6" s="1"/>
  <c r="AK214" i="6" s="1"/>
  <c r="P79" i="6"/>
  <c r="P127" i="6"/>
  <c r="N36" i="6"/>
  <c r="Q219" i="6"/>
  <c r="Q218" i="6"/>
  <c r="AI216" i="6"/>
  <c r="AJ216" i="6" s="1"/>
  <c r="AK216" i="6" s="1"/>
  <c r="AI213" i="6"/>
  <c r="AJ213" i="6" s="1"/>
  <c r="AK213" i="6" s="1"/>
  <c r="P198" i="6"/>
  <c r="P196" i="6"/>
  <c r="P194" i="6"/>
  <c r="P191" i="6"/>
  <c r="P188" i="6"/>
  <c r="O187" i="6"/>
  <c r="P183" i="6"/>
  <c r="Q183" i="6"/>
  <c r="AI178" i="6"/>
  <c r="AJ178" i="6" s="1"/>
  <c r="AK178" i="6" s="1"/>
  <c r="P174" i="6"/>
  <c r="P173" i="6"/>
  <c r="N171" i="6"/>
  <c r="Q170" i="6"/>
  <c r="N167" i="6"/>
  <c r="P139" i="6"/>
  <c r="P133" i="6"/>
  <c r="P132" i="6"/>
  <c r="AI129" i="6"/>
  <c r="AJ129" i="6" s="1"/>
  <c r="AK129" i="6" s="1"/>
  <c r="P125" i="6"/>
  <c r="O123" i="6"/>
  <c r="P118" i="6"/>
  <c r="AI120" i="6"/>
  <c r="AJ120" i="6" s="1"/>
  <c r="AK120" i="6" s="1"/>
  <c r="P116" i="6"/>
  <c r="P114" i="6"/>
  <c r="P102" i="6"/>
  <c r="Q97" i="6"/>
  <c r="P83" i="6"/>
  <c r="Q79" i="6"/>
  <c r="Q78" i="6"/>
  <c r="Q64" i="6"/>
  <c r="P56" i="6"/>
  <c r="AI57" i="6"/>
  <c r="AJ57" i="6" s="1"/>
  <c r="AK57" i="6" s="1"/>
  <c r="P48" i="6"/>
  <c r="AI36" i="6"/>
  <c r="AJ36" i="6" s="1"/>
  <c r="AK36" i="6" s="1"/>
  <c r="P32" i="6"/>
  <c r="P28" i="6"/>
  <c r="O23" i="6"/>
  <c r="AI132" i="6"/>
  <c r="AJ132" i="6" s="1"/>
  <c r="AK132" i="6" s="1"/>
  <c r="AI123" i="6"/>
  <c r="AJ123" i="6" s="1"/>
  <c r="AK123" i="6" s="1"/>
  <c r="AI173" i="6"/>
  <c r="AJ173" i="6" s="1"/>
  <c r="AK173" i="6" s="1"/>
  <c r="O206" i="6"/>
  <c r="AI220" i="6"/>
  <c r="AJ220" i="6" s="1"/>
  <c r="AK220" i="6" s="1"/>
  <c r="O217" i="6"/>
  <c r="O216" i="6"/>
  <c r="AI217" i="6"/>
  <c r="AJ217" i="6" s="1"/>
  <c r="AK217" i="6" s="1"/>
  <c r="O213" i="6"/>
  <c r="N213" i="6"/>
  <c r="O212" i="6"/>
  <c r="O201" i="6"/>
  <c r="AI202" i="6"/>
  <c r="AJ202" i="6" s="1"/>
  <c r="AK202" i="6" s="1"/>
  <c r="AI201" i="6"/>
  <c r="AJ201" i="6" s="1"/>
  <c r="AK201" i="6" s="1"/>
  <c r="AI200" i="6"/>
  <c r="AJ200" i="6" s="1"/>
  <c r="AK200" i="6" s="1"/>
  <c r="N190" i="6"/>
  <c r="AI191" i="6"/>
  <c r="AJ191" i="6" s="1"/>
  <c r="AK191" i="6" s="1"/>
  <c r="N185" i="6"/>
  <c r="N170" i="6"/>
  <c r="O161" i="6"/>
  <c r="O154" i="6"/>
  <c r="N147" i="6"/>
  <c r="AI138" i="6"/>
  <c r="AJ138" i="6" s="1"/>
  <c r="AK138" i="6" s="1"/>
  <c r="AI135" i="6"/>
  <c r="AJ135" i="6" s="1"/>
  <c r="AK135" i="6" s="1"/>
  <c r="N118" i="6"/>
  <c r="N116" i="6"/>
  <c r="N114" i="6"/>
  <c r="N107" i="6"/>
  <c r="N104" i="6"/>
  <c r="N103" i="6"/>
  <c r="AI103" i="6"/>
  <c r="AJ103" i="6" s="1"/>
  <c r="AK103" i="6" s="1"/>
  <c r="AI100" i="6"/>
  <c r="AJ100" i="6" s="1"/>
  <c r="AK100" i="6" s="1"/>
  <c r="AI92" i="6"/>
  <c r="AJ92" i="6" s="1"/>
  <c r="AK92" i="6" s="1"/>
  <c r="AI88" i="6"/>
  <c r="AJ88" i="6" s="1"/>
  <c r="AK88" i="6" s="1"/>
  <c r="AI87" i="6"/>
  <c r="AJ87" i="6" s="1"/>
  <c r="AK87" i="6" s="1"/>
  <c r="AI85" i="6"/>
  <c r="AJ85" i="6" s="1"/>
  <c r="AK85" i="6" s="1"/>
  <c r="N74" i="6"/>
  <c r="O68" i="6"/>
  <c r="AI67" i="6"/>
  <c r="AJ67" i="6" s="1"/>
  <c r="AK67" i="6" s="1"/>
  <c r="O60" i="6"/>
  <c r="N46" i="6"/>
  <c r="AI35" i="6"/>
  <c r="AJ35" i="6" s="1"/>
  <c r="AK35" i="6" s="1"/>
  <c r="N29" i="6"/>
  <c r="N37" i="6"/>
  <c r="N70" i="6"/>
  <c r="N89" i="6"/>
  <c r="N148" i="6"/>
  <c r="O40" i="6"/>
  <c r="O74" i="6"/>
  <c r="N101" i="6"/>
  <c r="N161" i="6"/>
  <c r="AI125" i="6"/>
  <c r="AJ125" i="6" s="1"/>
  <c r="AK125" i="6" s="1"/>
  <c r="N63" i="6"/>
  <c r="O149" i="6"/>
  <c r="O210" i="6"/>
  <c r="N39" i="6"/>
  <c r="O214" i="6"/>
  <c r="N91" i="6"/>
  <c r="AI49" i="6"/>
  <c r="AJ49" i="6" s="1"/>
  <c r="AK49" i="6" s="1"/>
  <c r="N137" i="6"/>
  <c r="N205" i="6"/>
  <c r="N182" i="6"/>
  <c r="AI31" i="6"/>
  <c r="AJ31" i="6" s="1"/>
  <c r="AK31" i="6" s="1"/>
  <c r="N95" i="6"/>
  <c r="N149" i="6"/>
  <c r="O184" i="6"/>
  <c r="O200" i="6"/>
  <c r="N80" i="6"/>
  <c r="O208" i="6"/>
  <c r="N173" i="6"/>
  <c r="O158" i="6"/>
  <c r="N135" i="6"/>
  <c r="O31" i="6"/>
  <c r="O169" i="6"/>
  <c r="O94" i="6"/>
  <c r="N52" i="6"/>
  <c r="O42" i="6"/>
  <c r="N214" i="6"/>
  <c r="O71" i="6"/>
  <c r="AI168" i="6"/>
  <c r="AJ168" i="6" s="1"/>
  <c r="AK168" i="6" s="1"/>
  <c r="N203" i="6"/>
  <c r="N122" i="6"/>
  <c r="O70" i="6"/>
  <c r="AI204" i="6"/>
  <c r="AJ204" i="6" s="1"/>
  <c r="AK204" i="6" s="1"/>
  <c r="AI183" i="6"/>
  <c r="AJ183" i="6" s="1"/>
  <c r="AK183" i="6" s="1"/>
  <c r="N197" i="6"/>
  <c r="O56" i="6"/>
  <c r="Q155" i="6"/>
  <c r="O155" i="6"/>
  <c r="O131" i="6"/>
  <c r="AI206" i="6"/>
  <c r="AJ206" i="6" s="1"/>
  <c r="AK206" i="6" s="1"/>
  <c r="N140" i="6"/>
  <c r="O35" i="6"/>
  <c r="N121" i="6"/>
  <c r="N134" i="6"/>
  <c r="N51" i="6"/>
  <c r="O197" i="6"/>
  <c r="N119" i="6"/>
  <c r="O38" i="6"/>
  <c r="O47" i="6"/>
  <c r="N201" i="6"/>
  <c r="O80" i="6"/>
  <c r="O81" i="6"/>
  <c r="N216" i="6"/>
  <c r="N55" i="6"/>
  <c r="N58" i="6"/>
  <c r="O44" i="6"/>
  <c r="N120" i="6"/>
  <c r="N212" i="6"/>
  <c r="N200" i="6"/>
  <c r="O164" i="6"/>
  <c r="O26" i="6"/>
  <c r="N50" i="6"/>
  <c r="O165" i="6"/>
  <c r="O189" i="6"/>
  <c r="O181" i="6"/>
  <c r="O52" i="6"/>
  <c r="O121" i="6"/>
  <c r="O152" i="6"/>
  <c r="N43" i="6"/>
  <c r="AI212" i="6"/>
  <c r="AJ212" i="6" s="1"/>
  <c r="AK212" i="6" s="1"/>
  <c r="N211" i="6"/>
  <c r="N42" i="6"/>
  <c r="O36" i="6"/>
  <c r="O76" i="6"/>
  <c r="O209" i="6"/>
  <c r="N84" i="6"/>
  <c r="O182" i="6"/>
  <c r="O171" i="6"/>
  <c r="N210" i="6"/>
  <c r="O50" i="6"/>
  <c r="O98" i="6"/>
  <c r="N57" i="6"/>
  <c r="O34" i="6"/>
  <c r="N40" i="6"/>
  <c r="O29" i="6"/>
  <c r="O55" i="6"/>
  <c r="O150" i="6"/>
  <c r="O66" i="6"/>
  <c r="P209" i="6"/>
  <c r="AI126" i="6"/>
  <c r="AJ126" i="6" s="1"/>
  <c r="AK126" i="6" s="1"/>
  <c r="N49" i="6"/>
  <c r="O138" i="6"/>
  <c r="O21" i="6"/>
  <c r="O159" i="6"/>
  <c r="O215" i="6"/>
  <c r="O144" i="6"/>
  <c r="N129" i="6"/>
  <c r="N192" i="6"/>
  <c r="N138" i="6"/>
  <c r="AI54" i="6"/>
  <c r="AJ54" i="6" s="1"/>
  <c r="AK54" i="6" s="1"/>
  <c r="AI175" i="6"/>
  <c r="AJ175" i="6" s="1"/>
  <c r="AK175" i="6" s="1"/>
  <c r="AI131" i="6"/>
  <c r="AJ131" i="6" s="1"/>
  <c r="AK131" i="6" s="1"/>
  <c r="O95" i="6"/>
  <c r="AI134" i="6"/>
  <c r="AJ134" i="6" s="1"/>
  <c r="AK134" i="6" s="1"/>
  <c r="N215" i="6"/>
  <c r="O67" i="6"/>
  <c r="N41" i="6"/>
  <c r="O146" i="6"/>
  <c r="O20" i="6"/>
  <c r="N150" i="6"/>
  <c r="N208" i="6"/>
  <c r="N206" i="6"/>
  <c r="N48" i="6"/>
  <c r="AI64" i="6"/>
  <c r="AJ64" i="6" s="1"/>
  <c r="AK64" i="6" s="1"/>
  <c r="N151" i="6"/>
  <c r="N72" i="6"/>
  <c r="AI56" i="6"/>
  <c r="AJ56" i="6" s="1"/>
  <c r="AK56" i="6" s="1"/>
  <c r="N159" i="6"/>
  <c r="O153" i="6"/>
  <c r="N66" i="6"/>
  <c r="AI27" i="6"/>
  <c r="AJ27" i="6" s="1"/>
  <c r="AK27" i="6" s="1"/>
  <c r="P131" i="6"/>
  <c r="Q203" i="6"/>
  <c r="AI86" i="6"/>
  <c r="AJ86" i="6" s="1"/>
  <c r="AK86" i="6" s="1"/>
  <c r="P148" i="6"/>
  <c r="Q169" i="6"/>
  <c r="P39" i="6"/>
  <c r="AI211" i="6"/>
  <c r="AJ211" i="6" s="1"/>
  <c r="AK211" i="6" s="1"/>
  <c r="AI32" i="6"/>
  <c r="AJ32" i="6" s="1"/>
  <c r="AK32" i="6" s="1"/>
  <c r="AI187" i="6"/>
  <c r="AJ187" i="6" s="1"/>
  <c r="AK187" i="6" s="1"/>
  <c r="AI38" i="6"/>
  <c r="AJ38" i="6" s="1"/>
  <c r="AK38" i="6" s="1"/>
  <c r="AI29" i="6"/>
  <c r="AJ29" i="6" s="1"/>
  <c r="AK29" i="6" s="1"/>
  <c r="AI84" i="6"/>
  <c r="AJ84" i="6" s="1"/>
  <c r="AK84" i="6" s="1"/>
  <c r="AI124" i="6"/>
  <c r="AJ124" i="6" s="1"/>
  <c r="AK124" i="6" s="1"/>
  <c r="AI108" i="6"/>
  <c r="AJ108" i="6" s="1"/>
  <c r="AK108" i="6" s="1"/>
  <c r="P140" i="6"/>
  <c r="AI72" i="6"/>
  <c r="AJ72" i="6" s="1"/>
  <c r="AK72" i="6" s="1"/>
  <c r="P119" i="6"/>
  <c r="P106" i="6"/>
  <c r="AI218" i="6"/>
  <c r="AJ218" i="6" s="1"/>
  <c r="AK218" i="6" s="1"/>
  <c r="AI75" i="6"/>
  <c r="AJ75" i="6" s="1"/>
  <c r="AK75" i="6" s="1"/>
  <c r="N130" i="6"/>
  <c r="AI46" i="6"/>
  <c r="AJ46" i="6" s="1"/>
  <c r="AK46" i="6" s="1"/>
  <c r="P165" i="6"/>
  <c r="Q44" i="6"/>
  <c r="AI45" i="6"/>
  <c r="AJ45" i="6" s="1"/>
  <c r="AK45" i="6" s="1"/>
  <c r="AI159" i="6"/>
  <c r="AJ159" i="6" s="1"/>
  <c r="AK159" i="6" s="1"/>
  <c r="AI55" i="6"/>
  <c r="AJ55" i="6" s="1"/>
  <c r="AK55" i="6" s="1"/>
  <c r="AI80" i="6"/>
  <c r="AJ80" i="6" s="1"/>
  <c r="AK80" i="6" s="1"/>
  <c r="AI97" i="6"/>
  <c r="AJ97" i="6" s="1"/>
  <c r="AK97" i="6" s="1"/>
  <c r="Q31" i="6"/>
  <c r="AI24" i="6"/>
  <c r="AJ24" i="6" s="1"/>
  <c r="AK24" i="6" s="1"/>
  <c r="AI161" i="6"/>
  <c r="AJ161" i="6" s="1"/>
  <c r="AK161" i="6" s="1"/>
  <c r="AI192" i="6"/>
  <c r="AJ192" i="6" s="1"/>
  <c r="AK192" i="6" s="1"/>
  <c r="AI62" i="6"/>
  <c r="AJ62" i="6" s="1"/>
  <c r="AK62" i="6" s="1"/>
  <c r="Q43" i="6"/>
  <c r="AI144" i="6"/>
  <c r="AJ144" i="6" s="1"/>
  <c r="AK144" i="6" s="1"/>
  <c r="AI222" i="6"/>
  <c r="AJ222" i="6" s="1"/>
  <c r="AK222" i="6" s="1"/>
  <c r="AI177" i="6"/>
  <c r="AJ177" i="6" s="1"/>
  <c r="AK177" i="6" s="1"/>
  <c r="AI81" i="6"/>
  <c r="AJ81" i="6" s="1"/>
  <c r="AK81" i="6" s="1"/>
  <c r="Q60" i="6"/>
  <c r="AI155" i="6"/>
  <c r="AJ155" i="6" s="1"/>
  <c r="AK155" i="6" s="1"/>
  <c r="AI162" i="6"/>
  <c r="AJ162" i="6" s="1"/>
  <c r="AK162" i="6" s="1"/>
  <c r="N204" i="6"/>
  <c r="O77" i="6"/>
  <c r="AI164" i="6"/>
  <c r="AJ164" i="6" s="1"/>
  <c r="AK164" i="6" s="1"/>
  <c r="AI167" i="6"/>
  <c r="AJ167" i="6" s="1"/>
  <c r="AK167" i="6" s="1"/>
  <c r="P103" i="6"/>
  <c r="AI128" i="6"/>
  <c r="AJ128" i="6" s="1"/>
  <c r="AK128" i="6" s="1"/>
  <c r="N102" i="6"/>
  <c r="AI79" i="6"/>
  <c r="AJ79" i="6" s="1"/>
  <c r="AK79" i="6" s="1"/>
  <c r="AI69" i="6"/>
  <c r="AJ69" i="6" s="1"/>
  <c r="AK69" i="6" s="1"/>
  <c r="AI48" i="6"/>
  <c r="AJ48" i="6" s="1"/>
  <c r="AK48" i="6" s="1"/>
  <c r="AI153" i="6"/>
  <c r="AJ153" i="6" s="1"/>
  <c r="AK153" i="6" s="1"/>
  <c r="AI203" i="6"/>
  <c r="AJ203" i="6" s="1"/>
  <c r="AK203" i="6" s="1"/>
  <c r="P151" i="6"/>
  <c r="AI71" i="6"/>
  <c r="AJ71" i="6" s="1"/>
  <c r="AK71" i="6" s="1"/>
  <c r="AI98" i="6"/>
  <c r="AJ98" i="6" s="1"/>
  <c r="AK98" i="6" s="1"/>
  <c r="N115" i="6"/>
  <c r="AI156" i="6"/>
  <c r="AJ156" i="6" s="1"/>
  <c r="AK156" i="6" s="1"/>
  <c r="AI165" i="6"/>
  <c r="AJ165" i="6" s="1"/>
  <c r="AK165" i="6" s="1"/>
  <c r="AI210" i="6"/>
  <c r="AJ210" i="6" s="1"/>
  <c r="AK210" i="6" s="1"/>
  <c r="O142" i="6"/>
  <c r="AI147" i="6"/>
  <c r="AJ147" i="6" s="1"/>
  <c r="AK147" i="6" s="1"/>
  <c r="P158" i="6"/>
  <c r="AI96" i="6"/>
  <c r="AJ96" i="6" s="1"/>
  <c r="AK96" i="6" s="1"/>
  <c r="O22" i="6"/>
  <c r="AI148" i="6"/>
  <c r="AJ148" i="6" s="1"/>
  <c r="AK148" i="6" s="1"/>
  <c r="P145" i="6"/>
  <c r="AI215" i="6"/>
  <c r="AJ215" i="6" s="1"/>
  <c r="AK215" i="6" s="1"/>
  <c r="AI174" i="6"/>
  <c r="AJ174" i="6" s="1"/>
  <c r="AK174" i="6" s="1"/>
  <c r="AI94" i="6"/>
  <c r="AJ94" i="6" s="1"/>
  <c r="AK94" i="6" s="1"/>
  <c r="AI152" i="6"/>
  <c r="AJ152" i="6" s="1"/>
  <c r="AK152" i="6" s="1"/>
  <c r="AI158" i="6"/>
  <c r="AJ158" i="6" s="1"/>
  <c r="AK158" i="6" s="1"/>
  <c r="P155" i="6"/>
  <c r="AI194" i="6"/>
  <c r="AJ194" i="6" s="1"/>
  <c r="AK194" i="6" s="1"/>
  <c r="N133" i="6"/>
  <c r="AI101" i="6"/>
  <c r="AJ101" i="6" s="1"/>
  <c r="AK101" i="6" s="1"/>
  <c r="Q51" i="6"/>
  <c r="AI50" i="6"/>
  <c r="AJ50" i="6" s="1"/>
  <c r="AK50" i="6" s="1"/>
  <c r="AI83" i="6"/>
  <c r="AJ83" i="6" s="1"/>
  <c r="AK83" i="6" s="1"/>
  <c r="P152" i="6"/>
  <c r="AI219" i="6"/>
  <c r="AJ219" i="6" s="1"/>
  <c r="AK219" i="6" s="1"/>
  <c r="P108" i="6"/>
  <c r="AI39" i="6"/>
  <c r="AJ39" i="6" s="1"/>
  <c r="AK39" i="6" s="1"/>
  <c r="AI37" i="6"/>
  <c r="AJ37" i="6" s="1"/>
  <c r="AK37" i="6" s="1"/>
  <c r="N124" i="6"/>
  <c r="AI184" i="6"/>
  <c r="AJ184" i="6" s="1"/>
  <c r="AK184" i="6" s="1"/>
  <c r="N59" i="6"/>
  <c r="AI53" i="6"/>
  <c r="AJ53" i="6" s="1"/>
  <c r="AK53" i="6" s="1"/>
  <c r="AI209" i="6"/>
  <c r="AJ209" i="6" s="1"/>
  <c r="AK209" i="6" s="1"/>
  <c r="AI89" i="6"/>
  <c r="AJ89" i="6" s="1"/>
  <c r="AK89" i="6" s="1"/>
  <c r="P146" i="6"/>
  <c r="AI149" i="6"/>
  <c r="AJ149" i="6" s="1"/>
  <c r="AK149" i="6" s="1"/>
  <c r="AI61" i="6"/>
  <c r="AJ61" i="6" s="1"/>
  <c r="AK61" i="6" s="1"/>
  <c r="AI30" i="6"/>
  <c r="AJ30" i="6" s="1"/>
  <c r="AK30" i="6" s="1"/>
  <c r="AI141" i="6"/>
  <c r="AJ141" i="6" s="1"/>
  <c r="AK141" i="6" s="1"/>
  <c r="AI58" i="6"/>
  <c r="AJ58" i="6" s="1"/>
  <c r="AK58" i="6" s="1"/>
  <c r="P49" i="6"/>
  <c r="P41" i="6"/>
  <c r="AI166" i="6"/>
  <c r="AJ166" i="6" s="1"/>
  <c r="AK166" i="6" s="1"/>
  <c r="P164" i="6"/>
  <c r="P37" i="6"/>
  <c r="AI142" i="6"/>
  <c r="AJ142" i="6" s="1"/>
  <c r="AK142" i="6" s="1"/>
  <c r="P24" i="6"/>
  <c r="AI195" i="6"/>
  <c r="AJ195" i="6" s="1"/>
  <c r="AK195" i="6" s="1"/>
  <c r="AI95" i="6"/>
  <c r="AJ95" i="6" s="1"/>
  <c r="AK95" i="6" s="1"/>
  <c r="P45" i="6"/>
  <c r="AI186" i="6"/>
  <c r="AJ186" i="6" s="1"/>
  <c r="AK186" i="6" s="1"/>
  <c r="P129" i="6"/>
  <c r="P63" i="6"/>
  <c r="AI73" i="6"/>
  <c r="AJ73" i="6" s="1"/>
  <c r="AK73" i="6" s="1"/>
  <c r="P26" i="6"/>
  <c r="N136" i="6"/>
  <c r="AI74" i="6"/>
  <c r="AJ74" i="6" s="1"/>
  <c r="AK74" i="6" s="1"/>
  <c r="P71" i="6"/>
  <c r="P189" i="6"/>
  <c r="AI70" i="6"/>
  <c r="AJ70" i="6" s="1"/>
  <c r="AK70" i="6" s="1"/>
  <c r="P67" i="6"/>
  <c r="AI60" i="6"/>
  <c r="AJ60" i="6" s="1"/>
  <c r="AK60" i="6" s="1"/>
  <c r="P137" i="6"/>
  <c r="P94" i="6"/>
  <c r="AI91" i="6"/>
  <c r="AJ91" i="6" s="1"/>
  <c r="AK91" i="6" s="1"/>
  <c r="Q38" i="6"/>
  <c r="AI185" i="6"/>
  <c r="AJ185" i="6" s="1"/>
  <c r="AK185" i="6" s="1"/>
  <c r="AI99" i="6"/>
  <c r="AJ99" i="6" s="1"/>
  <c r="AK99" i="6" s="1"/>
  <c r="AI59" i="6"/>
  <c r="AJ59" i="6" s="1"/>
  <c r="AK59" i="6" s="1"/>
  <c r="AI77" i="6"/>
  <c r="AJ77" i="6" s="1"/>
  <c r="AK77" i="6" s="1"/>
  <c r="Q20" i="6"/>
  <c r="N194" i="6"/>
  <c r="N78" i="6"/>
  <c r="AI199" i="6"/>
  <c r="AJ199" i="6" s="1"/>
  <c r="AK199" i="6" s="1"/>
  <c r="P123" i="6"/>
  <c r="AI93" i="6"/>
  <c r="AJ93" i="6" s="1"/>
  <c r="AK93" i="6" s="1"/>
  <c r="AI65" i="6"/>
  <c r="AJ65" i="6" s="1"/>
  <c r="AK65" i="6" s="1"/>
  <c r="N127" i="6"/>
  <c r="AI43" i="6"/>
  <c r="AJ43" i="6" s="1"/>
  <c r="AK43" i="6" s="1"/>
  <c r="AI26" i="6"/>
  <c r="AJ26" i="6" s="1"/>
  <c r="AK26" i="6" s="1"/>
  <c r="AA20" i="6"/>
  <c r="AD20" i="6"/>
  <c r="AC20" i="6"/>
  <c r="AB20" i="6"/>
  <c r="Z20" i="6"/>
  <c r="Y20" i="6"/>
  <c r="V20" i="6"/>
  <c r="P197" i="6"/>
  <c r="P98" i="6"/>
  <c r="AI82" i="6"/>
  <c r="AJ82" i="6" s="1"/>
  <c r="AK82" i="6" s="1"/>
  <c r="P181" i="6"/>
  <c r="P135" i="6"/>
  <c r="AI33" i="6"/>
  <c r="AJ33" i="6" s="1"/>
  <c r="AK33" i="6" s="1"/>
  <c r="AI23" i="6"/>
  <c r="AI163" i="6"/>
  <c r="AJ163" i="6" s="1"/>
  <c r="AK163" i="6" s="1"/>
  <c r="N75" i="6"/>
  <c r="AI78" i="6"/>
  <c r="AJ78" i="6" s="1"/>
  <c r="AK78" i="6" s="1"/>
  <c r="AK21" i="7" l="1"/>
  <c r="Y20" i="7"/>
  <c r="V20" i="7"/>
  <c r="AC20" i="7"/>
  <c r="AB20" i="7"/>
  <c r="AD20" i="7"/>
  <c r="AA20" i="7"/>
  <c r="Z20" i="7"/>
  <c r="S21" i="6"/>
  <c r="T21" i="6" s="1"/>
  <c r="U21" i="6" s="1"/>
  <c r="AA21" i="6" s="1"/>
  <c r="AL16" i="6"/>
  <c r="AJ23" i="6"/>
  <c r="AK23" i="6" s="1"/>
  <c r="AK21" i="6" s="1"/>
  <c r="S21" i="7" l="1"/>
  <c r="T21" i="7" s="1"/>
  <c r="U21" i="7" s="1"/>
  <c r="AC21" i="7" s="1"/>
  <c r="AC21" i="6"/>
  <c r="AD21" i="6"/>
  <c r="AB21" i="6"/>
  <c r="V21" i="6"/>
  <c r="Y21" i="6"/>
  <c r="Z21" i="6"/>
  <c r="S22" i="6"/>
  <c r="T22" i="6" s="1"/>
  <c r="U22" i="6" s="1"/>
  <c r="V21" i="7" l="1"/>
  <c r="Y21" i="7"/>
  <c r="Z21" i="7"/>
  <c r="AA21" i="7"/>
  <c r="AD21" i="7"/>
  <c r="AB21" i="7"/>
  <c r="S22" i="7" s="1"/>
  <c r="T22" i="7" s="1"/>
  <c r="U22" i="7" s="1"/>
  <c r="AB22" i="7" s="1"/>
  <c r="Z22" i="6"/>
  <c r="AD22" i="6"/>
  <c r="AC22" i="6"/>
  <c r="AB22" i="6"/>
  <c r="S23" i="6" s="1"/>
  <c r="T23" i="6" s="1"/>
  <c r="U23" i="6" s="1"/>
  <c r="AA22" i="6"/>
  <c r="Y22" i="6"/>
  <c r="V22" i="6"/>
  <c r="Z22" i="7" l="1"/>
  <c r="AC22" i="7"/>
  <c r="AA22" i="7"/>
  <c r="Y22" i="7"/>
  <c r="AD22" i="7"/>
  <c r="S23" i="7" s="1"/>
  <c r="T23" i="7" s="1"/>
  <c r="U23" i="7" s="1"/>
  <c r="V22" i="7"/>
  <c r="Z23" i="6"/>
  <c r="Y23" i="6"/>
  <c r="V23" i="6"/>
  <c r="AA23" i="6"/>
  <c r="AD23" i="6"/>
  <c r="AC23" i="6"/>
  <c r="AB23" i="6"/>
  <c r="V23" i="7" l="1"/>
  <c r="AB23" i="7"/>
  <c r="AA23" i="7"/>
  <c r="Z23" i="7"/>
  <c r="Y23" i="7"/>
  <c r="AD23" i="7"/>
  <c r="AC23" i="7"/>
  <c r="S24" i="6"/>
  <c r="T24" i="6" s="1"/>
  <c r="U24" i="6" s="1"/>
  <c r="AB24" i="6" s="1"/>
  <c r="S24" i="7" l="1"/>
  <c r="T24" i="7" s="1"/>
  <c r="U24" i="7" s="1"/>
  <c r="AD24" i="6"/>
  <c r="AC24" i="6"/>
  <c r="V24" i="6"/>
  <c r="Y24" i="6"/>
  <c r="Z24" i="6"/>
  <c r="AA24" i="6"/>
  <c r="S25" i="6"/>
  <c r="T25" i="6" s="1"/>
  <c r="U25" i="6" s="1"/>
  <c r="AC24" i="7" l="1"/>
  <c r="Y24" i="7"/>
  <c r="V24" i="7"/>
  <c r="AD24" i="7"/>
  <c r="AB24" i="7"/>
  <c r="S25" i="7" s="1"/>
  <c r="T25" i="7" s="1"/>
  <c r="U25" i="7" s="1"/>
  <c r="AA24" i="7"/>
  <c r="Z24" i="7"/>
  <c r="AB25" i="6"/>
  <c r="AD25" i="6"/>
  <c r="AC25" i="6"/>
  <c r="AA25" i="6"/>
  <c r="Z25" i="6"/>
  <c r="Y25" i="6"/>
  <c r="V25" i="6"/>
  <c r="AD25" i="7" l="1"/>
  <c r="AC25" i="7"/>
  <c r="AB25" i="7"/>
  <c r="AA25" i="7"/>
  <c r="Y25" i="7"/>
  <c r="Z25" i="7"/>
  <c r="V25" i="7"/>
  <c r="S26" i="6"/>
  <c r="T26" i="6" s="1"/>
  <c r="U26" i="6" s="1"/>
  <c r="S26" i="7" l="1"/>
  <c r="T26" i="7" s="1"/>
  <c r="U26" i="7" s="1"/>
  <c r="AA26" i="7" s="1"/>
  <c r="AC26" i="6"/>
  <c r="Y26" i="6"/>
  <c r="AD26" i="6"/>
  <c r="AB26" i="6"/>
  <c r="S27" i="6" s="1"/>
  <c r="T27" i="6" s="1"/>
  <c r="U27" i="6" s="1"/>
  <c r="AA26" i="6"/>
  <c r="Z26" i="6"/>
  <c r="V26" i="6"/>
  <c r="AB26" i="7" l="1"/>
  <c r="AC26" i="7"/>
  <c r="AD26" i="7"/>
  <c r="Z26" i="7"/>
  <c r="V26" i="7"/>
  <c r="Y26" i="7"/>
  <c r="Z27" i="6"/>
  <c r="V27" i="6"/>
  <c r="AD27" i="6"/>
  <c r="AC27" i="6"/>
  <c r="AB27" i="6"/>
  <c r="S28" i="6" s="1"/>
  <c r="T28" i="6" s="1"/>
  <c r="U28" i="6" s="1"/>
  <c r="AA27" i="6"/>
  <c r="Y27" i="6"/>
  <c r="S27" i="7" l="1"/>
  <c r="T27" i="7" s="1"/>
  <c r="U27" i="7" s="1"/>
  <c r="AD27" i="7" s="1"/>
  <c r="Z28" i="6"/>
  <c r="Y28" i="6"/>
  <c r="V28" i="6"/>
  <c r="AA28" i="6"/>
  <c r="AD28" i="6"/>
  <c r="AC28" i="6"/>
  <c r="AB28" i="6"/>
  <c r="S29" i="6" s="1"/>
  <c r="T29" i="6" s="1"/>
  <c r="U29" i="6" s="1"/>
  <c r="AB27" i="7" l="1"/>
  <c r="AC27" i="7"/>
  <c r="Y27" i="7"/>
  <c r="AA27" i="7"/>
  <c r="V27" i="7"/>
  <c r="Z27" i="7"/>
  <c r="AD29" i="6"/>
  <c r="AB29" i="6"/>
  <c r="Y29" i="6"/>
  <c r="AC29" i="6"/>
  <c r="AA29" i="6"/>
  <c r="Z29" i="6"/>
  <c r="V29" i="6"/>
  <c r="S28" i="7" l="1"/>
  <c r="T28" i="7" s="1"/>
  <c r="U28" i="7" s="1"/>
  <c r="S30" i="6"/>
  <c r="T30" i="6" s="1"/>
  <c r="U30" i="6" s="1"/>
  <c r="Y28" i="7" l="1"/>
  <c r="V28" i="7"/>
  <c r="AA28" i="7"/>
  <c r="Z28" i="7"/>
  <c r="AD28" i="7"/>
  <c r="AB28" i="7"/>
  <c r="AC28" i="7"/>
  <c r="AC30" i="6"/>
  <c r="AB30" i="6"/>
  <c r="AA30" i="6"/>
  <c r="Y30" i="6"/>
  <c r="AD30" i="6"/>
  <c r="Z30" i="6"/>
  <c r="V30" i="6"/>
  <c r="S29" i="7" l="1"/>
  <c r="T29" i="7" s="1"/>
  <c r="U29" i="7" s="1"/>
  <c r="AD29" i="7" s="1"/>
  <c r="S31" i="6"/>
  <c r="T31" i="6" s="1"/>
  <c r="U31" i="6" s="1"/>
  <c r="AA29" i="7" l="1"/>
  <c r="AB29" i="7"/>
  <c r="AC29" i="7"/>
  <c r="Y29" i="7"/>
  <c r="V29" i="7"/>
  <c r="Z29" i="7"/>
  <c r="AD31" i="6"/>
  <c r="AB31" i="6"/>
  <c r="Y31" i="6"/>
  <c r="V31" i="6"/>
  <c r="AC31" i="6"/>
  <c r="AA31" i="6"/>
  <c r="Z31" i="6"/>
  <c r="S30" i="7" l="1"/>
  <c r="T30" i="7" s="1"/>
  <c r="U30" i="7" s="1"/>
  <c r="V30" i="7" s="1"/>
  <c r="S32" i="6"/>
  <c r="T32" i="6" s="1"/>
  <c r="U32" i="6" s="1"/>
  <c r="AA30" i="7" l="1"/>
  <c r="AC30" i="7"/>
  <c r="AB30" i="7"/>
  <c r="Z30" i="7"/>
  <c r="Y30" i="7"/>
  <c r="AD30" i="7"/>
  <c r="S31" i="7"/>
  <c r="T31" i="7" s="1"/>
  <c r="U31" i="7" s="1"/>
  <c r="AD31" i="7" s="1"/>
  <c r="AB32" i="6"/>
  <c r="AA32" i="6"/>
  <c r="AD32" i="6"/>
  <c r="AC32" i="6"/>
  <c r="Z32" i="6"/>
  <c r="Y32" i="6"/>
  <c r="V32" i="6"/>
  <c r="Z31" i="7" l="1"/>
  <c r="AB31" i="7"/>
  <c r="V31" i="7"/>
  <c r="AA31" i="7"/>
  <c r="Y31" i="7"/>
  <c r="AC31" i="7"/>
  <c r="S32" i="7"/>
  <c r="T32" i="7" s="1"/>
  <c r="U32" i="7" s="1"/>
  <c r="AD32" i="7" s="1"/>
  <c r="S33" i="6"/>
  <c r="T33" i="6" s="1"/>
  <c r="U33" i="6" s="1"/>
  <c r="Y32" i="7" l="1"/>
  <c r="Z32" i="7"/>
  <c r="AA32" i="7"/>
  <c r="AC32" i="7"/>
  <c r="AB32" i="7"/>
  <c r="S33" i="7" s="1"/>
  <c r="T33" i="7" s="1"/>
  <c r="U33" i="7" s="1"/>
  <c r="AD33" i="7" s="1"/>
  <c r="V32" i="7"/>
  <c r="V33" i="6"/>
  <c r="AC33" i="6"/>
  <c r="AB33" i="6"/>
  <c r="AD33" i="6"/>
  <c r="AA33" i="6"/>
  <c r="Z33" i="6"/>
  <c r="Y33" i="6"/>
  <c r="V33" i="7" l="1"/>
  <c r="Z33" i="7"/>
  <c r="AC33" i="7"/>
  <c r="AA33" i="7"/>
  <c r="Y33" i="7"/>
  <c r="AB33" i="7"/>
  <c r="S34" i="7"/>
  <c r="T34" i="7" s="1"/>
  <c r="U34" i="7" s="1"/>
  <c r="S34" i="6"/>
  <c r="T34" i="6" s="1"/>
  <c r="U34" i="6" s="1"/>
  <c r="Z34" i="7" l="1"/>
  <c r="Y34" i="7"/>
  <c r="AC34" i="7"/>
  <c r="AB34" i="7"/>
  <c r="V34" i="7"/>
  <c r="AA34" i="7"/>
  <c r="AD34" i="7"/>
  <c r="Y34" i="6"/>
  <c r="V34" i="6"/>
  <c r="AD34" i="6"/>
  <c r="AC34" i="6"/>
  <c r="AA34" i="6"/>
  <c r="AB34" i="6"/>
  <c r="S35" i="6" s="1"/>
  <c r="T35" i="6" s="1"/>
  <c r="U35" i="6" s="1"/>
  <c r="Z34" i="6"/>
  <c r="S35" i="7" l="1"/>
  <c r="T35" i="7" s="1"/>
  <c r="U35" i="7" s="1"/>
  <c r="AB35" i="6"/>
  <c r="AA35" i="6"/>
  <c r="Z35" i="6"/>
  <c r="Y35" i="6"/>
  <c r="V35" i="6"/>
  <c r="AD35" i="6"/>
  <c r="AC35" i="6"/>
  <c r="AB35" i="7" l="1"/>
  <c r="Z35" i="7"/>
  <c r="V35" i="7"/>
  <c r="AC35" i="7"/>
  <c r="AD35" i="7"/>
  <c r="AA35" i="7"/>
  <c r="Y35" i="7"/>
  <c r="S36" i="6"/>
  <c r="T36" i="6" s="1"/>
  <c r="U36" i="6" s="1"/>
  <c r="S36" i="7" l="1"/>
  <c r="T36" i="7" s="1"/>
  <c r="U36" i="7" s="1"/>
  <c r="AD36" i="6"/>
  <c r="AC36" i="6"/>
  <c r="AB36" i="6"/>
  <c r="S37" i="6" s="1"/>
  <c r="T37" i="6" s="1"/>
  <c r="U37" i="6" s="1"/>
  <c r="AA36" i="6"/>
  <c r="Y36" i="6"/>
  <c r="V36" i="6"/>
  <c r="Z36" i="6"/>
  <c r="Y36" i="7" l="1"/>
  <c r="AB36" i="7"/>
  <c r="AA36" i="7"/>
  <c r="AD36" i="7"/>
  <c r="AC36" i="7"/>
  <c r="Z36" i="7"/>
  <c r="V36" i="7"/>
  <c r="AD37" i="6"/>
  <c r="AB37" i="6"/>
  <c r="AA37" i="6"/>
  <c r="Z37" i="6"/>
  <c r="V37" i="6"/>
  <c r="AC37" i="6"/>
  <c r="Y37" i="6"/>
  <c r="S37" i="7" l="1"/>
  <c r="T37" i="7" s="1"/>
  <c r="U37" i="7" s="1"/>
  <c r="S38" i="6"/>
  <c r="T38" i="6" s="1"/>
  <c r="U38" i="6" s="1"/>
  <c r="Z37" i="7" l="1"/>
  <c r="Y37" i="7"/>
  <c r="V37" i="7"/>
  <c r="AA37" i="7"/>
  <c r="AC37" i="7"/>
  <c r="AB37" i="7"/>
  <c r="AD37" i="7"/>
  <c r="Y38" i="6"/>
  <c r="V38" i="6"/>
  <c r="AD38" i="6"/>
  <c r="AC38" i="6"/>
  <c r="AS20" i="6" s="1"/>
  <c r="AA38" i="6"/>
  <c r="Z38" i="6"/>
  <c r="AB38" i="6"/>
  <c r="S39" i="6" s="1"/>
  <c r="T39" i="6" s="1"/>
  <c r="U39" i="6" s="1"/>
  <c r="S38" i="7" l="1"/>
  <c r="T38" i="7" s="1"/>
  <c r="U38" i="7" s="1"/>
  <c r="AD38" i="7" s="1"/>
  <c r="AA39" i="6"/>
  <c r="Z39" i="6"/>
  <c r="Y39" i="6"/>
  <c r="V39" i="6"/>
  <c r="X39" i="6" s="1"/>
  <c r="AQ20" i="6" s="1"/>
  <c r="AC39" i="6"/>
  <c r="AB39" i="6"/>
  <c r="AD39" i="6"/>
  <c r="AT20" i="6" s="1"/>
  <c r="Z38" i="7" l="1"/>
  <c r="Y38" i="7"/>
  <c r="V38" i="7"/>
  <c r="AC38" i="7"/>
  <c r="AS20" i="7" s="1"/>
  <c r="AB38" i="7"/>
  <c r="AA38" i="7"/>
  <c r="S39" i="7"/>
  <c r="T39" i="7" s="1"/>
  <c r="U39" i="7" s="1"/>
  <c r="AR20" i="6"/>
  <c r="S40" i="6"/>
  <c r="T40" i="6" s="1"/>
  <c r="U40" i="6" s="1"/>
  <c r="AD39" i="7" l="1"/>
  <c r="AT20" i="7" s="1"/>
  <c r="AC39" i="7"/>
  <c r="Y39" i="7"/>
  <c r="Z39" i="7"/>
  <c r="V39" i="7"/>
  <c r="X39" i="7" s="1"/>
  <c r="AQ20" i="7" s="1"/>
  <c r="AA39" i="7"/>
  <c r="AB39" i="7"/>
  <c r="AD40" i="6"/>
  <c r="AC40" i="6"/>
  <c r="AB40" i="6"/>
  <c r="AA40" i="6"/>
  <c r="Z40" i="6"/>
  <c r="Y40" i="6"/>
  <c r="V40" i="6"/>
  <c r="AZ20" i="6"/>
  <c r="AX20" i="6"/>
  <c r="AR20" i="7" l="1"/>
  <c r="S40" i="7"/>
  <c r="T40" i="7" s="1"/>
  <c r="U40" i="7" s="1"/>
  <c r="S41" i="6"/>
  <c r="T41" i="6" s="1"/>
  <c r="U41" i="6" s="1"/>
  <c r="Y41" i="6" s="1"/>
  <c r="AD40" i="7" l="1"/>
  <c r="Z40" i="7"/>
  <c r="AC40" i="7"/>
  <c r="V40" i="7"/>
  <c r="Y40" i="7"/>
  <c r="AA40" i="7"/>
  <c r="AB40" i="7"/>
  <c r="AX20" i="7"/>
  <c r="AZ20" i="7"/>
  <c r="V41" i="6"/>
  <c r="AA41" i="6"/>
  <c r="AC41" i="6"/>
  <c r="AD41" i="6"/>
  <c r="Z41" i="6"/>
  <c r="AB41" i="6"/>
  <c r="S41" i="7" l="1"/>
  <c r="T41" i="7" s="1"/>
  <c r="U41" i="7" s="1"/>
  <c r="AC41" i="7" s="1"/>
  <c r="S42" i="6"/>
  <c r="T42" i="6" s="1"/>
  <c r="U42" i="6" s="1"/>
  <c r="AB42" i="6" s="1"/>
  <c r="Z41" i="7" l="1"/>
  <c r="Y41" i="7"/>
  <c r="AD41" i="7"/>
  <c r="AA41" i="7"/>
  <c r="V41" i="7"/>
  <c r="AB41" i="7"/>
  <c r="S42" i="7"/>
  <c r="T42" i="7" s="1"/>
  <c r="U42" i="7" s="1"/>
  <c r="AD42" i="6"/>
  <c r="AC42" i="6"/>
  <c r="S43" i="6" s="1"/>
  <c r="T43" i="6" s="1"/>
  <c r="U43" i="6" s="1"/>
  <c r="AA42" i="6"/>
  <c r="Z42" i="6"/>
  <c r="V42" i="6"/>
  <c r="Y42" i="6"/>
  <c r="AD42" i="7" l="1"/>
  <c r="AB42" i="7"/>
  <c r="AA42" i="7"/>
  <c r="Z42" i="7"/>
  <c r="Y42" i="7"/>
  <c r="V42" i="7"/>
  <c r="AC42" i="7"/>
  <c r="Z43" i="6"/>
  <c r="AD43" i="6"/>
  <c r="Y43" i="6"/>
  <c r="V43" i="6"/>
  <c r="AC43" i="6"/>
  <c r="AA43" i="6"/>
  <c r="AB43" i="6"/>
  <c r="S43" i="7" l="1"/>
  <c r="T43" i="7" s="1"/>
  <c r="U43" i="7" s="1"/>
  <c r="S44" i="6"/>
  <c r="T44" i="6" s="1"/>
  <c r="U44" i="6" s="1"/>
  <c r="AD43" i="7" l="1"/>
  <c r="AB43" i="7"/>
  <c r="AC43" i="7"/>
  <c r="Y43" i="7"/>
  <c r="AA43" i="7"/>
  <c r="Z43" i="7"/>
  <c r="V43" i="7"/>
  <c r="Y44" i="6"/>
  <c r="V44" i="6"/>
  <c r="AA44" i="6"/>
  <c r="AD44" i="6"/>
  <c r="AB44" i="6"/>
  <c r="AC44" i="6"/>
  <c r="Z44" i="6"/>
  <c r="S44" i="7" l="1"/>
  <c r="T44" i="7" s="1"/>
  <c r="U44" i="7" s="1"/>
  <c r="AC44" i="7" s="1"/>
  <c r="S45" i="6"/>
  <c r="T45" i="6" s="1"/>
  <c r="U45" i="6" s="1"/>
  <c r="AA45" i="6"/>
  <c r="Z45" i="6"/>
  <c r="Y45" i="6"/>
  <c r="V45" i="6"/>
  <c r="AC45" i="6"/>
  <c r="AB45" i="6"/>
  <c r="AD45" i="6"/>
  <c r="Z44" i="7" l="1"/>
  <c r="V44" i="7"/>
  <c r="Y44" i="7"/>
  <c r="AB44" i="7"/>
  <c r="AD44" i="7"/>
  <c r="AA44" i="7"/>
  <c r="S45" i="7"/>
  <c r="T45" i="7" s="1"/>
  <c r="U45" i="7" s="1"/>
  <c r="Z45" i="7" s="1"/>
  <c r="S46" i="6"/>
  <c r="T46" i="6" s="1"/>
  <c r="U46" i="6" s="1"/>
  <c r="Z46" i="6" s="1"/>
  <c r="AA46" i="6"/>
  <c r="V46" i="6"/>
  <c r="AB46" i="6"/>
  <c r="AC46" i="6"/>
  <c r="AD46" i="6"/>
  <c r="Y46" i="6"/>
  <c r="S47" i="6"/>
  <c r="T47" i="6" s="1"/>
  <c r="U47" i="6" s="1"/>
  <c r="AA45" i="7" l="1"/>
  <c r="AC45" i="7"/>
  <c r="V45" i="7"/>
  <c r="AB45" i="7"/>
  <c r="AD45" i="7"/>
  <c r="S46" i="7" s="1"/>
  <c r="T46" i="7" s="1"/>
  <c r="U46" i="7" s="1"/>
  <c r="Y45" i="7"/>
  <c r="AA47" i="6"/>
  <c r="AD47" i="6"/>
  <c r="AC47" i="6"/>
  <c r="AB47" i="6"/>
  <c r="S48" i="6" s="1"/>
  <c r="T48" i="6" s="1"/>
  <c r="U48" i="6" s="1"/>
  <c r="Z47" i="6"/>
  <c r="Y47" i="6"/>
  <c r="V47" i="6"/>
  <c r="AD46" i="7" l="1"/>
  <c r="V46" i="7"/>
  <c r="AB46" i="7"/>
  <c r="AA46" i="7"/>
  <c r="AC46" i="7"/>
  <c r="Y46" i="7"/>
  <c r="Z46" i="7"/>
  <c r="AD48" i="6"/>
  <c r="AA48" i="6"/>
  <c r="Z48" i="6"/>
  <c r="Y48" i="6"/>
  <c r="V48" i="6"/>
  <c r="AC48" i="6"/>
  <c r="AB48" i="6"/>
  <c r="S47" i="7" l="1"/>
  <c r="T47" i="7" s="1"/>
  <c r="U47" i="7" s="1"/>
  <c r="S49" i="6"/>
  <c r="T49" i="6" s="1"/>
  <c r="U49" i="6" s="1"/>
  <c r="Y49" i="6" s="1"/>
  <c r="AC47" i="7" l="1"/>
  <c r="AB47" i="7"/>
  <c r="AA47" i="7"/>
  <c r="AD47" i="7"/>
  <c r="Z47" i="7"/>
  <c r="V47" i="7"/>
  <c r="Y47" i="7"/>
  <c r="V49" i="6"/>
  <c r="Z49" i="6"/>
  <c r="AA49" i="6"/>
  <c r="AB49" i="6"/>
  <c r="AC49" i="6"/>
  <c r="AD49" i="6"/>
  <c r="S50" i="6"/>
  <c r="T50" i="6" s="1"/>
  <c r="U50" i="6" s="1"/>
  <c r="AB50" i="6" s="1"/>
  <c r="S48" i="7" l="1"/>
  <c r="T48" i="7" s="1"/>
  <c r="U48" i="7" s="1"/>
  <c r="AA50" i="6"/>
  <c r="Y50" i="6"/>
  <c r="Z50" i="6"/>
  <c r="AC50" i="6"/>
  <c r="AD50" i="6"/>
  <c r="S51" i="6" s="1"/>
  <c r="T51" i="6" s="1"/>
  <c r="U51" i="6" s="1"/>
  <c r="V50" i="6"/>
  <c r="AB48" i="7" l="1"/>
  <c r="AA48" i="7"/>
  <c r="Y48" i="7"/>
  <c r="AD48" i="7"/>
  <c r="AC48" i="7"/>
  <c r="V48" i="7"/>
  <c r="Z48" i="7"/>
  <c r="AA51" i="6"/>
  <c r="V51" i="6"/>
  <c r="AD51" i="6"/>
  <c r="AC51" i="6"/>
  <c r="AB51" i="6"/>
  <c r="Z51" i="6"/>
  <c r="Y51" i="6"/>
  <c r="S49" i="7" l="1"/>
  <c r="T49" i="7" s="1"/>
  <c r="U49" i="7" s="1"/>
  <c r="S52" i="6"/>
  <c r="T52" i="6" s="1"/>
  <c r="U52" i="6" s="1"/>
  <c r="AD52" i="6" s="1"/>
  <c r="V52" i="6"/>
  <c r="Y49" i="7" l="1"/>
  <c r="AC49" i="7"/>
  <c r="V49" i="7"/>
  <c r="Z49" i="7"/>
  <c r="AA49" i="7"/>
  <c r="AD49" i="7"/>
  <c r="AB49" i="7"/>
  <c r="S50" i="7" s="1"/>
  <c r="T50" i="7" s="1"/>
  <c r="U50" i="7" s="1"/>
  <c r="Y52" i="6"/>
  <c r="Z52" i="6"/>
  <c r="AA52" i="6"/>
  <c r="AB52" i="6"/>
  <c r="AC52" i="6"/>
  <c r="S53" i="6"/>
  <c r="T53" i="6" s="1"/>
  <c r="U53" i="6" s="1"/>
  <c r="Y53" i="6" s="1"/>
  <c r="Z50" i="7" l="1"/>
  <c r="AD50" i="7"/>
  <c r="AB50" i="7"/>
  <c r="Y50" i="7"/>
  <c r="AC50" i="7"/>
  <c r="V50" i="7"/>
  <c r="AA50" i="7"/>
  <c r="V53" i="6"/>
  <c r="Z53" i="6"/>
  <c r="AA53" i="6"/>
  <c r="AB53" i="6"/>
  <c r="AC53" i="6"/>
  <c r="AD53" i="6"/>
  <c r="S54" i="6"/>
  <c r="T54" i="6" s="1"/>
  <c r="U54" i="6" s="1"/>
  <c r="AB54" i="6" s="1"/>
  <c r="S51" i="7" l="1"/>
  <c r="T51" i="7" s="1"/>
  <c r="U51" i="7" s="1"/>
  <c r="AD54" i="6"/>
  <c r="AA54" i="6"/>
  <c r="Z54" i="6"/>
  <c r="Y54" i="6"/>
  <c r="AC54" i="6"/>
  <c r="V54" i="6"/>
  <c r="Y51" i="7" l="1"/>
  <c r="AD51" i="7"/>
  <c r="AC51" i="7"/>
  <c r="AA51" i="7"/>
  <c r="AB51" i="7"/>
  <c r="Z51" i="7"/>
  <c r="V51" i="7"/>
  <c r="S55" i="6"/>
  <c r="T55" i="6" s="1"/>
  <c r="U55" i="6" s="1"/>
  <c r="AA55" i="6" s="1"/>
  <c r="S52" i="7" l="1"/>
  <c r="T52" i="7" s="1"/>
  <c r="U52" i="7" s="1"/>
  <c r="V52" i="7" s="1"/>
  <c r="AB55" i="6"/>
  <c r="AC55" i="6"/>
  <c r="AD55" i="6"/>
  <c r="S56" i="6"/>
  <c r="T56" i="6" s="1"/>
  <c r="U56" i="6" s="1"/>
  <c r="AA56" i="6" s="1"/>
  <c r="V55" i="6"/>
  <c r="Y55" i="6"/>
  <c r="Z55" i="6"/>
  <c r="AA52" i="7" l="1"/>
  <c r="AB52" i="7"/>
  <c r="Z52" i="7"/>
  <c r="Y52" i="7"/>
  <c r="AC52" i="7"/>
  <c r="AD52" i="7"/>
  <c r="S53" i="7"/>
  <c r="T53" i="7" s="1"/>
  <c r="U53" i="7" s="1"/>
  <c r="AB56" i="6"/>
  <c r="V56" i="6"/>
  <c r="AC56" i="6"/>
  <c r="Y56" i="6"/>
  <c r="AD56" i="6"/>
  <c r="Z56" i="6"/>
  <c r="S57" i="6"/>
  <c r="T57" i="6" s="1"/>
  <c r="U57" i="6" s="1"/>
  <c r="Y57" i="6" s="1"/>
  <c r="AB53" i="7" l="1"/>
  <c r="Z53" i="7"/>
  <c r="AA53" i="7"/>
  <c r="AD53" i="7"/>
  <c r="AC53" i="7"/>
  <c r="Y53" i="7"/>
  <c r="V53" i="7"/>
  <c r="V57" i="6"/>
  <c r="Z57" i="6"/>
  <c r="AA57" i="6"/>
  <c r="AB57" i="6"/>
  <c r="AC57" i="6"/>
  <c r="AD57" i="6"/>
  <c r="S54" i="7" l="1"/>
  <c r="T54" i="7" s="1"/>
  <c r="U54" i="7" s="1"/>
  <c r="S58" i="6"/>
  <c r="T58" i="6" s="1"/>
  <c r="U58" i="6" s="1"/>
  <c r="AB58" i="6" s="1"/>
  <c r="AD54" i="7" l="1"/>
  <c r="AB54" i="7"/>
  <c r="V54" i="7"/>
  <c r="Z54" i="7"/>
  <c r="AA54" i="7"/>
  <c r="Y54" i="7"/>
  <c r="AC54" i="7"/>
  <c r="Z58" i="6"/>
  <c r="AC58" i="6"/>
  <c r="AS21" i="6" s="1"/>
  <c r="V58" i="6"/>
  <c r="Y58" i="6"/>
  <c r="AD58" i="6"/>
  <c r="S59" i="6" s="1"/>
  <c r="T59" i="6" s="1"/>
  <c r="U59" i="6" s="1"/>
  <c r="AA58" i="6"/>
  <c r="S55" i="7" l="1"/>
  <c r="T55" i="7" s="1"/>
  <c r="U55" i="7" s="1"/>
  <c r="AD59" i="6"/>
  <c r="AT21" i="6" s="1"/>
  <c r="AB59" i="6"/>
  <c r="V59" i="6"/>
  <c r="X59" i="6" s="1"/>
  <c r="AQ21" i="6" s="1"/>
  <c r="AA59" i="6"/>
  <c r="AC59" i="6"/>
  <c r="Y59" i="6"/>
  <c r="Z59" i="6"/>
  <c r="AR21" i="6"/>
  <c r="S60" i="6"/>
  <c r="T60" i="6" s="1"/>
  <c r="U60" i="6" s="1"/>
  <c r="AC55" i="7" l="1"/>
  <c r="AA55" i="7"/>
  <c r="AB55" i="7"/>
  <c r="Z55" i="7"/>
  <c r="AD55" i="7"/>
  <c r="Y55" i="7"/>
  <c r="V55" i="7"/>
  <c r="AC60" i="6"/>
  <c r="AB60" i="6"/>
  <c r="AA60" i="6"/>
  <c r="Z60" i="6"/>
  <c r="Y60" i="6"/>
  <c r="V60" i="6"/>
  <c r="AD60" i="6"/>
  <c r="AZ21" i="6"/>
  <c r="AX21" i="6"/>
  <c r="S56" i="7" l="1"/>
  <c r="T56" i="7" s="1"/>
  <c r="U56" i="7" s="1"/>
  <c r="S61" i="6"/>
  <c r="T61" i="6" s="1"/>
  <c r="U61" i="6" s="1"/>
  <c r="AA56" i="7" l="1"/>
  <c r="AB56" i="7"/>
  <c r="AC56" i="7"/>
  <c r="V56" i="7"/>
  <c r="Y56" i="7"/>
  <c r="Z56" i="7"/>
  <c r="AD56" i="7"/>
  <c r="V61" i="6"/>
  <c r="Z61" i="6"/>
  <c r="Y61" i="6"/>
  <c r="AD61" i="6"/>
  <c r="AC61" i="6"/>
  <c r="AB61" i="6"/>
  <c r="AA61" i="6"/>
  <c r="S57" i="7" l="1"/>
  <c r="T57" i="7" s="1"/>
  <c r="U57" i="7" s="1"/>
  <c r="S62" i="6"/>
  <c r="T62" i="6" s="1"/>
  <c r="U62" i="6" s="1"/>
  <c r="AA62" i="6" s="1"/>
  <c r="AB57" i="7" l="1"/>
  <c r="V57" i="7"/>
  <c r="AD57" i="7"/>
  <c r="Z57" i="7"/>
  <c r="AC57" i="7"/>
  <c r="Y57" i="7"/>
  <c r="AA57" i="7"/>
  <c r="Z62" i="6"/>
  <c r="AB62" i="6"/>
  <c r="AC62" i="6"/>
  <c r="Y62" i="6"/>
  <c r="AD62" i="6"/>
  <c r="S63" i="6"/>
  <c r="T63" i="6" s="1"/>
  <c r="U63" i="6" s="1"/>
  <c r="AD63" i="6" s="1"/>
  <c r="V62" i="6"/>
  <c r="S58" i="7" l="1"/>
  <c r="T58" i="7" s="1"/>
  <c r="U58" i="7" s="1"/>
  <c r="AB63" i="6"/>
  <c r="V63" i="6"/>
  <c r="AA63" i="6"/>
  <c r="AC63" i="6"/>
  <c r="Y63" i="6"/>
  <c r="Z63" i="6"/>
  <c r="Y58" i="7" l="1"/>
  <c r="V58" i="7"/>
  <c r="AD58" i="7"/>
  <c r="AC58" i="7"/>
  <c r="AS21" i="7" s="1"/>
  <c r="Z58" i="7"/>
  <c r="AB58" i="7"/>
  <c r="AA58" i="7"/>
  <c r="S64" i="6"/>
  <c r="T64" i="6" s="1"/>
  <c r="U64" i="6" s="1"/>
  <c r="AC64" i="6" s="1"/>
  <c r="S59" i="7" l="1"/>
  <c r="T59" i="7" s="1"/>
  <c r="U59" i="7" s="1"/>
  <c r="Z59" i="7" s="1"/>
  <c r="AB64" i="6"/>
  <c r="AD64" i="6"/>
  <c r="Z64" i="6"/>
  <c r="Y64" i="6"/>
  <c r="AA64" i="6"/>
  <c r="V64" i="6"/>
  <c r="AB59" i="7" l="1"/>
  <c r="AC59" i="7"/>
  <c r="V59" i="7"/>
  <c r="X59" i="7" s="1"/>
  <c r="AQ21" i="7" s="1"/>
  <c r="Y59" i="7"/>
  <c r="AD59" i="7"/>
  <c r="AT21" i="7" s="1"/>
  <c r="AA59" i="7"/>
  <c r="S60" i="7"/>
  <c r="T60" i="7" s="1"/>
  <c r="U60" i="7" s="1"/>
  <c r="AR21" i="7"/>
  <c r="S65" i="6"/>
  <c r="T65" i="6" s="1"/>
  <c r="U65" i="6" s="1"/>
  <c r="AX21" i="7" l="1"/>
  <c r="AZ21" i="7"/>
  <c r="Y60" i="7"/>
  <c r="AB60" i="7"/>
  <c r="V60" i="7"/>
  <c r="AA60" i="7"/>
  <c r="Z60" i="7"/>
  <c r="AC60" i="7"/>
  <c r="AD60" i="7"/>
  <c r="Y65" i="6"/>
  <c r="AD65" i="6"/>
  <c r="AB65" i="6"/>
  <c r="AC65" i="6"/>
  <c r="AA65" i="6"/>
  <c r="V65" i="6"/>
  <c r="Z65" i="6"/>
  <c r="S61" i="7" l="1"/>
  <c r="T61" i="7" s="1"/>
  <c r="U61" i="7" s="1"/>
  <c r="S66" i="6"/>
  <c r="T66" i="6" s="1"/>
  <c r="U66" i="6" s="1"/>
  <c r="AC61" i="7" l="1"/>
  <c r="AD61" i="7"/>
  <c r="AA61" i="7"/>
  <c r="Z61" i="7"/>
  <c r="AB61" i="7"/>
  <c r="Y61" i="7"/>
  <c r="V61" i="7"/>
  <c r="AD66" i="6"/>
  <c r="AA66" i="6"/>
  <c r="Y66" i="6"/>
  <c r="AC66" i="6"/>
  <c r="V66" i="6"/>
  <c r="Z66" i="6"/>
  <c r="AB66" i="6"/>
  <c r="S67" i="6" s="1"/>
  <c r="T67" i="6" s="1"/>
  <c r="U67" i="6" s="1"/>
  <c r="Y67" i="6" s="1"/>
  <c r="S62" i="7" l="1"/>
  <c r="T62" i="7" s="1"/>
  <c r="U62" i="7" s="1"/>
  <c r="AA62" i="7" s="1"/>
  <c r="AB67" i="6"/>
  <c r="Z67" i="6"/>
  <c r="AC67" i="6"/>
  <c r="AA67" i="6"/>
  <c r="AD67" i="6"/>
  <c r="V67" i="6"/>
  <c r="S68" i="6"/>
  <c r="T68" i="6" s="1"/>
  <c r="U68" i="6" s="1"/>
  <c r="AD68" i="6" s="1"/>
  <c r="AC62" i="7" l="1"/>
  <c r="Z62" i="7"/>
  <c r="V62" i="7"/>
  <c r="Y62" i="7"/>
  <c r="AD62" i="7"/>
  <c r="AB62" i="7"/>
  <c r="V68" i="6"/>
  <c r="AA68" i="6"/>
  <c r="Y68" i="6"/>
  <c r="Z68" i="6"/>
  <c r="AB68" i="6"/>
  <c r="AC68" i="6"/>
  <c r="S63" i="7" l="1"/>
  <c r="T63" i="7" s="1"/>
  <c r="U63" i="7" s="1"/>
  <c r="AD63" i="7" s="1"/>
  <c r="S69" i="6"/>
  <c r="T69" i="6" s="1"/>
  <c r="U69" i="6" s="1"/>
  <c r="V69" i="6" s="1"/>
  <c r="AA63" i="7" l="1"/>
  <c r="AC63" i="7"/>
  <c r="Y63" i="7"/>
  <c r="AB63" i="7"/>
  <c r="Z63" i="7"/>
  <c r="V63" i="7"/>
  <c r="S64" i="7"/>
  <c r="T64" i="7" s="1"/>
  <c r="U64" i="7" s="1"/>
  <c r="Y64" i="7" s="1"/>
  <c r="AC69" i="6"/>
  <c r="AB69" i="6"/>
  <c r="Z69" i="6"/>
  <c r="AA69" i="6"/>
  <c r="AD69" i="6"/>
  <c r="S70" i="6" s="1"/>
  <c r="T70" i="6" s="1"/>
  <c r="U70" i="6" s="1"/>
  <c r="Z70" i="6" s="1"/>
  <c r="Y69" i="6"/>
  <c r="V64" i="7" l="1"/>
  <c r="AA64" i="7"/>
  <c r="Z64" i="7"/>
  <c r="AD64" i="7"/>
  <c r="AC64" i="7"/>
  <c r="AB64" i="7"/>
  <c r="S65" i="7" s="1"/>
  <c r="T65" i="7" s="1"/>
  <c r="U65" i="7" s="1"/>
  <c r="AC70" i="6"/>
  <c r="AB70" i="6"/>
  <c r="AD70" i="6"/>
  <c r="Y70" i="6"/>
  <c r="V70" i="6"/>
  <c r="AA70" i="6"/>
  <c r="S71" i="6"/>
  <c r="T71" i="6" s="1"/>
  <c r="U71" i="6" s="1"/>
  <c r="AD71" i="6" s="1"/>
  <c r="AB65" i="7" l="1"/>
  <c r="Y65" i="7"/>
  <c r="AD65" i="7"/>
  <c r="AC65" i="7"/>
  <c r="AA65" i="7"/>
  <c r="Z65" i="7"/>
  <c r="V65" i="7"/>
  <c r="V71" i="6"/>
  <c r="Y71" i="6"/>
  <c r="Z71" i="6"/>
  <c r="AA71" i="6"/>
  <c r="AB71" i="6"/>
  <c r="AC71" i="6"/>
  <c r="S66" i="7" l="1"/>
  <c r="T66" i="7" s="1"/>
  <c r="U66" i="7" s="1"/>
  <c r="S72" i="6"/>
  <c r="T72" i="6" s="1"/>
  <c r="U72" i="6" s="1"/>
  <c r="AD72" i="6" s="1"/>
  <c r="Y66" i="7" l="1"/>
  <c r="Z66" i="7"/>
  <c r="V66" i="7"/>
  <c r="AA66" i="7"/>
  <c r="AB66" i="7"/>
  <c r="AD66" i="7"/>
  <c r="AC66" i="7"/>
  <c r="AC72" i="6"/>
  <c r="AB72" i="6"/>
  <c r="Z72" i="6"/>
  <c r="Y72" i="6"/>
  <c r="AA72" i="6"/>
  <c r="V72" i="6"/>
  <c r="S67" i="7" l="1"/>
  <c r="T67" i="7" s="1"/>
  <c r="U67" i="7" s="1"/>
  <c r="S73" i="6"/>
  <c r="T73" i="6" s="1"/>
  <c r="U73" i="6" s="1"/>
  <c r="AC67" i="7" l="1"/>
  <c r="AB67" i="7"/>
  <c r="Z67" i="7"/>
  <c r="AD67" i="7"/>
  <c r="Y67" i="7"/>
  <c r="AA67" i="7"/>
  <c r="V67" i="7"/>
  <c r="V73" i="6"/>
  <c r="AB73" i="6"/>
  <c r="Y73" i="6"/>
  <c r="Z73" i="6"/>
  <c r="AA73" i="6"/>
  <c r="AD73" i="6"/>
  <c r="AC73" i="6"/>
  <c r="S68" i="7" l="1"/>
  <c r="T68" i="7" s="1"/>
  <c r="U68" i="7" s="1"/>
  <c r="S74" i="6"/>
  <c r="T74" i="6" s="1"/>
  <c r="U74" i="6" s="1"/>
  <c r="AA74" i="6" s="1"/>
  <c r="V68" i="7" l="1"/>
  <c r="AD68" i="7"/>
  <c r="Z68" i="7"/>
  <c r="AB68" i="7"/>
  <c r="Y68" i="7"/>
  <c r="AA68" i="7"/>
  <c r="AC68" i="7"/>
  <c r="V74" i="6"/>
  <c r="Y74" i="6"/>
  <c r="AD74" i="6"/>
  <c r="AC74" i="6"/>
  <c r="AB74" i="6"/>
  <c r="Z74" i="6"/>
  <c r="S69" i="7" l="1"/>
  <c r="T69" i="7" s="1"/>
  <c r="U69" i="7" s="1"/>
  <c r="AA69" i="7" s="1"/>
  <c r="S75" i="6"/>
  <c r="T75" i="6" s="1"/>
  <c r="U75" i="6" s="1"/>
  <c r="AA75" i="6" s="1"/>
  <c r="AD69" i="7" l="1"/>
  <c r="AB69" i="7"/>
  <c r="Z69" i="7"/>
  <c r="V69" i="7"/>
  <c r="AC69" i="7"/>
  <c r="Y69" i="7"/>
  <c r="Y75" i="6"/>
  <c r="AC75" i="6"/>
  <c r="V75" i="6"/>
  <c r="AD75" i="6"/>
  <c r="AB75" i="6"/>
  <c r="Z75" i="6"/>
  <c r="S76" i="6"/>
  <c r="T76" i="6" s="1"/>
  <c r="U76" i="6" s="1"/>
  <c r="AD76" i="6" s="1"/>
  <c r="S70" i="7" l="1"/>
  <c r="T70" i="7" s="1"/>
  <c r="U70" i="7" s="1"/>
  <c r="AD70" i="7" s="1"/>
  <c r="AA76" i="6"/>
  <c r="Y76" i="6"/>
  <c r="AB76" i="6"/>
  <c r="Z76" i="6"/>
  <c r="V76" i="6"/>
  <c r="AC76" i="6"/>
  <c r="AC70" i="7" l="1"/>
  <c r="AA70" i="7"/>
  <c r="Y70" i="7"/>
  <c r="AB70" i="7"/>
  <c r="Z70" i="7"/>
  <c r="V70" i="7"/>
  <c r="S77" i="6"/>
  <c r="T77" i="6" s="1"/>
  <c r="U77" i="6" s="1"/>
  <c r="S71" i="7" l="1"/>
  <c r="T71" i="7" s="1"/>
  <c r="U71" i="7" s="1"/>
  <c r="V71" i="7" s="1"/>
  <c r="V77" i="6"/>
  <c r="Z77" i="6"/>
  <c r="AC77" i="6"/>
  <c r="AB77" i="6"/>
  <c r="AA77" i="6"/>
  <c r="Y77" i="6"/>
  <c r="AD77" i="6"/>
  <c r="AA71" i="7" l="1"/>
  <c r="AC71" i="7"/>
  <c r="AD71" i="7"/>
  <c r="Z71" i="7"/>
  <c r="AB71" i="7"/>
  <c r="Y71" i="7"/>
  <c r="S78" i="6"/>
  <c r="T78" i="6" s="1"/>
  <c r="U78" i="6" s="1"/>
  <c r="AB78" i="6" s="1"/>
  <c r="S72" i="7" l="1"/>
  <c r="T72" i="7" s="1"/>
  <c r="U72" i="7" s="1"/>
  <c r="AD72" i="7" s="1"/>
  <c r="Y78" i="6"/>
  <c r="Z78" i="6"/>
  <c r="AC78" i="6"/>
  <c r="AD78" i="6"/>
  <c r="V78" i="6"/>
  <c r="AA78" i="6"/>
  <c r="AB72" i="7" l="1"/>
  <c r="Y72" i="7"/>
  <c r="AA72" i="7"/>
  <c r="AC72" i="7"/>
  <c r="V72" i="7"/>
  <c r="Z72" i="7"/>
  <c r="S73" i="7"/>
  <c r="T73" i="7" s="1"/>
  <c r="U73" i="7" s="1"/>
  <c r="S79" i="6"/>
  <c r="T79" i="6" s="1"/>
  <c r="U79" i="6" s="1"/>
  <c r="V79" i="6" s="1"/>
  <c r="X79" i="6" s="1"/>
  <c r="AQ22" i="6" s="1"/>
  <c r="Z73" i="7" l="1"/>
  <c r="AD73" i="7"/>
  <c r="Y73" i="7"/>
  <c r="V73" i="7"/>
  <c r="AB73" i="7"/>
  <c r="AC73" i="7"/>
  <c r="AA73" i="7"/>
  <c r="Z79" i="6"/>
  <c r="AC79" i="6"/>
  <c r="AS22" i="6" s="1"/>
  <c r="AB79" i="6"/>
  <c r="Y79" i="6"/>
  <c r="AA79" i="6"/>
  <c r="AD79" i="6"/>
  <c r="AT22" i="6" s="1"/>
  <c r="AR22" i="6"/>
  <c r="S80" i="6"/>
  <c r="T80" i="6" s="1"/>
  <c r="U80" i="6" s="1"/>
  <c r="S74" i="7" l="1"/>
  <c r="T74" i="7" s="1"/>
  <c r="U74" i="7" s="1"/>
  <c r="V74" i="7" s="1"/>
  <c r="AA80" i="6"/>
  <c r="AB80" i="6"/>
  <c r="Y80" i="6"/>
  <c r="V80" i="6"/>
  <c r="Z80" i="6"/>
  <c r="AD80" i="6"/>
  <c r="AC80" i="6"/>
  <c r="AZ22" i="6"/>
  <c r="AX22" i="6"/>
  <c r="Z74" i="7" l="1"/>
  <c r="AB74" i="7"/>
  <c r="Y74" i="7"/>
  <c r="AD74" i="7"/>
  <c r="AA74" i="7"/>
  <c r="AC74" i="7"/>
  <c r="S75" i="7"/>
  <c r="T75" i="7" s="1"/>
  <c r="U75" i="7" s="1"/>
  <c r="V75" i="7" s="1"/>
  <c r="S81" i="6"/>
  <c r="T81" i="6" s="1"/>
  <c r="U81" i="6" s="1"/>
  <c r="AB75" i="7" l="1"/>
  <c r="Y75" i="7"/>
  <c r="Z75" i="7"/>
  <c r="AA75" i="7"/>
  <c r="AD75" i="7"/>
  <c r="AC75" i="7"/>
  <c r="S76" i="7" s="1"/>
  <c r="T76" i="7" s="1"/>
  <c r="U76" i="7" s="1"/>
  <c r="Y81" i="6"/>
  <c r="Z81" i="6"/>
  <c r="AA81" i="6"/>
  <c r="AD81" i="6"/>
  <c r="V81" i="6"/>
  <c r="AC81" i="6"/>
  <c r="AB81" i="6"/>
  <c r="AC76" i="7" l="1"/>
  <c r="AB76" i="7"/>
  <c r="Z76" i="7"/>
  <c r="Y76" i="7"/>
  <c r="AD76" i="7"/>
  <c r="AA76" i="7"/>
  <c r="V76" i="7"/>
  <c r="S82" i="6"/>
  <c r="T82" i="6" s="1"/>
  <c r="U82" i="6" s="1"/>
  <c r="Y82" i="6" s="1"/>
  <c r="S77" i="7" l="1"/>
  <c r="T77" i="7" s="1"/>
  <c r="U77" i="7" s="1"/>
  <c r="AA82" i="6"/>
  <c r="Z82" i="6"/>
  <c r="AC82" i="6"/>
  <c r="V82" i="6"/>
  <c r="AD82" i="6"/>
  <c r="AB82" i="6"/>
  <c r="S83" i="6" s="1"/>
  <c r="T83" i="6" s="1"/>
  <c r="U83" i="6" s="1"/>
  <c r="Y77" i="7" l="1"/>
  <c r="Z77" i="7"/>
  <c r="AB77" i="7"/>
  <c r="V77" i="7"/>
  <c r="AC77" i="7"/>
  <c r="AD77" i="7"/>
  <c r="AA77" i="7"/>
  <c r="Y83" i="6"/>
  <c r="Z83" i="6"/>
  <c r="AA83" i="6"/>
  <c r="AB83" i="6"/>
  <c r="V83" i="6"/>
  <c r="AD83" i="6"/>
  <c r="AC83" i="6"/>
  <c r="S78" i="7" l="1"/>
  <c r="T78" i="7" s="1"/>
  <c r="U78" i="7" s="1"/>
  <c r="S84" i="6"/>
  <c r="T84" i="6" s="1"/>
  <c r="U84" i="6" s="1"/>
  <c r="V84" i="6" s="1"/>
  <c r="AB78" i="7" l="1"/>
  <c r="V78" i="7"/>
  <c r="Z78" i="7"/>
  <c r="AD78" i="7"/>
  <c r="Y78" i="7"/>
  <c r="AC78" i="7"/>
  <c r="AA78" i="7"/>
  <c r="Z84" i="6"/>
  <c r="AC84" i="6"/>
  <c r="AA84" i="6"/>
  <c r="AB84" i="6"/>
  <c r="Y84" i="6"/>
  <c r="AD84" i="6"/>
  <c r="S85" i="6"/>
  <c r="T85" i="6" s="1"/>
  <c r="U85" i="6" s="1"/>
  <c r="S79" i="7" l="1"/>
  <c r="T79" i="7" s="1"/>
  <c r="U79" i="7" s="1"/>
  <c r="Y85" i="6"/>
  <c r="AC85" i="6"/>
  <c r="AB85" i="6"/>
  <c r="Z85" i="6"/>
  <c r="AD85" i="6"/>
  <c r="AA85" i="6"/>
  <c r="V85" i="6"/>
  <c r="AD79" i="7" l="1"/>
  <c r="AT22" i="7" s="1"/>
  <c r="AB79" i="7"/>
  <c r="Z79" i="7"/>
  <c r="V79" i="7"/>
  <c r="X79" i="7" s="1"/>
  <c r="AQ22" i="7" s="1"/>
  <c r="AC79" i="7"/>
  <c r="AS22" i="7" s="1"/>
  <c r="AA79" i="7"/>
  <c r="Y79" i="7"/>
  <c r="S86" i="6"/>
  <c r="T86" i="6" s="1"/>
  <c r="U86" i="6" s="1"/>
  <c r="AR22" i="7" l="1"/>
  <c r="S80" i="7"/>
  <c r="T80" i="7" s="1"/>
  <c r="U80" i="7" s="1"/>
  <c r="AD86" i="6"/>
  <c r="AB86" i="6"/>
  <c r="AC86" i="6"/>
  <c r="Y86" i="6"/>
  <c r="V86" i="6"/>
  <c r="AA86" i="6"/>
  <c r="Z86" i="6"/>
  <c r="AC80" i="7" l="1"/>
  <c r="Z80" i="7"/>
  <c r="AA80" i="7"/>
  <c r="Y80" i="7"/>
  <c r="AB80" i="7"/>
  <c r="V80" i="7"/>
  <c r="AD80" i="7"/>
  <c r="AZ22" i="7"/>
  <c r="AX22" i="7"/>
  <c r="S87" i="6"/>
  <c r="T87" i="6" s="1"/>
  <c r="U87" i="6" s="1"/>
  <c r="S81" i="7" l="1"/>
  <c r="T81" i="7" s="1"/>
  <c r="U81" i="7" s="1"/>
  <c r="Z81" i="7" s="1"/>
  <c r="Z87" i="6"/>
  <c r="V87" i="6"/>
  <c r="Y87" i="6"/>
  <c r="AA87" i="6"/>
  <c r="AB87" i="6"/>
  <c r="AD87" i="6"/>
  <c r="AC87" i="6"/>
  <c r="AC81" i="7" l="1"/>
  <c r="AD81" i="7"/>
  <c r="Y81" i="7"/>
  <c r="AA81" i="7"/>
  <c r="AB81" i="7"/>
  <c r="V81" i="7"/>
  <c r="S88" i="6"/>
  <c r="T88" i="6" s="1"/>
  <c r="U88" i="6" s="1"/>
  <c r="S82" i="7" l="1"/>
  <c r="T82" i="7" s="1"/>
  <c r="U82" i="7" s="1"/>
  <c r="AB82" i="7" s="1"/>
  <c r="V88" i="6"/>
  <c r="AC88" i="6"/>
  <c r="AB88" i="6"/>
  <c r="Z88" i="6"/>
  <c r="Y88" i="6"/>
  <c r="AA88" i="6"/>
  <c r="AD88" i="6"/>
  <c r="V82" i="7" l="1"/>
  <c r="Z82" i="7"/>
  <c r="Y82" i="7"/>
  <c r="AC82" i="7"/>
  <c r="AD82" i="7"/>
  <c r="AA82" i="7"/>
  <c r="S89" i="6"/>
  <c r="T89" i="6" s="1"/>
  <c r="U89" i="6" s="1"/>
  <c r="S83" i="7" l="1"/>
  <c r="T83" i="7" s="1"/>
  <c r="U83" i="7" s="1"/>
  <c r="AD83" i="7" s="1"/>
  <c r="AC89" i="6"/>
  <c r="Z89" i="6"/>
  <c r="V89" i="6"/>
  <c r="AA89" i="6"/>
  <c r="AB89" i="6"/>
  <c r="AD89" i="6"/>
  <c r="Y89" i="6"/>
  <c r="Z83" i="7" l="1"/>
  <c r="V83" i="7"/>
  <c r="AA83" i="7"/>
  <c r="AC83" i="7"/>
  <c r="AB83" i="7"/>
  <c r="S84" i="7" s="1"/>
  <c r="T84" i="7" s="1"/>
  <c r="U84" i="7" s="1"/>
  <c r="AA84" i="7" s="1"/>
  <c r="Y83" i="7"/>
  <c r="S90" i="6"/>
  <c r="T90" i="6" s="1"/>
  <c r="U90" i="6" s="1"/>
  <c r="AB90" i="6" s="1"/>
  <c r="Y84" i="7" l="1"/>
  <c r="Z84" i="7"/>
  <c r="AB84" i="7"/>
  <c r="AC84" i="7"/>
  <c r="AD84" i="7"/>
  <c r="V84" i="7"/>
  <c r="S85" i="7"/>
  <c r="T85" i="7" s="1"/>
  <c r="U85" i="7" s="1"/>
  <c r="V90" i="6"/>
  <c r="Z90" i="6"/>
  <c r="AD90" i="6"/>
  <c r="AC90" i="6"/>
  <c r="S91" i="6" s="1"/>
  <c r="T91" i="6" s="1"/>
  <c r="U91" i="6" s="1"/>
  <c r="Y90" i="6"/>
  <c r="AA90" i="6"/>
  <c r="AA85" i="7" l="1"/>
  <c r="V85" i="7"/>
  <c r="Z85" i="7"/>
  <c r="AB85" i="7"/>
  <c r="AC85" i="7"/>
  <c r="AD85" i="7"/>
  <c r="Y85" i="7"/>
  <c r="V91" i="6"/>
  <c r="AD91" i="6"/>
  <c r="AC91" i="6"/>
  <c r="Z91" i="6"/>
  <c r="Y91" i="6"/>
  <c r="AB91" i="6"/>
  <c r="AA91" i="6"/>
  <c r="S86" i="7" l="1"/>
  <c r="T86" i="7" s="1"/>
  <c r="U86" i="7" s="1"/>
  <c r="S92" i="6"/>
  <c r="T92" i="6" s="1"/>
  <c r="U92" i="6" s="1"/>
  <c r="AC92" i="6" s="1"/>
  <c r="AC86" i="7" l="1"/>
  <c r="AD86" i="7"/>
  <c r="Y86" i="7"/>
  <c r="Z86" i="7"/>
  <c r="AA86" i="7"/>
  <c r="V86" i="7"/>
  <c r="AB86" i="7"/>
  <c r="S87" i="7" s="1"/>
  <c r="T87" i="7" s="1"/>
  <c r="U87" i="7" s="1"/>
  <c r="AD92" i="6"/>
  <c r="Y92" i="6"/>
  <c r="AB92" i="6"/>
  <c r="S93" i="6" s="1"/>
  <c r="T93" i="6" s="1"/>
  <c r="U93" i="6" s="1"/>
  <c r="Z93" i="6" s="1"/>
  <c r="Z92" i="6"/>
  <c r="AA92" i="6"/>
  <c r="V92" i="6"/>
  <c r="Z87" i="7" l="1"/>
  <c r="Y87" i="7"/>
  <c r="AB87" i="7"/>
  <c r="AA87" i="7"/>
  <c r="AD87" i="7"/>
  <c r="AC87" i="7"/>
  <c r="V87" i="7"/>
  <c r="AB93" i="6"/>
  <c r="AD93" i="6"/>
  <c r="Y93" i="6"/>
  <c r="AA93" i="6"/>
  <c r="AC93" i="6"/>
  <c r="S94" i="6" s="1"/>
  <c r="T94" i="6" s="1"/>
  <c r="U94" i="6" s="1"/>
  <c r="V93" i="6"/>
  <c r="S88" i="7" l="1"/>
  <c r="T88" i="7" s="1"/>
  <c r="U88" i="7" s="1"/>
  <c r="AC94" i="6"/>
  <c r="Z94" i="6"/>
  <c r="AA94" i="6"/>
  <c r="V94" i="6"/>
  <c r="AD94" i="6"/>
  <c r="Y94" i="6"/>
  <c r="AB94" i="6"/>
  <c r="AC88" i="7" l="1"/>
  <c r="AD88" i="7"/>
  <c r="AA88" i="7"/>
  <c r="AB88" i="7"/>
  <c r="V88" i="7"/>
  <c r="Z88" i="7"/>
  <c r="Y88" i="7"/>
  <c r="S95" i="6"/>
  <c r="T95" i="6" s="1"/>
  <c r="U95" i="6" s="1"/>
  <c r="Z95" i="6" s="1"/>
  <c r="S89" i="7" l="1"/>
  <c r="T89" i="7" s="1"/>
  <c r="U89" i="7" s="1"/>
  <c r="AB95" i="6"/>
  <c r="V95" i="6"/>
  <c r="AC95" i="6"/>
  <c r="AD95" i="6"/>
  <c r="S96" i="6" s="1"/>
  <c r="T96" i="6" s="1"/>
  <c r="U96" i="6" s="1"/>
  <c r="AC96" i="6" s="1"/>
  <c r="AA95" i="6"/>
  <c r="Y95" i="6"/>
  <c r="V89" i="7" l="1"/>
  <c r="Z89" i="7"/>
  <c r="AB89" i="7"/>
  <c r="Y89" i="7"/>
  <c r="AC89" i="7"/>
  <c r="AD89" i="7"/>
  <c r="AA89" i="7"/>
  <c r="AD96" i="6"/>
  <c r="V96" i="6"/>
  <c r="AA96" i="6"/>
  <c r="AB96" i="6"/>
  <c r="Z96" i="6"/>
  <c r="Y96" i="6"/>
  <c r="S90" i="7" l="1"/>
  <c r="T90" i="7" s="1"/>
  <c r="U90" i="7" s="1"/>
  <c r="S97" i="6"/>
  <c r="T97" i="6" s="1"/>
  <c r="U97" i="6" s="1"/>
  <c r="Y97" i="6" s="1"/>
  <c r="AB90" i="7" l="1"/>
  <c r="Y90" i="7"/>
  <c r="V90" i="7"/>
  <c r="AD90" i="7"/>
  <c r="AC90" i="7"/>
  <c r="Z90" i="7"/>
  <c r="AA90" i="7"/>
  <c r="Z97" i="6"/>
  <c r="AD97" i="6"/>
  <c r="V97" i="6"/>
  <c r="AC97" i="6"/>
  <c r="AB97" i="6"/>
  <c r="AA97" i="6"/>
  <c r="S91" i="7" l="1"/>
  <c r="T91" i="7" s="1"/>
  <c r="U91" i="7" s="1"/>
  <c r="S98" i="6"/>
  <c r="T98" i="6" s="1"/>
  <c r="U98" i="6" s="1"/>
  <c r="AC98" i="6" s="1"/>
  <c r="Y91" i="7" l="1"/>
  <c r="V91" i="7"/>
  <c r="AB91" i="7"/>
  <c r="Z91" i="7"/>
  <c r="AD91" i="7"/>
  <c r="AC91" i="7"/>
  <c r="AA91" i="7"/>
  <c r="V98" i="6"/>
  <c r="AD98" i="6"/>
  <c r="AB98" i="6"/>
  <c r="Z98" i="6"/>
  <c r="Y98" i="6"/>
  <c r="AA98" i="6"/>
  <c r="S99" i="6"/>
  <c r="T99" i="6" s="1"/>
  <c r="U99" i="6" s="1"/>
  <c r="S92" i="7" l="1"/>
  <c r="T92" i="7" s="1"/>
  <c r="U92" i="7" s="1"/>
  <c r="Y99" i="6"/>
  <c r="AC99" i="6"/>
  <c r="AS23" i="6" s="1"/>
  <c r="AB99" i="6"/>
  <c r="V99" i="6"/>
  <c r="X99" i="6" s="1"/>
  <c r="AQ23" i="6" s="1"/>
  <c r="AD99" i="6"/>
  <c r="AT23" i="6" s="1"/>
  <c r="AA99" i="6"/>
  <c r="Z99" i="6"/>
  <c r="AD92" i="7" l="1"/>
  <c r="AC92" i="7"/>
  <c r="Y92" i="7"/>
  <c r="Z92" i="7"/>
  <c r="V92" i="7"/>
  <c r="AB92" i="7"/>
  <c r="AA92" i="7"/>
  <c r="AR23" i="6"/>
  <c r="S100" i="6"/>
  <c r="T100" i="6" s="1"/>
  <c r="U100" i="6" s="1"/>
  <c r="S93" i="7" l="1"/>
  <c r="T93" i="7" s="1"/>
  <c r="U93" i="7" s="1"/>
  <c r="AB100" i="6"/>
  <c r="AC100" i="6"/>
  <c r="AD100" i="6"/>
  <c r="Z100" i="6"/>
  <c r="V100" i="6"/>
  <c r="Y100" i="6"/>
  <c r="AA100" i="6"/>
  <c r="AX23" i="6"/>
  <c r="AZ23" i="6"/>
  <c r="Y93" i="7" l="1"/>
  <c r="AA93" i="7"/>
  <c r="Z93" i="7"/>
  <c r="AD93" i="7"/>
  <c r="AC93" i="7"/>
  <c r="AB93" i="7"/>
  <c r="S94" i="7" s="1"/>
  <c r="T94" i="7" s="1"/>
  <c r="U94" i="7" s="1"/>
  <c r="V93" i="7"/>
  <c r="S101" i="6"/>
  <c r="T101" i="6" s="1"/>
  <c r="U101" i="6" s="1"/>
  <c r="Z94" i="7" l="1"/>
  <c r="AD94" i="7"/>
  <c r="AB94" i="7"/>
  <c r="V94" i="7"/>
  <c r="AC94" i="7"/>
  <c r="AA94" i="7"/>
  <c r="Y94" i="7"/>
  <c r="Z101" i="6"/>
  <c r="V101" i="6"/>
  <c r="AD101" i="6"/>
  <c r="AB101" i="6"/>
  <c r="AC101" i="6"/>
  <c r="Y101" i="6"/>
  <c r="AA101" i="6"/>
  <c r="S95" i="7" l="1"/>
  <c r="T95" i="7" s="1"/>
  <c r="U95" i="7" s="1"/>
  <c r="S102" i="6"/>
  <c r="T102" i="6" s="1"/>
  <c r="U102" i="6" s="1"/>
  <c r="Z102" i="6" s="1"/>
  <c r="AD95" i="7" l="1"/>
  <c r="AA95" i="7"/>
  <c r="V95" i="7"/>
  <c r="AB95" i="7"/>
  <c r="Z95" i="7"/>
  <c r="Y95" i="7"/>
  <c r="AC95" i="7"/>
  <c r="Y102" i="6"/>
  <c r="AD102" i="6"/>
  <c r="AA102" i="6"/>
  <c r="AC102" i="6"/>
  <c r="AB102" i="6"/>
  <c r="S103" i="6" s="1"/>
  <c r="T103" i="6" s="1"/>
  <c r="U103" i="6" s="1"/>
  <c r="Z103" i="6" s="1"/>
  <c r="V102" i="6"/>
  <c r="S96" i="7" l="1"/>
  <c r="T96" i="7" s="1"/>
  <c r="U96" i="7" s="1"/>
  <c r="AC103" i="6"/>
  <c r="V103" i="6"/>
  <c r="AA103" i="6"/>
  <c r="AD103" i="6"/>
  <c r="AB103" i="6"/>
  <c r="S104" i="6" s="1"/>
  <c r="T104" i="6" s="1"/>
  <c r="U104" i="6" s="1"/>
  <c r="Y103" i="6"/>
  <c r="AD96" i="7" l="1"/>
  <c r="Z96" i="7"/>
  <c r="AC96" i="7"/>
  <c r="AB96" i="7"/>
  <c r="Y96" i="7"/>
  <c r="AA96" i="7"/>
  <c r="V96" i="7"/>
  <c r="AC104" i="6"/>
  <c r="AD104" i="6"/>
  <c r="AA104" i="6"/>
  <c r="Z104" i="6"/>
  <c r="V104" i="6"/>
  <c r="Y104" i="6"/>
  <c r="AB104" i="6"/>
  <c r="S97" i="7" l="1"/>
  <c r="T97" i="7" s="1"/>
  <c r="U97" i="7" s="1"/>
  <c r="V97" i="7" s="1"/>
  <c r="S105" i="6"/>
  <c r="T105" i="6" s="1"/>
  <c r="U105" i="6" s="1"/>
  <c r="AC105" i="6" s="1"/>
  <c r="AB97" i="7" l="1"/>
  <c r="AA97" i="7"/>
  <c r="Z97" i="7"/>
  <c r="Y97" i="7"/>
  <c r="AD97" i="7"/>
  <c r="AC97" i="7"/>
  <c r="AA105" i="6"/>
  <c r="V105" i="6"/>
  <c r="Z105" i="6"/>
  <c r="AB105" i="6"/>
  <c r="Y105" i="6"/>
  <c r="AD105" i="6"/>
  <c r="S106" i="6"/>
  <c r="T106" i="6" s="1"/>
  <c r="U106" i="6" s="1"/>
  <c r="AB106" i="6" s="1"/>
  <c r="S98" i="7" l="1"/>
  <c r="T98" i="7" s="1"/>
  <c r="U98" i="7" s="1"/>
  <c r="AC98" i="7" s="1"/>
  <c r="AA106" i="6"/>
  <c r="AC106" i="6"/>
  <c r="AD106" i="6"/>
  <c r="Y106" i="6"/>
  <c r="Z106" i="6"/>
  <c r="V106" i="6"/>
  <c r="S107" i="6"/>
  <c r="T107" i="6" s="1"/>
  <c r="U107" i="6" s="1"/>
  <c r="V98" i="7" l="1"/>
  <c r="AD98" i="7"/>
  <c r="AB98" i="7"/>
  <c r="S99" i="7" s="1"/>
  <c r="T99" i="7" s="1"/>
  <c r="U99" i="7" s="1"/>
  <c r="AA98" i="7"/>
  <c r="Z98" i="7"/>
  <c r="Y98" i="7"/>
  <c r="Z107" i="6"/>
  <c r="AC107" i="6"/>
  <c r="AB107" i="6"/>
  <c r="Y107" i="6"/>
  <c r="V107" i="6"/>
  <c r="AD107" i="6"/>
  <c r="AA107" i="6"/>
  <c r="V99" i="7" l="1"/>
  <c r="X99" i="7" s="1"/>
  <c r="AQ23" i="7" s="1"/>
  <c r="AC99" i="7"/>
  <c r="AS23" i="7" s="1"/>
  <c r="AD99" i="7"/>
  <c r="AT23" i="7" s="1"/>
  <c r="Y99" i="7"/>
  <c r="AB99" i="7"/>
  <c r="Z99" i="7"/>
  <c r="AA99" i="7"/>
  <c r="S108" i="6"/>
  <c r="T108" i="6" s="1"/>
  <c r="U108" i="6" s="1"/>
  <c r="AR23" i="7" l="1"/>
  <c r="S100" i="7"/>
  <c r="T100" i="7" s="1"/>
  <c r="U100" i="7" s="1"/>
  <c r="AD108" i="6"/>
  <c r="AA108" i="6"/>
  <c r="AB108" i="6"/>
  <c r="Z108" i="6"/>
  <c r="Y108" i="6"/>
  <c r="AC108" i="6"/>
  <c r="V108" i="6"/>
  <c r="V100" i="7" l="1"/>
  <c r="AC100" i="7"/>
  <c r="AB100" i="7"/>
  <c r="Y100" i="7"/>
  <c r="AA100" i="7"/>
  <c r="AD100" i="7"/>
  <c r="Z100" i="7"/>
  <c r="AX23" i="7"/>
  <c r="AZ23" i="7"/>
  <c r="S109" i="6"/>
  <c r="T109" i="6" s="1"/>
  <c r="U109" i="6" s="1"/>
  <c r="S101" i="7" l="1"/>
  <c r="T101" i="7" s="1"/>
  <c r="U101" i="7" s="1"/>
  <c r="AB109" i="6"/>
  <c r="V109" i="6"/>
  <c r="Y109" i="6"/>
  <c r="AA109" i="6"/>
  <c r="AC109" i="6"/>
  <c r="Z109" i="6"/>
  <c r="AD109" i="6"/>
  <c r="AA101" i="7" l="1"/>
  <c r="Y101" i="7"/>
  <c r="AD101" i="7"/>
  <c r="V101" i="7"/>
  <c r="Z101" i="7"/>
  <c r="AC101" i="7"/>
  <c r="AB101" i="7"/>
  <c r="S102" i="7" s="1"/>
  <c r="T102" i="7" s="1"/>
  <c r="U102" i="7" s="1"/>
  <c r="S110" i="6"/>
  <c r="T110" i="6" s="1"/>
  <c r="U110" i="6" s="1"/>
  <c r="Y102" i="7" l="1"/>
  <c r="Z102" i="7"/>
  <c r="AB102" i="7"/>
  <c r="V102" i="7"/>
  <c r="AC102" i="7"/>
  <c r="AA102" i="7"/>
  <c r="AD102" i="7"/>
  <c r="Y110" i="6"/>
  <c r="Z110" i="6"/>
  <c r="V110" i="6"/>
  <c r="AD110" i="6"/>
  <c r="AA110" i="6"/>
  <c r="AB110" i="6"/>
  <c r="AC110" i="6"/>
  <c r="S111" i="6" s="1"/>
  <c r="T111" i="6" s="1"/>
  <c r="U111" i="6" s="1"/>
  <c r="S103" i="7" l="1"/>
  <c r="T103" i="7" s="1"/>
  <c r="U103" i="7" s="1"/>
  <c r="AB111" i="6"/>
  <c r="V111" i="6"/>
  <c r="Y111" i="6"/>
  <c r="AD111" i="6"/>
  <c r="AA111" i="6"/>
  <c r="AC111" i="6"/>
  <c r="Z111" i="6"/>
  <c r="AA103" i="7" l="1"/>
  <c r="Z103" i="7"/>
  <c r="V103" i="7"/>
  <c r="AD103" i="7"/>
  <c r="Y103" i="7"/>
  <c r="AC103" i="7"/>
  <c r="AB103" i="7"/>
  <c r="S112" i="6"/>
  <c r="T112" i="6" s="1"/>
  <c r="U112" i="6" s="1"/>
  <c r="S104" i="7" l="1"/>
  <c r="T104" i="7" s="1"/>
  <c r="U104" i="7" s="1"/>
  <c r="AC104" i="7" s="1"/>
  <c r="AC112" i="6"/>
  <c r="Y112" i="6"/>
  <c r="AB112" i="6"/>
  <c r="AA112" i="6"/>
  <c r="V112" i="6"/>
  <c r="AD112" i="6"/>
  <c r="Z112" i="6"/>
  <c r="AD104" i="7" l="1"/>
  <c r="Z104" i="7"/>
  <c r="Y104" i="7"/>
  <c r="AA104" i="7"/>
  <c r="V104" i="7"/>
  <c r="AB104" i="7"/>
  <c r="S113" i="6"/>
  <c r="T113" i="6" s="1"/>
  <c r="U113" i="6" s="1"/>
  <c r="S105" i="7" l="1"/>
  <c r="T105" i="7" s="1"/>
  <c r="U105" i="7" s="1"/>
  <c r="AB105" i="7" s="1"/>
  <c r="AB113" i="6"/>
  <c r="AD113" i="6"/>
  <c r="AA113" i="6"/>
  <c r="AC113" i="6"/>
  <c r="Y113" i="6"/>
  <c r="Z113" i="6"/>
  <c r="V113" i="6"/>
  <c r="AA105" i="7" l="1"/>
  <c r="V105" i="7"/>
  <c r="Y105" i="7"/>
  <c r="Z105" i="7"/>
  <c r="AD105" i="7"/>
  <c r="AC105" i="7"/>
  <c r="S106" i="7"/>
  <c r="T106" i="7" s="1"/>
  <c r="U106" i="7" s="1"/>
  <c r="S114" i="6"/>
  <c r="T114" i="6" s="1"/>
  <c r="U114" i="6" s="1"/>
  <c r="Y106" i="7" l="1"/>
  <c r="AB106" i="7"/>
  <c r="V106" i="7"/>
  <c r="AD106" i="7"/>
  <c r="Z106" i="7"/>
  <c r="AC106" i="7"/>
  <c r="S107" i="7" s="1"/>
  <c r="T107" i="7" s="1"/>
  <c r="U107" i="7" s="1"/>
  <c r="AA106" i="7"/>
  <c r="V114" i="6"/>
  <c r="AB114" i="6"/>
  <c r="AA114" i="6"/>
  <c r="AD114" i="6"/>
  <c r="Y114" i="6"/>
  <c r="Z114" i="6"/>
  <c r="AC114" i="6"/>
  <c r="AD107" i="7" l="1"/>
  <c r="AA107" i="7"/>
  <c r="Z107" i="7"/>
  <c r="Y107" i="7"/>
  <c r="V107" i="7"/>
  <c r="AC107" i="7"/>
  <c r="AB107" i="7"/>
  <c r="S108" i="7" s="1"/>
  <c r="T108" i="7" s="1"/>
  <c r="U108" i="7" s="1"/>
  <c r="S115" i="6"/>
  <c r="T115" i="6" s="1"/>
  <c r="U115" i="6" s="1"/>
  <c r="AC108" i="7" l="1"/>
  <c r="Y108" i="7"/>
  <c r="V108" i="7"/>
  <c r="AA108" i="7"/>
  <c r="AD108" i="7"/>
  <c r="Z108" i="7"/>
  <c r="AB108" i="7"/>
  <c r="S109" i="7" s="1"/>
  <c r="T109" i="7" s="1"/>
  <c r="U109" i="7" s="1"/>
  <c r="AD115" i="6"/>
  <c r="AB115" i="6"/>
  <c r="Z115" i="6"/>
  <c r="Y115" i="6"/>
  <c r="AC115" i="6"/>
  <c r="V115" i="6"/>
  <c r="AA115" i="6"/>
  <c r="AA109" i="7" l="1"/>
  <c r="AD109" i="7"/>
  <c r="AC109" i="7"/>
  <c r="Z109" i="7"/>
  <c r="Y109" i="7"/>
  <c r="AB109" i="7"/>
  <c r="S110" i="7" s="1"/>
  <c r="T110" i="7" s="1"/>
  <c r="U110" i="7" s="1"/>
  <c r="V109" i="7"/>
  <c r="S116" i="6"/>
  <c r="T116" i="6" s="1"/>
  <c r="U116" i="6" s="1"/>
  <c r="V110" i="7" l="1"/>
  <c r="AD110" i="7"/>
  <c r="AA110" i="7"/>
  <c r="Z110" i="7"/>
  <c r="Y110" i="7"/>
  <c r="AC110" i="7"/>
  <c r="AB110" i="7"/>
  <c r="Z116" i="6"/>
  <c r="Y116" i="6"/>
  <c r="AC116" i="6"/>
  <c r="V116" i="6"/>
  <c r="AD116" i="6"/>
  <c r="AA116" i="6"/>
  <c r="AB116" i="6"/>
  <c r="S117" i="6" s="1"/>
  <c r="T117" i="6" s="1"/>
  <c r="U117" i="6" s="1"/>
  <c r="S111" i="7" l="1"/>
  <c r="T111" i="7" s="1"/>
  <c r="U111" i="7" s="1"/>
  <c r="Z111" i="7" s="1"/>
  <c r="AB117" i="6"/>
  <c r="AA117" i="6"/>
  <c r="AD117" i="6"/>
  <c r="Y117" i="6"/>
  <c r="AC117" i="6"/>
  <c r="Z117" i="6"/>
  <c r="V117" i="6"/>
  <c r="Y111" i="7" l="1"/>
  <c r="AD111" i="7"/>
  <c r="AB111" i="7"/>
  <c r="AA111" i="7"/>
  <c r="AC111" i="7"/>
  <c r="V111" i="7"/>
  <c r="S112" i="7"/>
  <c r="T112" i="7" s="1"/>
  <c r="U112" i="7" s="1"/>
  <c r="AD112" i="7" s="1"/>
  <c r="S118" i="6"/>
  <c r="T118" i="6" s="1"/>
  <c r="U118" i="6" s="1"/>
  <c r="AC118" i="6" s="1"/>
  <c r="AB112" i="7" l="1"/>
  <c r="Y112" i="7"/>
  <c r="AC112" i="7"/>
  <c r="V112" i="7"/>
  <c r="Z112" i="7"/>
  <c r="AA112" i="7"/>
  <c r="AB118" i="6"/>
  <c r="V118" i="6"/>
  <c r="Z118" i="6"/>
  <c r="Y118" i="6"/>
  <c r="AD118" i="6"/>
  <c r="AA118" i="6"/>
  <c r="S113" i="7" l="1"/>
  <c r="T113" i="7" s="1"/>
  <c r="U113" i="7" s="1"/>
  <c r="V113" i="7" s="1"/>
  <c r="S119" i="6"/>
  <c r="T119" i="6" s="1"/>
  <c r="U119" i="6" s="1"/>
  <c r="AC119" i="6" s="1"/>
  <c r="AS24" i="6" s="1"/>
  <c r="AD113" i="7" l="1"/>
  <c r="AC113" i="7"/>
  <c r="AA113" i="7"/>
  <c r="Y113" i="7"/>
  <c r="AB113" i="7"/>
  <c r="S114" i="7" s="1"/>
  <c r="T114" i="7" s="1"/>
  <c r="U114" i="7" s="1"/>
  <c r="Z114" i="7" s="1"/>
  <c r="Z113" i="7"/>
  <c r="Z119" i="6"/>
  <c r="AA119" i="6"/>
  <c r="Y119" i="6"/>
  <c r="V119" i="6"/>
  <c r="X119" i="6" s="1"/>
  <c r="AQ24" i="6" s="1"/>
  <c r="AB119" i="6"/>
  <c r="AR24" i="6" s="1"/>
  <c r="AD119" i="6"/>
  <c r="AT24" i="6" s="1"/>
  <c r="AX24" i="6" s="1"/>
  <c r="AB114" i="7" l="1"/>
  <c r="AD114" i="7"/>
  <c r="Y114" i="7"/>
  <c r="AA114" i="7"/>
  <c r="AC114" i="7"/>
  <c r="S115" i="7" s="1"/>
  <c r="T115" i="7" s="1"/>
  <c r="U115" i="7" s="1"/>
  <c r="V114" i="7"/>
  <c r="AZ24" i="6"/>
  <c r="S120" i="6"/>
  <c r="T120" i="6" s="1"/>
  <c r="U120" i="6" s="1"/>
  <c r="AB120" i="6" s="1"/>
  <c r="AC120" i="6"/>
  <c r="V120" i="6"/>
  <c r="AD120" i="6"/>
  <c r="Z120" i="6"/>
  <c r="Y120" i="6"/>
  <c r="AC115" i="7" l="1"/>
  <c r="Y115" i="7"/>
  <c r="AB115" i="7"/>
  <c r="Z115" i="7"/>
  <c r="V115" i="7"/>
  <c r="AA115" i="7"/>
  <c r="AD115" i="7"/>
  <c r="AA120" i="6"/>
  <c r="S121" i="6"/>
  <c r="T121" i="6" s="1"/>
  <c r="U121" i="6" s="1"/>
  <c r="AB121" i="6" s="1"/>
  <c r="S116" i="7" l="1"/>
  <c r="T116" i="7" s="1"/>
  <c r="U116" i="7" s="1"/>
  <c r="Z116" i="7" s="1"/>
  <c r="Z121" i="6"/>
  <c r="AA121" i="6"/>
  <c r="Y121" i="6"/>
  <c r="AC121" i="6"/>
  <c r="AD121" i="6"/>
  <c r="V121" i="6"/>
  <c r="S122" i="6"/>
  <c r="T122" i="6" s="1"/>
  <c r="U122" i="6" s="1"/>
  <c r="AC116" i="7" l="1"/>
  <c r="AB116" i="7"/>
  <c r="Y116" i="7"/>
  <c r="AD116" i="7"/>
  <c r="AA116" i="7"/>
  <c r="V116" i="7"/>
  <c r="Y122" i="6"/>
  <c r="AB122" i="6"/>
  <c r="Z122" i="6"/>
  <c r="AA122" i="6"/>
  <c r="V122" i="6"/>
  <c r="AC122" i="6"/>
  <c r="AD122" i="6"/>
  <c r="S117" i="7" l="1"/>
  <c r="T117" i="7" s="1"/>
  <c r="U117" i="7" s="1"/>
  <c r="S123" i="6"/>
  <c r="T123" i="6" s="1"/>
  <c r="U123" i="6" s="1"/>
  <c r="AC117" i="7" l="1"/>
  <c r="AB117" i="7"/>
  <c r="V117" i="7"/>
  <c r="AA117" i="7"/>
  <c r="AD117" i="7"/>
  <c r="Y117" i="7"/>
  <c r="Z117" i="7"/>
  <c r="Y123" i="6"/>
  <c r="AA123" i="6"/>
  <c r="AB123" i="6"/>
  <c r="V123" i="6"/>
  <c r="AC123" i="6"/>
  <c r="AD123" i="6"/>
  <c r="Z123" i="6"/>
  <c r="S118" i="7" l="1"/>
  <c r="T118" i="7" s="1"/>
  <c r="U118" i="7" s="1"/>
  <c r="S124" i="6"/>
  <c r="T124" i="6" s="1"/>
  <c r="U124" i="6" s="1"/>
  <c r="V118" i="7" l="1"/>
  <c r="AB118" i="7"/>
  <c r="AC118" i="7"/>
  <c r="Y118" i="7"/>
  <c r="Z118" i="7"/>
  <c r="AA118" i="7"/>
  <c r="AD118" i="7"/>
  <c r="V124" i="6"/>
  <c r="AB124" i="6"/>
  <c r="Y124" i="6"/>
  <c r="AD124" i="6"/>
  <c r="AC124" i="6"/>
  <c r="AA124" i="6"/>
  <c r="Z124" i="6"/>
  <c r="S119" i="7" l="1"/>
  <c r="T119" i="7" s="1"/>
  <c r="U119" i="7" s="1"/>
  <c r="S125" i="6"/>
  <c r="T125" i="6" s="1"/>
  <c r="U125" i="6" s="1"/>
  <c r="AC125" i="6" s="1"/>
  <c r="Y119" i="7" l="1"/>
  <c r="AD119" i="7"/>
  <c r="AT24" i="7" s="1"/>
  <c r="AB119" i="7"/>
  <c r="Z119" i="7"/>
  <c r="V119" i="7"/>
  <c r="X119" i="7" s="1"/>
  <c r="AQ24" i="7" s="1"/>
  <c r="AA119" i="7"/>
  <c r="AC119" i="7"/>
  <c r="AS24" i="7" s="1"/>
  <c r="V125" i="6"/>
  <c r="Z125" i="6"/>
  <c r="Y125" i="6"/>
  <c r="AB125" i="6"/>
  <c r="AA125" i="6"/>
  <c r="AD125" i="6"/>
  <c r="S126" i="6" s="1"/>
  <c r="T126" i="6" s="1"/>
  <c r="U126" i="6" s="1"/>
  <c r="Z126" i="6" s="1"/>
  <c r="AR24" i="7" l="1"/>
  <c r="S120" i="7"/>
  <c r="T120" i="7" s="1"/>
  <c r="U120" i="7" s="1"/>
  <c r="V126" i="6"/>
  <c r="AD126" i="6"/>
  <c r="Y126" i="6"/>
  <c r="AB126" i="6"/>
  <c r="AA126" i="6"/>
  <c r="AC126" i="6"/>
  <c r="AD120" i="7" l="1"/>
  <c r="AA120" i="7"/>
  <c r="V120" i="7"/>
  <c r="Y120" i="7"/>
  <c r="AB120" i="7"/>
  <c r="AC120" i="7"/>
  <c r="Z120" i="7"/>
  <c r="AX24" i="7"/>
  <c r="AZ24" i="7"/>
  <c r="S127" i="6"/>
  <c r="T127" i="6" s="1"/>
  <c r="U127" i="6" s="1"/>
  <c r="AD127" i="6" s="1"/>
  <c r="S121" i="7" l="1"/>
  <c r="T121" i="7" s="1"/>
  <c r="U121" i="7" s="1"/>
  <c r="Z121" i="7" s="1"/>
  <c r="AB127" i="6"/>
  <c r="AA127" i="6"/>
  <c r="Y127" i="6"/>
  <c r="AC127" i="6"/>
  <c r="S128" i="6" s="1"/>
  <c r="T128" i="6" s="1"/>
  <c r="U128" i="6" s="1"/>
  <c r="Y128" i="6" s="1"/>
  <c r="Z127" i="6"/>
  <c r="V127" i="6"/>
  <c r="AA121" i="7" l="1"/>
  <c r="AC121" i="7"/>
  <c r="AD121" i="7"/>
  <c r="AB121" i="7"/>
  <c r="V121" i="7"/>
  <c r="Y121" i="7"/>
  <c r="S122" i="7"/>
  <c r="T122" i="7" s="1"/>
  <c r="U122" i="7" s="1"/>
  <c r="V128" i="6"/>
  <c r="AC128" i="6"/>
  <c r="AD128" i="6"/>
  <c r="AB128" i="6"/>
  <c r="S129" i="6" s="1"/>
  <c r="T129" i="6" s="1"/>
  <c r="U129" i="6" s="1"/>
  <c r="AA128" i="6"/>
  <c r="Z128" i="6"/>
  <c r="AD122" i="7" l="1"/>
  <c r="Y122" i="7"/>
  <c r="AB122" i="7"/>
  <c r="Z122" i="7"/>
  <c r="V122" i="7"/>
  <c r="AC122" i="7"/>
  <c r="AA122" i="7"/>
  <c r="Z129" i="6"/>
  <c r="V129" i="6"/>
  <c r="AA129" i="6"/>
  <c r="AD129" i="6"/>
  <c r="AC129" i="6"/>
  <c r="Y129" i="6"/>
  <c r="AB129" i="6"/>
  <c r="S130" i="6" s="1"/>
  <c r="T130" i="6" s="1"/>
  <c r="U130" i="6" s="1"/>
  <c r="S123" i="7" l="1"/>
  <c r="T123" i="7" s="1"/>
  <c r="U123" i="7" s="1"/>
  <c r="AC130" i="6"/>
  <c r="AD130" i="6"/>
  <c r="V130" i="6"/>
  <c r="AA130" i="6"/>
  <c r="Z130" i="6"/>
  <c r="Y130" i="6"/>
  <c r="AB130" i="6"/>
  <c r="AD123" i="7" l="1"/>
  <c r="Y123" i="7"/>
  <c r="AB123" i="7"/>
  <c r="V123" i="7"/>
  <c r="Z123" i="7"/>
  <c r="AA123" i="7"/>
  <c r="AC123" i="7"/>
  <c r="S131" i="6"/>
  <c r="T131" i="6" s="1"/>
  <c r="U131" i="6" s="1"/>
  <c r="AC131" i="6" s="1"/>
  <c r="S124" i="7" l="1"/>
  <c r="T124" i="7" s="1"/>
  <c r="U124" i="7" s="1"/>
  <c r="AD131" i="6"/>
  <c r="AB131" i="6"/>
  <c r="V131" i="6"/>
  <c r="Z131" i="6"/>
  <c r="AA131" i="6"/>
  <c r="Y131" i="6"/>
  <c r="S132" i="6"/>
  <c r="T132" i="6" s="1"/>
  <c r="U132" i="6" s="1"/>
  <c r="V132" i="6" s="1"/>
  <c r="AD124" i="7" l="1"/>
  <c r="AB124" i="7"/>
  <c r="AA124" i="7"/>
  <c r="V124" i="7"/>
  <c r="AC124" i="7"/>
  <c r="Z124" i="7"/>
  <c r="Y124" i="7"/>
  <c r="AC132" i="6"/>
  <c r="AB132" i="6"/>
  <c r="AD132" i="6"/>
  <c r="Y132" i="6"/>
  <c r="AA132" i="6"/>
  <c r="Z132" i="6"/>
  <c r="S125" i="7" l="1"/>
  <c r="T125" i="7" s="1"/>
  <c r="U125" i="7" s="1"/>
  <c r="S133" i="6"/>
  <c r="T133" i="6" s="1"/>
  <c r="U133" i="6" s="1"/>
  <c r="Z133" i="6" s="1"/>
  <c r="V125" i="7" l="1"/>
  <c r="AD125" i="7"/>
  <c r="AC125" i="7"/>
  <c r="AA125" i="7"/>
  <c r="Y125" i="7"/>
  <c r="AB125" i="7"/>
  <c r="Z125" i="7"/>
  <c r="AC133" i="6"/>
  <c r="AA133" i="6"/>
  <c r="AD133" i="6"/>
  <c r="Y133" i="6"/>
  <c r="V133" i="6"/>
  <c r="AB133" i="6"/>
  <c r="S126" i="7" l="1"/>
  <c r="T126" i="7" s="1"/>
  <c r="U126" i="7" s="1"/>
  <c r="AC126" i="7" s="1"/>
  <c r="S134" i="6"/>
  <c r="T134" i="6" s="1"/>
  <c r="U134" i="6" s="1"/>
  <c r="AD134" i="6" s="1"/>
  <c r="V126" i="7" l="1"/>
  <c r="AB126" i="7"/>
  <c r="Y126" i="7"/>
  <c r="Z126" i="7"/>
  <c r="AD126" i="7"/>
  <c r="S127" i="7" s="1"/>
  <c r="T127" i="7" s="1"/>
  <c r="U127" i="7" s="1"/>
  <c r="AA126" i="7"/>
  <c r="Z134" i="6"/>
  <c r="AB134" i="6"/>
  <c r="AA134" i="6"/>
  <c r="V134" i="6"/>
  <c r="AC134" i="6"/>
  <c r="S135" i="6" s="1"/>
  <c r="T135" i="6" s="1"/>
  <c r="U135" i="6" s="1"/>
  <c r="AD135" i="6" s="1"/>
  <c r="Y134" i="6"/>
  <c r="Z127" i="7" l="1"/>
  <c r="V127" i="7"/>
  <c r="AC127" i="7"/>
  <c r="AB127" i="7"/>
  <c r="Y127" i="7"/>
  <c r="AA127" i="7"/>
  <c r="AD127" i="7"/>
  <c r="S128" i="7"/>
  <c r="T128" i="7" s="1"/>
  <c r="U128" i="7" s="1"/>
  <c r="AC135" i="6"/>
  <c r="AB135" i="6"/>
  <c r="V135" i="6"/>
  <c r="Z135" i="6"/>
  <c r="AA135" i="6"/>
  <c r="Y135" i="6"/>
  <c r="AA128" i="7" l="1"/>
  <c r="Y128" i="7"/>
  <c r="AB128" i="7"/>
  <c r="Z128" i="7"/>
  <c r="AD128" i="7"/>
  <c r="AC128" i="7"/>
  <c r="V128" i="7"/>
  <c r="S136" i="6"/>
  <c r="T136" i="6" s="1"/>
  <c r="U136" i="6" s="1"/>
  <c r="AD136" i="6" s="1"/>
  <c r="S129" i="7" l="1"/>
  <c r="T129" i="7" s="1"/>
  <c r="U129" i="7" s="1"/>
  <c r="AA136" i="6"/>
  <c r="Z136" i="6"/>
  <c r="V136" i="6"/>
  <c r="Y136" i="6"/>
  <c r="AB136" i="6"/>
  <c r="AC136" i="6"/>
  <c r="S137" i="6" s="1"/>
  <c r="T137" i="6" s="1"/>
  <c r="U137" i="6" s="1"/>
  <c r="V137" i="6" s="1"/>
  <c r="V129" i="7" l="1"/>
  <c r="Z129" i="7"/>
  <c r="Y129" i="7"/>
  <c r="AB129" i="7"/>
  <c r="AC129" i="7"/>
  <c r="AA129" i="7"/>
  <c r="AD129" i="7"/>
  <c r="AD137" i="6"/>
  <c r="AA137" i="6"/>
  <c r="Y137" i="6"/>
  <c r="Z137" i="6"/>
  <c r="AC137" i="6"/>
  <c r="AB137" i="6"/>
  <c r="S130" i="7" l="1"/>
  <c r="T130" i="7" s="1"/>
  <c r="U130" i="7" s="1"/>
  <c r="S138" i="6"/>
  <c r="T138" i="6" s="1"/>
  <c r="U138" i="6" s="1"/>
  <c r="AB138" i="6" s="1"/>
  <c r="AD130" i="7" l="1"/>
  <c r="AA130" i="7"/>
  <c r="Y130" i="7"/>
  <c r="AB130" i="7"/>
  <c r="AC130" i="7"/>
  <c r="Z130" i="7"/>
  <c r="V130" i="7"/>
  <c r="AA138" i="6"/>
  <c r="Z138" i="6"/>
  <c r="AD138" i="6"/>
  <c r="Y138" i="6"/>
  <c r="V138" i="6"/>
  <c r="AC138" i="6"/>
  <c r="S139" i="6" s="1"/>
  <c r="T139" i="6" s="1"/>
  <c r="U139" i="6" s="1"/>
  <c r="S131" i="7" l="1"/>
  <c r="T131" i="7" s="1"/>
  <c r="U131" i="7" s="1"/>
  <c r="AD131" i="7" s="1"/>
  <c r="AC139" i="6"/>
  <c r="AS25" i="6" s="1"/>
  <c r="Z139" i="6"/>
  <c r="Y139" i="6"/>
  <c r="AB139" i="6"/>
  <c r="AR25" i="6" s="1"/>
  <c r="V139" i="6"/>
  <c r="X139" i="6" s="1"/>
  <c r="AQ25" i="6" s="1"/>
  <c r="AD139" i="6"/>
  <c r="AT25" i="6" s="1"/>
  <c r="AX25" i="6" s="1"/>
  <c r="AA139" i="6"/>
  <c r="S140" i="6"/>
  <c r="T140" i="6" s="1"/>
  <c r="U140" i="6" s="1"/>
  <c r="AD140" i="6" s="1"/>
  <c r="AZ25" i="6"/>
  <c r="Y131" i="7" l="1"/>
  <c r="AA131" i="7"/>
  <c r="AB131" i="7"/>
  <c r="Z131" i="7"/>
  <c r="V131" i="7"/>
  <c r="AC131" i="7"/>
  <c r="S132" i="7"/>
  <c r="T132" i="7" s="1"/>
  <c r="U132" i="7" s="1"/>
  <c r="Z132" i="7" s="1"/>
  <c r="AC140" i="6"/>
  <c r="AB140" i="6"/>
  <c r="AA140" i="6"/>
  <c r="V140" i="6"/>
  <c r="Z140" i="6"/>
  <c r="Y140" i="6"/>
  <c r="AC132" i="7" l="1"/>
  <c r="Y132" i="7"/>
  <c r="AB132" i="7"/>
  <c r="AA132" i="7"/>
  <c r="V132" i="7"/>
  <c r="AD132" i="7"/>
  <c r="S133" i="7"/>
  <c r="T133" i="7" s="1"/>
  <c r="U133" i="7" s="1"/>
  <c r="S141" i="6"/>
  <c r="T141" i="6" s="1"/>
  <c r="U141" i="6" s="1"/>
  <c r="AA141" i="6" s="1"/>
  <c r="AA133" i="7" l="1"/>
  <c r="AC133" i="7"/>
  <c r="AD133" i="7"/>
  <c r="V133" i="7"/>
  <c r="AB133" i="7"/>
  <c r="S134" i="7" s="1"/>
  <c r="T134" i="7" s="1"/>
  <c r="U134" i="7" s="1"/>
  <c r="Y133" i="7"/>
  <c r="Z133" i="7"/>
  <c r="AC141" i="6"/>
  <c r="AB141" i="6"/>
  <c r="Y141" i="6"/>
  <c r="AD141" i="6"/>
  <c r="V141" i="6"/>
  <c r="Z141" i="6"/>
  <c r="S142" i="6"/>
  <c r="T142" i="6" s="1"/>
  <c r="U142" i="6" s="1"/>
  <c r="AB142" i="6" s="1"/>
  <c r="Y134" i="7" l="1"/>
  <c r="AC134" i="7"/>
  <c r="AA134" i="7"/>
  <c r="AB134" i="7"/>
  <c r="Z134" i="7"/>
  <c r="V134" i="7"/>
  <c r="AD134" i="7"/>
  <c r="AA142" i="6"/>
  <c r="Y142" i="6"/>
  <c r="AD142" i="6"/>
  <c r="AC142" i="6"/>
  <c r="V142" i="6"/>
  <c r="Z142" i="6"/>
  <c r="S143" i="6"/>
  <c r="T143" i="6" s="1"/>
  <c r="U143" i="6" s="1"/>
  <c r="S135" i="7" l="1"/>
  <c r="T135" i="7" s="1"/>
  <c r="U135" i="7" s="1"/>
  <c r="Z135" i="7" s="1"/>
  <c r="Z143" i="6"/>
  <c r="Y143" i="6"/>
  <c r="V143" i="6"/>
  <c r="AC143" i="6"/>
  <c r="AD143" i="6"/>
  <c r="AB143" i="6"/>
  <c r="AA143" i="6"/>
  <c r="AC135" i="7" l="1"/>
  <c r="AA135" i="7"/>
  <c r="AD135" i="7"/>
  <c r="Y135" i="7"/>
  <c r="V135" i="7"/>
  <c r="AB135" i="7"/>
  <c r="S144" i="6"/>
  <c r="T144" i="6" s="1"/>
  <c r="U144" i="6" s="1"/>
  <c r="AD144" i="6" s="1"/>
  <c r="S136" i="7" l="1"/>
  <c r="T136" i="7" s="1"/>
  <c r="U136" i="7" s="1"/>
  <c r="Z136" i="7" s="1"/>
  <c r="Z144" i="6"/>
  <c r="AC144" i="6"/>
  <c r="Y144" i="6"/>
  <c r="V144" i="6"/>
  <c r="AB144" i="6"/>
  <c r="AA144" i="6"/>
  <c r="S145" i="6"/>
  <c r="T145" i="6" s="1"/>
  <c r="U145" i="6" s="1"/>
  <c r="AD145" i="6" s="1"/>
  <c r="V136" i="7" l="1"/>
  <c r="Y136" i="7"/>
  <c r="AC136" i="7"/>
  <c r="AA136" i="7"/>
  <c r="AD136" i="7"/>
  <c r="AB136" i="7"/>
  <c r="S137" i="7" s="1"/>
  <c r="T137" i="7" s="1"/>
  <c r="U137" i="7" s="1"/>
  <c r="V145" i="6"/>
  <c r="AB145" i="6"/>
  <c r="Y145" i="6"/>
  <c r="AA145" i="6"/>
  <c r="Z145" i="6"/>
  <c r="AC145" i="6"/>
  <c r="S146" i="6" s="1"/>
  <c r="T146" i="6" s="1"/>
  <c r="U146" i="6" s="1"/>
  <c r="AA146" i="6" s="1"/>
  <c r="Y137" i="7" l="1"/>
  <c r="AC137" i="7"/>
  <c r="AA137" i="7"/>
  <c r="AD137" i="7"/>
  <c r="AB137" i="7"/>
  <c r="S138" i="7" s="1"/>
  <c r="T138" i="7" s="1"/>
  <c r="U138" i="7" s="1"/>
  <c r="Z137" i="7"/>
  <c r="V137" i="7"/>
  <c r="Z146" i="6"/>
  <c r="AB146" i="6"/>
  <c r="AD146" i="6"/>
  <c r="AC146" i="6"/>
  <c r="S147" i="6" s="1"/>
  <c r="T147" i="6" s="1"/>
  <c r="U147" i="6" s="1"/>
  <c r="Y146" i="6"/>
  <c r="V146" i="6"/>
  <c r="Z138" i="7" l="1"/>
  <c r="AC138" i="7"/>
  <c r="AD138" i="7"/>
  <c r="Y138" i="7"/>
  <c r="AB138" i="7"/>
  <c r="V138" i="7"/>
  <c r="AA138" i="7"/>
  <c r="Z147" i="6"/>
  <c r="AB147" i="6"/>
  <c r="Y147" i="6"/>
  <c r="AD147" i="6"/>
  <c r="V147" i="6"/>
  <c r="AA147" i="6"/>
  <c r="AC147" i="6"/>
  <c r="S148" i="6"/>
  <c r="T148" i="6" s="1"/>
  <c r="U148" i="6" s="1"/>
  <c r="S139" i="7" l="1"/>
  <c r="T139" i="7" s="1"/>
  <c r="U139" i="7" s="1"/>
  <c r="AB139" i="7" s="1"/>
  <c r="AD148" i="6"/>
  <c r="AA148" i="6"/>
  <c r="Y148" i="6"/>
  <c r="Z148" i="6"/>
  <c r="AB148" i="6"/>
  <c r="AC148" i="6"/>
  <c r="V148" i="6"/>
  <c r="V139" i="7" l="1"/>
  <c r="X139" i="7" s="1"/>
  <c r="AQ25" i="7" s="1"/>
  <c r="AC139" i="7"/>
  <c r="AS25" i="7" s="1"/>
  <c r="AA139" i="7"/>
  <c r="Y139" i="7"/>
  <c r="Z139" i="7"/>
  <c r="AD139" i="7"/>
  <c r="AT25" i="7" s="1"/>
  <c r="S140" i="7"/>
  <c r="T140" i="7" s="1"/>
  <c r="U140" i="7" s="1"/>
  <c r="AR25" i="7"/>
  <c r="S149" i="6"/>
  <c r="T149" i="6" s="1"/>
  <c r="U149" i="6" s="1"/>
  <c r="Y149" i="6" s="1"/>
  <c r="AZ25" i="7" l="1"/>
  <c r="AX25" i="7"/>
  <c r="AB140" i="7"/>
  <c r="Z140" i="7"/>
  <c r="AA140" i="7"/>
  <c r="Y140" i="7"/>
  <c r="V140" i="7"/>
  <c r="AD140" i="7"/>
  <c r="AC140" i="7"/>
  <c r="AB149" i="6"/>
  <c r="AA149" i="6"/>
  <c r="Z149" i="6"/>
  <c r="V149" i="6"/>
  <c r="AC149" i="6"/>
  <c r="AD149" i="6"/>
  <c r="S141" i="7" l="1"/>
  <c r="T141" i="7" s="1"/>
  <c r="U141" i="7" s="1"/>
  <c r="S150" i="6"/>
  <c r="T150" i="6" s="1"/>
  <c r="U150" i="6" s="1"/>
  <c r="AC150" i="6" s="1"/>
  <c r="Y141" i="7" l="1"/>
  <c r="AC141" i="7"/>
  <c r="Z141" i="7"/>
  <c r="AA141" i="7"/>
  <c r="AD141" i="7"/>
  <c r="V141" i="7"/>
  <c r="AB141" i="7"/>
  <c r="S142" i="7" s="1"/>
  <c r="T142" i="7" s="1"/>
  <c r="U142" i="7" s="1"/>
  <c r="V150" i="6"/>
  <c r="Z150" i="6"/>
  <c r="AB150" i="6"/>
  <c r="AA150" i="6"/>
  <c r="AD150" i="6"/>
  <c r="S151" i="6" s="1"/>
  <c r="T151" i="6" s="1"/>
  <c r="U151" i="6" s="1"/>
  <c r="AA151" i="6" s="1"/>
  <c r="Y150" i="6"/>
  <c r="AA142" i="7" l="1"/>
  <c r="AB142" i="7"/>
  <c r="V142" i="7"/>
  <c r="Z142" i="7"/>
  <c r="AC142" i="7"/>
  <c r="Y142" i="7"/>
  <c r="AD142" i="7"/>
  <c r="V151" i="6"/>
  <c r="Z151" i="6"/>
  <c r="Y151" i="6"/>
  <c r="AC151" i="6"/>
  <c r="AD151" i="6"/>
  <c r="AB151" i="6"/>
  <c r="S143" i="7" l="1"/>
  <c r="T143" i="7" s="1"/>
  <c r="U143" i="7" s="1"/>
  <c r="S152" i="6"/>
  <c r="T152" i="6" s="1"/>
  <c r="U152" i="6" s="1"/>
  <c r="Y152" i="6" s="1"/>
  <c r="AC143" i="7" l="1"/>
  <c r="V143" i="7"/>
  <c r="Z143" i="7"/>
  <c r="AA143" i="7"/>
  <c r="AD143" i="7"/>
  <c r="Y143" i="7"/>
  <c r="AB143" i="7"/>
  <c r="AD152" i="6"/>
  <c r="AB152" i="6"/>
  <c r="AA152" i="6"/>
  <c r="Z152" i="6"/>
  <c r="AC152" i="6"/>
  <c r="V152" i="6"/>
  <c r="S144" i="7" l="1"/>
  <c r="T144" i="7" s="1"/>
  <c r="U144" i="7" s="1"/>
  <c r="AD144" i="7" s="1"/>
  <c r="S153" i="6"/>
  <c r="T153" i="6" s="1"/>
  <c r="U153" i="6" s="1"/>
  <c r="Y153" i="6" s="1"/>
  <c r="V144" i="7" l="1"/>
  <c r="Z144" i="7"/>
  <c r="AA144" i="7"/>
  <c r="AC144" i="7"/>
  <c r="AB144" i="7"/>
  <c r="S145" i="7" s="1"/>
  <c r="T145" i="7" s="1"/>
  <c r="U145" i="7" s="1"/>
  <c r="Y144" i="7"/>
  <c r="V153" i="6"/>
  <c r="AD153" i="6"/>
  <c r="AB153" i="6"/>
  <c r="Z153" i="6"/>
  <c r="AC153" i="6"/>
  <c r="S154" i="6" s="1"/>
  <c r="T154" i="6" s="1"/>
  <c r="U154" i="6" s="1"/>
  <c r="AC154" i="6" s="1"/>
  <c r="AA153" i="6"/>
  <c r="AC145" i="7" l="1"/>
  <c r="AB145" i="7"/>
  <c r="V145" i="7"/>
  <c r="AD145" i="7"/>
  <c r="Y145" i="7"/>
  <c r="AA145" i="7"/>
  <c r="Z145" i="7"/>
  <c r="Z154" i="6"/>
  <c r="AB154" i="6"/>
  <c r="AA154" i="6"/>
  <c r="Y154" i="6"/>
  <c r="AD154" i="6"/>
  <c r="V154" i="6"/>
  <c r="S155" i="6"/>
  <c r="T155" i="6" s="1"/>
  <c r="U155" i="6" s="1"/>
  <c r="V155" i="6" s="1"/>
  <c r="S146" i="7" l="1"/>
  <c r="T146" i="7" s="1"/>
  <c r="U146" i="7" s="1"/>
  <c r="Y146" i="7" s="1"/>
  <c r="AC155" i="6"/>
  <c r="Y155" i="6"/>
  <c r="Z155" i="6"/>
  <c r="AB155" i="6"/>
  <c r="AA155" i="6"/>
  <c r="AD155" i="6"/>
  <c r="AA146" i="7" l="1"/>
  <c r="V146" i="7"/>
  <c r="AD146" i="7"/>
  <c r="AB146" i="7"/>
  <c r="AC146" i="7"/>
  <c r="S147" i="7" s="1"/>
  <c r="T147" i="7" s="1"/>
  <c r="U147" i="7" s="1"/>
  <c r="Z146" i="7"/>
  <c r="S156" i="6"/>
  <c r="T156" i="6" s="1"/>
  <c r="U156" i="6" s="1"/>
  <c r="AA156" i="6" s="1"/>
  <c r="Z147" i="7" l="1"/>
  <c r="V147" i="7"/>
  <c r="AC147" i="7"/>
  <c r="Y147" i="7"/>
  <c r="AD147" i="7"/>
  <c r="AB147" i="7"/>
  <c r="S148" i="7" s="1"/>
  <c r="T148" i="7" s="1"/>
  <c r="U148" i="7" s="1"/>
  <c r="AA147" i="7"/>
  <c r="Y156" i="6"/>
  <c r="AD156" i="6"/>
  <c r="Z156" i="6"/>
  <c r="V156" i="6"/>
  <c r="AB156" i="6"/>
  <c r="AC156" i="6"/>
  <c r="AB148" i="7" l="1"/>
  <c r="Y148" i="7"/>
  <c r="AA148" i="7"/>
  <c r="AC148" i="7"/>
  <c r="Z148" i="7"/>
  <c r="V148" i="7"/>
  <c r="AD148" i="7"/>
  <c r="S157" i="6"/>
  <c r="T157" i="6" s="1"/>
  <c r="U157" i="6" s="1"/>
  <c r="Y157" i="6" s="1"/>
  <c r="AC157" i="6"/>
  <c r="AB157" i="6"/>
  <c r="S149" i="7" l="1"/>
  <c r="T149" i="7" s="1"/>
  <c r="U149" i="7" s="1"/>
  <c r="V157" i="6"/>
  <c r="AA157" i="6"/>
  <c r="Z157" i="6"/>
  <c r="AD157" i="6"/>
  <c r="S158" i="6"/>
  <c r="T158" i="6" s="1"/>
  <c r="U158" i="6" s="1"/>
  <c r="Y158" i="6" s="1"/>
  <c r="V149" i="7" l="1"/>
  <c r="Z149" i="7"/>
  <c r="Y149" i="7"/>
  <c r="AA149" i="7"/>
  <c r="AB149" i="7"/>
  <c r="AC149" i="7"/>
  <c r="AD149" i="7"/>
  <c r="AB158" i="6"/>
  <c r="V158" i="6"/>
  <c r="AC158" i="6"/>
  <c r="AA158" i="6"/>
  <c r="Z158" i="6"/>
  <c r="AD158" i="6"/>
  <c r="S159" i="6"/>
  <c r="T159" i="6" s="1"/>
  <c r="U159" i="6" s="1"/>
  <c r="AD159" i="6" s="1"/>
  <c r="AT26" i="6" s="1"/>
  <c r="S150" i="7" l="1"/>
  <c r="T150" i="7" s="1"/>
  <c r="U150" i="7" s="1"/>
  <c r="Z159" i="6"/>
  <c r="AC159" i="6"/>
  <c r="AS26" i="6" s="1"/>
  <c r="V159" i="6"/>
  <c r="X159" i="6" s="1"/>
  <c r="AQ26" i="6" s="1"/>
  <c r="AB159" i="6"/>
  <c r="AA159" i="6"/>
  <c r="Y159" i="6"/>
  <c r="Y150" i="7" l="1"/>
  <c r="AC150" i="7"/>
  <c r="AD150" i="7"/>
  <c r="AA150" i="7"/>
  <c r="Z150" i="7"/>
  <c r="V150" i="7"/>
  <c r="AB150" i="7"/>
  <c r="S151" i="7" s="1"/>
  <c r="T151" i="7" s="1"/>
  <c r="U151" i="7" s="1"/>
  <c r="AR26" i="6"/>
  <c r="S160" i="6"/>
  <c r="T160" i="6" s="1"/>
  <c r="U160" i="6" s="1"/>
  <c r="Z151" i="7" l="1"/>
  <c r="AA151" i="7"/>
  <c r="Y151" i="7"/>
  <c r="AC151" i="7"/>
  <c r="V151" i="7"/>
  <c r="AD151" i="7"/>
  <c r="AB151" i="7"/>
  <c r="V160" i="6"/>
  <c r="AA160" i="6"/>
  <c r="AB160" i="6"/>
  <c r="AC160" i="6"/>
  <c r="AD160" i="6"/>
  <c r="Z160" i="6"/>
  <c r="Y160" i="6"/>
  <c r="AZ26" i="6"/>
  <c r="AX26" i="6"/>
  <c r="S152" i="7" l="1"/>
  <c r="T152" i="7" s="1"/>
  <c r="U152" i="7" s="1"/>
  <c r="AD152" i="7" s="1"/>
  <c r="S161" i="6"/>
  <c r="T161" i="6" s="1"/>
  <c r="U161" i="6" s="1"/>
  <c r="Z152" i="7" l="1"/>
  <c r="Y152" i="7"/>
  <c r="AA152" i="7"/>
  <c r="AB152" i="7"/>
  <c r="AC152" i="7"/>
  <c r="V152" i="7"/>
  <c r="S153" i="7"/>
  <c r="T153" i="7" s="1"/>
  <c r="U153" i="7" s="1"/>
  <c r="AC153" i="7" s="1"/>
  <c r="AC161" i="6"/>
  <c r="AB161" i="6"/>
  <c r="AD161" i="6"/>
  <c r="AA161" i="6"/>
  <c r="Z161" i="6"/>
  <c r="V161" i="6"/>
  <c r="Y161" i="6"/>
  <c r="AA153" i="7" l="1"/>
  <c r="V153" i="7"/>
  <c r="Z153" i="7"/>
  <c r="AB153" i="7"/>
  <c r="AD153" i="7"/>
  <c r="Y153" i="7"/>
  <c r="S154" i="7"/>
  <c r="T154" i="7" s="1"/>
  <c r="U154" i="7" s="1"/>
  <c r="AD154" i="7" s="1"/>
  <c r="S162" i="6"/>
  <c r="T162" i="6" s="1"/>
  <c r="U162" i="6" s="1"/>
  <c r="Y154" i="7" l="1"/>
  <c r="AB154" i="7"/>
  <c r="AA154" i="7"/>
  <c r="V154" i="7"/>
  <c r="Z154" i="7"/>
  <c r="AC154" i="7"/>
  <c r="S155" i="7" s="1"/>
  <c r="T155" i="7" s="1"/>
  <c r="U155" i="7" s="1"/>
  <c r="Z162" i="6"/>
  <c r="AA162" i="6"/>
  <c r="V162" i="6"/>
  <c r="AD162" i="6"/>
  <c r="Y162" i="6"/>
  <c r="AB162" i="6"/>
  <c r="AC162" i="6"/>
  <c r="Y155" i="7" l="1"/>
  <c r="AA155" i="7"/>
  <c r="V155" i="7"/>
  <c r="AB155" i="7"/>
  <c r="AD155" i="7"/>
  <c r="Z155" i="7"/>
  <c r="AC155" i="7"/>
  <c r="S156" i="7" s="1"/>
  <c r="T156" i="7" s="1"/>
  <c r="U156" i="7" s="1"/>
  <c r="S163" i="6"/>
  <c r="T163" i="6" s="1"/>
  <c r="U163" i="6" s="1"/>
  <c r="AB163" i="6" s="1"/>
  <c r="Z156" i="7" l="1"/>
  <c r="AB156" i="7"/>
  <c r="V156" i="7"/>
  <c r="AD156" i="7"/>
  <c r="AA156" i="7"/>
  <c r="AC156" i="7"/>
  <c r="Y156" i="7"/>
  <c r="AC163" i="6"/>
  <c r="Z163" i="6"/>
  <c r="Y163" i="6"/>
  <c r="V163" i="6"/>
  <c r="AA163" i="6"/>
  <c r="AD163" i="6"/>
  <c r="S157" i="7" l="1"/>
  <c r="T157" i="7" s="1"/>
  <c r="U157" i="7" s="1"/>
  <c r="S164" i="6"/>
  <c r="T164" i="6" s="1"/>
  <c r="U164" i="6" s="1"/>
  <c r="AB164" i="6" s="1"/>
  <c r="AC157" i="7" l="1"/>
  <c r="AB157" i="7"/>
  <c r="Y157" i="7"/>
  <c r="AD157" i="7"/>
  <c r="AA157" i="7"/>
  <c r="Z157" i="7"/>
  <c r="V157" i="7"/>
  <c r="Z164" i="6"/>
  <c r="AD164" i="6"/>
  <c r="Y164" i="6"/>
  <c r="AA164" i="6"/>
  <c r="V164" i="6"/>
  <c r="AC164" i="6"/>
  <c r="S165" i="6"/>
  <c r="T165" i="6" s="1"/>
  <c r="U165" i="6" s="1"/>
  <c r="S158" i="7" l="1"/>
  <c r="T158" i="7" s="1"/>
  <c r="U158" i="7" s="1"/>
  <c r="AB158" i="7" s="1"/>
  <c r="AD165" i="6"/>
  <c r="V165" i="6"/>
  <c r="Y165" i="6"/>
  <c r="AB165" i="6"/>
  <c r="AA165" i="6"/>
  <c r="Z165" i="6"/>
  <c r="AC165" i="6"/>
  <c r="V158" i="7" l="1"/>
  <c r="Y158" i="7"/>
  <c r="AA158" i="7"/>
  <c r="AD158" i="7"/>
  <c r="Z158" i="7"/>
  <c r="AC158" i="7"/>
  <c r="S166" i="6"/>
  <c r="T166" i="6" s="1"/>
  <c r="U166" i="6" s="1"/>
  <c r="S159" i="7" l="1"/>
  <c r="T159" i="7" s="1"/>
  <c r="U159" i="7" s="1"/>
  <c r="AA159" i="7" s="1"/>
  <c r="AB166" i="6"/>
  <c r="AC166" i="6"/>
  <c r="Y166" i="6"/>
  <c r="AD166" i="6"/>
  <c r="V166" i="6"/>
  <c r="AA166" i="6"/>
  <c r="Z166" i="6"/>
  <c r="Z159" i="7" l="1"/>
  <c r="V159" i="7"/>
  <c r="X159" i="7" s="1"/>
  <c r="AQ26" i="7" s="1"/>
  <c r="AC159" i="7"/>
  <c r="AS26" i="7" s="1"/>
  <c r="AD159" i="7"/>
  <c r="AT26" i="7" s="1"/>
  <c r="AB159" i="7"/>
  <c r="Y159" i="7"/>
  <c r="S160" i="7"/>
  <c r="T160" i="7" s="1"/>
  <c r="U160" i="7" s="1"/>
  <c r="AR26" i="7"/>
  <c r="S167" i="6"/>
  <c r="T167" i="6" s="1"/>
  <c r="U167" i="6" s="1"/>
  <c r="AX26" i="7" l="1"/>
  <c r="AZ26" i="7"/>
  <c r="Z160" i="7"/>
  <c r="V160" i="7"/>
  <c r="AB160" i="7"/>
  <c r="AD160" i="7"/>
  <c r="AA160" i="7"/>
  <c r="AC160" i="7"/>
  <c r="Y160" i="7"/>
  <c r="AB167" i="6"/>
  <c r="AD167" i="6"/>
  <c r="Z167" i="6"/>
  <c r="AC167" i="6"/>
  <c r="V167" i="6"/>
  <c r="Y167" i="6"/>
  <c r="AA167" i="6"/>
  <c r="S161" i="7" l="1"/>
  <c r="T161" i="7" s="1"/>
  <c r="U161" i="7" s="1"/>
  <c r="S168" i="6"/>
  <c r="T168" i="6" s="1"/>
  <c r="U168" i="6" s="1"/>
  <c r="AA161" i="7" l="1"/>
  <c r="Z161" i="7"/>
  <c r="V161" i="7"/>
  <c r="AD161" i="7"/>
  <c r="AB161" i="7"/>
  <c r="Y161" i="7"/>
  <c r="AC161" i="7"/>
  <c r="Y168" i="6"/>
  <c r="AB168" i="6"/>
  <c r="AA168" i="6"/>
  <c r="AC168" i="6"/>
  <c r="Z168" i="6"/>
  <c r="V168" i="6"/>
  <c r="AD168" i="6"/>
  <c r="S162" i="7" l="1"/>
  <c r="T162" i="7" s="1"/>
  <c r="U162" i="7" s="1"/>
  <c r="AA162" i="7" s="1"/>
  <c r="S169" i="6"/>
  <c r="T169" i="6" s="1"/>
  <c r="U169" i="6" s="1"/>
  <c r="Y162" i="7" l="1"/>
  <c r="AC162" i="7"/>
  <c r="AD162" i="7"/>
  <c r="Z162" i="7"/>
  <c r="AB162" i="7"/>
  <c r="V162" i="7"/>
  <c r="S163" i="7"/>
  <c r="T163" i="7" s="1"/>
  <c r="U163" i="7" s="1"/>
  <c r="AB169" i="6"/>
  <c r="V169" i="6"/>
  <c r="AD169" i="6"/>
  <c r="Y169" i="6"/>
  <c r="Z169" i="6"/>
  <c r="AC169" i="6"/>
  <c r="AA169" i="6"/>
  <c r="V163" i="7" l="1"/>
  <c r="AB163" i="7"/>
  <c r="AA163" i="7"/>
  <c r="Y163" i="7"/>
  <c r="AC163" i="7"/>
  <c r="Z163" i="7"/>
  <c r="AD163" i="7"/>
  <c r="S170" i="6"/>
  <c r="T170" i="6" s="1"/>
  <c r="U170" i="6" s="1"/>
  <c r="AB170" i="6" s="1"/>
  <c r="S164" i="7" l="1"/>
  <c r="T164" i="7" s="1"/>
  <c r="U164" i="7" s="1"/>
  <c r="AD170" i="6"/>
  <c r="AA170" i="6"/>
  <c r="AC170" i="6"/>
  <c r="Y170" i="6"/>
  <c r="V170" i="6"/>
  <c r="Z170" i="6"/>
  <c r="AA164" i="7" l="1"/>
  <c r="V164" i="7"/>
  <c r="Z164" i="7"/>
  <c r="AB164" i="7"/>
  <c r="AC164" i="7"/>
  <c r="Y164" i="7"/>
  <c r="AD164" i="7"/>
  <c r="S171" i="6"/>
  <c r="T171" i="6" s="1"/>
  <c r="U171" i="6" s="1"/>
  <c r="AB171" i="6" s="1"/>
  <c r="S165" i="7" l="1"/>
  <c r="T165" i="7" s="1"/>
  <c r="U165" i="7" s="1"/>
  <c r="AD171" i="6"/>
  <c r="Z171" i="6"/>
  <c r="AA171" i="6"/>
  <c r="V171" i="6"/>
  <c r="AC171" i="6"/>
  <c r="Y171" i="6"/>
  <c r="Y165" i="7" l="1"/>
  <c r="V165" i="7"/>
  <c r="AB165" i="7"/>
  <c r="AC165" i="7"/>
  <c r="AA165" i="7"/>
  <c r="AD165" i="7"/>
  <c r="Z165" i="7"/>
  <c r="S172" i="6"/>
  <c r="T172" i="6" s="1"/>
  <c r="U172" i="6" s="1"/>
  <c r="AB172" i="6" s="1"/>
  <c r="S166" i="7" l="1"/>
  <c r="T166" i="7" s="1"/>
  <c r="U166" i="7" s="1"/>
  <c r="AD172" i="6"/>
  <c r="Y172" i="6"/>
  <c r="V172" i="6"/>
  <c r="AC172" i="6"/>
  <c r="Z172" i="6"/>
  <c r="AA172" i="6"/>
  <c r="AA166" i="7" l="1"/>
  <c r="AB166" i="7"/>
  <c r="AC166" i="7"/>
  <c r="V166" i="7"/>
  <c r="Z166" i="7"/>
  <c r="Y166" i="7"/>
  <c r="AD166" i="7"/>
  <c r="S173" i="6"/>
  <c r="T173" i="6" s="1"/>
  <c r="U173" i="6" s="1"/>
  <c r="AB173" i="6" s="1"/>
  <c r="S167" i="7" l="1"/>
  <c r="T167" i="7" s="1"/>
  <c r="U167" i="7" s="1"/>
  <c r="Z173" i="6"/>
  <c r="AC173" i="6"/>
  <c r="V173" i="6"/>
  <c r="Y173" i="6"/>
  <c r="AD173" i="6"/>
  <c r="S174" i="6" s="1"/>
  <c r="T174" i="6" s="1"/>
  <c r="U174" i="6" s="1"/>
  <c r="AB174" i="6" s="1"/>
  <c r="AA173" i="6"/>
  <c r="Z167" i="7" l="1"/>
  <c r="Y167" i="7"/>
  <c r="V167" i="7"/>
  <c r="AC167" i="7"/>
  <c r="AD167" i="7"/>
  <c r="AB167" i="7"/>
  <c r="S168" i="7" s="1"/>
  <c r="T168" i="7" s="1"/>
  <c r="U168" i="7" s="1"/>
  <c r="AA167" i="7"/>
  <c r="AD174" i="6"/>
  <c r="AC174" i="6"/>
  <c r="AA174" i="6"/>
  <c r="Z174" i="6"/>
  <c r="Y174" i="6"/>
  <c r="V174" i="6"/>
  <c r="S175" i="6"/>
  <c r="T175" i="6" s="1"/>
  <c r="U175" i="6" s="1"/>
  <c r="V168" i="7" l="1"/>
  <c r="AB168" i="7"/>
  <c r="AC168" i="7"/>
  <c r="AD168" i="7"/>
  <c r="Z168" i="7"/>
  <c r="Y168" i="7"/>
  <c r="AA168" i="7"/>
  <c r="V175" i="6"/>
  <c r="AB175" i="6"/>
  <c r="AA175" i="6"/>
  <c r="Z175" i="6"/>
  <c r="AD175" i="6"/>
  <c r="AC175" i="6"/>
  <c r="S176" i="6" s="1"/>
  <c r="T176" i="6" s="1"/>
  <c r="U176" i="6" s="1"/>
  <c r="Y175" i="6"/>
  <c r="S169" i="7" l="1"/>
  <c r="T169" i="7" s="1"/>
  <c r="U169" i="7" s="1"/>
  <c r="Y176" i="6"/>
  <c r="Z176" i="6"/>
  <c r="V176" i="6"/>
  <c r="AA176" i="6"/>
  <c r="AD176" i="6"/>
  <c r="AC176" i="6"/>
  <c r="AB176" i="6"/>
  <c r="V169" i="7" l="1"/>
  <c r="AC169" i="7"/>
  <c r="AA169" i="7"/>
  <c r="Z169" i="7"/>
  <c r="Y169" i="7"/>
  <c r="AB169" i="7"/>
  <c r="AD169" i="7"/>
  <c r="S177" i="6"/>
  <c r="T177" i="6" s="1"/>
  <c r="U177" i="6" s="1"/>
  <c r="Y177" i="6" s="1"/>
  <c r="S170" i="7" l="1"/>
  <c r="T170" i="7" s="1"/>
  <c r="U170" i="7" s="1"/>
  <c r="AB177" i="6"/>
  <c r="AD177" i="6"/>
  <c r="V177" i="6"/>
  <c r="AA177" i="6"/>
  <c r="AC177" i="6"/>
  <c r="Z177" i="6"/>
  <c r="S178" i="6"/>
  <c r="T178" i="6" s="1"/>
  <c r="U178" i="6" s="1"/>
  <c r="Y178" i="6" s="1"/>
  <c r="Y170" i="7" l="1"/>
  <c r="V170" i="7"/>
  <c r="AA170" i="7"/>
  <c r="AD170" i="7"/>
  <c r="AC170" i="7"/>
  <c r="Z170" i="7"/>
  <c r="AB170" i="7"/>
  <c r="S171" i="7" s="1"/>
  <c r="T171" i="7" s="1"/>
  <c r="U171" i="7" s="1"/>
  <c r="AD178" i="6"/>
  <c r="Z178" i="6"/>
  <c r="AB178" i="6"/>
  <c r="AC178" i="6"/>
  <c r="V178" i="6"/>
  <c r="AA178" i="6"/>
  <c r="Z171" i="7" l="1"/>
  <c r="Y171" i="7"/>
  <c r="AC171" i="7"/>
  <c r="AA171" i="7"/>
  <c r="V171" i="7"/>
  <c r="AD171" i="7"/>
  <c r="AB171" i="7"/>
  <c r="S179" i="6"/>
  <c r="T179" i="6" s="1"/>
  <c r="U179" i="6" s="1"/>
  <c r="AC179" i="6" s="1"/>
  <c r="AS27" i="6" s="1"/>
  <c r="S172" i="7" l="1"/>
  <c r="T172" i="7" s="1"/>
  <c r="U172" i="7" s="1"/>
  <c r="AA172" i="7" s="1"/>
  <c r="AB179" i="6"/>
  <c r="AR27" i="6" s="1"/>
  <c r="AD179" i="6"/>
  <c r="AT27" i="6" s="1"/>
  <c r="Z179" i="6"/>
  <c r="Y179" i="6"/>
  <c r="AA179" i="6"/>
  <c r="V179" i="6"/>
  <c r="X179" i="6" s="1"/>
  <c r="AQ27" i="6" s="1"/>
  <c r="AC172" i="7" l="1"/>
  <c r="AB172" i="7"/>
  <c r="Y172" i="7"/>
  <c r="AD172" i="7"/>
  <c r="Z172" i="7"/>
  <c r="V172" i="7"/>
  <c r="S173" i="7"/>
  <c r="T173" i="7" s="1"/>
  <c r="U173" i="7" s="1"/>
  <c r="Y173" i="7" s="1"/>
  <c r="S180" i="6"/>
  <c r="T180" i="6" s="1"/>
  <c r="U180" i="6" s="1"/>
  <c r="AB180" i="6" s="1"/>
  <c r="AZ27" i="6"/>
  <c r="AX27" i="6"/>
  <c r="Z173" i="7" l="1"/>
  <c r="AD173" i="7"/>
  <c r="V173" i="7"/>
  <c r="AB173" i="7"/>
  <c r="AC173" i="7"/>
  <c r="S174" i="7" s="1"/>
  <c r="T174" i="7" s="1"/>
  <c r="U174" i="7" s="1"/>
  <c r="V174" i="7" s="1"/>
  <c r="AA173" i="7"/>
  <c r="AA180" i="6"/>
  <c r="Y180" i="6"/>
  <c r="AD180" i="6"/>
  <c r="AC180" i="6"/>
  <c r="Z180" i="6"/>
  <c r="V180" i="6"/>
  <c r="S181" i="6"/>
  <c r="T181" i="6" s="1"/>
  <c r="U181" i="6" s="1"/>
  <c r="AD174" i="7" l="1"/>
  <c r="Y174" i="7"/>
  <c r="AB174" i="7"/>
  <c r="AA174" i="7"/>
  <c r="AC174" i="7"/>
  <c r="Z174" i="7"/>
  <c r="Y181" i="6"/>
  <c r="AB181" i="6"/>
  <c r="AC181" i="6"/>
  <c r="Z181" i="6"/>
  <c r="AD181" i="6"/>
  <c r="AA181" i="6"/>
  <c r="V181" i="6"/>
  <c r="S175" i="7" l="1"/>
  <c r="T175" i="7" s="1"/>
  <c r="U175" i="7" s="1"/>
  <c r="AC175" i="7" s="1"/>
  <c r="S182" i="6"/>
  <c r="T182" i="6" s="1"/>
  <c r="U182" i="6" s="1"/>
  <c r="Z175" i="7" l="1"/>
  <c r="AB175" i="7"/>
  <c r="AD175" i="7"/>
  <c r="V175" i="7"/>
  <c r="Y175" i="7"/>
  <c r="AA175" i="7"/>
  <c r="AA182" i="6"/>
  <c r="AD182" i="6"/>
  <c r="V182" i="6"/>
  <c r="Z182" i="6"/>
  <c r="AC182" i="6"/>
  <c r="AB182" i="6"/>
  <c r="Y182" i="6"/>
  <c r="S176" i="7" l="1"/>
  <c r="T176" i="7" s="1"/>
  <c r="U176" i="7" s="1"/>
  <c r="AA176" i="7" s="1"/>
  <c r="S183" i="6"/>
  <c r="T183" i="6" s="1"/>
  <c r="U183" i="6" s="1"/>
  <c r="AD183" i="6" s="1"/>
  <c r="AB176" i="7" l="1"/>
  <c r="V176" i="7"/>
  <c r="Z176" i="7"/>
  <c r="AD176" i="7"/>
  <c r="AC176" i="7"/>
  <c r="Y176" i="7"/>
  <c r="S177" i="7"/>
  <c r="T177" i="7" s="1"/>
  <c r="U177" i="7" s="1"/>
  <c r="AA177" i="7" s="1"/>
  <c r="AC183" i="6"/>
  <c r="Z183" i="6"/>
  <c r="AB183" i="6"/>
  <c r="AA183" i="6"/>
  <c r="V183" i="6"/>
  <c r="Y183" i="6"/>
  <c r="S184" i="6"/>
  <c r="T184" i="6" s="1"/>
  <c r="U184" i="6" s="1"/>
  <c r="Y184" i="6" s="1"/>
  <c r="Z177" i="7" l="1"/>
  <c r="AB177" i="7"/>
  <c r="Y177" i="7"/>
  <c r="AD177" i="7"/>
  <c r="AC177" i="7"/>
  <c r="S178" i="7" s="1"/>
  <c r="T178" i="7" s="1"/>
  <c r="U178" i="7" s="1"/>
  <c r="V177" i="7"/>
  <c r="AC184" i="6"/>
  <c r="Z184" i="6"/>
  <c r="AD184" i="6"/>
  <c r="AA184" i="6"/>
  <c r="V184" i="6"/>
  <c r="AB184" i="6"/>
  <c r="S185" i="6" s="1"/>
  <c r="T185" i="6" s="1"/>
  <c r="U185" i="6" s="1"/>
  <c r="AA178" i="7" l="1"/>
  <c r="AC178" i="7"/>
  <c r="AB178" i="7"/>
  <c r="AD178" i="7"/>
  <c r="V178" i="7"/>
  <c r="Z178" i="7"/>
  <c r="Y178" i="7"/>
  <c r="Y185" i="6"/>
  <c r="V185" i="6"/>
  <c r="AA185" i="6"/>
  <c r="AD185" i="6"/>
  <c r="AC185" i="6"/>
  <c r="AB185" i="6"/>
  <c r="S186" i="6" s="1"/>
  <c r="T186" i="6" s="1"/>
  <c r="U186" i="6" s="1"/>
  <c r="Z185" i="6"/>
  <c r="S179" i="7" l="1"/>
  <c r="T179" i="7" s="1"/>
  <c r="U179" i="7" s="1"/>
  <c r="AC179" i="7" s="1"/>
  <c r="AS27" i="7" s="1"/>
  <c r="V186" i="6"/>
  <c r="AA186" i="6"/>
  <c r="AB186" i="6"/>
  <c r="Z186" i="6"/>
  <c r="AC186" i="6"/>
  <c r="AD186" i="6"/>
  <c r="Y186" i="6"/>
  <c r="V179" i="7" l="1"/>
  <c r="X179" i="7" s="1"/>
  <c r="AQ27" i="7" s="1"/>
  <c r="AD179" i="7"/>
  <c r="AT27" i="7" s="1"/>
  <c r="Z179" i="7"/>
  <c r="Y179" i="7"/>
  <c r="AA179" i="7"/>
  <c r="AB179" i="7"/>
  <c r="S187" i="6"/>
  <c r="T187" i="6" s="1"/>
  <c r="U187" i="6" s="1"/>
  <c r="AR27" i="7" l="1"/>
  <c r="S180" i="7"/>
  <c r="T180" i="7" s="1"/>
  <c r="U180" i="7" s="1"/>
  <c r="AC187" i="6"/>
  <c r="Z187" i="6"/>
  <c r="V187" i="6"/>
  <c r="Y187" i="6"/>
  <c r="AD187" i="6"/>
  <c r="AA187" i="6"/>
  <c r="AB187" i="6"/>
  <c r="AC180" i="7" l="1"/>
  <c r="AB180" i="7"/>
  <c r="Y180" i="7"/>
  <c r="Z180" i="7"/>
  <c r="AA180" i="7"/>
  <c r="AD180" i="7"/>
  <c r="V180" i="7"/>
  <c r="AX27" i="7"/>
  <c r="AZ27" i="7"/>
  <c r="S188" i="6"/>
  <c r="T188" i="6" s="1"/>
  <c r="U188" i="6" s="1"/>
  <c r="AB188" i="6" s="1"/>
  <c r="S181" i="7" l="1"/>
  <c r="T181" i="7" s="1"/>
  <c r="U181" i="7" s="1"/>
  <c r="Y188" i="6"/>
  <c r="AC188" i="6"/>
  <c r="AA188" i="6"/>
  <c r="AD188" i="6"/>
  <c r="V188" i="6"/>
  <c r="Z188" i="6"/>
  <c r="S189" i="6"/>
  <c r="T189" i="6" s="1"/>
  <c r="U189" i="6" s="1"/>
  <c r="AD181" i="7" l="1"/>
  <c r="AA181" i="7"/>
  <c r="Y181" i="7"/>
  <c r="AB181" i="7"/>
  <c r="V181" i="7"/>
  <c r="Z181" i="7"/>
  <c r="AC181" i="7"/>
  <c r="AD189" i="6"/>
  <c r="Z189" i="6"/>
  <c r="AB189" i="6"/>
  <c r="AA189" i="6"/>
  <c r="V189" i="6"/>
  <c r="AC189" i="6"/>
  <c r="Y189" i="6"/>
  <c r="S182" i="7" l="1"/>
  <c r="T182" i="7" s="1"/>
  <c r="U182" i="7" s="1"/>
  <c r="S190" i="6"/>
  <c r="T190" i="6" s="1"/>
  <c r="U190" i="6" s="1"/>
  <c r="AD182" i="7" l="1"/>
  <c r="AA182" i="7"/>
  <c r="AC182" i="7"/>
  <c r="AB182" i="7"/>
  <c r="S183" i="7" s="1"/>
  <c r="T183" i="7" s="1"/>
  <c r="U183" i="7" s="1"/>
  <c r="Y182" i="7"/>
  <c r="V182" i="7"/>
  <c r="Z182" i="7"/>
  <c r="AA190" i="6"/>
  <c r="AC190" i="6"/>
  <c r="V190" i="6"/>
  <c r="AD190" i="6"/>
  <c r="AB190" i="6"/>
  <c r="Z190" i="6"/>
  <c r="Y190" i="6"/>
  <c r="AD183" i="7" l="1"/>
  <c r="V183" i="7"/>
  <c r="Z183" i="7"/>
  <c r="Y183" i="7"/>
  <c r="AA183" i="7"/>
  <c r="AC183" i="7"/>
  <c r="AB183" i="7"/>
  <c r="S191" i="6"/>
  <c r="T191" i="6" s="1"/>
  <c r="U191" i="6" s="1"/>
  <c r="V191" i="6" s="1"/>
  <c r="S184" i="7" l="1"/>
  <c r="T184" i="7" s="1"/>
  <c r="U184" i="7" s="1"/>
  <c r="AC191" i="6"/>
  <c r="Z191" i="6"/>
  <c r="Y191" i="6"/>
  <c r="AB191" i="6"/>
  <c r="AD191" i="6"/>
  <c r="AA191" i="6"/>
  <c r="AC184" i="7" l="1"/>
  <c r="AA184" i="7"/>
  <c r="Z184" i="7"/>
  <c r="Y184" i="7"/>
  <c r="V184" i="7"/>
  <c r="AB184" i="7"/>
  <c r="AD184" i="7"/>
  <c r="S192" i="6"/>
  <c r="T192" i="6" s="1"/>
  <c r="U192" i="6" s="1"/>
  <c r="Z192" i="6" s="1"/>
  <c r="S185" i="7" l="1"/>
  <c r="T185" i="7" s="1"/>
  <c r="U185" i="7" s="1"/>
  <c r="AA185" i="7" s="1"/>
  <c r="AC192" i="6"/>
  <c r="AA192" i="6"/>
  <c r="AD192" i="6"/>
  <c r="AB192" i="6"/>
  <c r="V192" i="6"/>
  <c r="Y192" i="6"/>
  <c r="S193" i="6"/>
  <c r="T193" i="6" s="1"/>
  <c r="U193" i="6" s="1"/>
  <c r="AC193" i="6" s="1"/>
  <c r="V185" i="7" l="1"/>
  <c r="Z185" i="7"/>
  <c r="AC185" i="7"/>
  <c r="AD185" i="7"/>
  <c r="AB185" i="7"/>
  <c r="S186" i="7" s="1"/>
  <c r="T186" i="7" s="1"/>
  <c r="U186" i="7" s="1"/>
  <c r="AD186" i="7" s="1"/>
  <c r="Y185" i="7"/>
  <c r="V193" i="6"/>
  <c r="Z193" i="6"/>
  <c r="Y193" i="6"/>
  <c r="AD193" i="6"/>
  <c r="AA193" i="6"/>
  <c r="AB193" i="6"/>
  <c r="AB186" i="7" l="1"/>
  <c r="AA186" i="7"/>
  <c r="Y186" i="7"/>
  <c r="V186" i="7"/>
  <c r="Z186" i="7"/>
  <c r="AC186" i="7"/>
  <c r="S194" i="6"/>
  <c r="T194" i="6" s="1"/>
  <c r="U194" i="6" s="1"/>
  <c r="AB194" i="6" s="1"/>
  <c r="S187" i="7" l="1"/>
  <c r="T187" i="7" s="1"/>
  <c r="U187" i="7" s="1"/>
  <c r="AB187" i="7" s="1"/>
  <c r="AC187" i="7"/>
  <c r="AA187" i="7"/>
  <c r="Z187" i="7"/>
  <c r="V187" i="7"/>
  <c r="AA194" i="6"/>
  <c r="Y194" i="6"/>
  <c r="V194" i="6"/>
  <c r="AD194" i="6"/>
  <c r="AC194" i="6"/>
  <c r="S195" i="6" s="1"/>
  <c r="T195" i="6" s="1"/>
  <c r="U195" i="6" s="1"/>
  <c r="Z194" i="6"/>
  <c r="AD187" i="7" l="1"/>
  <c r="S188" i="7" s="1"/>
  <c r="T188" i="7" s="1"/>
  <c r="U188" i="7" s="1"/>
  <c r="Y187" i="7"/>
  <c r="AA188" i="7"/>
  <c r="AC188" i="7"/>
  <c r="AD188" i="7"/>
  <c r="Y188" i="7"/>
  <c r="Z188" i="7"/>
  <c r="AB188" i="7"/>
  <c r="S189" i="7" s="1"/>
  <c r="T189" i="7" s="1"/>
  <c r="U189" i="7" s="1"/>
  <c r="V188" i="7"/>
  <c r="AA195" i="6"/>
  <c r="AB195" i="6"/>
  <c r="V195" i="6"/>
  <c r="AD195" i="6"/>
  <c r="Y195" i="6"/>
  <c r="AC195" i="6"/>
  <c r="Z195" i="6"/>
  <c r="Z189" i="7" l="1"/>
  <c r="AD189" i="7"/>
  <c r="V189" i="7"/>
  <c r="Y189" i="7"/>
  <c r="AC189" i="7"/>
  <c r="AB189" i="7"/>
  <c r="S190" i="7" s="1"/>
  <c r="T190" i="7" s="1"/>
  <c r="U190" i="7" s="1"/>
  <c r="AA190" i="7" s="1"/>
  <c r="AA189" i="7"/>
  <c r="S196" i="6"/>
  <c r="T196" i="6" s="1"/>
  <c r="U196" i="6" s="1"/>
  <c r="Y190" i="7" l="1"/>
  <c r="V190" i="7"/>
  <c r="Z190" i="7"/>
  <c r="AD190" i="7"/>
  <c r="AB190" i="7"/>
  <c r="AC190" i="7"/>
  <c r="AC196" i="6"/>
  <c r="Z196" i="6"/>
  <c r="V196" i="6"/>
  <c r="AD196" i="6"/>
  <c r="Y196" i="6"/>
  <c r="AB196" i="6"/>
  <c r="AA196" i="6"/>
  <c r="S191" i="7" l="1"/>
  <c r="T191" i="7" s="1"/>
  <c r="U191" i="7" s="1"/>
  <c r="AD191" i="7" s="1"/>
  <c r="V191" i="7"/>
  <c r="AB191" i="7"/>
  <c r="AA191" i="7"/>
  <c r="S197" i="6"/>
  <c r="T197" i="6" s="1"/>
  <c r="U197" i="6" s="1"/>
  <c r="AC197" i="6" s="1"/>
  <c r="AC191" i="7" l="1"/>
  <c r="S192" i="7" s="1"/>
  <c r="T192" i="7" s="1"/>
  <c r="U192" i="7" s="1"/>
  <c r="AD192" i="7" s="1"/>
  <c r="Y191" i="7"/>
  <c r="Z191" i="7"/>
  <c r="AB192" i="7"/>
  <c r="Z192" i="7"/>
  <c r="AA192" i="7"/>
  <c r="AC192" i="7"/>
  <c r="V192" i="7"/>
  <c r="Y192" i="7"/>
  <c r="Z197" i="6"/>
  <c r="AD197" i="6"/>
  <c r="Y197" i="6"/>
  <c r="AA197" i="6"/>
  <c r="V197" i="6"/>
  <c r="AB197" i="6"/>
  <c r="S198" i="6" s="1"/>
  <c r="T198" i="6" s="1"/>
  <c r="U198" i="6" s="1"/>
  <c r="S193" i="7" l="1"/>
  <c r="T193" i="7" s="1"/>
  <c r="U193" i="7" s="1"/>
  <c r="AD193" i="7" s="1"/>
  <c r="Y198" i="6"/>
  <c r="AD198" i="6"/>
  <c r="V198" i="6"/>
  <c r="AC198" i="6"/>
  <c r="Z198" i="6"/>
  <c r="AB198" i="6"/>
  <c r="AA198" i="6"/>
  <c r="Z193" i="7" l="1"/>
  <c r="AB193" i="7"/>
  <c r="V193" i="7"/>
  <c r="AA193" i="7"/>
  <c r="Y193" i="7"/>
  <c r="AC193" i="7"/>
  <c r="S194" i="7"/>
  <c r="T194" i="7" s="1"/>
  <c r="U194" i="7" s="1"/>
  <c r="AD194" i="7" s="1"/>
  <c r="S199" i="6"/>
  <c r="T199" i="6" s="1"/>
  <c r="U199" i="6" s="1"/>
  <c r="AA199" i="6" s="1"/>
  <c r="V194" i="7" l="1"/>
  <c r="Z194" i="7"/>
  <c r="Y194" i="7"/>
  <c r="AA194" i="7"/>
  <c r="AB194" i="7"/>
  <c r="AC194" i="7"/>
  <c r="S195" i="7"/>
  <c r="T195" i="7" s="1"/>
  <c r="U195" i="7" s="1"/>
  <c r="AD195" i="7" s="1"/>
  <c r="AC199" i="6"/>
  <c r="AS28" i="6" s="1"/>
  <c r="Y199" i="6"/>
  <c r="V199" i="6"/>
  <c r="X199" i="6" s="1"/>
  <c r="AQ28" i="6" s="1"/>
  <c r="Z199" i="6"/>
  <c r="AD199" i="6"/>
  <c r="AT28" i="6" s="1"/>
  <c r="AB199" i="6"/>
  <c r="AR28" i="6" s="1"/>
  <c r="Z195" i="7" l="1"/>
  <c r="AC195" i="7"/>
  <c r="V195" i="7"/>
  <c r="AB195" i="7"/>
  <c r="AA195" i="7"/>
  <c r="Y195" i="7"/>
  <c r="S196" i="7"/>
  <c r="T196" i="7" s="1"/>
  <c r="U196" i="7" s="1"/>
  <c r="AA196" i="7" s="1"/>
  <c r="S200" i="6"/>
  <c r="T200" i="6" s="1"/>
  <c r="U200" i="6" s="1"/>
  <c r="V200" i="6" s="1"/>
  <c r="AX28" i="6"/>
  <c r="AZ28" i="6"/>
  <c r="AB196" i="7" l="1"/>
  <c r="Y196" i="7"/>
  <c r="AC196" i="7"/>
  <c r="Z196" i="7"/>
  <c r="V196" i="7"/>
  <c r="AD196" i="7"/>
  <c r="Y200" i="6"/>
  <c r="Z200" i="6"/>
  <c r="AD200" i="6"/>
  <c r="AC200" i="6"/>
  <c r="AA200" i="6"/>
  <c r="AB200" i="6"/>
  <c r="S201" i="6"/>
  <c r="T201" i="6" s="1"/>
  <c r="U201" i="6" s="1"/>
  <c r="S197" i="7" l="1"/>
  <c r="T197" i="7" s="1"/>
  <c r="U197" i="7" s="1"/>
  <c r="AB197" i="7" s="1"/>
  <c r="AD201" i="6"/>
  <c r="AA201" i="6"/>
  <c r="Z201" i="6"/>
  <c r="V201" i="6"/>
  <c r="AB201" i="6"/>
  <c r="AC201" i="6"/>
  <c r="Y201" i="6"/>
  <c r="AC197" i="7" l="1"/>
  <c r="V197" i="7"/>
  <c r="Z197" i="7"/>
  <c r="Y197" i="7"/>
  <c r="AA197" i="7"/>
  <c r="AD197" i="7"/>
  <c r="S202" i="6"/>
  <c r="T202" i="6" s="1"/>
  <c r="U202" i="6" s="1"/>
  <c r="AC202" i="6" s="1"/>
  <c r="S198" i="7" l="1"/>
  <c r="T198" i="7" s="1"/>
  <c r="U198" i="7" s="1"/>
  <c r="AD198" i="7" s="1"/>
  <c r="AD202" i="6"/>
  <c r="AB202" i="6"/>
  <c r="S203" i="6" s="1"/>
  <c r="T203" i="6" s="1"/>
  <c r="U203" i="6" s="1"/>
  <c r="AB203" i="6" s="1"/>
  <c r="AA202" i="6"/>
  <c r="V202" i="6"/>
  <c r="Y202" i="6"/>
  <c r="Z202" i="6"/>
  <c r="Y198" i="7" l="1"/>
  <c r="AB198" i="7"/>
  <c r="AC198" i="7"/>
  <c r="V198" i="7"/>
  <c r="AA198" i="7"/>
  <c r="Z198" i="7"/>
  <c r="S199" i="7"/>
  <c r="T199" i="7" s="1"/>
  <c r="U199" i="7" s="1"/>
  <c r="AB199" i="7" s="1"/>
  <c r="Z203" i="6"/>
  <c r="Y203" i="6"/>
  <c r="V203" i="6"/>
  <c r="AA203" i="6"/>
  <c r="AC203" i="6"/>
  <c r="AD203" i="6"/>
  <c r="S204" i="6" s="1"/>
  <c r="T204" i="6" s="1"/>
  <c r="U204" i="6" s="1"/>
  <c r="Y199" i="7" l="1"/>
  <c r="Z199" i="7"/>
  <c r="AD199" i="7"/>
  <c r="AT28" i="7" s="1"/>
  <c r="V199" i="7"/>
  <c r="X199" i="7" s="1"/>
  <c r="AQ28" i="7" s="1"/>
  <c r="AC199" i="7"/>
  <c r="AS28" i="7" s="1"/>
  <c r="AA199" i="7"/>
  <c r="AR28" i="7"/>
  <c r="AD204" i="6"/>
  <c r="AC204" i="6"/>
  <c r="Z204" i="6"/>
  <c r="Y204" i="6"/>
  <c r="AA204" i="6"/>
  <c r="V204" i="6"/>
  <c r="AB204" i="6"/>
  <c r="S200" i="7" l="1"/>
  <c r="T200" i="7" s="1"/>
  <c r="U200" i="7" s="1"/>
  <c r="AA200" i="7" s="1"/>
  <c r="AX28" i="7"/>
  <c r="AZ28" i="7"/>
  <c r="S205" i="6"/>
  <c r="T205" i="6" s="1"/>
  <c r="U205" i="6" s="1"/>
  <c r="AD205" i="6" s="1"/>
  <c r="AC200" i="7" l="1"/>
  <c r="AD200" i="7"/>
  <c r="Z200" i="7"/>
  <c r="V200" i="7"/>
  <c r="AB200" i="7"/>
  <c r="Y200" i="7"/>
  <c r="S201" i="7"/>
  <c r="T201" i="7" s="1"/>
  <c r="U201" i="7" s="1"/>
  <c r="V205" i="6"/>
  <c r="AB205" i="6"/>
  <c r="AC205" i="6"/>
  <c r="Z205" i="6"/>
  <c r="Y205" i="6"/>
  <c r="AA205" i="6"/>
  <c r="V201" i="7" l="1"/>
  <c r="AA201" i="7"/>
  <c r="AC201" i="7"/>
  <c r="AD201" i="7"/>
  <c r="AB201" i="7"/>
  <c r="S202" i="7" s="1"/>
  <c r="T202" i="7" s="1"/>
  <c r="U202" i="7" s="1"/>
  <c r="Y201" i="7"/>
  <c r="Z201" i="7"/>
  <c r="S206" i="6"/>
  <c r="T206" i="6" s="1"/>
  <c r="U206" i="6" s="1"/>
  <c r="Y206" i="6" s="1"/>
  <c r="AA202" i="7" l="1"/>
  <c r="AB202" i="7"/>
  <c r="V202" i="7"/>
  <c r="AD202" i="7"/>
  <c r="AC202" i="7"/>
  <c r="Y202" i="7"/>
  <c r="Z202" i="7"/>
  <c r="Z206" i="6"/>
  <c r="V206" i="6"/>
  <c r="AD206" i="6"/>
  <c r="AC206" i="6"/>
  <c r="AB206" i="6"/>
  <c r="AA206" i="6"/>
  <c r="S203" i="7" l="1"/>
  <c r="T203" i="7" s="1"/>
  <c r="U203" i="7" s="1"/>
  <c r="AC203" i="7" s="1"/>
  <c r="S207" i="6"/>
  <c r="T207" i="6" s="1"/>
  <c r="U207" i="6" s="1"/>
  <c r="Y207" i="6" s="1"/>
  <c r="AB203" i="7" l="1"/>
  <c r="V203" i="7"/>
  <c r="AD203" i="7"/>
  <c r="AA203" i="7"/>
  <c r="Z203" i="7"/>
  <c r="Y203" i="7"/>
  <c r="S204" i="7"/>
  <c r="T204" i="7" s="1"/>
  <c r="U204" i="7" s="1"/>
  <c r="AC204" i="7" s="1"/>
  <c r="Z207" i="6"/>
  <c r="AC207" i="6"/>
  <c r="AB207" i="6"/>
  <c r="AA207" i="6"/>
  <c r="V207" i="6"/>
  <c r="AD207" i="6"/>
  <c r="AB204" i="7" l="1"/>
  <c r="AA204" i="7"/>
  <c r="V204" i="7"/>
  <c r="Z204" i="7"/>
  <c r="AD204" i="7"/>
  <c r="Y204" i="7"/>
  <c r="S205" i="7"/>
  <c r="T205" i="7" s="1"/>
  <c r="U205" i="7" s="1"/>
  <c r="Z205" i="7" s="1"/>
  <c r="S208" i="6"/>
  <c r="T208" i="6" s="1"/>
  <c r="U208" i="6" s="1"/>
  <c r="AB208" i="6" s="1"/>
  <c r="AD205" i="7" l="1"/>
  <c r="V205" i="7"/>
  <c r="AA205" i="7"/>
  <c r="AB205" i="7"/>
  <c r="Y205" i="7"/>
  <c r="AC205" i="7"/>
  <c r="AC208" i="6"/>
  <c r="AA208" i="6"/>
  <c r="Y208" i="6"/>
  <c r="Z208" i="6"/>
  <c r="AD208" i="6"/>
  <c r="S209" i="6" s="1"/>
  <c r="T209" i="6" s="1"/>
  <c r="U209" i="6" s="1"/>
  <c r="V208" i="6"/>
  <c r="S206" i="7" l="1"/>
  <c r="T206" i="7" s="1"/>
  <c r="U206" i="7" s="1"/>
  <c r="Y206" i="7" s="1"/>
  <c r="AB209" i="6"/>
  <c r="AC209" i="6"/>
  <c r="Y209" i="6"/>
  <c r="Z209" i="6"/>
  <c r="AD209" i="6"/>
  <c r="AA209" i="6"/>
  <c r="V209" i="6"/>
  <c r="S210" i="6"/>
  <c r="T210" i="6" s="1"/>
  <c r="U210" i="6" s="1"/>
  <c r="AC210" i="6" s="1"/>
  <c r="AD206" i="7" l="1"/>
  <c r="AB206" i="7"/>
  <c r="AA206" i="7"/>
  <c r="V206" i="7"/>
  <c r="Z206" i="7"/>
  <c r="AC206" i="7"/>
  <c r="AD210" i="6"/>
  <c r="Y210" i="6"/>
  <c r="AB210" i="6"/>
  <c r="AA210" i="6"/>
  <c r="Z210" i="6"/>
  <c r="V210" i="6"/>
  <c r="S211" i="6"/>
  <c r="T211" i="6" s="1"/>
  <c r="U211" i="6" s="1"/>
  <c r="Z211" i="6" s="1"/>
  <c r="S207" i="7" l="1"/>
  <c r="T207" i="7" s="1"/>
  <c r="U207" i="7" s="1"/>
  <c r="Z207" i="7" s="1"/>
  <c r="AA211" i="6"/>
  <c r="V211" i="6"/>
  <c r="AC211" i="6"/>
  <c r="Y211" i="6"/>
  <c r="AB211" i="6"/>
  <c r="AD211" i="6"/>
  <c r="S212" i="6"/>
  <c r="T212" i="6" s="1"/>
  <c r="U212" i="6" s="1"/>
  <c r="AC212" i="6" s="1"/>
  <c r="AC207" i="7" l="1"/>
  <c r="Y207" i="7"/>
  <c r="AB207" i="7"/>
  <c r="AD207" i="7"/>
  <c r="AA207" i="7"/>
  <c r="V207" i="7"/>
  <c r="AD212" i="6"/>
  <c r="AB212" i="6"/>
  <c r="S213" i="6" s="1"/>
  <c r="T213" i="6" s="1"/>
  <c r="U213" i="6" s="1"/>
  <c r="Z213" i="6" s="1"/>
  <c r="Y212" i="6"/>
  <c r="Z212" i="6"/>
  <c r="AA212" i="6"/>
  <c r="V212" i="6"/>
  <c r="S208" i="7" l="1"/>
  <c r="T208" i="7" s="1"/>
  <c r="U208" i="7" s="1"/>
  <c r="Y208" i="7" s="1"/>
  <c r="AC213" i="6"/>
  <c r="Y213" i="6"/>
  <c r="AA213" i="6"/>
  <c r="AD213" i="6"/>
  <c r="V213" i="6"/>
  <c r="AB213" i="6"/>
  <c r="S214" i="6" s="1"/>
  <c r="T214" i="6" s="1"/>
  <c r="U214" i="6" s="1"/>
  <c r="Y214" i="6" s="1"/>
  <c r="Z208" i="7" l="1"/>
  <c r="V208" i="7"/>
  <c r="AA208" i="7"/>
  <c r="AB208" i="7"/>
  <c r="AC208" i="7"/>
  <c r="AD208" i="7"/>
  <c r="S209" i="7" s="1"/>
  <c r="T209" i="7" s="1"/>
  <c r="U209" i="7" s="1"/>
  <c r="AB209" i="7" s="1"/>
  <c r="AA214" i="6"/>
  <c r="AB214" i="6"/>
  <c r="V214" i="6"/>
  <c r="Z214" i="6"/>
  <c r="AC214" i="6"/>
  <c r="AD214" i="6"/>
  <c r="AD209" i="7" l="1"/>
  <c r="V209" i="7"/>
  <c r="AC209" i="7"/>
  <c r="S210" i="7" s="1"/>
  <c r="T210" i="7" s="1"/>
  <c r="U210" i="7" s="1"/>
  <c r="AA209" i="7"/>
  <c r="Y209" i="7"/>
  <c r="Z209" i="7"/>
  <c r="S215" i="6"/>
  <c r="T215" i="6" s="1"/>
  <c r="U215" i="6" s="1"/>
  <c r="V215" i="6" s="1"/>
  <c r="Z210" i="7" l="1"/>
  <c r="AA210" i="7"/>
  <c r="AD210" i="7"/>
  <c r="AC210" i="7"/>
  <c r="AB210" i="7"/>
  <c r="Y210" i="7"/>
  <c r="V210" i="7"/>
  <c r="S211" i="7"/>
  <c r="T211" i="7" s="1"/>
  <c r="U211" i="7" s="1"/>
  <c r="Y215" i="6"/>
  <c r="AC215" i="6"/>
  <c r="AB215" i="6"/>
  <c r="Z215" i="6"/>
  <c r="AD215" i="6"/>
  <c r="S216" i="6" s="1"/>
  <c r="T216" i="6" s="1"/>
  <c r="U216" i="6" s="1"/>
  <c r="AA216" i="6" s="1"/>
  <c r="AA215" i="6"/>
  <c r="AC211" i="7" l="1"/>
  <c r="AA211" i="7"/>
  <c r="Z211" i="7"/>
  <c r="Y211" i="7"/>
  <c r="V211" i="7"/>
  <c r="AD211" i="7"/>
  <c r="AB211" i="7"/>
  <c r="V216" i="6"/>
  <c r="AD216" i="6"/>
  <c r="Z216" i="6"/>
  <c r="Y216" i="6"/>
  <c r="AB216" i="6"/>
  <c r="AC216" i="6"/>
  <c r="S212" i="7" l="1"/>
  <c r="T212" i="7" s="1"/>
  <c r="U212" i="7" s="1"/>
  <c r="Y212" i="7" s="1"/>
  <c r="S217" i="6"/>
  <c r="T217" i="6" s="1"/>
  <c r="U217" i="6" s="1"/>
  <c r="AA217" i="6" s="1"/>
  <c r="V212" i="7" l="1"/>
  <c r="AD212" i="7"/>
  <c r="AA212" i="7"/>
  <c r="AB212" i="7"/>
  <c r="AC212" i="7"/>
  <c r="S213" i="7" s="1"/>
  <c r="T213" i="7" s="1"/>
  <c r="U213" i="7" s="1"/>
  <c r="Z212" i="7"/>
  <c r="Z217" i="6"/>
  <c r="AB217" i="6"/>
  <c r="AD217" i="6"/>
  <c r="AC217" i="6"/>
  <c r="Y217" i="6"/>
  <c r="V217" i="6"/>
  <c r="AB213" i="7" l="1"/>
  <c r="Y213" i="7"/>
  <c r="V213" i="7"/>
  <c r="AC213" i="7"/>
  <c r="AD213" i="7"/>
  <c r="Z213" i="7"/>
  <c r="AA213" i="7"/>
  <c r="S218" i="6"/>
  <c r="T218" i="6" s="1"/>
  <c r="U218" i="6" s="1"/>
  <c r="Z218" i="6" s="1"/>
  <c r="S214" i="7" l="1"/>
  <c r="T214" i="7" s="1"/>
  <c r="U214" i="7" s="1"/>
  <c r="AD218" i="6"/>
  <c r="AB218" i="6"/>
  <c r="V218" i="6"/>
  <c r="AC218" i="6"/>
  <c r="AA218" i="6"/>
  <c r="Y218" i="6"/>
  <c r="V214" i="7" l="1"/>
  <c r="AC214" i="7"/>
  <c r="Z214" i="7"/>
  <c r="AD214" i="7"/>
  <c r="Y214" i="7"/>
  <c r="AB214" i="7"/>
  <c r="AA214" i="7"/>
  <c r="S219" i="6"/>
  <c r="T219" i="6" s="1"/>
  <c r="U219" i="6" s="1"/>
  <c r="Z219" i="6" s="1"/>
  <c r="S215" i="7" l="1"/>
  <c r="T215" i="7" s="1"/>
  <c r="U215" i="7" s="1"/>
  <c r="AB219" i="6"/>
  <c r="AR29" i="6" s="1"/>
  <c r="Y219" i="6"/>
  <c r="AD219" i="6"/>
  <c r="AT29" i="6" s="1"/>
  <c r="AA219" i="6"/>
  <c r="AC219" i="6"/>
  <c r="AS29" i="6" s="1"/>
  <c r="V219" i="6"/>
  <c r="X219" i="6" s="1"/>
  <c r="AQ29" i="6" s="1"/>
  <c r="Y215" i="7" l="1"/>
  <c r="AB215" i="7"/>
  <c r="V215" i="7"/>
  <c r="AA215" i="7"/>
  <c r="AC215" i="7"/>
  <c r="Z215" i="7"/>
  <c r="AD215" i="7"/>
  <c r="AE84" i="6"/>
  <c r="AF84" i="6" s="1"/>
  <c r="AE198" i="6"/>
  <c r="AF198" i="6" s="1"/>
  <c r="BO42" i="6"/>
  <c r="BP42" i="6" s="1"/>
  <c r="BQ42" i="6" s="1"/>
  <c r="BR42" i="6" s="1"/>
  <c r="AE110" i="6"/>
  <c r="AF110" i="6" s="1"/>
  <c r="AE167" i="6"/>
  <c r="AF167" i="6" s="1"/>
  <c r="BO48" i="6"/>
  <c r="BP48" i="6" s="1"/>
  <c r="BQ48" i="6" s="1"/>
  <c r="BR48" i="6" s="1"/>
  <c r="BO32" i="6"/>
  <c r="BP32" i="6" s="1"/>
  <c r="BQ32" i="6" s="1"/>
  <c r="BR32" i="6" s="1"/>
  <c r="BO78" i="6"/>
  <c r="BP78" i="6" s="1"/>
  <c r="BQ78" i="6" s="1"/>
  <c r="BR78" i="6" s="1"/>
  <c r="AE157" i="6"/>
  <c r="AF157" i="6" s="1"/>
  <c r="AE128" i="6"/>
  <c r="AF128" i="6" s="1"/>
  <c r="AE89" i="6"/>
  <c r="AF89" i="6" s="1"/>
  <c r="AE218" i="6"/>
  <c r="AF218" i="6" s="1"/>
  <c r="AE133" i="6"/>
  <c r="AF133" i="6" s="1"/>
  <c r="AE41" i="6"/>
  <c r="AF41" i="6" s="1"/>
  <c r="AE100" i="6"/>
  <c r="AF100" i="6" s="1"/>
  <c r="AE146" i="6"/>
  <c r="AF146" i="6" s="1"/>
  <c r="BO35" i="6"/>
  <c r="BP35" i="6" s="1"/>
  <c r="BQ35" i="6" s="1"/>
  <c r="BR35" i="6" s="1"/>
  <c r="AE134" i="6"/>
  <c r="AF134" i="6" s="1"/>
  <c r="AE176" i="6"/>
  <c r="AF176" i="6" s="1"/>
  <c r="BO58" i="6"/>
  <c r="BP58" i="6" s="1"/>
  <c r="BQ58" i="6" s="1"/>
  <c r="BR58" i="6" s="1"/>
  <c r="AE55" i="6"/>
  <c r="AF55" i="6" s="1"/>
  <c r="BO45" i="6"/>
  <c r="BP45" i="6" s="1"/>
  <c r="BQ45" i="6" s="1"/>
  <c r="BR45" i="6" s="1"/>
  <c r="BO66" i="6"/>
  <c r="BP66" i="6" s="1"/>
  <c r="BQ66" i="6" s="1"/>
  <c r="BR66" i="6" s="1"/>
  <c r="AE208" i="6"/>
  <c r="AF208" i="6" s="1"/>
  <c r="AE178" i="6"/>
  <c r="AF178" i="6" s="1"/>
  <c r="AE114" i="6"/>
  <c r="AF114" i="6" s="1"/>
  <c r="AE85" i="6"/>
  <c r="AF85" i="6" s="1"/>
  <c r="AE191" i="6"/>
  <c r="AF191" i="6" s="1"/>
  <c r="AE118" i="6"/>
  <c r="AF118" i="6" s="1"/>
  <c r="AE137" i="6"/>
  <c r="AF137" i="6" s="1"/>
  <c r="AE103" i="6"/>
  <c r="AF103" i="6" s="1"/>
  <c r="AE189" i="6"/>
  <c r="AF189" i="6" s="1"/>
  <c r="AE67" i="6"/>
  <c r="AF67" i="6" s="1"/>
  <c r="AE29" i="6"/>
  <c r="AF29" i="6" s="1"/>
  <c r="AE68" i="6"/>
  <c r="AF68" i="6" s="1"/>
  <c r="AE193" i="6"/>
  <c r="AF193" i="6" s="1"/>
  <c r="AE203" i="6"/>
  <c r="AF203" i="6" s="1"/>
  <c r="AE77" i="6"/>
  <c r="AF77" i="6" s="1"/>
  <c r="AE21" i="6"/>
  <c r="AF21" i="6" s="1"/>
  <c r="AE172" i="6"/>
  <c r="AF172" i="6" s="1"/>
  <c r="AE95" i="6"/>
  <c r="AF95" i="6" s="1"/>
  <c r="AE207" i="6"/>
  <c r="AF207" i="6" s="1"/>
  <c r="AE196" i="6"/>
  <c r="AF196" i="6" s="1"/>
  <c r="BO28" i="6"/>
  <c r="BP28" i="6" s="1"/>
  <c r="BQ28" i="6" s="1"/>
  <c r="BR28" i="6" s="1"/>
  <c r="AE36" i="6"/>
  <c r="AF36" i="6" s="1"/>
  <c r="BO33" i="6"/>
  <c r="BP33" i="6" s="1"/>
  <c r="BQ33" i="6" s="1"/>
  <c r="BR33" i="6" s="1"/>
  <c r="AE20" i="6"/>
  <c r="AF20" i="6" s="1"/>
  <c r="AE86" i="6"/>
  <c r="AF86" i="6" s="1"/>
  <c r="BO43" i="6"/>
  <c r="BP43" i="6" s="1"/>
  <c r="BQ43" i="6" s="1"/>
  <c r="BR43" i="6" s="1"/>
  <c r="AE200" i="6"/>
  <c r="AF200" i="6" s="1"/>
  <c r="AE99" i="6"/>
  <c r="AF99" i="6" s="1"/>
  <c r="AE22" i="6"/>
  <c r="AF22" i="6" s="1"/>
  <c r="AX29" i="6"/>
  <c r="AE202" i="6"/>
  <c r="AF202" i="6" s="1"/>
  <c r="AE185" i="6"/>
  <c r="AF185" i="6" s="1"/>
  <c r="AE144" i="6"/>
  <c r="AF144" i="6" s="1"/>
  <c r="AE40" i="6"/>
  <c r="AF40" i="6" s="1"/>
  <c r="AE37" i="6"/>
  <c r="AF37" i="6" s="1"/>
  <c r="AE32" i="6"/>
  <c r="AF32" i="6" s="1"/>
  <c r="AE161" i="6"/>
  <c r="AF161" i="6" s="1"/>
  <c r="BO46" i="6"/>
  <c r="BP46" i="6" s="1"/>
  <c r="BQ46" i="6" s="1"/>
  <c r="BR46" i="6" s="1"/>
  <c r="BO61" i="6"/>
  <c r="BP61" i="6" s="1"/>
  <c r="BQ61" i="6" s="1"/>
  <c r="BR61" i="6" s="1"/>
  <c r="AE143" i="6"/>
  <c r="AF143" i="6" s="1"/>
  <c r="AE129" i="6"/>
  <c r="AF129" i="6" s="1"/>
  <c r="AE127" i="6"/>
  <c r="AF127" i="6" s="1"/>
  <c r="AE56" i="6"/>
  <c r="AF56" i="6" s="1"/>
  <c r="AE159" i="6"/>
  <c r="AF159" i="6" s="1"/>
  <c r="BO25" i="6"/>
  <c r="BP25" i="6" s="1"/>
  <c r="BQ25" i="6" s="1"/>
  <c r="BR25" i="6" s="1"/>
  <c r="AE46" i="6"/>
  <c r="AF46" i="6" s="1"/>
  <c r="AE92" i="6"/>
  <c r="AF92" i="6" s="1"/>
  <c r="AE87" i="6"/>
  <c r="AF87" i="6" s="1"/>
  <c r="BO75" i="6"/>
  <c r="BP75" i="6" s="1"/>
  <c r="BQ75" i="6" s="1"/>
  <c r="BR75" i="6" s="1"/>
  <c r="AE66" i="6"/>
  <c r="AF66" i="6" s="1"/>
  <c r="BO38" i="6"/>
  <c r="BP38" i="6" s="1"/>
  <c r="BQ38" i="6" s="1"/>
  <c r="BR38" i="6" s="1"/>
  <c r="AE96" i="6"/>
  <c r="AF96" i="6" s="1"/>
  <c r="AE102" i="6"/>
  <c r="AF102" i="6" s="1"/>
  <c r="BO60" i="6"/>
  <c r="BP60" i="6" s="1"/>
  <c r="BQ60" i="6" s="1"/>
  <c r="BR60" i="6" s="1"/>
  <c r="AE64" i="6"/>
  <c r="AF64" i="6" s="1"/>
  <c r="AE113" i="6"/>
  <c r="AF113" i="6" s="1"/>
  <c r="AE122" i="6"/>
  <c r="AF122" i="6" s="1"/>
  <c r="AE216" i="6"/>
  <c r="AF216" i="6" s="1"/>
  <c r="AE181" i="6"/>
  <c r="AF181" i="6" s="1"/>
  <c r="AE91" i="6"/>
  <c r="AF91" i="6" s="1"/>
  <c r="BO53" i="6"/>
  <c r="BP53" i="6" s="1"/>
  <c r="BQ53" i="6" s="1"/>
  <c r="BR53" i="6" s="1"/>
  <c r="BO69" i="6"/>
  <c r="BP69" i="6" s="1"/>
  <c r="BQ69" i="6" s="1"/>
  <c r="BR69" i="6" s="1"/>
  <c r="BO21" i="6"/>
  <c r="BP21" i="6" s="1"/>
  <c r="BQ21" i="6" s="1"/>
  <c r="BR21" i="6" s="1"/>
  <c r="AE111" i="6"/>
  <c r="AF111" i="6" s="1"/>
  <c r="AE79" i="6"/>
  <c r="AF79" i="6" s="1"/>
  <c r="AE93" i="6"/>
  <c r="AF93" i="6" s="1"/>
  <c r="AE158" i="6"/>
  <c r="AF158" i="6" s="1"/>
  <c r="BO23" i="6"/>
  <c r="BP23" i="6" s="1"/>
  <c r="BQ23" i="6" s="1"/>
  <c r="BR23" i="6" s="1"/>
  <c r="AE209" i="6"/>
  <c r="AF209" i="6" s="1"/>
  <c r="AE120" i="6"/>
  <c r="AF120" i="6" s="1"/>
  <c r="AE33" i="6"/>
  <c r="AF33" i="6" s="1"/>
  <c r="AE38" i="6"/>
  <c r="AF38" i="6" s="1"/>
  <c r="AE153" i="6"/>
  <c r="AF153" i="6" s="1"/>
  <c r="BO62" i="6"/>
  <c r="BP62" i="6" s="1"/>
  <c r="BQ62" i="6" s="1"/>
  <c r="BR62" i="6" s="1"/>
  <c r="BO73" i="6"/>
  <c r="BP73" i="6" s="1"/>
  <c r="BQ73" i="6" s="1"/>
  <c r="BR73" i="6" s="1"/>
  <c r="BO68" i="6"/>
  <c r="BP68" i="6" s="1"/>
  <c r="BQ68" i="6" s="1"/>
  <c r="BR68" i="6" s="1"/>
  <c r="BO31" i="6"/>
  <c r="BP31" i="6" s="1"/>
  <c r="BQ31" i="6" s="1"/>
  <c r="BR31" i="6" s="1"/>
  <c r="AE211" i="6"/>
  <c r="AF211" i="6" s="1"/>
  <c r="BO52" i="6"/>
  <c r="BP52" i="6" s="1"/>
  <c r="BQ52" i="6" s="1"/>
  <c r="BR52" i="6" s="1"/>
  <c r="BO65" i="6"/>
  <c r="BP65" i="6" s="1"/>
  <c r="BQ65" i="6" s="1"/>
  <c r="BR65" i="6" s="1"/>
  <c r="AE184" i="6"/>
  <c r="AF184" i="6" s="1"/>
  <c r="AE83" i="6"/>
  <c r="AF83" i="6" s="1"/>
  <c r="BO34" i="6"/>
  <c r="BP34" i="6" s="1"/>
  <c r="BQ34" i="6" s="1"/>
  <c r="BR34" i="6" s="1"/>
  <c r="AE69" i="6"/>
  <c r="AF69" i="6" s="1"/>
  <c r="BO70" i="6"/>
  <c r="BP70" i="6" s="1"/>
  <c r="BQ70" i="6" s="1"/>
  <c r="BR70" i="6" s="1"/>
  <c r="AE219" i="6"/>
  <c r="AF219" i="6" s="1"/>
  <c r="AE52" i="6"/>
  <c r="AF52" i="6" s="1"/>
  <c r="AE174" i="6"/>
  <c r="AF174" i="6" s="1"/>
  <c r="AE61" i="6"/>
  <c r="AF61" i="6" s="1"/>
  <c r="AE51" i="6"/>
  <c r="AF51" i="6" s="1"/>
  <c r="AE117" i="6"/>
  <c r="AF117" i="6" s="1"/>
  <c r="AE50" i="6"/>
  <c r="AF50" i="6" s="1"/>
  <c r="AE190" i="6"/>
  <c r="AF190" i="6" s="1"/>
  <c r="BO22" i="6"/>
  <c r="BP22" i="6" s="1"/>
  <c r="BQ22" i="6" s="1"/>
  <c r="BR22" i="6" s="1"/>
  <c r="BO44" i="6"/>
  <c r="BP44" i="6" s="1"/>
  <c r="BQ44" i="6" s="1"/>
  <c r="BR44" i="6" s="1"/>
  <c r="AE31" i="6"/>
  <c r="AF31" i="6" s="1"/>
  <c r="BO56" i="6"/>
  <c r="BP56" i="6" s="1"/>
  <c r="BQ56" i="6" s="1"/>
  <c r="BR56" i="6" s="1"/>
  <c r="AE73" i="6"/>
  <c r="AF73" i="6" s="1"/>
  <c r="AE72" i="6"/>
  <c r="AF72" i="6" s="1"/>
  <c r="AE54" i="6"/>
  <c r="AF54" i="6" s="1"/>
  <c r="BO40" i="6"/>
  <c r="BP40" i="6" s="1"/>
  <c r="BQ40" i="6" s="1"/>
  <c r="BR40" i="6" s="1"/>
  <c r="AE130" i="6"/>
  <c r="AF130" i="6" s="1"/>
  <c r="AE53" i="6"/>
  <c r="AF53" i="6" s="1"/>
  <c r="BO27" i="6"/>
  <c r="BP27" i="6" s="1"/>
  <c r="BQ27" i="6" s="1"/>
  <c r="BR27" i="6" s="1"/>
  <c r="AE170" i="6"/>
  <c r="AF170" i="6" s="1"/>
  <c r="AE119" i="6"/>
  <c r="AF119" i="6" s="1"/>
  <c r="AE214" i="6"/>
  <c r="AF214" i="6" s="1"/>
  <c r="AE75" i="6"/>
  <c r="AF75" i="6" s="1"/>
  <c r="AE98" i="6"/>
  <c r="AF98" i="6" s="1"/>
  <c r="AE109" i="6"/>
  <c r="AF109" i="6" s="1"/>
  <c r="AE186" i="6"/>
  <c r="AF186" i="6" s="1"/>
  <c r="AE112" i="6"/>
  <c r="AF112" i="6" s="1"/>
  <c r="AE138" i="6"/>
  <c r="AF138" i="6" s="1"/>
  <c r="BO59" i="6"/>
  <c r="BP59" i="6" s="1"/>
  <c r="BQ59" i="6" s="1"/>
  <c r="BR59" i="6" s="1"/>
  <c r="AE149" i="6"/>
  <c r="AF149" i="6" s="1"/>
  <c r="AE65" i="6"/>
  <c r="AF65" i="6" s="1"/>
  <c r="BO49" i="6"/>
  <c r="BP49" i="6" s="1"/>
  <c r="BQ49" i="6" s="1"/>
  <c r="BR49" i="6" s="1"/>
  <c r="AE187" i="6"/>
  <c r="AF187" i="6" s="1"/>
  <c r="AE26" i="6"/>
  <c r="AF26" i="6" s="1"/>
  <c r="AE213" i="6"/>
  <c r="AF213" i="6" s="1"/>
  <c r="BO41" i="6"/>
  <c r="BP41" i="6" s="1"/>
  <c r="BQ41" i="6" s="1"/>
  <c r="BR41" i="6" s="1"/>
  <c r="AE166" i="6"/>
  <c r="AF166" i="6" s="1"/>
  <c r="AE177" i="6"/>
  <c r="AF177" i="6" s="1"/>
  <c r="AE57" i="6"/>
  <c r="AF57" i="6" s="1"/>
  <c r="BO67" i="6"/>
  <c r="BP67" i="6" s="1"/>
  <c r="BQ67" i="6" s="1"/>
  <c r="BR67" i="6" s="1"/>
  <c r="AE180" i="6"/>
  <c r="AF180" i="6" s="1"/>
  <c r="AE104" i="6"/>
  <c r="AF104" i="6" s="1"/>
  <c r="AE173" i="6"/>
  <c r="AF173" i="6" s="1"/>
  <c r="AE88" i="6"/>
  <c r="AF88" i="6" s="1"/>
  <c r="AE49" i="6"/>
  <c r="AF49" i="6" s="1"/>
  <c r="BO36" i="6"/>
  <c r="BP36" i="6" s="1"/>
  <c r="BQ36" i="6" s="1"/>
  <c r="BR36" i="6" s="1"/>
  <c r="BO76" i="6"/>
  <c r="BP76" i="6" s="1"/>
  <c r="BQ76" i="6" s="1"/>
  <c r="BR76" i="6" s="1"/>
  <c r="AE154" i="6"/>
  <c r="AF154" i="6" s="1"/>
  <c r="BO74" i="6"/>
  <c r="BP74" i="6" s="1"/>
  <c r="BQ74" i="6" s="1"/>
  <c r="BR74" i="6" s="1"/>
  <c r="AE142" i="6"/>
  <c r="AF142" i="6" s="1"/>
  <c r="BO77" i="6"/>
  <c r="BP77" i="6" s="1"/>
  <c r="BQ77" i="6" s="1"/>
  <c r="BR77" i="6" s="1"/>
  <c r="AE201" i="6"/>
  <c r="AF201" i="6" s="1"/>
  <c r="BO37" i="6"/>
  <c r="BP37" i="6" s="1"/>
  <c r="BQ37" i="6" s="1"/>
  <c r="BR37" i="6" s="1"/>
  <c r="BO26" i="6"/>
  <c r="BP26" i="6" s="1"/>
  <c r="BQ26" i="6" s="1"/>
  <c r="BR26" i="6" s="1"/>
  <c r="AE45" i="6"/>
  <c r="AF45" i="6" s="1"/>
  <c r="AE59" i="6"/>
  <c r="AF59" i="6" s="1"/>
  <c r="AE124" i="6"/>
  <c r="AF124" i="6" s="1"/>
  <c r="AE197" i="6"/>
  <c r="AF197" i="6" s="1"/>
  <c r="AE123" i="6"/>
  <c r="AF123" i="6" s="1"/>
  <c r="AZ29" i="6"/>
  <c r="AE34" i="6"/>
  <c r="AF34" i="6" s="1"/>
  <c r="AE164" i="6"/>
  <c r="AF164" i="6" s="1"/>
  <c r="AE48" i="6"/>
  <c r="AF48" i="6" s="1"/>
  <c r="AE195" i="6"/>
  <c r="AF195" i="6" s="1"/>
  <c r="BO30" i="6"/>
  <c r="BP30" i="6" s="1"/>
  <c r="BQ30" i="6" s="1"/>
  <c r="BR30" i="6" s="1"/>
  <c r="AE179" i="6"/>
  <c r="AF179" i="6" s="1"/>
  <c r="AE71" i="6"/>
  <c r="AF71" i="6" s="1"/>
  <c r="AE192" i="6"/>
  <c r="AF192" i="6" s="1"/>
  <c r="AE182" i="6"/>
  <c r="AF182" i="6" s="1"/>
  <c r="AE23" i="6"/>
  <c r="AF23" i="6" s="1"/>
  <c r="AE215" i="6"/>
  <c r="AF215" i="6" s="1"/>
  <c r="AE139" i="6"/>
  <c r="AF139" i="6" s="1"/>
  <c r="AE82" i="6"/>
  <c r="AF82" i="6" s="1"/>
  <c r="BO57" i="6"/>
  <c r="BP57" i="6" s="1"/>
  <c r="BQ57" i="6" s="1"/>
  <c r="BR57" i="6" s="1"/>
  <c r="BO79" i="6"/>
  <c r="BP79" i="6" s="1"/>
  <c r="BQ79" i="6" s="1"/>
  <c r="BR79" i="6" s="1"/>
  <c r="AE169" i="6"/>
  <c r="AF169" i="6" s="1"/>
  <c r="AE175" i="6"/>
  <c r="AF175" i="6" s="1"/>
  <c r="AE183" i="6"/>
  <c r="AF183" i="6" s="1"/>
  <c r="AE94" i="6"/>
  <c r="AF94" i="6" s="1"/>
  <c r="AE212" i="6"/>
  <c r="AF212" i="6" s="1"/>
  <c r="AE150" i="6"/>
  <c r="AF150" i="6" s="1"/>
  <c r="AE74" i="6"/>
  <c r="AF74" i="6" s="1"/>
  <c r="AE30" i="6"/>
  <c r="AF30" i="6" s="1"/>
  <c r="AE156" i="6"/>
  <c r="AF156" i="6" s="1"/>
  <c r="AE148" i="6"/>
  <c r="AF148" i="6" s="1"/>
  <c r="AE107" i="6"/>
  <c r="AF107" i="6" s="1"/>
  <c r="BO72" i="6"/>
  <c r="BP72" i="6" s="1"/>
  <c r="BQ72" i="6" s="1"/>
  <c r="BR72" i="6" s="1"/>
  <c r="AE42" i="6"/>
  <c r="AF42" i="6" s="1"/>
  <c r="AE141" i="6"/>
  <c r="AF141" i="6" s="1"/>
  <c r="AE80" i="6"/>
  <c r="AF80" i="6" s="1"/>
  <c r="AE125" i="6"/>
  <c r="AF125" i="6" s="1"/>
  <c r="AE76" i="6"/>
  <c r="AF76" i="6" s="1"/>
  <c r="BO47" i="6"/>
  <c r="BP47" i="6" s="1"/>
  <c r="BQ47" i="6" s="1"/>
  <c r="BR47" i="6" s="1"/>
  <c r="BO29" i="6"/>
  <c r="BP29" i="6" s="1"/>
  <c r="BQ29" i="6" s="1"/>
  <c r="BR29" i="6" s="1"/>
  <c r="AE90" i="6"/>
  <c r="AF90" i="6" s="1"/>
  <c r="AE168" i="6"/>
  <c r="AF168" i="6" s="1"/>
  <c r="AE44" i="6"/>
  <c r="AF44" i="6" s="1"/>
  <c r="AE58" i="6"/>
  <c r="AF58" i="6" s="1"/>
  <c r="AE210" i="6"/>
  <c r="AF210" i="6" s="1"/>
  <c r="AE126" i="6"/>
  <c r="AF126" i="6" s="1"/>
  <c r="AE155" i="6"/>
  <c r="AF155" i="6" s="1"/>
  <c r="AE78" i="6"/>
  <c r="AF78" i="6" s="1"/>
  <c r="BO20" i="6"/>
  <c r="BP20" i="6" s="1"/>
  <c r="BQ20" i="6" s="1"/>
  <c r="BR20" i="6" s="1"/>
  <c r="BO71" i="6"/>
  <c r="BP71" i="6" s="1"/>
  <c r="BQ71" i="6" s="1"/>
  <c r="BR71" i="6" s="1"/>
  <c r="BO64" i="6"/>
  <c r="BP64" i="6" s="1"/>
  <c r="BQ64" i="6" s="1"/>
  <c r="BR64" i="6" s="1"/>
  <c r="AE132" i="6"/>
  <c r="AF132" i="6" s="1"/>
  <c r="AE204" i="6"/>
  <c r="AF204" i="6" s="1"/>
  <c r="AE24" i="6"/>
  <c r="AF24" i="6" s="1"/>
  <c r="AE163" i="6"/>
  <c r="AF163" i="6" s="1"/>
  <c r="AE115" i="6"/>
  <c r="AF115" i="6" s="1"/>
  <c r="AE81" i="6"/>
  <c r="AF81" i="6" s="1"/>
  <c r="BO63" i="6"/>
  <c r="BP63" i="6" s="1"/>
  <c r="BQ63" i="6" s="1"/>
  <c r="BR63" i="6" s="1"/>
  <c r="AE121" i="6"/>
  <c r="AF121" i="6" s="1"/>
  <c r="BO54" i="6"/>
  <c r="BP54" i="6" s="1"/>
  <c r="BQ54" i="6" s="1"/>
  <c r="BR54" i="6" s="1"/>
  <c r="AE147" i="6"/>
  <c r="AF147" i="6" s="1"/>
  <c r="AE63" i="6"/>
  <c r="AF63" i="6" s="1"/>
  <c r="AE194" i="6"/>
  <c r="AF194" i="6" s="1"/>
  <c r="AE131" i="6"/>
  <c r="AF131" i="6" s="1"/>
  <c r="AE135" i="6"/>
  <c r="AF135" i="6" s="1"/>
  <c r="BO39" i="6"/>
  <c r="BP39" i="6" s="1"/>
  <c r="BQ39" i="6" s="1"/>
  <c r="BR39" i="6" s="1"/>
  <c r="AE47" i="6"/>
  <c r="AF47" i="6" s="1"/>
  <c r="AE165" i="6"/>
  <c r="AF165" i="6" s="1"/>
  <c r="AE116" i="6"/>
  <c r="AF116" i="6" s="1"/>
  <c r="AE60" i="6"/>
  <c r="AF60" i="6" s="1"/>
  <c r="BO50" i="6"/>
  <c r="BP50" i="6" s="1"/>
  <c r="BQ50" i="6" s="1"/>
  <c r="BR50" i="6" s="1"/>
  <c r="AE217" i="6"/>
  <c r="AF217" i="6" s="1"/>
  <c r="AE140" i="6"/>
  <c r="AF140" i="6" s="1"/>
  <c r="BO51" i="6"/>
  <c r="BP51" i="6" s="1"/>
  <c r="BQ51" i="6" s="1"/>
  <c r="BR51" i="6" s="1"/>
  <c r="AE136" i="6"/>
  <c r="AF136" i="6" s="1"/>
  <c r="AE160" i="6"/>
  <c r="AF160" i="6" s="1"/>
  <c r="BO55" i="6"/>
  <c r="BP55" i="6" s="1"/>
  <c r="BQ55" i="6" s="1"/>
  <c r="BR55" i="6" s="1"/>
  <c r="AE206" i="6"/>
  <c r="AF206" i="6" s="1"/>
  <c r="AE171" i="6"/>
  <c r="AF171" i="6" s="1"/>
  <c r="AE39" i="6"/>
  <c r="AF39" i="6" s="1"/>
  <c r="AE105" i="6"/>
  <c r="AF105" i="6" s="1"/>
  <c r="AE27" i="6"/>
  <c r="AF27" i="6" s="1"/>
  <c r="AE205" i="6"/>
  <c r="AF205" i="6" s="1"/>
  <c r="AE35" i="6"/>
  <c r="AF35" i="6" s="1"/>
  <c r="BO24" i="6"/>
  <c r="BP24" i="6" s="1"/>
  <c r="BQ24" i="6" s="1"/>
  <c r="BR24" i="6" s="1"/>
  <c r="AE152" i="6"/>
  <c r="AF152" i="6" s="1"/>
  <c r="AE43" i="6"/>
  <c r="AF43" i="6" s="1"/>
  <c r="AE151" i="6"/>
  <c r="AF151" i="6" s="1"/>
  <c r="AE101" i="6"/>
  <c r="AF101" i="6" s="1"/>
  <c r="AE106" i="6"/>
  <c r="AF106" i="6" s="1"/>
  <c r="AE62" i="6"/>
  <c r="AF62" i="6" s="1"/>
  <c r="AE25" i="6"/>
  <c r="AF25" i="6" s="1"/>
  <c r="AE108" i="6"/>
  <c r="AF108" i="6" s="1"/>
  <c r="AE162" i="6"/>
  <c r="AF162" i="6" s="1"/>
  <c r="AE70" i="6"/>
  <c r="AF70" i="6" s="1"/>
  <c r="AE97" i="6"/>
  <c r="AF97" i="6" s="1"/>
  <c r="AE28" i="6"/>
  <c r="AF28" i="6" s="1"/>
  <c r="AE188" i="6"/>
  <c r="AF188" i="6" s="1"/>
  <c r="AE199" i="6"/>
  <c r="AF199" i="6" s="1"/>
  <c r="AE145" i="6"/>
  <c r="AF145" i="6" s="1"/>
  <c r="S216" i="7" l="1"/>
  <c r="T216" i="7" s="1"/>
  <c r="U216" i="7" s="1"/>
  <c r="BR18" i="6"/>
  <c r="AF17" i="6"/>
  <c r="AD216" i="7" l="1"/>
  <c r="AB216" i="7"/>
  <c r="AC216" i="7"/>
  <c r="Y216" i="7"/>
  <c r="AA216" i="7"/>
  <c r="V216" i="7"/>
  <c r="Z216" i="7"/>
  <c r="S217" i="7" l="1"/>
  <c r="T217" i="7" s="1"/>
  <c r="U217" i="7" s="1"/>
  <c r="AD217" i="7" s="1"/>
  <c r="Z217" i="7" l="1"/>
  <c r="AB217" i="7"/>
  <c r="V217" i="7"/>
  <c r="AC217" i="7"/>
  <c r="S218" i="7" s="1"/>
  <c r="T218" i="7" s="1"/>
  <c r="U218" i="7" s="1"/>
  <c r="AC218" i="7" s="1"/>
  <c r="Y217" i="7"/>
  <c r="AA217" i="7"/>
  <c r="AB218" i="7" l="1"/>
  <c r="AA218" i="7"/>
  <c r="Y218" i="7"/>
  <c r="AD218" i="7"/>
  <c r="Z218" i="7"/>
  <c r="V218" i="7"/>
  <c r="S219" i="7" l="1"/>
  <c r="T219" i="7" s="1"/>
  <c r="U219" i="7" s="1"/>
  <c r="AC219" i="7" s="1"/>
  <c r="AS29" i="7" s="1"/>
  <c r="AA219" i="7" l="1"/>
  <c r="AB219" i="7"/>
  <c r="AR29" i="7" s="1"/>
  <c r="Z219" i="7"/>
  <c r="V219" i="7"/>
  <c r="X219" i="7" s="1"/>
  <c r="AQ29" i="7" s="1"/>
  <c r="Y219" i="7"/>
  <c r="AD219" i="7"/>
  <c r="AT29" i="7" s="1"/>
  <c r="AE178" i="7" l="1"/>
  <c r="AF178" i="7" s="1"/>
  <c r="AE26" i="7"/>
  <c r="AF26" i="7" s="1"/>
  <c r="BO67" i="7"/>
  <c r="BP67" i="7" s="1"/>
  <c r="BQ67" i="7" s="1"/>
  <c r="BR67" i="7" s="1"/>
  <c r="BO58" i="7"/>
  <c r="BP58" i="7" s="1"/>
  <c r="BQ58" i="7" s="1"/>
  <c r="BR58" i="7" s="1"/>
  <c r="AE202" i="7"/>
  <c r="AF202" i="7" s="1"/>
  <c r="BO24" i="7"/>
  <c r="BP24" i="7" s="1"/>
  <c r="BQ24" i="7" s="1"/>
  <c r="BR24" i="7" s="1"/>
  <c r="AE92" i="7"/>
  <c r="AF92" i="7" s="1"/>
  <c r="AE98" i="7"/>
  <c r="AF98" i="7" s="1"/>
  <c r="AE57" i="7"/>
  <c r="AF57" i="7" s="1"/>
  <c r="AE162" i="7"/>
  <c r="AF162" i="7" s="1"/>
  <c r="AE61" i="7"/>
  <c r="AF61" i="7" s="1"/>
  <c r="BO52" i="7"/>
  <c r="BP52" i="7" s="1"/>
  <c r="BQ52" i="7" s="1"/>
  <c r="BR52" i="7" s="1"/>
  <c r="AE179" i="7"/>
  <c r="AF179" i="7" s="1"/>
  <c r="AE148" i="7"/>
  <c r="AF148" i="7" s="1"/>
  <c r="AE90" i="7"/>
  <c r="AF90" i="7" s="1"/>
  <c r="BO51" i="7"/>
  <c r="BP51" i="7" s="1"/>
  <c r="BQ51" i="7" s="1"/>
  <c r="BR51" i="7" s="1"/>
  <c r="AE101" i="7"/>
  <c r="AF101" i="7" s="1"/>
  <c r="AE66" i="7"/>
  <c r="AF66" i="7" s="1"/>
  <c r="BO44" i="7"/>
  <c r="BP44" i="7" s="1"/>
  <c r="BQ44" i="7" s="1"/>
  <c r="BR44" i="7" s="1"/>
  <c r="AE191" i="7"/>
  <c r="AF191" i="7" s="1"/>
  <c r="BO74" i="7"/>
  <c r="BP74" i="7" s="1"/>
  <c r="BQ74" i="7" s="1"/>
  <c r="BR74" i="7" s="1"/>
  <c r="BO31" i="7"/>
  <c r="BP31" i="7" s="1"/>
  <c r="BQ31" i="7" s="1"/>
  <c r="BR31" i="7" s="1"/>
  <c r="AE89" i="7"/>
  <c r="AF89" i="7" s="1"/>
  <c r="AE109" i="7"/>
  <c r="AF109" i="7" s="1"/>
  <c r="AE203" i="7"/>
  <c r="AF203" i="7" s="1"/>
  <c r="AE96" i="7"/>
  <c r="AF96" i="7" s="1"/>
  <c r="BO55" i="7"/>
  <c r="BP55" i="7" s="1"/>
  <c r="BQ55" i="7" s="1"/>
  <c r="BR55" i="7" s="1"/>
  <c r="BO39" i="7"/>
  <c r="BP39" i="7" s="1"/>
  <c r="BQ39" i="7" s="1"/>
  <c r="BR39" i="7" s="1"/>
  <c r="AE193" i="7"/>
  <c r="AF193" i="7" s="1"/>
  <c r="BO77" i="7"/>
  <c r="BP77" i="7" s="1"/>
  <c r="BQ77" i="7" s="1"/>
  <c r="BR77" i="7" s="1"/>
  <c r="AE151" i="7"/>
  <c r="AF151" i="7" s="1"/>
  <c r="BO28" i="7"/>
  <c r="BP28" i="7" s="1"/>
  <c r="BQ28" i="7" s="1"/>
  <c r="BR28" i="7" s="1"/>
  <c r="AE32" i="7"/>
  <c r="AF32" i="7" s="1"/>
  <c r="AE40" i="7"/>
  <c r="AF40" i="7" s="1"/>
  <c r="AE71" i="7"/>
  <c r="AF71" i="7" s="1"/>
  <c r="AE42" i="7"/>
  <c r="AF42" i="7" s="1"/>
  <c r="BO73" i="7"/>
  <c r="BP73" i="7" s="1"/>
  <c r="BQ73" i="7" s="1"/>
  <c r="BR73" i="7" s="1"/>
  <c r="AE133" i="7"/>
  <c r="AF133" i="7" s="1"/>
  <c r="AE29" i="7"/>
  <c r="AF29" i="7" s="1"/>
  <c r="AE43" i="7"/>
  <c r="AF43" i="7" s="1"/>
  <c r="AE175" i="7"/>
  <c r="AF175" i="7" s="1"/>
  <c r="AE156" i="7"/>
  <c r="AF156" i="7" s="1"/>
  <c r="AE197" i="7"/>
  <c r="AF197" i="7" s="1"/>
  <c r="BO21" i="7"/>
  <c r="BP21" i="7" s="1"/>
  <c r="BQ21" i="7" s="1"/>
  <c r="BR21" i="7" s="1"/>
  <c r="AE127" i="7"/>
  <c r="AF127" i="7" s="1"/>
  <c r="AE200" i="7"/>
  <c r="AF200" i="7" s="1"/>
  <c r="AE144" i="7"/>
  <c r="AF144" i="7" s="1"/>
  <c r="AE27" i="7"/>
  <c r="AF27" i="7" s="1"/>
  <c r="AE77" i="7"/>
  <c r="AF77" i="7" s="1"/>
  <c r="AE198" i="7"/>
  <c r="AF198" i="7" s="1"/>
  <c r="AE124" i="7"/>
  <c r="AF124" i="7" s="1"/>
  <c r="AE185" i="7"/>
  <c r="AF185" i="7" s="1"/>
  <c r="AE73" i="7"/>
  <c r="AF73" i="7" s="1"/>
  <c r="AE140" i="7"/>
  <c r="AF140" i="7" s="1"/>
  <c r="AE53" i="7"/>
  <c r="AF53" i="7" s="1"/>
  <c r="AE129" i="7"/>
  <c r="AF129" i="7" s="1"/>
  <c r="AE205" i="7"/>
  <c r="AF205" i="7" s="1"/>
  <c r="AE41" i="7"/>
  <c r="AF41" i="7" s="1"/>
  <c r="BO45" i="7"/>
  <c r="BP45" i="7" s="1"/>
  <c r="BQ45" i="7" s="1"/>
  <c r="BR45" i="7" s="1"/>
  <c r="AE135" i="7"/>
  <c r="AF135" i="7" s="1"/>
  <c r="BO50" i="7"/>
  <c r="BP50" i="7" s="1"/>
  <c r="BQ50" i="7" s="1"/>
  <c r="BR50" i="7" s="1"/>
  <c r="BO69" i="7"/>
  <c r="BP69" i="7" s="1"/>
  <c r="BQ69" i="7" s="1"/>
  <c r="BR69" i="7" s="1"/>
  <c r="BO54" i="7"/>
  <c r="BP54" i="7" s="1"/>
  <c r="BQ54" i="7" s="1"/>
  <c r="BR54" i="7" s="1"/>
  <c r="AE196" i="7"/>
  <c r="AF196" i="7" s="1"/>
  <c r="AE76" i="7"/>
  <c r="AF76" i="7" s="1"/>
  <c r="AE131" i="7"/>
  <c r="AF131" i="7" s="1"/>
  <c r="BO65" i="7"/>
  <c r="BP65" i="7" s="1"/>
  <c r="BQ65" i="7" s="1"/>
  <c r="BR65" i="7" s="1"/>
  <c r="AE153" i="7"/>
  <c r="AF153" i="7" s="1"/>
  <c r="AE150" i="7"/>
  <c r="AF150" i="7" s="1"/>
  <c r="AE62" i="7"/>
  <c r="AF62" i="7" s="1"/>
  <c r="BO79" i="7"/>
  <c r="BP79" i="7" s="1"/>
  <c r="BQ79" i="7" s="1"/>
  <c r="BR79" i="7" s="1"/>
  <c r="AE143" i="7"/>
  <c r="AF143" i="7" s="1"/>
  <c r="AE163" i="7"/>
  <c r="AF163" i="7" s="1"/>
  <c r="AE189" i="7"/>
  <c r="AF189" i="7" s="1"/>
  <c r="AE59" i="7"/>
  <c r="AF59" i="7" s="1"/>
  <c r="AE20" i="7"/>
  <c r="AF20" i="7" s="1"/>
  <c r="AE177" i="7"/>
  <c r="AF177" i="7" s="1"/>
  <c r="AE145" i="7"/>
  <c r="AF145" i="7" s="1"/>
  <c r="BO20" i="7"/>
  <c r="BP20" i="7" s="1"/>
  <c r="BQ20" i="7" s="1"/>
  <c r="BR20" i="7" s="1"/>
  <c r="AE45" i="7"/>
  <c r="AF45" i="7" s="1"/>
  <c r="AE121" i="7"/>
  <c r="AF121" i="7" s="1"/>
  <c r="BO38" i="7"/>
  <c r="BP38" i="7" s="1"/>
  <c r="BQ38" i="7" s="1"/>
  <c r="BR38" i="7" s="1"/>
  <c r="AE110" i="7"/>
  <c r="AF110" i="7" s="1"/>
  <c r="BO34" i="7"/>
  <c r="BP34" i="7" s="1"/>
  <c r="BQ34" i="7" s="1"/>
  <c r="BR34" i="7" s="1"/>
  <c r="BO46" i="7"/>
  <c r="BP46" i="7" s="1"/>
  <c r="BQ46" i="7" s="1"/>
  <c r="BR46" i="7" s="1"/>
  <c r="AE190" i="7"/>
  <c r="AF190" i="7" s="1"/>
  <c r="BO37" i="7"/>
  <c r="BP37" i="7" s="1"/>
  <c r="BQ37" i="7" s="1"/>
  <c r="BR37" i="7" s="1"/>
  <c r="AE116" i="7"/>
  <c r="AF116" i="7" s="1"/>
  <c r="AE48" i="7"/>
  <c r="AF48" i="7" s="1"/>
  <c r="BO23" i="7"/>
  <c r="BP23" i="7" s="1"/>
  <c r="BQ23" i="7" s="1"/>
  <c r="BR23" i="7" s="1"/>
  <c r="AE93" i="7"/>
  <c r="AF93" i="7" s="1"/>
  <c r="AE100" i="7"/>
  <c r="AF100" i="7" s="1"/>
  <c r="AE186" i="7"/>
  <c r="AF186" i="7" s="1"/>
  <c r="AE170" i="7"/>
  <c r="AF170" i="7" s="1"/>
  <c r="BO36" i="7"/>
  <c r="BP36" i="7" s="1"/>
  <c r="BQ36" i="7" s="1"/>
  <c r="BR36" i="7" s="1"/>
  <c r="BO72" i="7"/>
  <c r="BP72" i="7" s="1"/>
  <c r="BQ72" i="7" s="1"/>
  <c r="BR72" i="7" s="1"/>
  <c r="AE74" i="7"/>
  <c r="AF74" i="7" s="1"/>
  <c r="BO29" i="7"/>
  <c r="BP29" i="7" s="1"/>
  <c r="BQ29" i="7" s="1"/>
  <c r="BR29" i="7" s="1"/>
  <c r="BO40" i="7"/>
  <c r="BP40" i="7" s="1"/>
  <c r="BQ40" i="7" s="1"/>
  <c r="BR40" i="7" s="1"/>
  <c r="BO75" i="7"/>
  <c r="BP75" i="7" s="1"/>
  <c r="BQ75" i="7" s="1"/>
  <c r="BR75" i="7" s="1"/>
  <c r="AE123" i="7"/>
  <c r="AF123" i="7" s="1"/>
  <c r="BO60" i="7"/>
  <c r="BP60" i="7" s="1"/>
  <c r="BQ60" i="7" s="1"/>
  <c r="BR60" i="7" s="1"/>
  <c r="BO43" i="7"/>
  <c r="BP43" i="7" s="1"/>
  <c r="BQ43" i="7" s="1"/>
  <c r="BR43" i="7" s="1"/>
  <c r="AE25" i="7"/>
  <c r="AF25" i="7" s="1"/>
  <c r="BO57" i="7"/>
  <c r="BP57" i="7" s="1"/>
  <c r="BQ57" i="7" s="1"/>
  <c r="BR57" i="7" s="1"/>
  <c r="AE119" i="7"/>
  <c r="AF119" i="7" s="1"/>
  <c r="BO26" i="7"/>
  <c r="BP26" i="7" s="1"/>
  <c r="BQ26" i="7" s="1"/>
  <c r="BR26" i="7" s="1"/>
  <c r="AE103" i="7"/>
  <c r="AF103" i="7" s="1"/>
  <c r="AE132" i="7"/>
  <c r="AF132" i="7" s="1"/>
  <c r="AE58" i="7"/>
  <c r="AF58" i="7" s="1"/>
  <c r="AE85" i="7"/>
  <c r="AF85" i="7" s="1"/>
  <c r="AE168" i="7"/>
  <c r="AF168" i="7" s="1"/>
  <c r="AE69" i="7"/>
  <c r="AF69" i="7" s="1"/>
  <c r="AE206" i="7"/>
  <c r="AF206" i="7" s="1"/>
  <c r="AE142" i="7"/>
  <c r="AF142" i="7" s="1"/>
  <c r="AE211" i="7"/>
  <c r="AF211" i="7" s="1"/>
  <c r="AE137" i="7"/>
  <c r="AF137" i="7" s="1"/>
  <c r="AE111" i="7"/>
  <c r="AF111" i="7" s="1"/>
  <c r="AE102" i="7"/>
  <c r="AF102" i="7" s="1"/>
  <c r="AE38" i="7"/>
  <c r="AF38" i="7" s="1"/>
  <c r="BO47" i="7"/>
  <c r="BP47" i="7" s="1"/>
  <c r="BQ47" i="7" s="1"/>
  <c r="BR47" i="7" s="1"/>
  <c r="AE99" i="7"/>
  <c r="AF99" i="7" s="1"/>
  <c r="AE147" i="7"/>
  <c r="AF147" i="7" s="1"/>
  <c r="AE112" i="7"/>
  <c r="AF112" i="7" s="1"/>
  <c r="BO41" i="7"/>
  <c r="BP41" i="7" s="1"/>
  <c r="BQ41" i="7" s="1"/>
  <c r="BR41" i="7" s="1"/>
  <c r="AE21" i="7"/>
  <c r="AF21" i="7" s="1"/>
  <c r="AE65" i="7"/>
  <c r="AF65" i="7" s="1"/>
  <c r="BO64" i="7"/>
  <c r="BP64" i="7" s="1"/>
  <c r="BQ64" i="7" s="1"/>
  <c r="BR64" i="7" s="1"/>
  <c r="AE95" i="7"/>
  <c r="AF95" i="7" s="1"/>
  <c r="AE122" i="7"/>
  <c r="AF122" i="7" s="1"/>
  <c r="AE130" i="7"/>
  <c r="AF130" i="7" s="1"/>
  <c r="AE184" i="7"/>
  <c r="AF184" i="7" s="1"/>
  <c r="AE60" i="7"/>
  <c r="AF60" i="7" s="1"/>
  <c r="AE125" i="7"/>
  <c r="AF125" i="7" s="1"/>
  <c r="AE44" i="7"/>
  <c r="AF44" i="7" s="1"/>
  <c r="AE214" i="7"/>
  <c r="AF214" i="7" s="1"/>
  <c r="AE47" i="7"/>
  <c r="AF47" i="7" s="1"/>
  <c r="AE195" i="7"/>
  <c r="AF195" i="7" s="1"/>
  <c r="AE194" i="7"/>
  <c r="AF194" i="7" s="1"/>
  <c r="AE51" i="7"/>
  <c r="AF51" i="7" s="1"/>
  <c r="AE88" i="7"/>
  <c r="AF88" i="7" s="1"/>
  <c r="BO48" i="7"/>
  <c r="BP48" i="7" s="1"/>
  <c r="BQ48" i="7" s="1"/>
  <c r="BR48" i="7" s="1"/>
  <c r="AE79" i="7"/>
  <c r="AF79" i="7" s="1"/>
  <c r="BO68" i="7"/>
  <c r="BP68" i="7" s="1"/>
  <c r="BQ68" i="7" s="1"/>
  <c r="BR68" i="7" s="1"/>
  <c r="AE174" i="7"/>
  <c r="AF174" i="7" s="1"/>
  <c r="AE128" i="7"/>
  <c r="AF128" i="7" s="1"/>
  <c r="AE158" i="7"/>
  <c r="AF158" i="7" s="1"/>
  <c r="AE217" i="7"/>
  <c r="AF217" i="7" s="1"/>
  <c r="AE149" i="7"/>
  <c r="AF149" i="7" s="1"/>
  <c r="AE166" i="7"/>
  <c r="AF166" i="7" s="1"/>
  <c r="AE172" i="7"/>
  <c r="AF172" i="7" s="1"/>
  <c r="AE50" i="7"/>
  <c r="AF50" i="7" s="1"/>
  <c r="BO61" i="7"/>
  <c r="BP61" i="7" s="1"/>
  <c r="BQ61" i="7" s="1"/>
  <c r="BR61" i="7" s="1"/>
  <c r="AE35" i="7"/>
  <c r="AF35" i="7" s="1"/>
  <c r="AE219" i="7"/>
  <c r="AF219" i="7" s="1"/>
  <c r="AE80" i="7"/>
  <c r="AF80" i="7" s="1"/>
  <c r="BO25" i="7"/>
  <c r="BP25" i="7" s="1"/>
  <c r="BQ25" i="7" s="1"/>
  <c r="BR25" i="7" s="1"/>
  <c r="AE165" i="7"/>
  <c r="AF165" i="7" s="1"/>
  <c r="AE87" i="7"/>
  <c r="AF87" i="7" s="1"/>
  <c r="AE34" i="7"/>
  <c r="AF34" i="7" s="1"/>
  <c r="AE108" i="7"/>
  <c r="AF108" i="7" s="1"/>
  <c r="AE182" i="7"/>
  <c r="AF182" i="7" s="1"/>
  <c r="AE49" i="7"/>
  <c r="AF49" i="7" s="1"/>
  <c r="AE161" i="7"/>
  <c r="AF161" i="7" s="1"/>
  <c r="AE83" i="7"/>
  <c r="AF83" i="7" s="1"/>
  <c r="AE136" i="7"/>
  <c r="AF136" i="7" s="1"/>
  <c r="AE36" i="7"/>
  <c r="AF36" i="7" s="1"/>
  <c r="AE55" i="7"/>
  <c r="AF55" i="7" s="1"/>
  <c r="AE33" i="7"/>
  <c r="AF33" i="7" s="1"/>
  <c r="AE155" i="7"/>
  <c r="AF155" i="7" s="1"/>
  <c r="AE134" i="7"/>
  <c r="AF134" i="7" s="1"/>
  <c r="AE139" i="7"/>
  <c r="AF139" i="7" s="1"/>
  <c r="BO59" i="7"/>
  <c r="BP59" i="7" s="1"/>
  <c r="BQ59" i="7" s="1"/>
  <c r="BR59" i="7" s="1"/>
  <c r="AE106" i="7"/>
  <c r="AF106" i="7" s="1"/>
  <c r="AE22" i="7"/>
  <c r="AF22" i="7" s="1"/>
  <c r="BO62" i="7"/>
  <c r="BP62" i="7" s="1"/>
  <c r="BQ62" i="7" s="1"/>
  <c r="BR62" i="7" s="1"/>
  <c r="AE160" i="7"/>
  <c r="AF160" i="7" s="1"/>
  <c r="AE113" i="7"/>
  <c r="AF113" i="7" s="1"/>
  <c r="BO71" i="7"/>
  <c r="BP71" i="7" s="1"/>
  <c r="BQ71" i="7" s="1"/>
  <c r="BR71" i="7" s="1"/>
  <c r="AE37" i="7"/>
  <c r="AF37" i="7" s="1"/>
  <c r="AE204" i="7"/>
  <c r="AF204" i="7" s="1"/>
  <c r="AE105" i="7"/>
  <c r="AF105" i="7" s="1"/>
  <c r="BO32" i="7"/>
  <c r="BP32" i="7" s="1"/>
  <c r="BQ32" i="7" s="1"/>
  <c r="BR32" i="7" s="1"/>
  <c r="AE28" i="7"/>
  <c r="AF28" i="7" s="1"/>
  <c r="AE152" i="7"/>
  <c r="AF152" i="7" s="1"/>
  <c r="AE63" i="7"/>
  <c r="AF63" i="7" s="1"/>
  <c r="AE52" i="7"/>
  <c r="AF52" i="7" s="1"/>
  <c r="AE46" i="7"/>
  <c r="AF46" i="7" s="1"/>
  <c r="AE97" i="7"/>
  <c r="AF97" i="7" s="1"/>
  <c r="AE67" i="7"/>
  <c r="AF67" i="7" s="1"/>
  <c r="AE180" i="7"/>
  <c r="AF180" i="7" s="1"/>
  <c r="BO76" i="7"/>
  <c r="BP76" i="7" s="1"/>
  <c r="BQ76" i="7" s="1"/>
  <c r="BR76" i="7" s="1"/>
  <c r="AE216" i="7"/>
  <c r="AF216" i="7" s="1"/>
  <c r="AE164" i="7"/>
  <c r="AF164" i="7" s="1"/>
  <c r="AE64" i="7"/>
  <c r="AF64" i="7" s="1"/>
  <c r="AE107" i="7"/>
  <c r="AF107" i="7" s="1"/>
  <c r="AE126" i="7"/>
  <c r="AF126" i="7" s="1"/>
  <c r="AE56" i="7"/>
  <c r="AF56" i="7" s="1"/>
  <c r="AE54" i="7"/>
  <c r="AF54" i="7" s="1"/>
  <c r="AE94" i="7"/>
  <c r="AF94" i="7" s="1"/>
  <c r="BO33" i="7"/>
  <c r="BP33" i="7" s="1"/>
  <c r="BQ33" i="7" s="1"/>
  <c r="BR33" i="7" s="1"/>
  <c r="AE212" i="7"/>
  <c r="AF212" i="7" s="1"/>
  <c r="BO22" i="7"/>
  <c r="BP22" i="7" s="1"/>
  <c r="BQ22" i="7" s="1"/>
  <c r="BR22" i="7" s="1"/>
  <c r="AE75" i="7"/>
  <c r="AF75" i="7" s="1"/>
  <c r="BO66" i="7"/>
  <c r="BP66" i="7" s="1"/>
  <c r="BQ66" i="7" s="1"/>
  <c r="BR66" i="7" s="1"/>
  <c r="AE104" i="7"/>
  <c r="AF104" i="7" s="1"/>
  <c r="AX29" i="7"/>
  <c r="AE117" i="7"/>
  <c r="AF117" i="7" s="1"/>
  <c r="AE118" i="7"/>
  <c r="AF118" i="7" s="1"/>
  <c r="AE23" i="7"/>
  <c r="AF23" i="7" s="1"/>
  <c r="AE181" i="7"/>
  <c r="AF181" i="7" s="1"/>
  <c r="AZ29" i="7"/>
  <c r="BO70" i="7"/>
  <c r="BP70" i="7" s="1"/>
  <c r="BQ70" i="7" s="1"/>
  <c r="BR70" i="7" s="1"/>
  <c r="BO35" i="7"/>
  <c r="BP35" i="7" s="1"/>
  <c r="BQ35" i="7" s="1"/>
  <c r="BR35" i="7" s="1"/>
  <c r="AE171" i="7"/>
  <c r="AF171" i="7" s="1"/>
  <c r="AE213" i="7"/>
  <c r="AF213" i="7" s="1"/>
  <c r="AE70" i="7"/>
  <c r="AF70" i="7" s="1"/>
  <c r="AE208" i="7"/>
  <c r="AF208" i="7" s="1"/>
  <c r="AE218" i="7"/>
  <c r="AF218" i="7" s="1"/>
  <c r="AE169" i="7"/>
  <c r="AF169" i="7" s="1"/>
  <c r="AE24" i="7"/>
  <c r="AF24" i="7" s="1"/>
  <c r="BO30" i="7"/>
  <c r="BP30" i="7" s="1"/>
  <c r="BQ30" i="7" s="1"/>
  <c r="BR30" i="7" s="1"/>
  <c r="AE157" i="7"/>
  <c r="AF157" i="7" s="1"/>
  <c r="AE84" i="7"/>
  <c r="AF84" i="7" s="1"/>
  <c r="AE176" i="7"/>
  <c r="AF176" i="7" s="1"/>
  <c r="AE81" i="7"/>
  <c r="AF81" i="7" s="1"/>
  <c r="AE154" i="7"/>
  <c r="AF154" i="7" s="1"/>
  <c r="AE86" i="7"/>
  <c r="AF86" i="7" s="1"/>
  <c r="AE91" i="7"/>
  <c r="AF91" i="7" s="1"/>
  <c r="AE209" i="7"/>
  <c r="AF209" i="7" s="1"/>
  <c r="AE31" i="7"/>
  <c r="AF31" i="7" s="1"/>
  <c r="AE167" i="7"/>
  <c r="AF167" i="7" s="1"/>
  <c r="AE82" i="7"/>
  <c r="AF82" i="7" s="1"/>
  <c r="AE30" i="7"/>
  <c r="AF30" i="7" s="1"/>
  <c r="AE173" i="7"/>
  <c r="AF173" i="7" s="1"/>
  <c r="AE199" i="7"/>
  <c r="AF199" i="7" s="1"/>
  <c r="AE78" i="7"/>
  <c r="AF78" i="7" s="1"/>
  <c r="AE192" i="7"/>
  <c r="AF192" i="7" s="1"/>
  <c r="AE115" i="7"/>
  <c r="AF115" i="7" s="1"/>
  <c r="AE159" i="7"/>
  <c r="AF159" i="7" s="1"/>
  <c r="BO27" i="7"/>
  <c r="BP27" i="7" s="1"/>
  <c r="BQ27" i="7" s="1"/>
  <c r="BR27" i="7" s="1"/>
  <c r="AE215" i="7"/>
  <c r="AF215" i="7" s="1"/>
  <c r="BO49" i="7"/>
  <c r="BP49" i="7" s="1"/>
  <c r="BQ49" i="7" s="1"/>
  <c r="BR49" i="7" s="1"/>
  <c r="AE187" i="7"/>
  <c r="AF187" i="7" s="1"/>
  <c r="AE146" i="7"/>
  <c r="AF146" i="7" s="1"/>
  <c r="AE141" i="7"/>
  <c r="AF141" i="7" s="1"/>
  <c r="AE114" i="7"/>
  <c r="AF114" i="7" s="1"/>
  <c r="AE183" i="7"/>
  <c r="AF183" i="7" s="1"/>
  <c r="BO56" i="7"/>
  <c r="BP56" i="7" s="1"/>
  <c r="BQ56" i="7" s="1"/>
  <c r="BR56" i="7" s="1"/>
  <c r="AE207" i="7"/>
  <c r="AF207" i="7" s="1"/>
  <c r="AE120" i="7"/>
  <c r="AF120" i="7" s="1"/>
  <c r="BO63" i="7"/>
  <c r="BP63" i="7" s="1"/>
  <c r="BQ63" i="7" s="1"/>
  <c r="BR63" i="7" s="1"/>
  <c r="AE188" i="7"/>
  <c r="AF188" i="7" s="1"/>
  <c r="BO78" i="7"/>
  <c r="BP78" i="7" s="1"/>
  <c r="BQ78" i="7" s="1"/>
  <c r="BR78" i="7" s="1"/>
  <c r="AE68" i="7"/>
  <c r="AF68" i="7" s="1"/>
  <c r="AE210" i="7"/>
  <c r="AF210" i="7" s="1"/>
  <c r="AE72" i="7"/>
  <c r="AF72" i="7" s="1"/>
  <c r="AE39" i="7"/>
  <c r="AF39" i="7" s="1"/>
  <c r="AE138" i="7"/>
  <c r="AF138" i="7" s="1"/>
  <c r="AE201" i="7"/>
  <c r="AF201" i="7" s="1"/>
  <c r="BO53" i="7"/>
  <c r="BP53" i="7" s="1"/>
  <c r="BQ53" i="7" s="1"/>
  <c r="BR53" i="7" s="1"/>
  <c r="BO42" i="7"/>
  <c r="BP42" i="7" s="1"/>
  <c r="BQ42" i="7" s="1"/>
  <c r="BR42" i="7" s="1"/>
  <c r="AF17" i="7" l="1"/>
  <c r="BR18" i="7"/>
  <c r="N26" i="5" l="1"/>
  <c r="N27" i="5"/>
  <c r="N28" i="5"/>
  <c r="N29" i="5"/>
  <c r="N30" i="5"/>
  <c r="N31" i="5"/>
  <c r="N32" i="5"/>
  <c r="N33" i="5"/>
  <c r="N34" i="5"/>
  <c r="N35" i="5"/>
  <c r="N36" i="5"/>
  <c r="N37" i="5"/>
  <c r="N38" i="5"/>
  <c r="N39" i="5"/>
  <c r="N40" i="5"/>
  <c r="N41" i="5"/>
  <c r="N42" i="5"/>
  <c r="N43" i="5"/>
  <c r="N44" i="5"/>
  <c r="N45" i="5"/>
  <c r="N46" i="5"/>
  <c r="N47" i="5"/>
  <c r="N48" i="5"/>
  <c r="N49" i="5"/>
  <c r="N50" i="5"/>
  <c r="N51" i="5"/>
  <c r="N52" i="5"/>
  <c r="N53" i="5"/>
  <c r="N54" i="5"/>
  <c r="N55" i="5"/>
  <c r="N56" i="5"/>
  <c r="N57" i="5"/>
  <c r="N58" i="5"/>
  <c r="N59" i="5"/>
  <c r="N60" i="5"/>
  <c r="N61" i="5"/>
  <c r="N62" i="5"/>
  <c r="N63" i="5"/>
  <c r="N64" i="5"/>
  <c r="N65" i="5"/>
  <c r="N66" i="5"/>
  <c r="N67" i="5"/>
  <c r="N68" i="5"/>
  <c r="N69" i="5"/>
  <c r="N70" i="5"/>
  <c r="N71" i="5"/>
  <c r="N72" i="5"/>
  <c r="N73" i="5"/>
  <c r="N74" i="5"/>
  <c r="N75" i="5"/>
  <c r="N76" i="5"/>
  <c r="N77" i="5"/>
  <c r="N78" i="5"/>
  <c r="N79" i="5"/>
  <c r="N80" i="5"/>
  <c r="N81" i="5"/>
  <c r="N82" i="5"/>
  <c r="N83" i="5"/>
  <c r="N84" i="5"/>
  <c r="N85" i="5"/>
  <c r="N86" i="5"/>
  <c r="N87" i="5"/>
  <c r="N88" i="5"/>
  <c r="N89" i="5"/>
  <c r="N90" i="5"/>
  <c r="N91" i="5"/>
  <c r="N92" i="5"/>
  <c r="N93" i="5"/>
  <c r="N94" i="5"/>
  <c r="N95" i="5"/>
  <c r="N96" i="5"/>
  <c r="N97" i="5"/>
  <c r="N98" i="5"/>
  <c r="N99" i="5"/>
  <c r="N100" i="5"/>
  <c r="N101" i="5"/>
  <c r="N102" i="5"/>
  <c r="N103" i="5"/>
  <c r="N104" i="5"/>
  <c r="N105" i="5"/>
  <c r="N106" i="5"/>
  <c r="N107" i="5"/>
  <c r="N108" i="5"/>
  <c r="N109" i="5"/>
  <c r="N110" i="5"/>
  <c r="N111" i="5"/>
  <c r="N112" i="5"/>
  <c r="N113" i="5"/>
  <c r="N114" i="5"/>
  <c r="N115" i="5"/>
  <c r="N116" i="5"/>
  <c r="N117" i="5"/>
  <c r="N118" i="5"/>
  <c r="N119" i="5"/>
  <c r="N120" i="5"/>
  <c r="N121" i="5"/>
  <c r="N122" i="5"/>
  <c r="N123" i="5"/>
  <c r="N124" i="5"/>
  <c r="N125" i="5"/>
  <c r="N126" i="5"/>
  <c r="N127" i="5"/>
  <c r="N128" i="5"/>
  <c r="N129" i="5"/>
  <c r="N130" i="5"/>
  <c r="N131" i="5"/>
  <c r="N132" i="5"/>
  <c r="N133" i="5"/>
  <c r="N134" i="5"/>
  <c r="N135" i="5"/>
  <c r="N136" i="5"/>
  <c r="N137" i="5"/>
  <c r="N138" i="5"/>
  <c r="N139" i="5"/>
  <c r="N140" i="5"/>
  <c r="N141" i="5"/>
  <c r="N142" i="5"/>
  <c r="N143" i="5"/>
  <c r="N144" i="5"/>
  <c r="N145" i="5"/>
  <c r="N146" i="5"/>
  <c r="N147" i="5"/>
  <c r="N148" i="5"/>
  <c r="N149" i="5"/>
  <c r="N150" i="5"/>
  <c r="N151" i="5"/>
  <c r="N152" i="5"/>
  <c r="N153" i="5"/>
  <c r="N154" i="5"/>
  <c r="N155" i="5"/>
  <c r="N156" i="5"/>
  <c r="N157" i="5"/>
  <c r="N158" i="5"/>
  <c r="N159" i="5"/>
  <c r="N160" i="5"/>
  <c r="N161" i="5"/>
  <c r="N162" i="5"/>
  <c r="N163" i="5"/>
  <c r="N164" i="5"/>
  <c r="N165" i="5"/>
  <c r="N166" i="5"/>
  <c r="N167" i="5"/>
  <c r="N168" i="5"/>
  <c r="N169" i="5"/>
  <c r="N170" i="5"/>
  <c r="N171" i="5"/>
  <c r="N172" i="5"/>
  <c r="N173" i="5"/>
  <c r="N174" i="5"/>
  <c r="N175" i="5"/>
  <c r="N176" i="5"/>
  <c r="N177" i="5"/>
  <c r="N178" i="5"/>
  <c r="N179" i="5"/>
  <c r="N180" i="5"/>
  <c r="N181" i="5"/>
  <c r="N182" i="5"/>
  <c r="N183" i="5"/>
  <c r="N184" i="5"/>
  <c r="N185" i="5"/>
  <c r="N186" i="5"/>
  <c r="N187" i="5"/>
  <c r="N188" i="5"/>
  <c r="N189" i="5"/>
  <c r="N190" i="5"/>
  <c r="N191" i="5"/>
  <c r="N192" i="5"/>
  <c r="N193" i="5"/>
  <c r="N194" i="5"/>
  <c r="N195" i="5"/>
  <c r="N196" i="5"/>
  <c r="N197" i="5"/>
  <c r="N198" i="5"/>
  <c r="N199" i="5"/>
  <c r="N200" i="5"/>
  <c r="N201" i="5"/>
  <c r="N202" i="5"/>
  <c r="N203" i="5"/>
  <c r="N204" i="5"/>
  <c r="N205" i="5"/>
  <c r="N206" i="5"/>
  <c r="N207" i="5"/>
  <c r="N208" i="5"/>
  <c r="N209" i="5"/>
  <c r="N210" i="5"/>
  <c r="N211" i="5"/>
  <c r="N212" i="5"/>
  <c r="N213" i="5"/>
  <c r="N214" i="5"/>
  <c r="N215" i="5"/>
  <c r="N216" i="5"/>
  <c r="N217" i="5"/>
  <c r="N218" i="5"/>
  <c r="N219" i="5"/>
  <c r="N220" i="5"/>
  <c r="N221" i="5"/>
  <c r="N222" i="5"/>
  <c r="N223" i="5"/>
  <c r="N224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48" i="5"/>
  <c r="M49" i="5"/>
  <c r="M50" i="5"/>
  <c r="M51" i="5"/>
  <c r="M52" i="5"/>
  <c r="M53" i="5"/>
  <c r="M54" i="5"/>
  <c r="M55" i="5"/>
  <c r="M56" i="5"/>
  <c r="M57" i="5"/>
  <c r="M58" i="5"/>
  <c r="M59" i="5"/>
  <c r="M60" i="5"/>
  <c r="M61" i="5"/>
  <c r="M62" i="5"/>
  <c r="M63" i="5"/>
  <c r="M64" i="5"/>
  <c r="M65" i="5"/>
  <c r="M66" i="5"/>
  <c r="M67" i="5"/>
  <c r="M68" i="5"/>
  <c r="M69" i="5"/>
  <c r="M70" i="5"/>
  <c r="M71" i="5"/>
  <c r="M72" i="5"/>
  <c r="M73" i="5"/>
  <c r="M74" i="5"/>
  <c r="M75" i="5"/>
  <c r="M76" i="5"/>
  <c r="M77" i="5"/>
  <c r="M78" i="5"/>
  <c r="M79" i="5"/>
  <c r="M80" i="5"/>
  <c r="M81" i="5"/>
  <c r="M82" i="5"/>
  <c r="M83" i="5"/>
  <c r="M84" i="5"/>
  <c r="M85" i="5"/>
  <c r="M86" i="5"/>
  <c r="M87" i="5"/>
  <c r="M88" i="5"/>
  <c r="M89" i="5"/>
  <c r="M90" i="5"/>
  <c r="M91" i="5"/>
  <c r="M92" i="5"/>
  <c r="M93" i="5"/>
  <c r="M94" i="5"/>
  <c r="M95" i="5"/>
  <c r="M96" i="5"/>
  <c r="M97" i="5"/>
  <c r="M98" i="5"/>
  <c r="M99" i="5"/>
  <c r="M100" i="5"/>
  <c r="M101" i="5"/>
  <c r="M102" i="5"/>
  <c r="M103" i="5"/>
  <c r="M104" i="5"/>
  <c r="M105" i="5"/>
  <c r="M106" i="5"/>
  <c r="M107" i="5"/>
  <c r="M108" i="5"/>
  <c r="M109" i="5"/>
  <c r="M110" i="5"/>
  <c r="M111" i="5"/>
  <c r="M112" i="5"/>
  <c r="M113" i="5"/>
  <c r="M114" i="5"/>
  <c r="M115" i="5"/>
  <c r="M116" i="5"/>
  <c r="M117" i="5"/>
  <c r="M118" i="5"/>
  <c r="M119" i="5"/>
  <c r="M120" i="5"/>
  <c r="M121" i="5"/>
  <c r="M122" i="5"/>
  <c r="M123" i="5"/>
  <c r="M124" i="5"/>
  <c r="M125" i="5"/>
  <c r="M126" i="5"/>
  <c r="M127" i="5"/>
  <c r="M128" i="5"/>
  <c r="M129" i="5"/>
  <c r="M130" i="5"/>
  <c r="M131" i="5"/>
  <c r="M132" i="5"/>
  <c r="M133" i="5"/>
  <c r="M134" i="5"/>
  <c r="M135" i="5"/>
  <c r="M136" i="5"/>
  <c r="M137" i="5"/>
  <c r="M138" i="5"/>
  <c r="M139" i="5"/>
  <c r="M140" i="5"/>
  <c r="M141" i="5"/>
  <c r="M142" i="5"/>
  <c r="M143" i="5"/>
  <c r="M144" i="5"/>
  <c r="M145" i="5"/>
  <c r="M146" i="5"/>
  <c r="M147" i="5"/>
  <c r="M148" i="5"/>
  <c r="M149" i="5"/>
  <c r="M150" i="5"/>
  <c r="M151" i="5"/>
  <c r="M152" i="5"/>
  <c r="M153" i="5"/>
  <c r="M154" i="5"/>
  <c r="M155" i="5"/>
  <c r="M156" i="5"/>
  <c r="M157" i="5"/>
  <c r="M158" i="5"/>
  <c r="M159" i="5"/>
  <c r="M160" i="5"/>
  <c r="M161" i="5"/>
  <c r="M162" i="5"/>
  <c r="M163" i="5"/>
  <c r="M164" i="5"/>
  <c r="M165" i="5"/>
  <c r="M166" i="5"/>
  <c r="M167" i="5"/>
  <c r="M168" i="5"/>
  <c r="M169" i="5"/>
  <c r="M170" i="5"/>
  <c r="M171" i="5"/>
  <c r="M172" i="5"/>
  <c r="M173" i="5"/>
  <c r="M174" i="5"/>
  <c r="M175" i="5"/>
  <c r="M176" i="5"/>
  <c r="M177" i="5"/>
  <c r="M178" i="5"/>
  <c r="M179" i="5"/>
  <c r="M180" i="5"/>
  <c r="M181" i="5"/>
  <c r="M182" i="5"/>
  <c r="M183" i="5"/>
  <c r="M184" i="5"/>
  <c r="M185" i="5"/>
  <c r="M186" i="5"/>
  <c r="M187" i="5"/>
  <c r="M188" i="5"/>
  <c r="M189" i="5"/>
  <c r="M190" i="5"/>
  <c r="M191" i="5"/>
  <c r="M192" i="5"/>
  <c r="M193" i="5"/>
  <c r="M194" i="5"/>
  <c r="M195" i="5"/>
  <c r="M196" i="5"/>
  <c r="M197" i="5"/>
  <c r="M198" i="5"/>
  <c r="M199" i="5"/>
  <c r="M200" i="5"/>
  <c r="M201" i="5"/>
  <c r="M202" i="5"/>
  <c r="M203" i="5"/>
  <c r="M204" i="5"/>
  <c r="M205" i="5"/>
  <c r="M206" i="5"/>
  <c r="M207" i="5"/>
  <c r="M208" i="5"/>
  <c r="M209" i="5"/>
  <c r="M210" i="5"/>
  <c r="M211" i="5"/>
  <c r="M212" i="5"/>
  <c r="M213" i="5"/>
  <c r="M214" i="5"/>
  <c r="M215" i="5"/>
  <c r="M216" i="5"/>
  <c r="M217" i="5"/>
  <c r="M218" i="5"/>
  <c r="M219" i="5"/>
  <c r="M220" i="5"/>
  <c r="M221" i="5"/>
  <c r="M222" i="5"/>
  <c r="M223" i="5"/>
  <c r="M224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63" i="5"/>
  <c r="L64" i="5"/>
  <c r="L65" i="5"/>
  <c r="L66" i="5"/>
  <c r="L67" i="5"/>
  <c r="L68" i="5"/>
  <c r="L69" i="5"/>
  <c r="L70" i="5"/>
  <c r="L71" i="5"/>
  <c r="L72" i="5"/>
  <c r="L73" i="5"/>
  <c r="L74" i="5"/>
  <c r="L75" i="5"/>
  <c r="L76" i="5"/>
  <c r="L77" i="5"/>
  <c r="L78" i="5"/>
  <c r="L79" i="5"/>
  <c r="L80" i="5"/>
  <c r="L81" i="5"/>
  <c r="L82" i="5"/>
  <c r="L83" i="5"/>
  <c r="L84" i="5"/>
  <c r="L85" i="5"/>
  <c r="L86" i="5"/>
  <c r="L87" i="5"/>
  <c r="L88" i="5"/>
  <c r="L89" i="5"/>
  <c r="L90" i="5"/>
  <c r="L91" i="5"/>
  <c r="L92" i="5"/>
  <c r="L93" i="5"/>
  <c r="L94" i="5"/>
  <c r="L95" i="5"/>
  <c r="L96" i="5"/>
  <c r="L97" i="5"/>
  <c r="L98" i="5"/>
  <c r="L99" i="5"/>
  <c r="L100" i="5"/>
  <c r="L101" i="5"/>
  <c r="L102" i="5"/>
  <c r="L103" i="5"/>
  <c r="L104" i="5"/>
  <c r="L105" i="5"/>
  <c r="L106" i="5"/>
  <c r="L107" i="5"/>
  <c r="L108" i="5"/>
  <c r="L109" i="5"/>
  <c r="L110" i="5"/>
  <c r="L111" i="5"/>
  <c r="L112" i="5"/>
  <c r="L113" i="5"/>
  <c r="L114" i="5"/>
  <c r="L115" i="5"/>
  <c r="L116" i="5"/>
  <c r="L117" i="5"/>
  <c r="L118" i="5"/>
  <c r="L119" i="5"/>
  <c r="L120" i="5"/>
  <c r="L121" i="5"/>
  <c r="L122" i="5"/>
  <c r="L123" i="5"/>
  <c r="L124" i="5"/>
  <c r="L125" i="5"/>
  <c r="L126" i="5"/>
  <c r="L127" i="5"/>
  <c r="L128" i="5"/>
  <c r="L129" i="5"/>
  <c r="L130" i="5"/>
  <c r="L131" i="5"/>
  <c r="L132" i="5"/>
  <c r="L133" i="5"/>
  <c r="L134" i="5"/>
  <c r="L135" i="5"/>
  <c r="L136" i="5"/>
  <c r="L137" i="5"/>
  <c r="L138" i="5"/>
  <c r="L139" i="5"/>
  <c r="L140" i="5"/>
  <c r="L141" i="5"/>
  <c r="L142" i="5"/>
  <c r="L143" i="5"/>
  <c r="L144" i="5"/>
  <c r="L145" i="5"/>
  <c r="L146" i="5"/>
  <c r="L147" i="5"/>
  <c r="L148" i="5"/>
  <c r="L149" i="5"/>
  <c r="L150" i="5"/>
  <c r="L151" i="5"/>
  <c r="L152" i="5"/>
  <c r="L153" i="5"/>
  <c r="L154" i="5"/>
  <c r="L155" i="5"/>
  <c r="L156" i="5"/>
  <c r="L157" i="5"/>
  <c r="L158" i="5"/>
  <c r="L159" i="5"/>
  <c r="L160" i="5"/>
  <c r="L161" i="5"/>
  <c r="L162" i="5"/>
  <c r="L163" i="5"/>
  <c r="L164" i="5"/>
  <c r="L165" i="5"/>
  <c r="L166" i="5"/>
  <c r="L167" i="5"/>
  <c r="L168" i="5"/>
  <c r="L169" i="5"/>
  <c r="L170" i="5"/>
  <c r="L171" i="5"/>
  <c r="L172" i="5"/>
  <c r="L173" i="5"/>
  <c r="L174" i="5"/>
  <c r="L175" i="5"/>
  <c r="L176" i="5"/>
  <c r="L177" i="5"/>
  <c r="L178" i="5"/>
  <c r="L179" i="5"/>
  <c r="L180" i="5"/>
  <c r="L181" i="5"/>
  <c r="L182" i="5"/>
  <c r="L183" i="5"/>
  <c r="L184" i="5"/>
  <c r="L185" i="5"/>
  <c r="L186" i="5"/>
  <c r="L187" i="5"/>
  <c r="L188" i="5"/>
  <c r="L189" i="5"/>
  <c r="L190" i="5"/>
  <c r="L191" i="5"/>
  <c r="L192" i="5"/>
  <c r="L193" i="5"/>
  <c r="L194" i="5"/>
  <c r="L195" i="5"/>
  <c r="L196" i="5"/>
  <c r="L197" i="5"/>
  <c r="L198" i="5"/>
  <c r="L199" i="5"/>
  <c r="L200" i="5"/>
  <c r="L201" i="5"/>
  <c r="L202" i="5"/>
  <c r="L203" i="5"/>
  <c r="L204" i="5"/>
  <c r="L205" i="5"/>
  <c r="L206" i="5"/>
  <c r="L207" i="5"/>
  <c r="L208" i="5"/>
  <c r="L209" i="5"/>
  <c r="L210" i="5"/>
  <c r="L211" i="5"/>
  <c r="L212" i="5"/>
  <c r="L213" i="5"/>
  <c r="L214" i="5"/>
  <c r="L215" i="5"/>
  <c r="L216" i="5"/>
  <c r="L217" i="5"/>
  <c r="L218" i="5"/>
  <c r="L219" i="5"/>
  <c r="L220" i="5"/>
  <c r="L221" i="5"/>
  <c r="L222" i="5"/>
  <c r="L223" i="5"/>
  <c r="L224" i="5"/>
  <c r="N25" i="5"/>
  <c r="M25" i="5"/>
  <c r="Q224" i="5"/>
  <c r="O224" i="5" s="1"/>
  <c r="K224" i="5"/>
  <c r="Q223" i="5"/>
  <c r="K223" i="5"/>
  <c r="Q222" i="5"/>
  <c r="O222" i="5" s="1"/>
  <c r="K222" i="5"/>
  <c r="Q221" i="5"/>
  <c r="O221" i="5" s="1"/>
  <c r="K221" i="5"/>
  <c r="Q220" i="5"/>
  <c r="P220" i="5" s="1"/>
  <c r="K220" i="5"/>
  <c r="Q219" i="5"/>
  <c r="K219" i="5"/>
  <c r="Q218" i="5"/>
  <c r="P218" i="5" s="1"/>
  <c r="K218" i="5"/>
  <c r="Q217" i="5"/>
  <c r="K217" i="5"/>
  <c r="Q216" i="5"/>
  <c r="P216" i="5" s="1"/>
  <c r="K216" i="5"/>
  <c r="Q215" i="5"/>
  <c r="K215" i="5"/>
  <c r="Q214" i="5"/>
  <c r="K214" i="5"/>
  <c r="Q213" i="5"/>
  <c r="O213" i="5" s="1"/>
  <c r="K213" i="5"/>
  <c r="Q212" i="5"/>
  <c r="K212" i="5"/>
  <c r="Q211" i="5"/>
  <c r="K211" i="5"/>
  <c r="Q210" i="5"/>
  <c r="K210" i="5"/>
  <c r="Q209" i="5"/>
  <c r="O209" i="5" s="1"/>
  <c r="K209" i="5"/>
  <c r="Q208" i="5"/>
  <c r="P208" i="5" s="1"/>
  <c r="K208" i="5"/>
  <c r="Q207" i="5"/>
  <c r="K207" i="5"/>
  <c r="Q206" i="5"/>
  <c r="P206" i="5" s="1"/>
  <c r="K206" i="5"/>
  <c r="Q205" i="5"/>
  <c r="P205" i="5" s="1"/>
  <c r="K205" i="5"/>
  <c r="Q204" i="5"/>
  <c r="K204" i="5"/>
  <c r="Q203" i="5"/>
  <c r="K203" i="5"/>
  <c r="Q202" i="5"/>
  <c r="O202" i="5" s="1"/>
  <c r="K202" i="5"/>
  <c r="Q201" i="5"/>
  <c r="O201" i="5" s="1"/>
  <c r="K201" i="5"/>
  <c r="Q200" i="5"/>
  <c r="K200" i="5"/>
  <c r="Q199" i="5"/>
  <c r="O199" i="5" s="1"/>
  <c r="K199" i="5"/>
  <c r="Q198" i="5"/>
  <c r="K198" i="5"/>
  <c r="Q197" i="5"/>
  <c r="P197" i="5" s="1"/>
  <c r="K197" i="5"/>
  <c r="Q196" i="5"/>
  <c r="P196" i="5" s="1"/>
  <c r="K196" i="5"/>
  <c r="Q195" i="5"/>
  <c r="P195" i="5" s="1"/>
  <c r="K195" i="5"/>
  <c r="Q194" i="5"/>
  <c r="P194" i="5" s="1"/>
  <c r="K194" i="5"/>
  <c r="Q193" i="5"/>
  <c r="P193" i="5" s="1"/>
  <c r="K193" i="5"/>
  <c r="Q192" i="5"/>
  <c r="K192" i="5"/>
  <c r="Q191" i="5"/>
  <c r="P191" i="5" s="1"/>
  <c r="K191" i="5"/>
  <c r="Q190" i="5"/>
  <c r="O190" i="5" s="1"/>
  <c r="K190" i="5"/>
  <c r="Q189" i="5"/>
  <c r="K189" i="5"/>
  <c r="Q188" i="5"/>
  <c r="K188" i="5"/>
  <c r="Q187" i="5"/>
  <c r="K187" i="5"/>
  <c r="Q186" i="5"/>
  <c r="K186" i="5"/>
  <c r="Q185" i="5"/>
  <c r="O185" i="5" s="1"/>
  <c r="K185" i="5"/>
  <c r="Q184" i="5"/>
  <c r="P184" i="5" s="1"/>
  <c r="K184" i="5"/>
  <c r="Q183" i="5"/>
  <c r="K183" i="5"/>
  <c r="Q182" i="5"/>
  <c r="P182" i="5" s="1"/>
  <c r="K182" i="5"/>
  <c r="Q181" i="5"/>
  <c r="P181" i="5" s="1"/>
  <c r="K181" i="5"/>
  <c r="Q180" i="5"/>
  <c r="P180" i="5" s="1"/>
  <c r="K180" i="5"/>
  <c r="Q179" i="5"/>
  <c r="K179" i="5"/>
  <c r="Q178" i="5"/>
  <c r="K178" i="5"/>
  <c r="Q177" i="5"/>
  <c r="O177" i="5" s="1"/>
  <c r="K177" i="5"/>
  <c r="Q176" i="5"/>
  <c r="K176" i="5"/>
  <c r="Q175" i="5"/>
  <c r="P175" i="5" s="1"/>
  <c r="K175" i="5"/>
  <c r="Q174" i="5"/>
  <c r="K174" i="5"/>
  <c r="Q173" i="5"/>
  <c r="O173" i="5" s="1"/>
  <c r="K173" i="5"/>
  <c r="Q172" i="5"/>
  <c r="P172" i="5" s="1"/>
  <c r="K172" i="5"/>
  <c r="Q171" i="5"/>
  <c r="K171" i="5"/>
  <c r="Q170" i="5"/>
  <c r="P170" i="5" s="1"/>
  <c r="K170" i="5"/>
  <c r="Q169" i="5"/>
  <c r="P169" i="5" s="1"/>
  <c r="K169" i="5"/>
  <c r="Q168" i="5"/>
  <c r="O168" i="5" s="1"/>
  <c r="K168" i="5"/>
  <c r="Q167" i="5"/>
  <c r="P167" i="5" s="1"/>
  <c r="K167" i="5"/>
  <c r="Q166" i="5"/>
  <c r="O166" i="5" s="1"/>
  <c r="K166" i="5"/>
  <c r="Q165" i="5"/>
  <c r="O165" i="5" s="1"/>
  <c r="K165" i="5"/>
  <c r="Q164" i="5"/>
  <c r="O164" i="5" s="1"/>
  <c r="K164" i="5"/>
  <c r="Q163" i="5"/>
  <c r="O163" i="5" s="1"/>
  <c r="K163" i="5"/>
  <c r="Q162" i="5"/>
  <c r="O162" i="5" s="1"/>
  <c r="K162" i="5"/>
  <c r="Q161" i="5"/>
  <c r="K161" i="5"/>
  <c r="Q160" i="5"/>
  <c r="K160" i="5"/>
  <c r="Q159" i="5"/>
  <c r="P159" i="5" s="1"/>
  <c r="K159" i="5"/>
  <c r="Q158" i="5"/>
  <c r="P158" i="5" s="1"/>
  <c r="K158" i="5"/>
  <c r="Q157" i="5"/>
  <c r="K157" i="5"/>
  <c r="Q156" i="5"/>
  <c r="O156" i="5" s="1"/>
  <c r="K156" i="5"/>
  <c r="Q155" i="5"/>
  <c r="P155" i="5" s="1"/>
  <c r="K155" i="5"/>
  <c r="Q154" i="5"/>
  <c r="K154" i="5"/>
  <c r="Q153" i="5"/>
  <c r="O153" i="5" s="1"/>
  <c r="K153" i="5"/>
  <c r="Q152" i="5"/>
  <c r="O152" i="5" s="1"/>
  <c r="K152" i="5"/>
  <c r="Q151" i="5"/>
  <c r="O151" i="5" s="1"/>
  <c r="K151" i="5"/>
  <c r="Q150" i="5"/>
  <c r="O150" i="5" s="1"/>
  <c r="K150" i="5"/>
  <c r="Q149" i="5"/>
  <c r="O149" i="5" s="1"/>
  <c r="K149" i="5"/>
  <c r="Q148" i="5"/>
  <c r="P148" i="5" s="1"/>
  <c r="K148" i="5"/>
  <c r="Q147" i="5"/>
  <c r="K147" i="5"/>
  <c r="Q146" i="5"/>
  <c r="P146" i="5" s="1"/>
  <c r="K146" i="5"/>
  <c r="Q145" i="5"/>
  <c r="P145" i="5" s="1"/>
  <c r="K145" i="5"/>
  <c r="Q144" i="5"/>
  <c r="O144" i="5" s="1"/>
  <c r="K144" i="5"/>
  <c r="Q143" i="5"/>
  <c r="P143" i="5" s="1"/>
  <c r="K143" i="5"/>
  <c r="Q142" i="5"/>
  <c r="K142" i="5"/>
  <c r="Q141" i="5"/>
  <c r="K141" i="5"/>
  <c r="Q140" i="5"/>
  <c r="K140" i="5"/>
  <c r="Q139" i="5"/>
  <c r="O139" i="5" s="1"/>
  <c r="K139" i="5"/>
  <c r="Q138" i="5"/>
  <c r="O138" i="5" s="1"/>
  <c r="K138" i="5"/>
  <c r="Q137" i="5"/>
  <c r="K137" i="5"/>
  <c r="Q136" i="5"/>
  <c r="P136" i="5" s="1"/>
  <c r="K136" i="5"/>
  <c r="Q135" i="5"/>
  <c r="K135" i="5"/>
  <c r="Q134" i="5"/>
  <c r="K134" i="5"/>
  <c r="Q133" i="5"/>
  <c r="P133" i="5" s="1"/>
  <c r="K133" i="5"/>
  <c r="Q132" i="5"/>
  <c r="O132" i="5" s="1"/>
  <c r="K132" i="5"/>
  <c r="Q131" i="5"/>
  <c r="P131" i="5" s="1"/>
  <c r="K131" i="5"/>
  <c r="Q130" i="5"/>
  <c r="K130" i="5"/>
  <c r="Q129" i="5"/>
  <c r="O129" i="5" s="1"/>
  <c r="K129" i="5"/>
  <c r="Q128" i="5"/>
  <c r="O128" i="5" s="1"/>
  <c r="K128" i="5"/>
  <c r="Q127" i="5"/>
  <c r="O127" i="5" s="1"/>
  <c r="K127" i="5"/>
  <c r="Q126" i="5"/>
  <c r="O126" i="5" s="1"/>
  <c r="K126" i="5"/>
  <c r="Q125" i="5"/>
  <c r="O125" i="5" s="1"/>
  <c r="K125" i="5"/>
  <c r="Q124" i="5"/>
  <c r="P124" i="5" s="1"/>
  <c r="K124" i="5"/>
  <c r="Q123" i="5"/>
  <c r="K123" i="5"/>
  <c r="Q122" i="5"/>
  <c r="K122" i="5"/>
  <c r="Q121" i="5"/>
  <c r="P121" i="5" s="1"/>
  <c r="K121" i="5"/>
  <c r="Q120" i="5"/>
  <c r="O120" i="5" s="1"/>
  <c r="K120" i="5"/>
  <c r="Q119" i="5"/>
  <c r="K119" i="5"/>
  <c r="Q118" i="5"/>
  <c r="O118" i="5" s="1"/>
  <c r="K118" i="5"/>
  <c r="Q117" i="5"/>
  <c r="O117" i="5" s="1"/>
  <c r="K117" i="5"/>
  <c r="Q116" i="5"/>
  <c r="O116" i="5" s="1"/>
  <c r="K116" i="5"/>
  <c r="Q115" i="5"/>
  <c r="K115" i="5"/>
  <c r="Q114" i="5"/>
  <c r="K114" i="5"/>
  <c r="Q113" i="5"/>
  <c r="O113" i="5" s="1"/>
  <c r="K113" i="5"/>
  <c r="Q112" i="5"/>
  <c r="K112" i="5"/>
  <c r="Q111" i="5"/>
  <c r="P111" i="5" s="1"/>
  <c r="K111" i="5"/>
  <c r="Q110" i="5"/>
  <c r="K110" i="5"/>
  <c r="Q109" i="5"/>
  <c r="P109" i="5" s="1"/>
  <c r="K109" i="5"/>
  <c r="Q108" i="5"/>
  <c r="K108" i="5"/>
  <c r="Q107" i="5"/>
  <c r="P107" i="5" s="1"/>
  <c r="K107" i="5"/>
  <c r="Q106" i="5"/>
  <c r="O106" i="5" s="1"/>
  <c r="K106" i="5"/>
  <c r="Q105" i="5"/>
  <c r="O105" i="5" s="1"/>
  <c r="K105" i="5"/>
  <c r="Q104" i="5"/>
  <c r="O104" i="5" s="1"/>
  <c r="K104" i="5"/>
  <c r="Q103" i="5"/>
  <c r="K103" i="5"/>
  <c r="Q102" i="5"/>
  <c r="O102" i="5" s="1"/>
  <c r="K102" i="5"/>
  <c r="Q101" i="5"/>
  <c r="K101" i="5"/>
  <c r="Q100" i="5"/>
  <c r="P100" i="5" s="1"/>
  <c r="K100" i="5"/>
  <c r="Q99" i="5"/>
  <c r="P99" i="5" s="1"/>
  <c r="K99" i="5"/>
  <c r="Q98" i="5"/>
  <c r="K98" i="5"/>
  <c r="Q97" i="5"/>
  <c r="P97" i="5" s="1"/>
  <c r="K97" i="5"/>
  <c r="Q96" i="5"/>
  <c r="O96" i="5" s="1"/>
  <c r="K96" i="5"/>
  <c r="Q95" i="5"/>
  <c r="K95" i="5"/>
  <c r="Q94" i="5"/>
  <c r="O94" i="5" s="1"/>
  <c r="K94" i="5"/>
  <c r="Q93" i="5"/>
  <c r="K93" i="5"/>
  <c r="Q92" i="5"/>
  <c r="K92" i="5"/>
  <c r="Q91" i="5"/>
  <c r="O91" i="5" s="1"/>
  <c r="K91" i="5"/>
  <c r="Q90" i="5"/>
  <c r="O90" i="5" s="1"/>
  <c r="K90" i="5"/>
  <c r="Q89" i="5"/>
  <c r="O89" i="5" s="1"/>
  <c r="K89" i="5"/>
  <c r="Q88" i="5"/>
  <c r="P88" i="5" s="1"/>
  <c r="K88" i="5"/>
  <c r="Q87" i="5"/>
  <c r="P87" i="5" s="1"/>
  <c r="K87" i="5"/>
  <c r="Q86" i="5"/>
  <c r="P86" i="5" s="1"/>
  <c r="K86" i="5"/>
  <c r="Q85" i="5"/>
  <c r="K85" i="5"/>
  <c r="Q84" i="5"/>
  <c r="K84" i="5"/>
  <c r="BV83" i="5"/>
  <c r="BS83" i="5" s="1"/>
  <c r="BP83" i="5"/>
  <c r="Q83" i="5"/>
  <c r="P83" i="5" s="1"/>
  <c r="K83" i="5"/>
  <c r="BV82" i="5"/>
  <c r="BT82" i="5" s="1"/>
  <c r="BP82" i="5"/>
  <c r="Q82" i="5"/>
  <c r="O82" i="5" s="1"/>
  <c r="K82" i="5"/>
  <c r="BV81" i="5"/>
  <c r="BS81" i="5" s="1"/>
  <c r="BP81" i="5"/>
  <c r="Q81" i="5"/>
  <c r="O81" i="5" s="1"/>
  <c r="K81" i="5"/>
  <c r="BV80" i="5"/>
  <c r="BU80" i="5" s="1"/>
  <c r="BP80" i="5"/>
  <c r="Q80" i="5"/>
  <c r="O80" i="5" s="1"/>
  <c r="K80" i="5"/>
  <c r="BV79" i="5"/>
  <c r="BT79" i="5" s="1"/>
  <c r="BP79" i="5"/>
  <c r="Q79" i="5"/>
  <c r="K79" i="5"/>
  <c r="BV78" i="5"/>
  <c r="BU78" i="5" s="1"/>
  <c r="BP78" i="5"/>
  <c r="Q78" i="5"/>
  <c r="K78" i="5"/>
  <c r="BV77" i="5"/>
  <c r="BS77" i="5" s="1"/>
  <c r="BP77" i="5"/>
  <c r="Q77" i="5"/>
  <c r="O77" i="5" s="1"/>
  <c r="K77" i="5"/>
  <c r="BV76" i="5"/>
  <c r="BS76" i="5" s="1"/>
  <c r="BP76" i="5"/>
  <c r="Q76" i="5"/>
  <c r="P76" i="5" s="1"/>
  <c r="K76" i="5"/>
  <c r="BV75" i="5"/>
  <c r="BU75" i="5" s="1"/>
  <c r="BP75" i="5"/>
  <c r="Q75" i="5"/>
  <c r="P75" i="5" s="1"/>
  <c r="K75" i="5"/>
  <c r="BV74" i="5"/>
  <c r="BU74" i="5" s="1"/>
  <c r="BP74" i="5"/>
  <c r="Q74" i="5"/>
  <c r="P74" i="5" s="1"/>
  <c r="K74" i="5"/>
  <c r="BV73" i="5"/>
  <c r="BU73" i="5" s="1"/>
  <c r="BP73" i="5"/>
  <c r="Q73" i="5"/>
  <c r="K73" i="5"/>
  <c r="BV72" i="5"/>
  <c r="BU72" i="5" s="1"/>
  <c r="BP72" i="5"/>
  <c r="Q72" i="5"/>
  <c r="K72" i="5"/>
  <c r="BV71" i="5"/>
  <c r="BU71" i="5" s="1"/>
  <c r="BP71" i="5"/>
  <c r="Q71" i="5"/>
  <c r="O71" i="5" s="1"/>
  <c r="K71" i="5"/>
  <c r="BV70" i="5"/>
  <c r="BT70" i="5" s="1"/>
  <c r="BP70" i="5"/>
  <c r="Q70" i="5"/>
  <c r="O70" i="5" s="1"/>
  <c r="K70" i="5"/>
  <c r="BV69" i="5"/>
  <c r="BS69" i="5" s="1"/>
  <c r="BP69" i="5"/>
  <c r="Q69" i="5"/>
  <c r="O69" i="5" s="1"/>
  <c r="K69" i="5"/>
  <c r="BV68" i="5"/>
  <c r="BS68" i="5" s="1"/>
  <c r="BP68" i="5"/>
  <c r="Q68" i="5"/>
  <c r="O68" i="5" s="1"/>
  <c r="K68" i="5"/>
  <c r="BV67" i="5"/>
  <c r="BT67" i="5" s="1"/>
  <c r="BP67" i="5"/>
  <c r="Q67" i="5"/>
  <c r="O67" i="5" s="1"/>
  <c r="K67" i="5"/>
  <c r="BV66" i="5"/>
  <c r="BS66" i="5" s="1"/>
  <c r="BP66" i="5"/>
  <c r="Q66" i="5"/>
  <c r="O66" i="5" s="1"/>
  <c r="K66" i="5"/>
  <c r="BV65" i="5"/>
  <c r="BS65" i="5" s="1"/>
  <c r="BP65" i="5"/>
  <c r="Q65" i="5"/>
  <c r="O65" i="5" s="1"/>
  <c r="K65" i="5"/>
  <c r="BV64" i="5"/>
  <c r="BU64" i="5" s="1"/>
  <c r="BP64" i="5"/>
  <c r="Q64" i="5"/>
  <c r="P64" i="5" s="1"/>
  <c r="K64" i="5"/>
  <c r="BV63" i="5"/>
  <c r="BS63" i="5" s="1"/>
  <c r="BP63" i="5"/>
  <c r="Q63" i="5"/>
  <c r="K63" i="5"/>
  <c r="BV62" i="5"/>
  <c r="BU62" i="5" s="1"/>
  <c r="BP62" i="5"/>
  <c r="Q62" i="5"/>
  <c r="K62" i="5"/>
  <c r="BV61" i="5"/>
  <c r="BS61" i="5" s="1"/>
  <c r="BP61" i="5"/>
  <c r="Q61" i="5"/>
  <c r="K61" i="5"/>
  <c r="BV60" i="5"/>
  <c r="BU60" i="5" s="1"/>
  <c r="BP60" i="5"/>
  <c r="Q60" i="5"/>
  <c r="O60" i="5" s="1"/>
  <c r="K60" i="5"/>
  <c r="BV59" i="5"/>
  <c r="BU59" i="5" s="1"/>
  <c r="BP59" i="5"/>
  <c r="Q59" i="5"/>
  <c r="K59" i="5"/>
  <c r="BV58" i="5"/>
  <c r="BS58" i="5" s="1"/>
  <c r="BP58" i="5"/>
  <c r="Q58" i="5"/>
  <c r="O58" i="5" s="1"/>
  <c r="K58" i="5"/>
  <c r="BV57" i="5"/>
  <c r="BU57" i="5" s="1"/>
  <c r="BP57" i="5"/>
  <c r="Q57" i="5"/>
  <c r="O57" i="5" s="1"/>
  <c r="K57" i="5"/>
  <c r="BV56" i="5"/>
  <c r="BU56" i="5" s="1"/>
  <c r="BP56" i="5"/>
  <c r="Q56" i="5"/>
  <c r="K56" i="5"/>
  <c r="BV55" i="5"/>
  <c r="BS55" i="5" s="1"/>
  <c r="BP55" i="5"/>
  <c r="Q55" i="5"/>
  <c r="K55" i="5"/>
  <c r="BV54" i="5"/>
  <c r="BS54" i="5" s="1"/>
  <c r="BP54" i="5"/>
  <c r="Q54" i="5"/>
  <c r="K54" i="5"/>
  <c r="BV53" i="5"/>
  <c r="BU53" i="5" s="1"/>
  <c r="BP53" i="5"/>
  <c r="Q53" i="5"/>
  <c r="K53" i="5"/>
  <c r="BV52" i="5"/>
  <c r="BU52" i="5" s="1"/>
  <c r="BP52" i="5"/>
  <c r="Q52" i="5"/>
  <c r="P52" i="5" s="1"/>
  <c r="K52" i="5"/>
  <c r="BV51" i="5"/>
  <c r="BU51" i="5" s="1"/>
  <c r="BP51" i="5"/>
  <c r="Q51" i="5"/>
  <c r="K51" i="5"/>
  <c r="BV50" i="5"/>
  <c r="BS50" i="5" s="1"/>
  <c r="BP50" i="5"/>
  <c r="Q50" i="5"/>
  <c r="K50" i="5"/>
  <c r="BV49" i="5"/>
  <c r="BU49" i="5" s="1"/>
  <c r="BP49" i="5"/>
  <c r="Q49" i="5"/>
  <c r="P49" i="5" s="1"/>
  <c r="K49" i="5"/>
  <c r="BV48" i="5"/>
  <c r="BU48" i="5" s="1"/>
  <c r="BP48" i="5"/>
  <c r="Q48" i="5"/>
  <c r="O48" i="5" s="1"/>
  <c r="K48" i="5"/>
  <c r="BV47" i="5"/>
  <c r="BS47" i="5" s="1"/>
  <c r="BP47" i="5"/>
  <c r="Q47" i="5"/>
  <c r="K47" i="5"/>
  <c r="BV46" i="5"/>
  <c r="BS46" i="5" s="1"/>
  <c r="BP46" i="5"/>
  <c r="Q46" i="5"/>
  <c r="O46" i="5" s="1"/>
  <c r="K46" i="5"/>
  <c r="BV45" i="5"/>
  <c r="BU45" i="5" s="1"/>
  <c r="BP45" i="5"/>
  <c r="Q45" i="5"/>
  <c r="K45" i="5"/>
  <c r="BV44" i="5"/>
  <c r="BS44" i="5" s="1"/>
  <c r="BP44" i="5"/>
  <c r="Q44" i="5"/>
  <c r="K44" i="5"/>
  <c r="BV43" i="5"/>
  <c r="BT43" i="5" s="1"/>
  <c r="BP43" i="5"/>
  <c r="Q43" i="5"/>
  <c r="K43" i="5"/>
  <c r="BV42" i="5"/>
  <c r="BU42" i="5" s="1"/>
  <c r="BP42" i="5"/>
  <c r="Q42" i="5"/>
  <c r="O42" i="5" s="1"/>
  <c r="K42" i="5"/>
  <c r="BV41" i="5"/>
  <c r="BU41" i="5" s="1"/>
  <c r="BP41" i="5"/>
  <c r="Q41" i="5"/>
  <c r="O41" i="5" s="1"/>
  <c r="K41" i="5"/>
  <c r="BV40" i="5"/>
  <c r="BU40" i="5" s="1"/>
  <c r="BP40" i="5"/>
  <c r="Q40" i="5"/>
  <c r="P40" i="5" s="1"/>
  <c r="K40" i="5"/>
  <c r="BV39" i="5"/>
  <c r="BS39" i="5" s="1"/>
  <c r="BP39" i="5"/>
  <c r="Q39" i="5"/>
  <c r="P39" i="5" s="1"/>
  <c r="K39" i="5"/>
  <c r="BV38" i="5"/>
  <c r="BS38" i="5" s="1"/>
  <c r="BP38" i="5"/>
  <c r="Q38" i="5"/>
  <c r="P38" i="5" s="1"/>
  <c r="K38" i="5"/>
  <c r="BV37" i="5"/>
  <c r="BU37" i="5" s="1"/>
  <c r="BP37" i="5"/>
  <c r="Q37" i="5"/>
  <c r="K37" i="5"/>
  <c r="BV36" i="5"/>
  <c r="BS36" i="5" s="1"/>
  <c r="BP36" i="5"/>
  <c r="Q36" i="5"/>
  <c r="O36" i="5" s="1"/>
  <c r="K36" i="5"/>
  <c r="BV35" i="5"/>
  <c r="BS35" i="5" s="1"/>
  <c r="BP35" i="5"/>
  <c r="Q35" i="5"/>
  <c r="K35" i="5"/>
  <c r="BV34" i="5"/>
  <c r="BS34" i="5" s="1"/>
  <c r="BP34" i="5"/>
  <c r="Q34" i="5"/>
  <c r="O34" i="5" s="1"/>
  <c r="K34" i="5"/>
  <c r="BV33" i="5"/>
  <c r="BU33" i="5" s="1"/>
  <c r="BP33" i="5"/>
  <c r="Q33" i="5"/>
  <c r="O33" i="5" s="1"/>
  <c r="K33" i="5"/>
  <c r="BV32" i="5"/>
  <c r="BU32" i="5" s="1"/>
  <c r="BP32" i="5"/>
  <c r="Q32" i="5"/>
  <c r="K32" i="5"/>
  <c r="BV31" i="5"/>
  <c r="BU31" i="5" s="1"/>
  <c r="BP31" i="5"/>
  <c r="Q31" i="5"/>
  <c r="O31" i="5" s="1"/>
  <c r="K31" i="5"/>
  <c r="BV30" i="5"/>
  <c r="BU30" i="5" s="1"/>
  <c r="BP30" i="5"/>
  <c r="Q30" i="5"/>
  <c r="K30" i="5"/>
  <c r="BV29" i="5"/>
  <c r="BS29" i="5" s="1"/>
  <c r="BP29" i="5"/>
  <c r="Q29" i="5"/>
  <c r="O29" i="5" s="1"/>
  <c r="K29" i="5"/>
  <c r="BV28" i="5"/>
  <c r="BU28" i="5" s="1"/>
  <c r="BP28" i="5"/>
  <c r="Q28" i="5"/>
  <c r="P28" i="5" s="1"/>
  <c r="K28" i="5"/>
  <c r="BV27" i="5"/>
  <c r="BU27" i="5" s="1"/>
  <c r="BP27" i="5"/>
  <c r="Q27" i="5"/>
  <c r="P27" i="5" s="1"/>
  <c r="K27" i="5"/>
  <c r="BV26" i="5"/>
  <c r="BS26" i="5" s="1"/>
  <c r="BP26" i="5"/>
  <c r="Q26" i="5"/>
  <c r="P26" i="5" s="1"/>
  <c r="K26" i="5"/>
  <c r="BV25" i="5"/>
  <c r="BU25" i="5" s="1"/>
  <c r="BP25" i="5"/>
  <c r="Q25" i="5"/>
  <c r="O25" i="5" s="1"/>
  <c r="K25" i="5"/>
  <c r="B25" i="5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B37" i="5" s="1"/>
  <c r="B38" i="5" s="1"/>
  <c r="B39" i="5" s="1"/>
  <c r="B40" i="5" s="1"/>
  <c r="B41" i="5" s="1"/>
  <c r="B42" i="5" s="1"/>
  <c r="B43" i="5" s="1"/>
  <c r="B44" i="5" s="1"/>
  <c r="B45" i="5" s="1"/>
  <c r="B46" i="5" s="1"/>
  <c r="B47" i="5" s="1"/>
  <c r="B48" i="5" s="1"/>
  <c r="B49" i="5" s="1"/>
  <c r="B50" i="5" s="1"/>
  <c r="B51" i="5" s="1"/>
  <c r="B52" i="5" s="1"/>
  <c r="B53" i="5" s="1"/>
  <c r="B54" i="5" s="1"/>
  <c r="B55" i="5" s="1"/>
  <c r="B56" i="5" s="1"/>
  <c r="B57" i="5" s="1"/>
  <c r="B58" i="5" s="1"/>
  <c r="B59" i="5" s="1"/>
  <c r="B60" i="5" s="1"/>
  <c r="B61" i="5" s="1"/>
  <c r="B62" i="5" s="1"/>
  <c r="B63" i="5" s="1"/>
  <c r="B64" i="5" s="1"/>
  <c r="B65" i="5" s="1"/>
  <c r="B66" i="5" s="1"/>
  <c r="B67" i="5" s="1"/>
  <c r="B68" i="5" s="1"/>
  <c r="B69" i="5" s="1"/>
  <c r="B70" i="5" s="1"/>
  <c r="B71" i="5" s="1"/>
  <c r="B72" i="5" s="1"/>
  <c r="B73" i="5" s="1"/>
  <c r="B74" i="5" s="1"/>
  <c r="B75" i="5" s="1"/>
  <c r="B76" i="5" s="1"/>
  <c r="B77" i="5" s="1"/>
  <c r="B78" i="5" s="1"/>
  <c r="B79" i="5" s="1"/>
  <c r="B80" i="5" s="1"/>
  <c r="B81" i="5" s="1"/>
  <c r="B82" i="5" s="1"/>
  <c r="B83" i="5" s="1"/>
  <c r="B84" i="5" s="1"/>
  <c r="B85" i="5" s="1"/>
  <c r="B86" i="5" s="1"/>
  <c r="B87" i="5" s="1"/>
  <c r="B88" i="5" s="1"/>
  <c r="B89" i="5" s="1"/>
  <c r="B90" i="5" s="1"/>
  <c r="B91" i="5" s="1"/>
  <c r="B92" i="5" s="1"/>
  <c r="B93" i="5" s="1"/>
  <c r="B94" i="5" s="1"/>
  <c r="B95" i="5" s="1"/>
  <c r="B96" i="5" s="1"/>
  <c r="B97" i="5" s="1"/>
  <c r="B98" i="5" s="1"/>
  <c r="B99" i="5" s="1"/>
  <c r="B100" i="5" s="1"/>
  <c r="B101" i="5" s="1"/>
  <c r="B102" i="5" s="1"/>
  <c r="B103" i="5" s="1"/>
  <c r="B104" i="5" s="1"/>
  <c r="B105" i="5" s="1"/>
  <c r="B106" i="5" s="1"/>
  <c r="B107" i="5" s="1"/>
  <c r="B108" i="5" s="1"/>
  <c r="B109" i="5" s="1"/>
  <c r="B110" i="5" s="1"/>
  <c r="B111" i="5" s="1"/>
  <c r="B112" i="5" s="1"/>
  <c r="B113" i="5" s="1"/>
  <c r="B114" i="5" s="1"/>
  <c r="B115" i="5" s="1"/>
  <c r="B116" i="5" s="1"/>
  <c r="B117" i="5" s="1"/>
  <c r="B118" i="5" s="1"/>
  <c r="B119" i="5" s="1"/>
  <c r="B120" i="5" s="1"/>
  <c r="B121" i="5" s="1"/>
  <c r="B122" i="5" s="1"/>
  <c r="B123" i="5" s="1"/>
  <c r="B124" i="5" s="1"/>
  <c r="B125" i="5" s="1"/>
  <c r="B126" i="5" s="1"/>
  <c r="B127" i="5" s="1"/>
  <c r="B128" i="5" s="1"/>
  <c r="B129" i="5" s="1"/>
  <c r="B130" i="5" s="1"/>
  <c r="B131" i="5" s="1"/>
  <c r="B132" i="5" s="1"/>
  <c r="B133" i="5" s="1"/>
  <c r="B134" i="5" s="1"/>
  <c r="B135" i="5" s="1"/>
  <c r="B136" i="5" s="1"/>
  <c r="B137" i="5" s="1"/>
  <c r="B138" i="5" s="1"/>
  <c r="B139" i="5" s="1"/>
  <c r="B140" i="5" s="1"/>
  <c r="B141" i="5" s="1"/>
  <c r="B142" i="5" s="1"/>
  <c r="B143" i="5" s="1"/>
  <c r="B144" i="5" s="1"/>
  <c r="B145" i="5" s="1"/>
  <c r="B146" i="5" s="1"/>
  <c r="B147" i="5" s="1"/>
  <c r="B148" i="5" s="1"/>
  <c r="B149" i="5" s="1"/>
  <c r="B150" i="5" s="1"/>
  <c r="B151" i="5" s="1"/>
  <c r="B152" i="5" s="1"/>
  <c r="B153" i="5" s="1"/>
  <c r="B154" i="5" s="1"/>
  <c r="B155" i="5" s="1"/>
  <c r="B156" i="5" s="1"/>
  <c r="B157" i="5" s="1"/>
  <c r="B158" i="5" s="1"/>
  <c r="B159" i="5" s="1"/>
  <c r="B160" i="5" s="1"/>
  <c r="B161" i="5" s="1"/>
  <c r="B162" i="5" s="1"/>
  <c r="B163" i="5" s="1"/>
  <c r="B164" i="5" s="1"/>
  <c r="B165" i="5" s="1"/>
  <c r="B166" i="5" s="1"/>
  <c r="B167" i="5" s="1"/>
  <c r="B168" i="5" s="1"/>
  <c r="B169" i="5" s="1"/>
  <c r="B170" i="5" s="1"/>
  <c r="B171" i="5" s="1"/>
  <c r="B172" i="5" s="1"/>
  <c r="B173" i="5" s="1"/>
  <c r="B174" i="5" s="1"/>
  <c r="B175" i="5" s="1"/>
  <c r="B176" i="5" s="1"/>
  <c r="B177" i="5" s="1"/>
  <c r="B178" i="5" s="1"/>
  <c r="B179" i="5" s="1"/>
  <c r="B180" i="5" s="1"/>
  <c r="B181" i="5" s="1"/>
  <c r="B182" i="5" s="1"/>
  <c r="B183" i="5" s="1"/>
  <c r="B184" i="5" s="1"/>
  <c r="B185" i="5" s="1"/>
  <c r="B186" i="5" s="1"/>
  <c r="B187" i="5" s="1"/>
  <c r="B188" i="5" s="1"/>
  <c r="B189" i="5" s="1"/>
  <c r="B190" i="5" s="1"/>
  <c r="B191" i="5" s="1"/>
  <c r="B192" i="5" s="1"/>
  <c r="B193" i="5" s="1"/>
  <c r="B194" i="5" s="1"/>
  <c r="B195" i="5" s="1"/>
  <c r="B196" i="5" s="1"/>
  <c r="B197" i="5" s="1"/>
  <c r="B198" i="5" s="1"/>
  <c r="B199" i="5" s="1"/>
  <c r="B200" i="5" s="1"/>
  <c r="B201" i="5" s="1"/>
  <c r="B202" i="5" s="1"/>
  <c r="B203" i="5" s="1"/>
  <c r="B204" i="5" s="1"/>
  <c r="B205" i="5" s="1"/>
  <c r="B206" i="5" s="1"/>
  <c r="B207" i="5" s="1"/>
  <c r="B208" i="5" s="1"/>
  <c r="B209" i="5" s="1"/>
  <c r="B210" i="5" s="1"/>
  <c r="B211" i="5" s="1"/>
  <c r="B212" i="5" s="1"/>
  <c r="B213" i="5" s="1"/>
  <c r="B214" i="5" s="1"/>
  <c r="B215" i="5" s="1"/>
  <c r="B216" i="5" s="1"/>
  <c r="B217" i="5" s="1"/>
  <c r="B218" i="5" s="1"/>
  <c r="B219" i="5" s="1"/>
  <c r="B220" i="5" s="1"/>
  <c r="B221" i="5" s="1"/>
  <c r="B222" i="5" s="1"/>
  <c r="B223" i="5" s="1"/>
  <c r="B224" i="5" s="1"/>
  <c r="BV24" i="5"/>
  <c r="BU24" i="5" s="1"/>
  <c r="BP24" i="5"/>
  <c r="BG24" i="5"/>
  <c r="BG25" i="5" s="1"/>
  <c r="BG26" i="5" s="1"/>
  <c r="BG27" i="5" s="1"/>
  <c r="BG28" i="5" s="1"/>
  <c r="BG29" i="5" s="1"/>
  <c r="BG30" i="5" s="1"/>
  <c r="BG31" i="5" s="1"/>
  <c r="BG32" i="5" s="1"/>
  <c r="BG33" i="5" s="1"/>
  <c r="BG34" i="5" s="1"/>
  <c r="BG35" i="5" s="1"/>
  <c r="BG36" i="5" s="1"/>
  <c r="BG37" i="5" s="1"/>
  <c r="BG38" i="5" s="1"/>
  <c r="BG39" i="5" s="1"/>
  <c r="BG40" i="5" s="1"/>
  <c r="BG41" i="5" s="1"/>
  <c r="BG42" i="5" s="1"/>
  <c r="BG43" i="5" s="1"/>
  <c r="BG44" i="5" s="1"/>
  <c r="BG45" i="5" s="1"/>
  <c r="BG46" i="5" s="1"/>
  <c r="BG47" i="5" s="1"/>
  <c r="BG48" i="5" s="1"/>
  <c r="BG49" i="5" s="1"/>
  <c r="BG50" i="5" s="1"/>
  <c r="BG51" i="5" s="1"/>
  <c r="BG52" i="5" s="1"/>
  <c r="BG53" i="5" s="1"/>
  <c r="BG54" i="5" s="1"/>
  <c r="BG55" i="5" s="1"/>
  <c r="BG56" i="5" s="1"/>
  <c r="BG57" i="5" s="1"/>
  <c r="BG58" i="5" s="1"/>
  <c r="BG59" i="5" s="1"/>
  <c r="BG60" i="5" s="1"/>
  <c r="BG61" i="5" s="1"/>
  <c r="BG62" i="5" s="1"/>
  <c r="BG63" i="5" s="1"/>
  <c r="BG64" i="5" s="1"/>
  <c r="BG65" i="5" s="1"/>
  <c r="BG66" i="5" s="1"/>
  <c r="BG67" i="5" s="1"/>
  <c r="BG68" i="5" s="1"/>
  <c r="BG69" i="5" s="1"/>
  <c r="BG70" i="5" s="1"/>
  <c r="BG71" i="5" s="1"/>
  <c r="BG72" i="5" s="1"/>
  <c r="BG73" i="5" s="1"/>
  <c r="BG74" i="5" s="1"/>
  <c r="BG75" i="5" s="1"/>
  <c r="BG76" i="5" s="1"/>
  <c r="BG77" i="5" s="1"/>
  <c r="BG78" i="5" s="1"/>
  <c r="BG79" i="5" s="1"/>
  <c r="BG80" i="5" s="1"/>
  <c r="BG81" i="5" s="1"/>
  <c r="BG82" i="5" s="1"/>
  <c r="BG83" i="5" s="1"/>
  <c r="BB23" i="5"/>
  <c r="BA23" i="5"/>
  <c r="AZ23" i="5"/>
  <c r="AY23" i="5"/>
  <c r="AX23" i="5"/>
  <c r="AW23" i="5"/>
  <c r="G25" i="4"/>
  <c r="G24" i="4"/>
  <c r="F24" i="4"/>
  <c r="F25" i="4" s="1"/>
  <c r="G23" i="4"/>
  <c r="F23" i="4"/>
  <c r="AA4" i="4"/>
  <c r="Z4" i="4"/>
  <c r="Z3" i="4"/>
  <c r="AA3" i="4" s="1"/>
  <c r="AB3" i="4" s="1"/>
  <c r="K222" i="3"/>
  <c r="K221" i="3"/>
  <c r="K220" i="3"/>
  <c r="K219" i="3"/>
  <c r="K218" i="3"/>
  <c r="K217" i="3"/>
  <c r="K216" i="3"/>
  <c r="K215" i="3"/>
  <c r="K214" i="3"/>
  <c r="K213" i="3"/>
  <c r="K212" i="3"/>
  <c r="K211" i="3"/>
  <c r="K210" i="3"/>
  <c r="K209" i="3"/>
  <c r="K208" i="3"/>
  <c r="K207" i="3"/>
  <c r="K206" i="3"/>
  <c r="K205" i="3"/>
  <c r="K204" i="3"/>
  <c r="K203" i="3"/>
  <c r="K202" i="3"/>
  <c r="K201" i="3"/>
  <c r="K200" i="3"/>
  <c r="K199" i="3"/>
  <c r="K198" i="3"/>
  <c r="K197" i="3"/>
  <c r="K196" i="3"/>
  <c r="K195" i="3"/>
  <c r="K194" i="3"/>
  <c r="K193" i="3"/>
  <c r="K192" i="3"/>
  <c r="K191" i="3"/>
  <c r="K190" i="3"/>
  <c r="K189" i="3"/>
  <c r="K188" i="3"/>
  <c r="K187" i="3"/>
  <c r="K186" i="3"/>
  <c r="K185" i="3"/>
  <c r="K184" i="3"/>
  <c r="K183" i="3"/>
  <c r="K182" i="3"/>
  <c r="K181" i="3"/>
  <c r="K180" i="3"/>
  <c r="K179" i="3"/>
  <c r="K178" i="3"/>
  <c r="K177" i="3"/>
  <c r="K176" i="3"/>
  <c r="K175" i="3"/>
  <c r="K174" i="3"/>
  <c r="K173" i="3"/>
  <c r="K172" i="3"/>
  <c r="K171" i="3"/>
  <c r="K170" i="3"/>
  <c r="K169" i="3"/>
  <c r="K168" i="3"/>
  <c r="K167" i="3"/>
  <c r="K166" i="3"/>
  <c r="K165" i="3"/>
  <c r="K164" i="3"/>
  <c r="K163" i="3"/>
  <c r="K162" i="3"/>
  <c r="K161" i="3"/>
  <c r="K160" i="3"/>
  <c r="K159" i="3"/>
  <c r="K158" i="3"/>
  <c r="K157" i="3"/>
  <c r="K156" i="3"/>
  <c r="K155" i="3"/>
  <c r="K154" i="3"/>
  <c r="K153" i="3"/>
  <c r="K152" i="3"/>
  <c r="K151" i="3"/>
  <c r="K150" i="3"/>
  <c r="K149" i="3"/>
  <c r="K148" i="3"/>
  <c r="K147" i="3"/>
  <c r="K146" i="3"/>
  <c r="K145" i="3"/>
  <c r="K144" i="3"/>
  <c r="K143" i="3"/>
  <c r="K142" i="3"/>
  <c r="K141" i="3"/>
  <c r="K140" i="3"/>
  <c r="K139" i="3"/>
  <c r="K138" i="3"/>
  <c r="K137" i="3"/>
  <c r="K136" i="3"/>
  <c r="K135" i="3"/>
  <c r="K134" i="3"/>
  <c r="K133" i="3"/>
  <c r="K132" i="3"/>
  <c r="K131" i="3"/>
  <c r="K130" i="3"/>
  <c r="K129" i="3"/>
  <c r="K128" i="3"/>
  <c r="K127" i="3"/>
  <c r="K126" i="3"/>
  <c r="K125" i="3"/>
  <c r="K124" i="3"/>
  <c r="K123" i="3"/>
  <c r="K122" i="3"/>
  <c r="K121" i="3"/>
  <c r="K120" i="3"/>
  <c r="K119" i="3"/>
  <c r="K118" i="3"/>
  <c r="K117" i="3"/>
  <c r="K116" i="3"/>
  <c r="K115" i="3"/>
  <c r="K114" i="3"/>
  <c r="K113" i="3"/>
  <c r="K112" i="3"/>
  <c r="K111" i="3"/>
  <c r="K110" i="3"/>
  <c r="K109" i="3"/>
  <c r="K108" i="3"/>
  <c r="K107" i="3"/>
  <c r="K106" i="3"/>
  <c r="K105" i="3"/>
  <c r="K104" i="3"/>
  <c r="K103" i="3"/>
  <c r="K102" i="3"/>
  <c r="K101" i="3"/>
  <c r="K100" i="3"/>
  <c r="K99" i="3"/>
  <c r="K98" i="3"/>
  <c r="K97" i="3"/>
  <c r="K96" i="3"/>
  <c r="K95" i="3"/>
  <c r="K94" i="3"/>
  <c r="K93" i="3"/>
  <c r="K92" i="3"/>
  <c r="K91" i="3"/>
  <c r="K90" i="3"/>
  <c r="K89" i="3"/>
  <c r="K88" i="3"/>
  <c r="K87" i="3"/>
  <c r="K86" i="3"/>
  <c r="K85" i="3"/>
  <c r="K84" i="3"/>
  <c r="K83" i="3"/>
  <c r="K82" i="3"/>
  <c r="K81" i="3"/>
  <c r="K80" i="3"/>
  <c r="K79" i="3"/>
  <c r="K78" i="3"/>
  <c r="K77" i="3"/>
  <c r="K76" i="3"/>
  <c r="K75" i="3"/>
  <c r="K74" i="3"/>
  <c r="K73" i="3"/>
  <c r="K72" i="3"/>
  <c r="K71" i="3"/>
  <c r="K70" i="3"/>
  <c r="K69" i="3"/>
  <c r="K68" i="3"/>
  <c r="K67" i="3"/>
  <c r="K66" i="3"/>
  <c r="K65" i="3"/>
  <c r="K64" i="3"/>
  <c r="K63" i="3"/>
  <c r="K62" i="3"/>
  <c r="K61" i="3"/>
  <c r="K60" i="3"/>
  <c r="K59" i="3"/>
  <c r="K58" i="3"/>
  <c r="K57" i="3"/>
  <c r="I57" i="3"/>
  <c r="K56" i="3"/>
  <c r="K55" i="3"/>
  <c r="K54" i="3"/>
  <c r="I54" i="3"/>
  <c r="K53" i="3"/>
  <c r="K52" i="3"/>
  <c r="K51" i="3"/>
  <c r="I51" i="3"/>
  <c r="K50" i="3"/>
  <c r="K49" i="3"/>
  <c r="K48" i="3"/>
  <c r="K47" i="3"/>
  <c r="K46" i="3"/>
  <c r="K45" i="3"/>
  <c r="K44" i="3"/>
  <c r="K43" i="3"/>
  <c r="Q42" i="3"/>
  <c r="P42" i="3"/>
  <c r="K42" i="3"/>
  <c r="K41" i="3"/>
  <c r="I41" i="3"/>
  <c r="N40" i="3"/>
  <c r="K40" i="3"/>
  <c r="AH39" i="3"/>
  <c r="AI39" i="3" s="1"/>
  <c r="AJ39" i="3" s="1"/>
  <c r="Q39" i="3"/>
  <c r="P39" i="3"/>
  <c r="K39" i="3"/>
  <c r="K38" i="3"/>
  <c r="I38" i="3" s="1"/>
  <c r="N37" i="3"/>
  <c r="K37" i="3"/>
  <c r="Q37" i="3" s="1"/>
  <c r="I37" i="3"/>
  <c r="O36" i="3"/>
  <c r="K36" i="3"/>
  <c r="N36" i="3" s="1"/>
  <c r="AW35" i="3"/>
  <c r="AV35" i="3"/>
  <c r="K35" i="3"/>
  <c r="AW34" i="3"/>
  <c r="AU34" i="3"/>
  <c r="K34" i="3"/>
  <c r="I34" i="3"/>
  <c r="N34" i="3" s="1"/>
  <c r="N33" i="3"/>
  <c r="K33" i="3"/>
  <c r="Q32" i="3"/>
  <c r="P32" i="3"/>
  <c r="K32" i="3"/>
  <c r="Q31" i="3"/>
  <c r="K31" i="3"/>
  <c r="P31" i="3" s="1"/>
  <c r="O31" i="3"/>
  <c r="AH33" i="3"/>
  <c r="AI33" i="3" s="1"/>
  <c r="AJ33" i="3" s="1"/>
  <c r="K30" i="3"/>
  <c r="O29" i="3"/>
  <c r="K29" i="3"/>
  <c r="Q28" i="3"/>
  <c r="O28" i="3"/>
  <c r="K28" i="3"/>
  <c r="AH30" i="3"/>
  <c r="AI30" i="3" s="1"/>
  <c r="AJ30" i="3" s="1"/>
  <c r="P27" i="3"/>
  <c r="K27" i="3"/>
  <c r="K26" i="3"/>
  <c r="I46" i="3"/>
  <c r="I66" i="3" s="1"/>
  <c r="K25" i="3"/>
  <c r="O25" i="3"/>
  <c r="AH27" i="3"/>
  <c r="K24" i="3"/>
  <c r="Q24" i="3" s="1"/>
  <c r="I44" i="3"/>
  <c r="K23" i="3"/>
  <c r="Q23" i="3" s="1"/>
  <c r="I43" i="3"/>
  <c r="I63" i="3" s="1"/>
  <c r="AQ21" i="3"/>
  <c r="AP21" i="3"/>
  <c r="AO21" i="3"/>
  <c r="I58" i="2"/>
  <c r="I78" i="2" s="1"/>
  <c r="I98" i="2" s="1"/>
  <c r="I118" i="2" s="1"/>
  <c r="I138" i="2" s="1"/>
  <c r="I158" i="2" s="1"/>
  <c r="I178" i="2" s="1"/>
  <c r="I198" i="2" s="1"/>
  <c r="I42" i="2"/>
  <c r="K222" i="2"/>
  <c r="K221" i="2"/>
  <c r="K220" i="2"/>
  <c r="K219" i="2"/>
  <c r="K218" i="2"/>
  <c r="K217" i="2"/>
  <c r="K216" i="2"/>
  <c r="K215" i="2"/>
  <c r="K214" i="2"/>
  <c r="K213" i="2"/>
  <c r="K212" i="2"/>
  <c r="K211" i="2"/>
  <c r="K210" i="2"/>
  <c r="K209" i="2"/>
  <c r="K208" i="2"/>
  <c r="K207" i="2"/>
  <c r="K206" i="2"/>
  <c r="K205" i="2"/>
  <c r="K204" i="2"/>
  <c r="K203" i="2"/>
  <c r="K202" i="2"/>
  <c r="K201" i="2"/>
  <c r="K200" i="2"/>
  <c r="K199" i="2"/>
  <c r="K198" i="2"/>
  <c r="K197" i="2"/>
  <c r="K196" i="2"/>
  <c r="K195" i="2"/>
  <c r="K194" i="2"/>
  <c r="K193" i="2"/>
  <c r="K192" i="2"/>
  <c r="K191" i="2"/>
  <c r="K190" i="2"/>
  <c r="K189" i="2"/>
  <c r="K188" i="2"/>
  <c r="K187" i="2"/>
  <c r="K186" i="2"/>
  <c r="K185" i="2"/>
  <c r="K184" i="2"/>
  <c r="K183" i="2"/>
  <c r="K182" i="2"/>
  <c r="K181" i="2"/>
  <c r="K180" i="2"/>
  <c r="K179" i="2"/>
  <c r="K178" i="2"/>
  <c r="K177" i="2"/>
  <c r="K176" i="2"/>
  <c r="K175" i="2"/>
  <c r="K174" i="2"/>
  <c r="K173" i="2"/>
  <c r="K172" i="2"/>
  <c r="K171" i="2"/>
  <c r="K170" i="2"/>
  <c r="K169" i="2"/>
  <c r="K168" i="2"/>
  <c r="K167" i="2"/>
  <c r="K166" i="2"/>
  <c r="K165" i="2"/>
  <c r="K164" i="2"/>
  <c r="K163" i="2"/>
  <c r="K162" i="2"/>
  <c r="K161" i="2"/>
  <c r="K160" i="2"/>
  <c r="K159" i="2"/>
  <c r="K158" i="2"/>
  <c r="K157" i="2"/>
  <c r="K156" i="2"/>
  <c r="K155" i="2"/>
  <c r="K154" i="2"/>
  <c r="K153" i="2"/>
  <c r="K152" i="2"/>
  <c r="K151" i="2"/>
  <c r="K150" i="2"/>
  <c r="K149" i="2"/>
  <c r="K148" i="2"/>
  <c r="K147" i="2"/>
  <c r="K146" i="2"/>
  <c r="K145" i="2"/>
  <c r="K144" i="2"/>
  <c r="K143" i="2"/>
  <c r="K142" i="2"/>
  <c r="K141" i="2"/>
  <c r="K140" i="2"/>
  <c r="K139" i="2"/>
  <c r="K138" i="2"/>
  <c r="K137" i="2"/>
  <c r="K136" i="2"/>
  <c r="K135" i="2"/>
  <c r="K134" i="2"/>
  <c r="K133" i="2"/>
  <c r="K132" i="2"/>
  <c r="K131" i="2"/>
  <c r="K130" i="2"/>
  <c r="K129" i="2"/>
  <c r="K128" i="2"/>
  <c r="K127" i="2"/>
  <c r="K126" i="2"/>
  <c r="K125" i="2"/>
  <c r="K124" i="2"/>
  <c r="K123" i="2"/>
  <c r="K122" i="2"/>
  <c r="K121" i="2"/>
  <c r="K120" i="2"/>
  <c r="K119" i="2"/>
  <c r="K118" i="2"/>
  <c r="K117" i="2"/>
  <c r="K116" i="2"/>
  <c r="K115" i="2"/>
  <c r="K114" i="2"/>
  <c r="K113" i="2"/>
  <c r="K112" i="2"/>
  <c r="K111" i="2"/>
  <c r="K110" i="2"/>
  <c r="K109" i="2"/>
  <c r="K108" i="2"/>
  <c r="K107" i="2"/>
  <c r="K106" i="2"/>
  <c r="K105" i="2"/>
  <c r="K104" i="2"/>
  <c r="K103" i="2"/>
  <c r="K102" i="2"/>
  <c r="K101" i="2"/>
  <c r="K100" i="2"/>
  <c r="K99" i="2"/>
  <c r="K98" i="2"/>
  <c r="K97" i="2"/>
  <c r="K96" i="2"/>
  <c r="K95" i="2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45" i="2"/>
  <c r="K44" i="2"/>
  <c r="K43" i="2"/>
  <c r="K42" i="2"/>
  <c r="P42" i="2" s="1"/>
  <c r="K41" i="2"/>
  <c r="K40" i="2"/>
  <c r="I40" i="2" s="1"/>
  <c r="I60" i="2" s="1"/>
  <c r="I80" i="2" s="1"/>
  <c r="I100" i="2" s="1"/>
  <c r="I120" i="2" s="1"/>
  <c r="I140" i="2" s="1"/>
  <c r="I160" i="2" s="1"/>
  <c r="I180" i="2" s="1"/>
  <c r="I200" i="2" s="1"/>
  <c r="I220" i="2" s="1"/>
  <c r="K39" i="2"/>
  <c r="I39" i="2"/>
  <c r="AH41" i="2" s="1"/>
  <c r="K38" i="2"/>
  <c r="I38" i="2"/>
  <c r="P37" i="2"/>
  <c r="K37" i="2"/>
  <c r="Q37" i="2" s="1"/>
  <c r="K36" i="2"/>
  <c r="I36" i="2" s="1"/>
  <c r="I56" i="2" s="1"/>
  <c r="I76" i="2" s="1"/>
  <c r="I96" i="2" s="1"/>
  <c r="I116" i="2" s="1"/>
  <c r="I136" i="2" s="1"/>
  <c r="I156" i="2" s="1"/>
  <c r="I176" i="2" s="1"/>
  <c r="I196" i="2" s="1"/>
  <c r="I216" i="2" s="1"/>
  <c r="AW35" i="2"/>
  <c r="Q35" i="2"/>
  <c r="P35" i="2"/>
  <c r="K35" i="2"/>
  <c r="AW34" i="2"/>
  <c r="AU34" i="2"/>
  <c r="K34" i="2"/>
  <c r="I34" i="2"/>
  <c r="I54" i="2" s="1"/>
  <c r="I74" i="2" s="1"/>
  <c r="I94" i="2" s="1"/>
  <c r="I114" i="2" s="1"/>
  <c r="I134" i="2" s="1"/>
  <c r="K33" i="2"/>
  <c r="O33" i="2" s="1"/>
  <c r="K32" i="2"/>
  <c r="I32" i="2"/>
  <c r="AH34" i="2" s="1"/>
  <c r="Q31" i="2"/>
  <c r="P31" i="2"/>
  <c r="K31" i="2"/>
  <c r="O31" i="2"/>
  <c r="I31" i="2"/>
  <c r="N31" i="2" s="1"/>
  <c r="O30" i="2"/>
  <c r="K30" i="2"/>
  <c r="N30" i="2" s="1"/>
  <c r="K29" i="2"/>
  <c r="O29" i="2" s="1"/>
  <c r="O28" i="2"/>
  <c r="K28" i="2"/>
  <c r="N28" i="2" s="1"/>
  <c r="P27" i="2"/>
  <c r="K27" i="2"/>
  <c r="Q27" i="2" s="1"/>
  <c r="K26" i="2"/>
  <c r="Q26" i="2" s="1"/>
  <c r="P25" i="2"/>
  <c r="K25" i="2"/>
  <c r="I25" i="2" s="1"/>
  <c r="K24" i="2"/>
  <c r="K23" i="2"/>
  <c r="P23" i="2" s="1"/>
  <c r="I43" i="2"/>
  <c r="I63" i="2" s="1"/>
  <c r="I83" i="2" s="1"/>
  <c r="AQ21" i="2"/>
  <c r="AP21" i="2"/>
  <c r="AO21" i="2"/>
  <c r="AW35" i="1"/>
  <c r="AW34" i="1"/>
  <c r="AW21" i="1"/>
  <c r="AU21" i="1"/>
  <c r="BI23" i="1"/>
  <c r="BI24" i="1"/>
  <c r="BI25" i="1"/>
  <c r="BI26" i="1"/>
  <c r="BI27" i="1"/>
  <c r="BI28" i="1"/>
  <c r="BI29" i="1"/>
  <c r="BG29" i="1" s="1"/>
  <c r="BI30" i="1"/>
  <c r="BG30" i="1" s="1"/>
  <c r="BI31" i="1"/>
  <c r="BG31" i="1" s="1"/>
  <c r="BI32" i="1"/>
  <c r="BG32" i="1" s="1"/>
  <c r="BI33" i="1"/>
  <c r="BI34" i="1"/>
  <c r="BI35" i="1"/>
  <c r="BI36" i="1"/>
  <c r="BI37" i="1"/>
  <c r="BI38" i="1"/>
  <c r="BI39" i="1"/>
  <c r="BI40" i="1"/>
  <c r="BI41" i="1"/>
  <c r="BG41" i="1" s="1"/>
  <c r="BI42" i="1"/>
  <c r="BG42" i="1" s="1"/>
  <c r="BI43" i="1"/>
  <c r="BG43" i="1" s="1"/>
  <c r="BI44" i="1"/>
  <c r="BG44" i="1" s="1"/>
  <c r="BI45" i="1"/>
  <c r="BI46" i="1"/>
  <c r="BI47" i="1"/>
  <c r="BI48" i="1"/>
  <c r="BI49" i="1"/>
  <c r="BI50" i="1"/>
  <c r="BI51" i="1"/>
  <c r="BI52" i="1"/>
  <c r="BI53" i="1"/>
  <c r="BG53" i="1" s="1"/>
  <c r="BI54" i="1"/>
  <c r="BG54" i="1" s="1"/>
  <c r="BI55" i="1"/>
  <c r="BG55" i="1" s="1"/>
  <c r="BI56" i="1"/>
  <c r="BG56" i="1" s="1"/>
  <c r="BI57" i="1"/>
  <c r="BI58" i="1"/>
  <c r="BI59" i="1"/>
  <c r="BI60" i="1"/>
  <c r="BI61" i="1"/>
  <c r="BI62" i="1"/>
  <c r="BI63" i="1"/>
  <c r="BI64" i="1"/>
  <c r="BI65" i="1"/>
  <c r="BG65" i="1" s="1"/>
  <c r="BI66" i="1"/>
  <c r="BG66" i="1" s="1"/>
  <c r="BI67" i="1"/>
  <c r="BG67" i="1" s="1"/>
  <c r="BI68" i="1"/>
  <c r="BG68" i="1" s="1"/>
  <c r="BI69" i="1"/>
  <c r="BI70" i="1"/>
  <c r="BI71" i="1"/>
  <c r="BI72" i="1"/>
  <c r="BI73" i="1"/>
  <c r="BI74" i="1"/>
  <c r="BI75" i="1"/>
  <c r="BI76" i="1"/>
  <c r="BI77" i="1"/>
  <c r="BG77" i="1" s="1"/>
  <c r="BI78" i="1"/>
  <c r="BG78" i="1" s="1"/>
  <c r="BI79" i="1"/>
  <c r="BG79" i="1" s="1"/>
  <c r="BI80" i="1"/>
  <c r="BG80" i="1" s="1"/>
  <c r="BI81" i="1"/>
  <c r="BH23" i="1"/>
  <c r="BH24" i="1"/>
  <c r="BH25" i="1"/>
  <c r="BH26" i="1"/>
  <c r="BH27" i="1"/>
  <c r="BH28" i="1"/>
  <c r="BH29" i="1"/>
  <c r="BH30" i="1"/>
  <c r="BH31" i="1"/>
  <c r="BH32" i="1"/>
  <c r="BH33" i="1"/>
  <c r="BH34" i="1"/>
  <c r="BH35" i="1"/>
  <c r="BH36" i="1"/>
  <c r="BH37" i="1"/>
  <c r="BH38" i="1"/>
  <c r="BH39" i="1"/>
  <c r="BH40" i="1"/>
  <c r="BH41" i="1"/>
  <c r="BH42" i="1"/>
  <c r="BH43" i="1"/>
  <c r="BH44" i="1"/>
  <c r="BH45" i="1"/>
  <c r="BH46" i="1"/>
  <c r="BH47" i="1"/>
  <c r="BH48" i="1"/>
  <c r="BH49" i="1"/>
  <c r="BH50" i="1"/>
  <c r="BH51" i="1"/>
  <c r="BH52" i="1"/>
  <c r="BH53" i="1"/>
  <c r="BH54" i="1"/>
  <c r="BH55" i="1"/>
  <c r="BH56" i="1"/>
  <c r="BH57" i="1"/>
  <c r="BH58" i="1"/>
  <c r="BH59" i="1"/>
  <c r="BH60" i="1"/>
  <c r="BH61" i="1"/>
  <c r="BH62" i="1"/>
  <c r="BH63" i="1"/>
  <c r="BH64" i="1"/>
  <c r="BH65" i="1"/>
  <c r="BH66" i="1"/>
  <c r="BH67" i="1"/>
  <c r="BH68" i="1"/>
  <c r="BH69" i="1"/>
  <c r="BH70" i="1"/>
  <c r="BH71" i="1"/>
  <c r="BH72" i="1"/>
  <c r="BH73" i="1"/>
  <c r="BH74" i="1"/>
  <c r="BH75" i="1"/>
  <c r="BH76" i="1"/>
  <c r="BH77" i="1"/>
  <c r="BH78" i="1"/>
  <c r="BH79" i="1"/>
  <c r="BH80" i="1"/>
  <c r="BH81" i="1"/>
  <c r="BG23" i="1"/>
  <c r="BG24" i="1"/>
  <c r="BG25" i="1"/>
  <c r="BG26" i="1"/>
  <c r="BG27" i="1"/>
  <c r="BG28" i="1"/>
  <c r="BG33" i="1"/>
  <c r="BG34" i="1"/>
  <c r="BG35" i="1"/>
  <c r="BG36" i="1"/>
  <c r="BG37" i="1"/>
  <c r="BG38" i="1"/>
  <c r="BG39" i="1"/>
  <c r="BG40" i="1"/>
  <c r="BG45" i="1"/>
  <c r="BG46" i="1"/>
  <c r="BG47" i="1"/>
  <c r="BG48" i="1"/>
  <c r="BG49" i="1"/>
  <c r="BG50" i="1"/>
  <c r="BG51" i="1"/>
  <c r="BG52" i="1"/>
  <c r="BG57" i="1"/>
  <c r="BG58" i="1"/>
  <c r="BG59" i="1"/>
  <c r="BG60" i="1"/>
  <c r="BG61" i="1"/>
  <c r="BG62" i="1"/>
  <c r="BG63" i="1"/>
  <c r="BG64" i="1"/>
  <c r="BG69" i="1"/>
  <c r="BG70" i="1"/>
  <c r="BG71" i="1"/>
  <c r="BG72" i="1"/>
  <c r="BG73" i="1"/>
  <c r="BG74" i="1"/>
  <c r="BG75" i="1"/>
  <c r="BG76" i="1"/>
  <c r="BG81" i="1"/>
  <c r="BI22" i="1"/>
  <c r="BG22" i="1" s="1"/>
  <c r="BH22" i="1"/>
  <c r="AP21" i="1"/>
  <c r="AQ21" i="1"/>
  <c r="AO21" i="1"/>
  <c r="K24" i="1"/>
  <c r="O24" i="1" s="1"/>
  <c r="K25" i="1"/>
  <c r="N25" i="1" s="1"/>
  <c r="K26" i="1"/>
  <c r="O26" i="1" s="1"/>
  <c r="K27" i="1"/>
  <c r="O27" i="1" s="1"/>
  <c r="K28" i="1"/>
  <c r="K29" i="1"/>
  <c r="K30" i="1"/>
  <c r="K31" i="1"/>
  <c r="K32" i="1"/>
  <c r="K33" i="1"/>
  <c r="K34" i="1"/>
  <c r="N34" i="1" s="1"/>
  <c r="K35" i="1"/>
  <c r="K36" i="1"/>
  <c r="K37" i="1"/>
  <c r="O37" i="1" s="1"/>
  <c r="K38" i="1"/>
  <c r="N38" i="1" s="1"/>
  <c r="K39" i="1"/>
  <c r="K40" i="1"/>
  <c r="K41" i="1"/>
  <c r="K42" i="1"/>
  <c r="K43" i="1"/>
  <c r="K44" i="1"/>
  <c r="O44" i="1" s="1"/>
  <c r="K45" i="1"/>
  <c r="O45" i="1" s="1"/>
  <c r="K46" i="1"/>
  <c r="N46" i="1" s="1"/>
  <c r="K47" i="1"/>
  <c r="K48" i="1"/>
  <c r="N48" i="1" s="1"/>
  <c r="K49" i="1"/>
  <c r="N49" i="1" s="1"/>
  <c r="K50" i="1"/>
  <c r="K51" i="1"/>
  <c r="O51" i="1" s="1"/>
  <c r="K52" i="1"/>
  <c r="K53" i="1"/>
  <c r="K54" i="1"/>
  <c r="K55" i="1"/>
  <c r="K56" i="1"/>
  <c r="O56" i="1" s="1"/>
  <c r="K57" i="1"/>
  <c r="O57" i="1" s="1"/>
  <c r="K58" i="1"/>
  <c r="K59" i="1"/>
  <c r="K60" i="1"/>
  <c r="N60" i="1" s="1"/>
  <c r="K61" i="1"/>
  <c r="K62" i="1"/>
  <c r="N62" i="1" s="1"/>
  <c r="K63" i="1"/>
  <c r="N63" i="1" s="1"/>
  <c r="K64" i="1"/>
  <c r="K65" i="1"/>
  <c r="K66" i="1"/>
  <c r="K67" i="1"/>
  <c r="K68" i="1"/>
  <c r="N68" i="1" s="1"/>
  <c r="K69" i="1"/>
  <c r="N69" i="1" s="1"/>
  <c r="K70" i="1"/>
  <c r="K71" i="1"/>
  <c r="K72" i="1"/>
  <c r="O72" i="1" s="1"/>
  <c r="K73" i="1"/>
  <c r="K74" i="1"/>
  <c r="N74" i="1" s="1"/>
  <c r="K75" i="1"/>
  <c r="O75" i="1" s="1"/>
  <c r="K76" i="1"/>
  <c r="K77" i="1"/>
  <c r="K78" i="1"/>
  <c r="K79" i="1"/>
  <c r="K80" i="1"/>
  <c r="K81" i="1"/>
  <c r="N81" i="1" s="1"/>
  <c r="K82" i="1"/>
  <c r="K83" i="1"/>
  <c r="K84" i="1"/>
  <c r="O84" i="1" s="1"/>
  <c r="K85" i="1"/>
  <c r="O85" i="1" s="1"/>
  <c r="K86" i="1"/>
  <c r="K87" i="1"/>
  <c r="N87" i="1" s="1"/>
  <c r="K88" i="1"/>
  <c r="N88" i="1" s="1"/>
  <c r="K89" i="1"/>
  <c r="K90" i="1"/>
  <c r="K91" i="1"/>
  <c r="K92" i="1"/>
  <c r="N92" i="1" s="1"/>
  <c r="K93" i="1"/>
  <c r="N93" i="1" s="1"/>
  <c r="K94" i="1"/>
  <c r="K95" i="1"/>
  <c r="K96" i="1"/>
  <c r="K97" i="1"/>
  <c r="O97" i="1" s="1"/>
  <c r="K98" i="1"/>
  <c r="O98" i="1" s="1"/>
  <c r="K99" i="1"/>
  <c r="K100" i="1"/>
  <c r="N100" i="1" s="1"/>
  <c r="K101" i="1"/>
  <c r="N101" i="1" s="1"/>
  <c r="K102" i="1"/>
  <c r="K103" i="1"/>
  <c r="K104" i="1"/>
  <c r="O104" i="1" s="1"/>
  <c r="K105" i="1"/>
  <c r="N105" i="1" s="1"/>
  <c r="K106" i="1"/>
  <c r="O106" i="1" s="1"/>
  <c r="K107" i="1"/>
  <c r="K108" i="1"/>
  <c r="N108" i="1" s="1"/>
  <c r="K109" i="1"/>
  <c r="K110" i="1"/>
  <c r="K111" i="1"/>
  <c r="O111" i="1" s="1"/>
  <c r="K112" i="1"/>
  <c r="N112" i="1" s="1"/>
  <c r="K113" i="1"/>
  <c r="K114" i="1"/>
  <c r="K115" i="1"/>
  <c r="K116" i="1"/>
  <c r="K117" i="1"/>
  <c r="O117" i="1" s="1"/>
  <c r="K118" i="1"/>
  <c r="K119" i="1"/>
  <c r="K120" i="1"/>
  <c r="K121" i="1"/>
  <c r="N121" i="1" s="1"/>
  <c r="K122" i="1"/>
  <c r="O122" i="1" s="1"/>
  <c r="K123" i="1"/>
  <c r="K124" i="1"/>
  <c r="K125" i="1"/>
  <c r="K126" i="1"/>
  <c r="K127" i="1"/>
  <c r="K128" i="1"/>
  <c r="N128" i="1" s="1"/>
  <c r="K129" i="1"/>
  <c r="N129" i="1" s="1"/>
  <c r="K130" i="1"/>
  <c r="K131" i="1"/>
  <c r="K132" i="1"/>
  <c r="O132" i="1" s="1"/>
  <c r="K133" i="1"/>
  <c r="N133" i="1" s="1"/>
  <c r="K134" i="1"/>
  <c r="N134" i="1" s="1"/>
  <c r="K135" i="1"/>
  <c r="N135" i="1" s="1"/>
  <c r="K136" i="1"/>
  <c r="K137" i="1"/>
  <c r="K138" i="1"/>
  <c r="K139" i="1"/>
  <c r="K140" i="1"/>
  <c r="N140" i="1" s="1"/>
  <c r="K141" i="1"/>
  <c r="O141" i="1" s="1"/>
  <c r="K142" i="1"/>
  <c r="K143" i="1"/>
  <c r="K144" i="1"/>
  <c r="N144" i="1" s="1"/>
  <c r="K145" i="1"/>
  <c r="N145" i="1" s="1"/>
  <c r="K146" i="1"/>
  <c r="K147" i="1"/>
  <c r="O147" i="1" s="1"/>
  <c r="K148" i="1"/>
  <c r="K149" i="1"/>
  <c r="K150" i="1"/>
  <c r="K151" i="1"/>
  <c r="K152" i="1"/>
  <c r="K153" i="1"/>
  <c r="N153" i="1" s="1"/>
  <c r="K154" i="1"/>
  <c r="O154" i="1" s="1"/>
  <c r="K155" i="1"/>
  <c r="K156" i="1"/>
  <c r="O156" i="1" s="1"/>
  <c r="K157" i="1"/>
  <c r="K158" i="1"/>
  <c r="N158" i="1" s="1"/>
  <c r="K159" i="1"/>
  <c r="K160" i="1"/>
  <c r="K161" i="1"/>
  <c r="K162" i="1"/>
  <c r="K163" i="1"/>
  <c r="K164" i="1"/>
  <c r="K165" i="1"/>
  <c r="K166" i="1"/>
  <c r="K167" i="1"/>
  <c r="K168" i="1"/>
  <c r="N168" i="1" s="1"/>
  <c r="K169" i="1"/>
  <c r="N169" i="1" s="1"/>
  <c r="K170" i="1"/>
  <c r="N170" i="1" s="1"/>
  <c r="K171" i="1"/>
  <c r="N171" i="1" s="1"/>
  <c r="K172" i="1"/>
  <c r="K173" i="1"/>
  <c r="K174" i="1"/>
  <c r="K175" i="1"/>
  <c r="K176" i="1"/>
  <c r="N176" i="1" s="1"/>
  <c r="K177" i="1"/>
  <c r="N177" i="1" s="1"/>
  <c r="K178" i="1"/>
  <c r="K179" i="1"/>
  <c r="K180" i="1"/>
  <c r="N180" i="1" s="1"/>
  <c r="K181" i="1"/>
  <c r="K182" i="1"/>
  <c r="N182" i="1" s="1"/>
  <c r="K183" i="1"/>
  <c r="O183" i="1" s="1"/>
  <c r="K184" i="1"/>
  <c r="N184" i="1" s="1"/>
  <c r="K185" i="1"/>
  <c r="K186" i="1"/>
  <c r="K187" i="1"/>
  <c r="K188" i="1"/>
  <c r="K189" i="1"/>
  <c r="O189" i="1" s="1"/>
  <c r="K190" i="1"/>
  <c r="N190" i="1" s="1"/>
  <c r="K191" i="1"/>
  <c r="K192" i="1"/>
  <c r="K193" i="1"/>
  <c r="N193" i="1" s="1"/>
  <c r="K194" i="1"/>
  <c r="N194" i="1" s="1"/>
  <c r="K195" i="1"/>
  <c r="K196" i="1"/>
  <c r="K197" i="1"/>
  <c r="K198" i="1"/>
  <c r="K199" i="1"/>
  <c r="K200" i="1"/>
  <c r="O200" i="1" s="1"/>
  <c r="K201" i="1"/>
  <c r="K202" i="1"/>
  <c r="O202" i="1" s="1"/>
  <c r="K203" i="1"/>
  <c r="K204" i="1"/>
  <c r="K205" i="1"/>
  <c r="N205" i="1" s="1"/>
  <c r="K206" i="1"/>
  <c r="N206" i="1" s="1"/>
  <c r="K207" i="1"/>
  <c r="K208" i="1"/>
  <c r="K209" i="1"/>
  <c r="K210" i="1"/>
  <c r="K211" i="1"/>
  <c r="K212" i="1"/>
  <c r="K213" i="1"/>
  <c r="K214" i="1"/>
  <c r="K215" i="1"/>
  <c r="K216" i="1"/>
  <c r="O216" i="1" s="1"/>
  <c r="K217" i="1"/>
  <c r="K218" i="1"/>
  <c r="K219" i="1"/>
  <c r="O219" i="1" s="1"/>
  <c r="K220" i="1"/>
  <c r="K221" i="1"/>
  <c r="K222" i="1"/>
  <c r="N24" i="1"/>
  <c r="N73" i="1"/>
  <c r="N97" i="1"/>
  <c r="N217" i="1"/>
  <c r="AH190" i="1" l="1"/>
  <c r="AI190" i="1" s="1"/>
  <c r="AJ190" i="1" s="1"/>
  <c r="N183" i="1"/>
  <c r="O146" i="1"/>
  <c r="N141" i="1"/>
  <c r="O128" i="1"/>
  <c r="O121" i="1"/>
  <c r="N117" i="1"/>
  <c r="O109" i="1"/>
  <c r="N85" i="1"/>
  <c r="N84" i="1"/>
  <c r="N75" i="1"/>
  <c r="N44" i="1"/>
  <c r="O38" i="1"/>
  <c r="N37" i="1"/>
  <c r="N147" i="1"/>
  <c r="N57" i="1"/>
  <c r="O182" i="1"/>
  <c r="N52" i="1"/>
  <c r="N27" i="1"/>
  <c r="N120" i="1"/>
  <c r="AH158" i="1"/>
  <c r="AI158" i="1" s="1"/>
  <c r="AJ158" i="1" s="1"/>
  <c r="O192" i="1"/>
  <c r="N178" i="1"/>
  <c r="N70" i="1"/>
  <c r="O120" i="1"/>
  <c r="O213" i="1"/>
  <c r="N201" i="1"/>
  <c r="N33" i="1"/>
  <c r="O188" i="1"/>
  <c r="N188" i="1"/>
  <c r="O176" i="1"/>
  <c r="N204" i="1"/>
  <c r="O170" i="1"/>
  <c r="O82" i="1"/>
  <c r="N212" i="1"/>
  <c r="N152" i="1"/>
  <c r="N80" i="1"/>
  <c r="N200" i="1"/>
  <c r="N36" i="1"/>
  <c r="O168" i="1"/>
  <c r="O185" i="1"/>
  <c r="N148" i="1"/>
  <c r="O28" i="1"/>
  <c r="N142" i="1"/>
  <c r="N104" i="1"/>
  <c r="AH82" i="1"/>
  <c r="AI82" i="1" s="1"/>
  <c r="AJ82" i="1" s="1"/>
  <c r="N207" i="1"/>
  <c r="N195" i="1"/>
  <c r="N159" i="1"/>
  <c r="N166" i="1"/>
  <c r="O118" i="1"/>
  <c r="N118" i="1"/>
  <c r="O58" i="1"/>
  <c r="N116" i="1"/>
  <c r="N164" i="1"/>
  <c r="N218" i="1"/>
  <c r="N110" i="1"/>
  <c r="N86" i="1"/>
  <c r="O50" i="1"/>
  <c r="N50" i="1"/>
  <c r="N132" i="1"/>
  <c r="O181" i="1"/>
  <c r="N181" i="1"/>
  <c r="O157" i="1"/>
  <c r="N157" i="1"/>
  <c r="N61" i="1"/>
  <c r="N192" i="1"/>
  <c r="AH28" i="1"/>
  <c r="AI28" i="1" s="1"/>
  <c r="AJ28" i="1" s="1"/>
  <c r="N26" i="1"/>
  <c r="AH159" i="1"/>
  <c r="AI159" i="1" s="1"/>
  <c r="AJ159" i="1" s="1"/>
  <c r="AH148" i="1"/>
  <c r="AI148" i="1" s="1"/>
  <c r="AJ148" i="1" s="1"/>
  <c r="N146" i="1"/>
  <c r="N109" i="1"/>
  <c r="BQ82" i="5"/>
  <c r="BQ70" i="5"/>
  <c r="BQ58" i="5"/>
  <c r="BQ46" i="5"/>
  <c r="BQ34" i="5"/>
  <c r="BR82" i="5"/>
  <c r="BR70" i="5"/>
  <c r="BR58" i="5"/>
  <c r="BR46" i="5"/>
  <c r="BR34" i="5"/>
  <c r="BS82" i="5"/>
  <c r="BS70" i="5"/>
  <c r="BQ81" i="5"/>
  <c r="BQ69" i="5"/>
  <c r="BQ57" i="5"/>
  <c r="BQ45" i="5"/>
  <c r="BQ33" i="5"/>
  <c r="BR81" i="5"/>
  <c r="BR69" i="5"/>
  <c r="BR57" i="5"/>
  <c r="BR45" i="5"/>
  <c r="BR33" i="5"/>
  <c r="BS57" i="5"/>
  <c r="BS45" i="5"/>
  <c r="BS33" i="5"/>
  <c r="BQ80" i="5"/>
  <c r="BQ68" i="5"/>
  <c r="BQ56" i="5"/>
  <c r="BQ44" i="5"/>
  <c r="BQ32" i="5"/>
  <c r="BR80" i="5"/>
  <c r="BR68" i="5"/>
  <c r="BR56" i="5"/>
  <c r="BR44" i="5"/>
  <c r="BR32" i="5"/>
  <c r="BS80" i="5"/>
  <c r="BS56" i="5"/>
  <c r="BS32" i="5"/>
  <c r="BQ79" i="5"/>
  <c r="BQ67" i="5"/>
  <c r="BQ55" i="5"/>
  <c r="BQ43" i="5"/>
  <c r="BQ31" i="5"/>
  <c r="BR79" i="5"/>
  <c r="BR67" i="5"/>
  <c r="BR55" i="5"/>
  <c r="BR43" i="5"/>
  <c r="BR31" i="5"/>
  <c r="BS79" i="5"/>
  <c r="BS67" i="5"/>
  <c r="BS43" i="5"/>
  <c r="BS31" i="5"/>
  <c r="BQ78" i="5"/>
  <c r="BQ66" i="5"/>
  <c r="BQ54" i="5"/>
  <c r="BQ42" i="5"/>
  <c r="BQ30" i="5"/>
  <c r="BR78" i="5"/>
  <c r="BR66" i="5"/>
  <c r="BR54" i="5"/>
  <c r="BR42" i="5"/>
  <c r="BR30" i="5"/>
  <c r="BS78" i="5"/>
  <c r="BS42" i="5"/>
  <c r="BS30" i="5"/>
  <c r="BQ77" i="5"/>
  <c r="BQ65" i="5"/>
  <c r="BQ53" i="5"/>
  <c r="BQ41" i="5"/>
  <c r="BQ29" i="5"/>
  <c r="BR77" i="5"/>
  <c r="BR65" i="5"/>
  <c r="BR53" i="5"/>
  <c r="BR41" i="5"/>
  <c r="BR29" i="5"/>
  <c r="BS53" i="5"/>
  <c r="BS41" i="5"/>
  <c r="BQ76" i="5"/>
  <c r="BQ64" i="5"/>
  <c r="BQ52" i="5"/>
  <c r="BQ40" i="5"/>
  <c r="BQ28" i="5"/>
  <c r="BR76" i="5"/>
  <c r="BR64" i="5"/>
  <c r="BR52" i="5"/>
  <c r="BR40" i="5"/>
  <c r="BR28" i="5"/>
  <c r="BS64" i="5"/>
  <c r="BS52" i="5"/>
  <c r="BS40" i="5"/>
  <c r="BS28" i="5"/>
  <c r="BQ75" i="5"/>
  <c r="BQ63" i="5"/>
  <c r="BQ51" i="5"/>
  <c r="BQ39" i="5"/>
  <c r="BQ27" i="5"/>
  <c r="BR75" i="5"/>
  <c r="BR63" i="5"/>
  <c r="BR51" i="5"/>
  <c r="BR39" i="5"/>
  <c r="BR27" i="5"/>
  <c r="BS75" i="5"/>
  <c r="BS51" i="5"/>
  <c r="BS27" i="5"/>
  <c r="BQ74" i="5"/>
  <c r="BQ62" i="5"/>
  <c r="BQ50" i="5"/>
  <c r="BQ38" i="5"/>
  <c r="BQ26" i="5"/>
  <c r="BR74" i="5"/>
  <c r="BR62" i="5"/>
  <c r="BR50" i="5"/>
  <c r="BR38" i="5"/>
  <c r="BR26" i="5"/>
  <c r="BS74" i="5"/>
  <c r="BS62" i="5"/>
  <c r="BQ73" i="5"/>
  <c r="BQ61" i="5"/>
  <c r="BQ49" i="5"/>
  <c r="BQ37" i="5"/>
  <c r="BQ25" i="5"/>
  <c r="BR73" i="5"/>
  <c r="BR61" i="5"/>
  <c r="BR49" i="5"/>
  <c r="BR37" i="5"/>
  <c r="BR25" i="5"/>
  <c r="BS73" i="5"/>
  <c r="BS49" i="5"/>
  <c r="BS37" i="5"/>
  <c r="BS25" i="5"/>
  <c r="BQ24" i="5"/>
  <c r="BQ72" i="5"/>
  <c r="BQ60" i="5"/>
  <c r="BQ48" i="5"/>
  <c r="BQ36" i="5"/>
  <c r="BR24" i="5"/>
  <c r="BR72" i="5"/>
  <c r="BR60" i="5"/>
  <c r="BR48" i="5"/>
  <c r="BR36" i="5"/>
  <c r="BS24" i="5"/>
  <c r="BS72" i="5"/>
  <c r="BS60" i="5"/>
  <c r="BS48" i="5"/>
  <c r="BQ83" i="5"/>
  <c r="BQ71" i="5"/>
  <c r="BQ59" i="5"/>
  <c r="BQ47" i="5"/>
  <c r="BQ35" i="5"/>
  <c r="BR83" i="5"/>
  <c r="BR71" i="5"/>
  <c r="BR59" i="5"/>
  <c r="BR47" i="5"/>
  <c r="BR35" i="5"/>
  <c r="BS71" i="5"/>
  <c r="BS59" i="5"/>
  <c r="BU82" i="5"/>
  <c r="BT31" i="5"/>
  <c r="BU81" i="5"/>
  <c r="BT81" i="5"/>
  <c r="BU79" i="5"/>
  <c r="BU70" i="5"/>
  <c r="BU67" i="5"/>
  <c r="BU58" i="5"/>
  <c r="BT58" i="5"/>
  <c r="BU55" i="5"/>
  <c r="BT55" i="5"/>
  <c r="BU46" i="5"/>
  <c r="BT46" i="5"/>
  <c r="BU43" i="5"/>
  <c r="BU34" i="5"/>
  <c r="BT34" i="5"/>
  <c r="BT24" i="5"/>
  <c r="BT72" i="5"/>
  <c r="BT60" i="5"/>
  <c r="BT48" i="5"/>
  <c r="BT36" i="5"/>
  <c r="BU36" i="5"/>
  <c r="BT83" i="5"/>
  <c r="BT71" i="5"/>
  <c r="BT59" i="5"/>
  <c r="BT47" i="5"/>
  <c r="BT35" i="5"/>
  <c r="BU83" i="5"/>
  <c r="BU47" i="5"/>
  <c r="BU35" i="5"/>
  <c r="BT69" i="5"/>
  <c r="BT57" i="5"/>
  <c r="BT45" i="5"/>
  <c r="BT33" i="5"/>
  <c r="BU69" i="5"/>
  <c r="BT80" i="5"/>
  <c r="BT68" i="5"/>
  <c r="BT56" i="5"/>
  <c r="BT44" i="5"/>
  <c r="BT32" i="5"/>
  <c r="BU68" i="5"/>
  <c r="BU44" i="5"/>
  <c r="BT78" i="5"/>
  <c r="BT66" i="5"/>
  <c r="BT54" i="5"/>
  <c r="BT42" i="5"/>
  <c r="BT30" i="5"/>
  <c r="BU66" i="5"/>
  <c r="BU54" i="5"/>
  <c r="BT77" i="5"/>
  <c r="BT65" i="5"/>
  <c r="BT53" i="5"/>
  <c r="BT41" i="5"/>
  <c r="BT29" i="5"/>
  <c r="BU77" i="5"/>
  <c r="BU65" i="5"/>
  <c r="BU29" i="5"/>
  <c r="BT76" i="5"/>
  <c r="BT64" i="5"/>
  <c r="BT52" i="5"/>
  <c r="BT40" i="5"/>
  <c r="BT28" i="5"/>
  <c r="BU76" i="5"/>
  <c r="BT75" i="5"/>
  <c r="BT63" i="5"/>
  <c r="BT51" i="5"/>
  <c r="BT39" i="5"/>
  <c r="BT27" i="5"/>
  <c r="BU63" i="5"/>
  <c r="BU39" i="5"/>
  <c r="BT74" i="5"/>
  <c r="BT62" i="5"/>
  <c r="BT50" i="5"/>
  <c r="BT38" i="5"/>
  <c r="BT26" i="5"/>
  <c r="BU50" i="5"/>
  <c r="BU38" i="5"/>
  <c r="BU26" i="5"/>
  <c r="BT73" i="5"/>
  <c r="BT61" i="5"/>
  <c r="BT49" i="5"/>
  <c r="BT37" i="5"/>
  <c r="BT25" i="5"/>
  <c r="BU61" i="5"/>
  <c r="O219" i="5"/>
  <c r="P211" i="5"/>
  <c r="O191" i="5"/>
  <c r="P187" i="5"/>
  <c r="O186" i="5"/>
  <c r="O175" i="5"/>
  <c r="P163" i="5"/>
  <c r="O145" i="5"/>
  <c r="O143" i="5"/>
  <c r="P128" i="5"/>
  <c r="P127" i="5"/>
  <c r="O83" i="5"/>
  <c r="O47" i="5"/>
  <c r="P188" i="5"/>
  <c r="O216" i="5"/>
  <c r="O182" i="5"/>
  <c r="O134" i="5"/>
  <c r="O35" i="5"/>
  <c r="P177" i="5"/>
  <c r="P116" i="5"/>
  <c r="O215" i="5"/>
  <c r="O181" i="5"/>
  <c r="O133" i="5"/>
  <c r="P223" i="5"/>
  <c r="P176" i="5"/>
  <c r="P115" i="5"/>
  <c r="O207" i="5"/>
  <c r="O180" i="5"/>
  <c r="O131" i="5"/>
  <c r="P214" i="5"/>
  <c r="P104" i="5"/>
  <c r="O204" i="5"/>
  <c r="O122" i="5"/>
  <c r="P213" i="5"/>
  <c r="P164" i="5"/>
  <c r="P103" i="5"/>
  <c r="O203" i="5"/>
  <c r="O121" i="5"/>
  <c r="P79" i="5"/>
  <c r="O198" i="5"/>
  <c r="O174" i="5"/>
  <c r="O119" i="5"/>
  <c r="P203" i="5"/>
  <c r="P152" i="5"/>
  <c r="P67" i="5"/>
  <c r="O197" i="5"/>
  <c r="O169" i="5"/>
  <c r="O110" i="5"/>
  <c r="P202" i="5"/>
  <c r="P151" i="5"/>
  <c r="P55" i="5"/>
  <c r="O194" i="5"/>
  <c r="O167" i="5"/>
  <c r="O109" i="5"/>
  <c r="P200" i="5"/>
  <c r="P142" i="5"/>
  <c r="P43" i="5"/>
  <c r="O193" i="5"/>
  <c r="O157" i="5"/>
  <c r="O107" i="5"/>
  <c r="P199" i="5"/>
  <c r="P140" i="5"/>
  <c r="P31" i="5"/>
  <c r="O192" i="5"/>
  <c r="O155" i="5"/>
  <c r="O95" i="5"/>
  <c r="P139" i="5"/>
  <c r="O59" i="5"/>
  <c r="O220" i="5"/>
  <c r="O208" i="5"/>
  <c r="O196" i="5"/>
  <c r="O184" i="5"/>
  <c r="O172" i="5"/>
  <c r="O160" i="5"/>
  <c r="O148" i="5"/>
  <c r="O136" i="5"/>
  <c r="O124" i="5"/>
  <c r="O112" i="5"/>
  <c r="O100" i="5"/>
  <c r="O88" i="5"/>
  <c r="O76" i="5"/>
  <c r="O64" i="5"/>
  <c r="O52" i="5"/>
  <c r="O40" i="5"/>
  <c r="O28" i="5"/>
  <c r="P204" i="5"/>
  <c r="P192" i="5"/>
  <c r="P168" i="5"/>
  <c r="P156" i="5"/>
  <c r="P144" i="5"/>
  <c r="P132" i="5"/>
  <c r="P120" i="5"/>
  <c r="P108" i="5"/>
  <c r="P96" i="5"/>
  <c r="P84" i="5"/>
  <c r="P72" i="5"/>
  <c r="P60" i="5"/>
  <c r="P48" i="5"/>
  <c r="P36" i="5"/>
  <c r="O195" i="5"/>
  <c r="O183" i="5"/>
  <c r="O171" i="5"/>
  <c r="O159" i="5"/>
  <c r="O147" i="5"/>
  <c r="O135" i="5"/>
  <c r="O123" i="5"/>
  <c r="O111" i="5"/>
  <c r="O99" i="5"/>
  <c r="O87" i="5"/>
  <c r="O75" i="5"/>
  <c r="O63" i="5"/>
  <c r="O51" i="5"/>
  <c r="O39" i="5"/>
  <c r="O27" i="5"/>
  <c r="P215" i="5"/>
  <c r="P179" i="5"/>
  <c r="P119" i="5"/>
  <c r="P95" i="5"/>
  <c r="P71" i="5"/>
  <c r="P59" i="5"/>
  <c r="P47" i="5"/>
  <c r="P35" i="5"/>
  <c r="O218" i="5"/>
  <c r="O206" i="5"/>
  <c r="O170" i="5"/>
  <c r="O158" i="5"/>
  <c r="O146" i="5"/>
  <c r="O98" i="5"/>
  <c r="O86" i="5"/>
  <c r="O74" i="5"/>
  <c r="O62" i="5"/>
  <c r="O50" i="5"/>
  <c r="O38" i="5"/>
  <c r="O26" i="5"/>
  <c r="P190" i="5"/>
  <c r="P178" i="5"/>
  <c r="P166" i="5"/>
  <c r="P154" i="5"/>
  <c r="P130" i="5"/>
  <c r="P118" i="5"/>
  <c r="P106" i="5"/>
  <c r="P94" i="5"/>
  <c r="P82" i="5"/>
  <c r="P70" i="5"/>
  <c r="P58" i="5"/>
  <c r="P46" i="5"/>
  <c r="P34" i="5"/>
  <c r="O217" i="5"/>
  <c r="O205" i="5"/>
  <c r="O97" i="5"/>
  <c r="O85" i="5"/>
  <c r="O73" i="5"/>
  <c r="O61" i="5"/>
  <c r="O49" i="5"/>
  <c r="O37" i="5"/>
  <c r="P25" i="5"/>
  <c r="P201" i="5"/>
  <c r="P189" i="5"/>
  <c r="P165" i="5"/>
  <c r="P153" i="5"/>
  <c r="P141" i="5"/>
  <c r="P129" i="5"/>
  <c r="P117" i="5"/>
  <c r="P105" i="5"/>
  <c r="P93" i="5"/>
  <c r="P81" i="5"/>
  <c r="P69" i="5"/>
  <c r="P57" i="5"/>
  <c r="P45" i="5"/>
  <c r="P33" i="5"/>
  <c r="O108" i="5"/>
  <c r="O84" i="5"/>
  <c r="O72" i="5"/>
  <c r="P224" i="5"/>
  <c r="P212" i="5"/>
  <c r="P92" i="5"/>
  <c r="P80" i="5"/>
  <c r="P68" i="5"/>
  <c r="P56" i="5"/>
  <c r="P44" i="5"/>
  <c r="P32" i="5"/>
  <c r="O179" i="5"/>
  <c r="P91" i="5"/>
  <c r="L25" i="5"/>
  <c r="O214" i="5"/>
  <c r="O178" i="5"/>
  <c r="O154" i="5"/>
  <c r="O142" i="5"/>
  <c r="O130" i="5"/>
  <c r="P222" i="5"/>
  <c r="P210" i="5"/>
  <c r="P198" i="5"/>
  <c r="P186" i="5"/>
  <c r="P174" i="5"/>
  <c r="P162" i="5"/>
  <c r="P150" i="5"/>
  <c r="P138" i="5"/>
  <c r="P126" i="5"/>
  <c r="P114" i="5"/>
  <c r="P102" i="5"/>
  <c r="P90" i="5"/>
  <c r="P78" i="5"/>
  <c r="P66" i="5"/>
  <c r="P54" i="5"/>
  <c r="P42" i="5"/>
  <c r="P30" i="5"/>
  <c r="O189" i="5"/>
  <c r="O141" i="5"/>
  <c r="O93" i="5"/>
  <c r="O45" i="5"/>
  <c r="P221" i="5"/>
  <c r="P209" i="5"/>
  <c r="P185" i="5"/>
  <c r="P173" i="5"/>
  <c r="P161" i="5"/>
  <c r="P149" i="5"/>
  <c r="P137" i="5"/>
  <c r="P125" i="5"/>
  <c r="P113" i="5"/>
  <c r="P101" i="5"/>
  <c r="P89" i="5"/>
  <c r="P77" i="5"/>
  <c r="P65" i="5"/>
  <c r="P53" i="5"/>
  <c r="P41" i="5"/>
  <c r="P29" i="5"/>
  <c r="O212" i="5"/>
  <c r="O200" i="5"/>
  <c r="O188" i="5"/>
  <c r="O176" i="5"/>
  <c r="O140" i="5"/>
  <c r="O92" i="5"/>
  <c r="O56" i="5"/>
  <c r="O44" i="5"/>
  <c r="O32" i="5"/>
  <c r="P160" i="5"/>
  <c r="P112" i="5"/>
  <c r="O223" i="5"/>
  <c r="O211" i="5"/>
  <c r="O187" i="5"/>
  <c r="O115" i="5"/>
  <c r="O103" i="5"/>
  <c r="O79" i="5"/>
  <c r="O55" i="5"/>
  <c r="O43" i="5"/>
  <c r="P219" i="5"/>
  <c r="P207" i="5"/>
  <c r="P183" i="5"/>
  <c r="P171" i="5"/>
  <c r="P147" i="5"/>
  <c r="P135" i="5"/>
  <c r="P123" i="5"/>
  <c r="P63" i="5"/>
  <c r="P51" i="5"/>
  <c r="O210" i="5"/>
  <c r="O114" i="5"/>
  <c r="O78" i="5"/>
  <c r="O54" i="5"/>
  <c r="O30" i="5"/>
  <c r="P134" i="5"/>
  <c r="P122" i="5"/>
  <c r="P110" i="5"/>
  <c r="P98" i="5"/>
  <c r="P62" i="5"/>
  <c r="P50" i="5"/>
  <c r="O161" i="5"/>
  <c r="O137" i="5"/>
  <c r="O101" i="5"/>
  <c r="O53" i="5"/>
  <c r="P217" i="5"/>
  <c r="P157" i="5"/>
  <c r="P85" i="5"/>
  <c r="P73" i="5"/>
  <c r="P61" i="5"/>
  <c r="P37" i="5"/>
  <c r="AN159" i="5"/>
  <c r="AO159" i="5" s="1"/>
  <c r="AP159" i="5" s="1"/>
  <c r="AN54" i="5"/>
  <c r="AO54" i="5" s="1"/>
  <c r="AP54" i="5" s="1"/>
  <c r="AN60" i="5"/>
  <c r="AO60" i="5" s="1"/>
  <c r="AP60" i="5" s="1"/>
  <c r="AN35" i="5"/>
  <c r="AO35" i="5" s="1"/>
  <c r="AP35" i="5" s="1"/>
  <c r="AN204" i="5"/>
  <c r="AO204" i="5" s="1"/>
  <c r="AP204" i="5" s="1"/>
  <c r="AN192" i="5"/>
  <c r="AO192" i="5" s="1"/>
  <c r="AP192" i="5" s="1"/>
  <c r="AB4" i="4"/>
  <c r="AW21" i="3"/>
  <c r="AI27" i="3"/>
  <c r="AJ27" i="3" s="1"/>
  <c r="I86" i="3"/>
  <c r="Q30" i="3"/>
  <c r="AH40" i="3"/>
  <c r="AI40" i="3" s="1"/>
  <c r="AJ40" i="3" s="1"/>
  <c r="I58" i="3"/>
  <c r="N35" i="3"/>
  <c r="I83" i="3"/>
  <c r="I47" i="3"/>
  <c r="AH26" i="3"/>
  <c r="AI26" i="3" s="1"/>
  <c r="AJ26" i="3" s="1"/>
  <c r="Q27" i="3"/>
  <c r="Q29" i="3"/>
  <c r="I48" i="3"/>
  <c r="I74" i="3"/>
  <c r="AH56" i="3"/>
  <c r="AI56" i="3" s="1"/>
  <c r="AJ56" i="3" s="1"/>
  <c r="I35" i="3"/>
  <c r="Q35" i="3"/>
  <c r="N25" i="3"/>
  <c r="N26" i="3"/>
  <c r="N29" i="3"/>
  <c r="Q34" i="3"/>
  <c r="P34" i="3"/>
  <c r="O34" i="3"/>
  <c r="O35" i="3"/>
  <c r="I45" i="3"/>
  <c r="I71" i="3"/>
  <c r="AH53" i="3"/>
  <c r="AI53" i="3" s="1"/>
  <c r="AJ53" i="3" s="1"/>
  <c r="P35" i="3"/>
  <c r="AU21" i="3"/>
  <c r="O24" i="3"/>
  <c r="P25" i="3"/>
  <c r="P26" i="3"/>
  <c r="P29" i="3"/>
  <c r="Q38" i="3"/>
  <c r="P38" i="3"/>
  <c r="O38" i="3"/>
  <c r="N38" i="3"/>
  <c r="N24" i="3"/>
  <c r="P23" i="3"/>
  <c r="P24" i="3"/>
  <c r="Q25" i="3"/>
  <c r="Q26" i="3"/>
  <c r="Q33" i="3"/>
  <c r="AH36" i="3"/>
  <c r="AI36" i="3" s="1"/>
  <c r="AJ36" i="3" s="1"/>
  <c r="N23" i="3"/>
  <c r="N28" i="3"/>
  <c r="Q40" i="3"/>
  <c r="AH31" i="3"/>
  <c r="AI31" i="3" s="1"/>
  <c r="AJ31" i="3" s="1"/>
  <c r="I49" i="3"/>
  <c r="P28" i="3"/>
  <c r="N39" i="3"/>
  <c r="AH43" i="3"/>
  <c r="AI43" i="3" s="1"/>
  <c r="AJ43" i="3" s="1"/>
  <c r="I61" i="3"/>
  <c r="I64" i="3"/>
  <c r="AH46" i="3"/>
  <c r="AI46" i="3" s="1"/>
  <c r="AJ46" i="3" s="1"/>
  <c r="AH29" i="3"/>
  <c r="AI29" i="3" s="1"/>
  <c r="AJ29" i="3" s="1"/>
  <c r="P30" i="3"/>
  <c r="O30" i="3"/>
  <c r="N27" i="3"/>
  <c r="N30" i="3"/>
  <c r="Q41" i="3"/>
  <c r="P41" i="3"/>
  <c r="O41" i="3"/>
  <c r="N41" i="3"/>
  <c r="I77" i="3"/>
  <c r="AH59" i="3"/>
  <c r="AI59" i="3" s="1"/>
  <c r="AJ59" i="3" s="1"/>
  <c r="I33" i="3"/>
  <c r="I40" i="3"/>
  <c r="O33" i="3"/>
  <c r="I36" i="3"/>
  <c r="O37" i="3"/>
  <c r="I39" i="3"/>
  <c r="O40" i="3"/>
  <c r="I42" i="3"/>
  <c r="N31" i="3"/>
  <c r="P33" i="3"/>
  <c r="P37" i="3"/>
  <c r="P40" i="3"/>
  <c r="N42" i="3"/>
  <c r="I45" i="2"/>
  <c r="I65" i="2" s="1"/>
  <c r="I85" i="2" s="1"/>
  <c r="I105" i="2" s="1"/>
  <c r="I125" i="2" s="1"/>
  <c r="I145" i="2" s="1"/>
  <c r="AH40" i="2"/>
  <c r="Q42" i="2"/>
  <c r="I62" i="2"/>
  <c r="I82" i="2" s="1"/>
  <c r="I102" i="2" s="1"/>
  <c r="I122" i="2" s="1"/>
  <c r="I142" i="2" s="1"/>
  <c r="I162" i="2" s="1"/>
  <c r="I182" i="2" s="1"/>
  <c r="I202" i="2" s="1"/>
  <c r="I222" i="2" s="1"/>
  <c r="N25" i="2"/>
  <c r="Q25" i="2"/>
  <c r="N29" i="2"/>
  <c r="N23" i="2"/>
  <c r="Q23" i="2"/>
  <c r="P26" i="2"/>
  <c r="I24" i="2"/>
  <c r="I30" i="2"/>
  <c r="I50" i="2" s="1"/>
  <c r="I70" i="2" s="1"/>
  <c r="I90" i="2" s="1"/>
  <c r="I110" i="2" s="1"/>
  <c r="I130" i="2" s="1"/>
  <c r="I150" i="2" s="1"/>
  <c r="I170" i="2" s="1"/>
  <c r="AH33" i="2"/>
  <c r="AI33" i="2" s="1"/>
  <c r="AJ33" i="2" s="1"/>
  <c r="I52" i="2"/>
  <c r="I72" i="2" s="1"/>
  <c r="I59" i="2"/>
  <c r="I79" i="2" s="1"/>
  <c r="I99" i="2" s="1"/>
  <c r="I119" i="2" s="1"/>
  <c r="I139" i="2" s="1"/>
  <c r="I159" i="2" s="1"/>
  <c r="P30" i="2"/>
  <c r="I51" i="2"/>
  <c r="I71" i="2" s="1"/>
  <c r="I91" i="2" s="1"/>
  <c r="I111" i="2" s="1"/>
  <c r="I131" i="2" s="1"/>
  <c r="I151" i="2" s="1"/>
  <c r="I171" i="2" s="1"/>
  <c r="I191" i="2" s="1"/>
  <c r="I211" i="2" s="1"/>
  <c r="I154" i="2"/>
  <c r="I174" i="2" s="1"/>
  <c r="I127" i="2"/>
  <c r="I147" i="2" s="1"/>
  <c r="I167" i="2" s="1"/>
  <c r="I187" i="2" s="1"/>
  <c r="I207" i="2" s="1"/>
  <c r="I165" i="2"/>
  <c r="I92" i="2"/>
  <c r="I112" i="2" s="1"/>
  <c r="I132" i="2" s="1"/>
  <c r="I152" i="2" s="1"/>
  <c r="I172" i="2" s="1"/>
  <c r="I192" i="2" s="1"/>
  <c r="I212" i="2" s="1"/>
  <c r="AH214" i="2" s="1"/>
  <c r="AI214" i="2" s="1"/>
  <c r="AJ214" i="2" s="1"/>
  <c r="AH74" i="2"/>
  <c r="AI74" i="2" s="1"/>
  <c r="AJ74" i="2" s="1"/>
  <c r="I103" i="2"/>
  <c r="I123" i="2" s="1"/>
  <c r="I143" i="2" s="1"/>
  <c r="I163" i="2" s="1"/>
  <c r="AH121" i="2"/>
  <c r="AI121" i="2" s="1"/>
  <c r="AJ121" i="2" s="1"/>
  <c r="AH200" i="2"/>
  <c r="AI200" i="2" s="1"/>
  <c r="AJ200" i="2" s="1"/>
  <c r="I218" i="2"/>
  <c r="AH213" i="2"/>
  <c r="AI213" i="2" s="1"/>
  <c r="AJ213" i="2" s="1"/>
  <c r="AW21" i="2"/>
  <c r="AH80" i="2"/>
  <c r="AI80" i="2" s="1"/>
  <c r="AJ80" i="2" s="1"/>
  <c r="AH81" i="2"/>
  <c r="AI81" i="2" s="1"/>
  <c r="AJ81" i="2" s="1"/>
  <c r="AH93" i="2"/>
  <c r="AI93" i="2" s="1"/>
  <c r="AJ93" i="2" s="1"/>
  <c r="AH36" i="2"/>
  <c r="AI36" i="2" s="1"/>
  <c r="AJ36" i="2" s="1"/>
  <c r="AU21" i="2"/>
  <c r="O38" i="2"/>
  <c r="N34" i="2"/>
  <c r="N38" i="2"/>
  <c r="AI41" i="2"/>
  <c r="AJ41" i="2" s="1"/>
  <c r="Q39" i="2"/>
  <c r="I41" i="2"/>
  <c r="O34" i="2"/>
  <c r="P38" i="2"/>
  <c r="N39" i="2"/>
  <c r="N24" i="2"/>
  <c r="O24" i="2"/>
  <c r="I29" i="2"/>
  <c r="I49" i="2" s="1"/>
  <c r="I69" i="2" s="1"/>
  <c r="I89" i="2" s="1"/>
  <c r="I109" i="2" s="1"/>
  <c r="I129" i="2" s="1"/>
  <c r="I149" i="2" s="1"/>
  <c r="I169" i="2" s="1"/>
  <c r="I189" i="2" s="1"/>
  <c r="I209" i="2" s="1"/>
  <c r="N32" i="2"/>
  <c r="P34" i="2"/>
  <c r="N36" i="2"/>
  <c r="Q38" i="2"/>
  <c r="O39" i="2"/>
  <c r="N40" i="2"/>
  <c r="N42" i="2"/>
  <c r="P24" i="2"/>
  <c r="I28" i="2"/>
  <c r="O32" i="2"/>
  <c r="Q34" i="2"/>
  <c r="O36" i="2"/>
  <c r="P39" i="2"/>
  <c r="O40" i="2"/>
  <c r="O41" i="2"/>
  <c r="AH54" i="2"/>
  <c r="AI54" i="2" s="1"/>
  <c r="AJ54" i="2" s="1"/>
  <c r="Q24" i="2"/>
  <c r="I27" i="2"/>
  <c r="I47" i="2" s="1"/>
  <c r="I67" i="2" s="1"/>
  <c r="I87" i="2" s="1"/>
  <c r="I107" i="2" s="1"/>
  <c r="P32" i="2"/>
  <c r="I33" i="2"/>
  <c r="I53" i="2" s="1"/>
  <c r="I73" i="2" s="1"/>
  <c r="I93" i="2" s="1"/>
  <c r="I113" i="2" s="1"/>
  <c r="I35" i="2"/>
  <c r="P36" i="2"/>
  <c r="I37" i="2"/>
  <c r="P40" i="2"/>
  <c r="AI40" i="2"/>
  <c r="AJ40" i="2" s="1"/>
  <c r="P41" i="2"/>
  <c r="AH53" i="2"/>
  <c r="AI53" i="2" s="1"/>
  <c r="AJ53" i="2" s="1"/>
  <c r="I26" i="2"/>
  <c r="Q32" i="2"/>
  <c r="AI34" i="2"/>
  <c r="AJ34" i="2" s="1"/>
  <c r="Q41" i="2"/>
  <c r="N27" i="2"/>
  <c r="N33" i="2"/>
  <c r="AH60" i="2"/>
  <c r="AI60" i="2" s="1"/>
  <c r="AJ60" i="2" s="1"/>
  <c r="Q29" i="2"/>
  <c r="AH73" i="2"/>
  <c r="AI73" i="2" s="1"/>
  <c r="AJ73" i="2" s="1"/>
  <c r="AH76" i="2"/>
  <c r="AI76" i="2" s="1"/>
  <c r="AJ76" i="2" s="1"/>
  <c r="AH113" i="2"/>
  <c r="AI113" i="2" s="1"/>
  <c r="AJ113" i="2" s="1"/>
  <c r="AH133" i="2"/>
  <c r="AI133" i="2" s="1"/>
  <c r="AJ133" i="2" s="1"/>
  <c r="AH153" i="2"/>
  <c r="AI153" i="2" s="1"/>
  <c r="AJ153" i="2" s="1"/>
  <c r="AH160" i="2"/>
  <c r="AI160" i="2" s="1"/>
  <c r="AJ160" i="2" s="1"/>
  <c r="AH156" i="2"/>
  <c r="AI156" i="2" s="1"/>
  <c r="AJ156" i="2" s="1"/>
  <c r="AH211" i="2"/>
  <c r="AI211" i="2" s="1"/>
  <c r="AJ211" i="2" s="1"/>
  <c r="N165" i="1"/>
  <c r="AH119" i="1"/>
  <c r="AI119" i="1" s="1"/>
  <c r="AJ119" i="1" s="1"/>
  <c r="AH26" i="1"/>
  <c r="AI26" i="1" s="1"/>
  <c r="AJ26" i="1" s="1"/>
  <c r="O165" i="1"/>
  <c r="AH120" i="1"/>
  <c r="AI120" i="1" s="1"/>
  <c r="AJ120" i="1" s="1"/>
  <c r="AH106" i="1"/>
  <c r="AI106" i="1" s="1"/>
  <c r="AJ106" i="1" s="1"/>
  <c r="AH46" i="1"/>
  <c r="AI46" i="1" s="1"/>
  <c r="AJ46" i="1" s="1"/>
  <c r="AH143" i="1"/>
  <c r="AI143" i="1" s="1"/>
  <c r="AJ143" i="1" s="1"/>
  <c r="AH202" i="1"/>
  <c r="AI202" i="1" s="1"/>
  <c r="AJ202" i="1" s="1"/>
  <c r="AH40" i="1"/>
  <c r="AI40" i="1" s="1"/>
  <c r="AJ40" i="1" s="1"/>
  <c r="AH59" i="1"/>
  <c r="AI59" i="1" s="1"/>
  <c r="AJ59" i="1" s="1"/>
  <c r="AH39" i="1"/>
  <c r="AI39" i="1" s="1"/>
  <c r="AJ39" i="1" s="1"/>
  <c r="AH99" i="1"/>
  <c r="AI99" i="1" s="1"/>
  <c r="AJ99" i="1" s="1"/>
  <c r="AH52" i="1"/>
  <c r="AI52" i="1" s="1"/>
  <c r="AJ52" i="1" s="1"/>
  <c r="O40" i="1"/>
  <c r="AH185" i="1"/>
  <c r="AI185" i="1" s="1"/>
  <c r="AJ185" i="1" s="1"/>
  <c r="P64" i="1"/>
  <c r="P40" i="1"/>
  <c r="AH29" i="1"/>
  <c r="AI29" i="1" s="1"/>
  <c r="AJ29" i="1" s="1"/>
  <c r="P186" i="1"/>
  <c r="N126" i="1"/>
  <c r="P114" i="1"/>
  <c r="Q114" i="1"/>
  <c r="N102" i="1"/>
  <c r="P102" i="1"/>
  <c r="AH184" i="1"/>
  <c r="AI184" i="1" s="1"/>
  <c r="AJ184" i="1" s="1"/>
  <c r="N209" i="1"/>
  <c r="N173" i="1"/>
  <c r="O161" i="1"/>
  <c r="O125" i="1"/>
  <c r="P113" i="1"/>
  <c r="P101" i="1"/>
  <c r="N89" i="1"/>
  <c r="Q208" i="1"/>
  <c r="P219" i="1"/>
  <c r="Q219" i="1"/>
  <c r="AH209" i="1"/>
  <c r="AI209" i="1" s="1"/>
  <c r="AJ209" i="1" s="1"/>
  <c r="Q207" i="1"/>
  <c r="P207" i="1"/>
  <c r="O195" i="1"/>
  <c r="P195" i="1"/>
  <c r="N198" i="1"/>
  <c r="Q198" i="1"/>
  <c r="N196" i="1"/>
  <c r="P196" i="1"/>
  <c r="O218" i="1"/>
  <c r="Q218" i="1"/>
  <c r="P218" i="1"/>
  <c r="P206" i="1"/>
  <c r="Q174" i="1"/>
  <c r="P217" i="1"/>
  <c r="Q205" i="1"/>
  <c r="P205" i="1"/>
  <c r="P193" i="1"/>
  <c r="AH183" i="1"/>
  <c r="AI183" i="1" s="1"/>
  <c r="AJ183" i="1" s="1"/>
  <c r="P181" i="1"/>
  <c r="O169" i="1"/>
  <c r="Q169" i="1"/>
  <c r="P169" i="1"/>
  <c r="Q157" i="1"/>
  <c r="P157" i="1"/>
  <c r="Q145" i="1"/>
  <c r="P145" i="1"/>
  <c r="P133" i="1"/>
  <c r="Q121" i="1"/>
  <c r="P121" i="1"/>
  <c r="Q109" i="1"/>
  <c r="P109" i="1"/>
  <c r="Q97" i="1"/>
  <c r="P97" i="1"/>
  <c r="Q85" i="1"/>
  <c r="P85" i="1"/>
  <c r="P73" i="1"/>
  <c r="P61" i="1"/>
  <c r="P49" i="1"/>
  <c r="Q37" i="1"/>
  <c r="P37" i="1"/>
  <c r="P25" i="1"/>
  <c r="Q216" i="1"/>
  <c r="P204" i="1"/>
  <c r="P192" i="1"/>
  <c r="P180" i="1"/>
  <c r="Q168" i="1"/>
  <c r="P168" i="1"/>
  <c r="Q156" i="1"/>
  <c r="P156" i="1"/>
  <c r="Q144" i="1"/>
  <c r="P144" i="1"/>
  <c r="Q132" i="1"/>
  <c r="P132" i="1"/>
  <c r="Q120" i="1"/>
  <c r="P120" i="1"/>
  <c r="Q108" i="1"/>
  <c r="P108" i="1"/>
  <c r="Q84" i="1"/>
  <c r="P84" i="1"/>
  <c r="O150" i="1"/>
  <c r="P215" i="1"/>
  <c r="N203" i="1"/>
  <c r="P203" i="1"/>
  <c r="Q203" i="1"/>
  <c r="N191" i="1"/>
  <c r="P179" i="1"/>
  <c r="N167" i="1"/>
  <c r="P167" i="1"/>
  <c r="N155" i="1"/>
  <c r="P143" i="1"/>
  <c r="N131" i="1"/>
  <c r="N119" i="1"/>
  <c r="P119" i="1"/>
  <c r="Q119" i="1"/>
  <c r="P107" i="1"/>
  <c r="N95" i="1"/>
  <c r="N83" i="1"/>
  <c r="N71" i="1"/>
  <c r="N47" i="1"/>
  <c r="P47" i="1"/>
  <c r="Q47" i="1"/>
  <c r="N35" i="1"/>
  <c r="P35" i="1"/>
  <c r="P138" i="1"/>
  <c r="AH134" i="1"/>
  <c r="AI134" i="1" s="1"/>
  <c r="AJ134" i="1" s="1"/>
  <c r="Q214" i="1"/>
  <c r="Q202" i="1"/>
  <c r="P190" i="1"/>
  <c r="P112" i="1"/>
  <c r="N210" i="1"/>
  <c r="P210" i="1"/>
  <c r="Q210" i="1"/>
  <c r="P100" i="1"/>
  <c r="Q61" i="1"/>
  <c r="P88" i="1"/>
  <c r="O220" i="1"/>
  <c r="Q220" i="1"/>
  <c r="AH170" i="1"/>
  <c r="AI170" i="1" s="1"/>
  <c r="AJ170" i="1" s="1"/>
  <c r="AH149" i="1"/>
  <c r="AI149" i="1" s="1"/>
  <c r="AJ149" i="1" s="1"/>
  <c r="AH130" i="1"/>
  <c r="AI130" i="1" s="1"/>
  <c r="AJ130" i="1" s="1"/>
  <c r="N222" i="1"/>
  <c r="P222" i="1"/>
  <c r="Q222" i="1"/>
  <c r="AH123" i="1"/>
  <c r="AI123" i="1" s="1"/>
  <c r="AJ123" i="1" s="1"/>
  <c r="AH77" i="1"/>
  <c r="AI77" i="1" s="1"/>
  <c r="AJ77" i="1" s="1"/>
  <c r="P211" i="1"/>
  <c r="Q211" i="1"/>
  <c r="Q199" i="1"/>
  <c r="N163" i="1"/>
  <c r="P151" i="1"/>
  <c r="Q151" i="1"/>
  <c r="N139" i="1"/>
  <c r="P139" i="1"/>
  <c r="P115" i="1"/>
  <c r="Q115" i="1"/>
  <c r="Q103" i="1"/>
  <c r="P91" i="1"/>
  <c r="Q91" i="1"/>
  <c r="Q72" i="1"/>
  <c r="P72" i="1"/>
  <c r="P60" i="1"/>
  <c r="Q48" i="1"/>
  <c r="P48" i="1"/>
  <c r="P36" i="1"/>
  <c r="Q24" i="1"/>
  <c r="P24" i="1"/>
  <c r="Q178" i="1"/>
  <c r="P178" i="1"/>
  <c r="P166" i="1"/>
  <c r="P154" i="1"/>
  <c r="Q154" i="1"/>
  <c r="P142" i="1"/>
  <c r="N130" i="1"/>
  <c r="P130" i="1"/>
  <c r="Q130" i="1"/>
  <c r="P118" i="1"/>
  <c r="Q118" i="1"/>
  <c r="P106" i="1"/>
  <c r="Q106" i="1"/>
  <c r="Q82" i="1"/>
  <c r="P70" i="1"/>
  <c r="Q58" i="1"/>
  <c r="P46" i="1"/>
  <c r="Q46" i="1"/>
  <c r="P34" i="1"/>
  <c r="Q34" i="1"/>
  <c r="Q213" i="1"/>
  <c r="Q201" i="1"/>
  <c r="P201" i="1"/>
  <c r="Q189" i="1"/>
  <c r="P177" i="1"/>
  <c r="P165" i="1"/>
  <c r="Q165" i="1"/>
  <c r="P153" i="1"/>
  <c r="P141" i="1"/>
  <c r="Q141" i="1"/>
  <c r="O129" i="1"/>
  <c r="P129" i="1"/>
  <c r="Q129" i="1"/>
  <c r="P117" i="1"/>
  <c r="Q117" i="1"/>
  <c r="P105" i="1"/>
  <c r="Q105" i="1"/>
  <c r="P93" i="1"/>
  <c r="Q93" i="1"/>
  <c r="P81" i="1"/>
  <c r="Q81" i="1"/>
  <c r="P69" i="1"/>
  <c r="Q69" i="1"/>
  <c r="P57" i="1"/>
  <c r="Q57" i="1"/>
  <c r="P45" i="1"/>
  <c r="Q45" i="1"/>
  <c r="AH35" i="1"/>
  <c r="AI35" i="1" s="1"/>
  <c r="AJ35" i="1" s="1"/>
  <c r="P33" i="1"/>
  <c r="P212" i="1"/>
  <c r="P200" i="1"/>
  <c r="Q200" i="1"/>
  <c r="P188" i="1"/>
  <c r="Q188" i="1"/>
  <c r="P176" i="1"/>
  <c r="Q176" i="1"/>
  <c r="P164" i="1"/>
  <c r="AH154" i="1"/>
  <c r="AI154" i="1" s="1"/>
  <c r="AJ154" i="1" s="1"/>
  <c r="P152" i="1"/>
  <c r="Q152" i="1"/>
  <c r="P140" i="1"/>
  <c r="P128" i="1"/>
  <c r="Q128" i="1"/>
  <c r="AH118" i="1"/>
  <c r="AI118" i="1" s="1"/>
  <c r="AJ118" i="1" s="1"/>
  <c r="P116" i="1"/>
  <c r="P104" i="1"/>
  <c r="Q104" i="1"/>
  <c r="P92" i="1"/>
  <c r="Q92" i="1"/>
  <c r="P80" i="1"/>
  <c r="Q80" i="1"/>
  <c r="P68" i="1"/>
  <c r="Q68" i="1"/>
  <c r="Q56" i="1"/>
  <c r="P44" i="1"/>
  <c r="Q44" i="1"/>
  <c r="N79" i="1"/>
  <c r="P67" i="1"/>
  <c r="Q67" i="1"/>
  <c r="Q55" i="1"/>
  <c r="P31" i="1"/>
  <c r="Q31" i="1"/>
  <c r="P184" i="1"/>
  <c r="N78" i="1"/>
  <c r="P78" i="1"/>
  <c r="N66" i="1"/>
  <c r="P66" i="1"/>
  <c r="Q66" i="1"/>
  <c r="N54" i="1"/>
  <c r="P54" i="1"/>
  <c r="Q54" i="1"/>
  <c r="O42" i="1"/>
  <c r="N53" i="1"/>
  <c r="P53" i="1"/>
  <c r="Q53" i="1"/>
  <c r="O41" i="1"/>
  <c r="Q184" i="1"/>
  <c r="Q136" i="1"/>
  <c r="Q112" i="1"/>
  <c r="Q88" i="1"/>
  <c r="Q76" i="1"/>
  <c r="Q40" i="1"/>
  <c r="Q28" i="1"/>
  <c r="P148" i="1"/>
  <c r="Q183" i="1"/>
  <c r="P183" i="1"/>
  <c r="P171" i="1"/>
  <c r="AH161" i="1"/>
  <c r="AI161" i="1" s="1"/>
  <c r="AJ161" i="1" s="1"/>
  <c r="P159" i="1"/>
  <c r="Q147" i="1"/>
  <c r="P147" i="1"/>
  <c r="Q135" i="1"/>
  <c r="P135" i="1"/>
  <c r="Q123" i="1"/>
  <c r="P123" i="1"/>
  <c r="Q111" i="1"/>
  <c r="P111" i="1"/>
  <c r="N99" i="1"/>
  <c r="Q87" i="1"/>
  <c r="P87" i="1"/>
  <c r="Q75" i="1"/>
  <c r="P75" i="1"/>
  <c r="Q63" i="1"/>
  <c r="P63" i="1"/>
  <c r="Q51" i="1"/>
  <c r="P51" i="1"/>
  <c r="Q27" i="1"/>
  <c r="P27" i="1"/>
  <c r="P194" i="1"/>
  <c r="Q182" i="1"/>
  <c r="P182" i="1"/>
  <c r="P170" i="1"/>
  <c r="Q158" i="1"/>
  <c r="P158" i="1"/>
  <c r="Q146" i="1"/>
  <c r="P146" i="1"/>
  <c r="Q134" i="1"/>
  <c r="P134" i="1"/>
  <c r="Q122" i="1"/>
  <c r="P110" i="1"/>
  <c r="Q98" i="1"/>
  <c r="P86" i="1"/>
  <c r="Q74" i="1"/>
  <c r="P74" i="1"/>
  <c r="P62" i="1"/>
  <c r="Q50" i="1"/>
  <c r="P50" i="1"/>
  <c r="Q38" i="1"/>
  <c r="P38" i="1"/>
  <c r="Q26" i="1"/>
  <c r="P26" i="1"/>
  <c r="P39" i="1"/>
  <c r="O39" i="1"/>
  <c r="N123" i="1"/>
  <c r="Q187" i="1"/>
  <c r="N160" i="1"/>
  <c r="O130" i="1"/>
  <c r="Q99" i="1"/>
  <c r="O63" i="1"/>
  <c r="N174" i="1"/>
  <c r="N136" i="1"/>
  <c r="N151" i="1"/>
  <c r="Q43" i="1"/>
  <c r="P55" i="1"/>
  <c r="O91" i="1"/>
  <c r="O67" i="1"/>
  <c r="O211" i="1"/>
  <c r="O115" i="1"/>
  <c r="N31" i="1"/>
  <c r="O31" i="1"/>
  <c r="N67" i="1"/>
  <c r="O124" i="1"/>
  <c r="N43" i="1"/>
  <c r="N65" i="1"/>
  <c r="O77" i="1"/>
  <c r="P161" i="1"/>
  <c r="N29" i="1"/>
  <c r="Q160" i="1"/>
  <c r="O53" i="1"/>
  <c r="P76" i="1"/>
  <c r="Q29" i="1"/>
  <c r="P41" i="1"/>
  <c r="P185" i="1"/>
  <c r="N124" i="1"/>
  <c r="AH215" i="1"/>
  <c r="AI215" i="1" s="1"/>
  <c r="AJ215" i="1" s="1"/>
  <c r="O123" i="1"/>
  <c r="O199" i="1"/>
  <c r="N115" i="1"/>
  <c r="O171" i="1"/>
  <c r="P42" i="1"/>
  <c r="O210" i="1"/>
  <c r="N197" i="1"/>
  <c r="O54" i="1"/>
  <c r="N114" i="1"/>
  <c r="O173" i="1"/>
  <c r="Q137" i="1"/>
  <c r="Q30" i="1"/>
  <c r="O221" i="1"/>
  <c r="O66" i="1"/>
  <c r="Q185" i="1"/>
  <c r="N221" i="1"/>
  <c r="P137" i="1"/>
  <c r="O184" i="1"/>
  <c r="Q149" i="1"/>
  <c r="Q64" i="1"/>
  <c r="AH151" i="1"/>
  <c r="AI151" i="1" s="1"/>
  <c r="AJ151" i="1" s="1"/>
  <c r="AH150" i="1"/>
  <c r="AI150" i="1" s="1"/>
  <c r="AJ150" i="1" s="1"/>
  <c r="Q113" i="1"/>
  <c r="O197" i="1"/>
  <c r="Q186" i="1"/>
  <c r="N150" i="1"/>
  <c r="Q138" i="1"/>
  <c r="O126" i="1"/>
  <c r="O114" i="1"/>
  <c r="O198" i="1"/>
  <c r="N98" i="1"/>
  <c r="Q86" i="1"/>
  <c r="Q204" i="1"/>
  <c r="O108" i="1"/>
  <c r="O23" i="1"/>
  <c r="Q190" i="1"/>
  <c r="Q166" i="1"/>
  <c r="Q94" i="1"/>
  <c r="AH84" i="1"/>
  <c r="AI84" i="1" s="1"/>
  <c r="AJ84" i="1" s="1"/>
  <c r="AH60" i="1"/>
  <c r="AI60" i="1" s="1"/>
  <c r="AJ60" i="1" s="1"/>
  <c r="P202" i="1"/>
  <c r="N96" i="1"/>
  <c r="O222" i="1"/>
  <c r="O158" i="1"/>
  <c r="AH112" i="1"/>
  <c r="AI112" i="1" s="1"/>
  <c r="AJ112" i="1" s="1"/>
  <c r="O96" i="1"/>
  <c r="N214" i="1"/>
  <c r="P94" i="1"/>
  <c r="Q212" i="1"/>
  <c r="O164" i="1"/>
  <c r="N32" i="1"/>
  <c r="Q62" i="1"/>
  <c r="Q49" i="1"/>
  <c r="Q36" i="1"/>
  <c r="N30" i="1"/>
  <c r="O151" i="1"/>
  <c r="Q215" i="1"/>
  <c r="O203" i="1"/>
  <c r="Q179" i="1"/>
  <c r="O155" i="1"/>
  <c r="Q143" i="1"/>
  <c r="Q131" i="1"/>
  <c r="O119" i="1"/>
  <c r="Q107" i="1"/>
  <c r="O83" i="1"/>
  <c r="Q71" i="1"/>
  <c r="O47" i="1"/>
  <c r="N23" i="1"/>
  <c r="AH178" i="1" l="1"/>
  <c r="AI178" i="1" s="1"/>
  <c r="AJ178" i="1" s="1"/>
  <c r="AH144" i="1"/>
  <c r="AI144" i="1" s="1"/>
  <c r="AJ144" i="1" s="1"/>
  <c r="P126" i="1"/>
  <c r="Q125" i="1"/>
  <c r="Q124" i="1"/>
  <c r="AH111" i="1"/>
  <c r="AI111" i="1" s="1"/>
  <c r="AJ111" i="1" s="1"/>
  <c r="Q77" i="1"/>
  <c r="Q171" i="1"/>
  <c r="AH87" i="1"/>
  <c r="AI87" i="1" s="1"/>
  <c r="AJ87" i="1" s="1"/>
  <c r="P89" i="1"/>
  <c r="AH86" i="1"/>
  <c r="AI86" i="1" s="1"/>
  <c r="AJ86" i="1" s="1"/>
  <c r="Q39" i="1"/>
  <c r="P155" i="1"/>
  <c r="Q126" i="1"/>
  <c r="P96" i="1"/>
  <c r="AH30" i="1"/>
  <c r="AI30" i="1" s="1"/>
  <c r="AJ30" i="1" s="1"/>
  <c r="Q96" i="1"/>
  <c r="AH197" i="1"/>
  <c r="AI197" i="1" s="1"/>
  <c r="AJ197" i="1" s="1"/>
  <c r="P209" i="1"/>
  <c r="AH210" i="1"/>
  <c r="AI210" i="1" s="1"/>
  <c r="AJ210" i="1" s="1"/>
  <c r="P197" i="1"/>
  <c r="Q197" i="1"/>
  <c r="Q195" i="1"/>
  <c r="Q192" i="1"/>
  <c r="AH194" i="1"/>
  <c r="AI194" i="1" s="1"/>
  <c r="AJ194" i="1" s="1"/>
  <c r="AH189" i="1"/>
  <c r="AI189" i="1" s="1"/>
  <c r="AJ189" i="1" s="1"/>
  <c r="Q173" i="1"/>
  <c r="P173" i="1"/>
  <c r="AH172" i="1"/>
  <c r="AI172" i="1" s="1"/>
  <c r="AJ172" i="1" s="1"/>
  <c r="Q170" i="1"/>
  <c r="Q161" i="1"/>
  <c r="N156" i="1"/>
  <c r="Q155" i="1"/>
  <c r="Q150" i="1"/>
  <c r="P150" i="1"/>
  <c r="AH122" i="1"/>
  <c r="AI122" i="1" s="1"/>
  <c r="AJ122" i="1" s="1"/>
  <c r="P98" i="1"/>
  <c r="P95" i="1"/>
  <c r="Q83" i="1"/>
  <c r="P83" i="1"/>
  <c r="P52" i="1"/>
  <c r="O43" i="1"/>
  <c r="Q42" i="1"/>
  <c r="Q41" i="1"/>
  <c r="O178" i="1"/>
  <c r="N179" i="1"/>
  <c r="AH220" i="1"/>
  <c r="AI220" i="1" s="1"/>
  <c r="AJ220" i="1" s="1"/>
  <c r="O214" i="1"/>
  <c r="O64" i="1"/>
  <c r="N64" i="1"/>
  <c r="N76" i="1"/>
  <c r="N82" i="1"/>
  <c r="O116" i="1"/>
  <c r="O208" i="1"/>
  <c r="AH72" i="1"/>
  <c r="AI72" i="1" s="1"/>
  <c r="AJ72" i="1" s="1"/>
  <c r="N94" i="1"/>
  <c r="O179" i="1"/>
  <c r="N58" i="1"/>
  <c r="O99" i="1"/>
  <c r="O76" i="1"/>
  <c r="N55" i="1"/>
  <c r="O215" i="1"/>
  <c r="O94" i="1"/>
  <c r="O33" i="1"/>
  <c r="O29" i="1"/>
  <c r="O30" i="1"/>
  <c r="O55" i="1"/>
  <c r="O201" i="1"/>
  <c r="N215" i="1"/>
  <c r="AH166" i="1"/>
  <c r="AI166" i="1" s="1"/>
  <c r="AJ166" i="1" s="1"/>
  <c r="AH105" i="1"/>
  <c r="AI105" i="1" s="1"/>
  <c r="AJ105" i="1" s="1"/>
  <c r="O159" i="1"/>
  <c r="O142" i="1"/>
  <c r="O136" i="1"/>
  <c r="O113" i="1"/>
  <c r="N138" i="1"/>
  <c r="N103" i="1"/>
  <c r="O71" i="1"/>
  <c r="N113" i="1"/>
  <c r="O138" i="1"/>
  <c r="O103" i="1"/>
  <c r="N213" i="1"/>
  <c r="N107" i="1"/>
  <c r="O86" i="1"/>
  <c r="N28" i="1"/>
  <c r="O148" i="1"/>
  <c r="N137" i="1"/>
  <c r="O80" i="1"/>
  <c r="O187" i="1"/>
  <c r="O107" i="1"/>
  <c r="O36" i="1"/>
  <c r="O137" i="1"/>
  <c r="O152" i="1"/>
  <c r="O174" i="1"/>
  <c r="N187" i="1"/>
  <c r="O110" i="1"/>
  <c r="N149" i="1"/>
  <c r="N186" i="1"/>
  <c r="O131" i="1"/>
  <c r="O61" i="1"/>
  <c r="O166" i="1"/>
  <c r="N40" i="1"/>
  <c r="O160" i="1"/>
  <c r="O149" i="1"/>
  <c r="O186" i="1"/>
  <c r="N143" i="1"/>
  <c r="O207" i="1"/>
  <c r="N208" i="1"/>
  <c r="N185" i="1"/>
  <c r="O212" i="1"/>
  <c r="O70" i="1"/>
  <c r="O143" i="1"/>
  <c r="O204" i="1"/>
  <c r="Q167" i="1"/>
  <c r="O167" i="1"/>
  <c r="AH64" i="1"/>
  <c r="AI64" i="1" s="1"/>
  <c r="AJ64" i="1" s="1"/>
  <c r="O62" i="1"/>
  <c r="AH58" i="1"/>
  <c r="AI58" i="1" s="1"/>
  <c r="AJ58" i="1" s="1"/>
  <c r="N56" i="1"/>
  <c r="AH177" i="1"/>
  <c r="AI177" i="1" s="1"/>
  <c r="AJ177" i="1" s="1"/>
  <c r="N175" i="1"/>
  <c r="AH219" i="1"/>
  <c r="AI219" i="1" s="1"/>
  <c r="AJ219" i="1" s="1"/>
  <c r="O217" i="1"/>
  <c r="Q206" i="1"/>
  <c r="O206" i="1"/>
  <c r="AH191" i="1"/>
  <c r="AI191" i="1" s="1"/>
  <c r="AJ191" i="1" s="1"/>
  <c r="N189" i="1"/>
  <c r="AH213" i="1"/>
  <c r="AI213" i="1" s="1"/>
  <c r="AJ213" i="1" s="1"/>
  <c r="N211" i="1"/>
  <c r="Q140" i="1"/>
  <c r="O140" i="1"/>
  <c r="AH192" i="1"/>
  <c r="AI192" i="1" s="1"/>
  <c r="AJ192" i="1" s="1"/>
  <c r="O190" i="1"/>
  <c r="Q102" i="1"/>
  <c r="O102" i="1"/>
  <c r="AH54" i="1"/>
  <c r="AI54" i="1" s="1"/>
  <c r="AJ54" i="1" s="1"/>
  <c r="O52" i="1"/>
  <c r="P199" i="1"/>
  <c r="N199" i="1"/>
  <c r="AH41" i="1"/>
  <c r="AI41" i="1" s="1"/>
  <c r="AJ41" i="1" s="1"/>
  <c r="N39" i="1"/>
  <c r="AH50" i="1"/>
  <c r="AI50" i="1" s="1"/>
  <c r="AJ50" i="1" s="1"/>
  <c r="O48" i="1"/>
  <c r="Q89" i="1"/>
  <c r="O89" i="1"/>
  <c r="AH107" i="1"/>
  <c r="AI107" i="1" s="1"/>
  <c r="AJ107" i="1" s="1"/>
  <c r="O105" i="1"/>
  <c r="AH51" i="1"/>
  <c r="AI51" i="1" s="1"/>
  <c r="AJ51" i="1" s="1"/>
  <c r="O49" i="1"/>
  <c r="Q163" i="1"/>
  <c r="O163" i="1"/>
  <c r="AH108" i="1"/>
  <c r="AI108" i="1" s="1"/>
  <c r="AJ108" i="1" s="1"/>
  <c r="N106" i="1"/>
  <c r="Q191" i="1"/>
  <c r="O191" i="1"/>
  <c r="Q127" i="1"/>
  <c r="O127" i="1"/>
  <c r="AH124" i="1"/>
  <c r="AI124" i="1" s="1"/>
  <c r="AJ124" i="1" s="1"/>
  <c r="N122" i="1"/>
  <c r="AH218" i="1"/>
  <c r="AI218" i="1" s="1"/>
  <c r="AJ218" i="1" s="1"/>
  <c r="N216" i="1"/>
  <c r="Q90" i="1"/>
  <c r="O90" i="1"/>
  <c r="Q196" i="1"/>
  <c r="O196" i="1"/>
  <c r="AH163" i="1"/>
  <c r="AI163" i="1" s="1"/>
  <c r="AJ163" i="1" s="1"/>
  <c r="N161" i="1"/>
  <c r="AH138" i="1"/>
  <c r="AI138" i="1" s="1"/>
  <c r="AJ138" i="1" s="1"/>
  <c r="AH168" i="1"/>
  <c r="AI168" i="1" s="1"/>
  <c r="AJ168" i="1" s="1"/>
  <c r="Q79" i="1"/>
  <c r="O79" i="1"/>
  <c r="AH94" i="1"/>
  <c r="AI94" i="1" s="1"/>
  <c r="AJ94" i="1" s="1"/>
  <c r="O92" i="1"/>
  <c r="Q78" i="1"/>
  <c r="O78" i="1"/>
  <c r="Q35" i="1"/>
  <c r="O35" i="1"/>
  <c r="AH182" i="1"/>
  <c r="AI182" i="1" s="1"/>
  <c r="AJ182" i="1" s="1"/>
  <c r="O180" i="1"/>
  <c r="Q25" i="1"/>
  <c r="O25" i="1"/>
  <c r="AH156" i="1"/>
  <c r="AI156" i="1" s="1"/>
  <c r="AJ156" i="1" s="1"/>
  <c r="N154" i="1"/>
  <c r="Q59" i="1"/>
  <c r="O59" i="1"/>
  <c r="Q193" i="1"/>
  <c r="O193" i="1"/>
  <c r="AH164" i="1"/>
  <c r="AI164" i="1" s="1"/>
  <c r="AJ164" i="1" s="1"/>
  <c r="N162" i="1"/>
  <c r="AH36" i="1"/>
  <c r="AI36" i="1" s="1"/>
  <c r="AJ36" i="1" s="1"/>
  <c r="O34" i="1"/>
  <c r="Q162" i="1"/>
  <c r="O162" i="1"/>
  <c r="AH103" i="1"/>
  <c r="AI103" i="1" s="1"/>
  <c r="AJ103" i="1" s="1"/>
  <c r="O101" i="1"/>
  <c r="AH44" i="1"/>
  <c r="AI44" i="1" s="1"/>
  <c r="AJ44" i="1" s="1"/>
  <c r="N42" i="1"/>
  <c r="AH176" i="1"/>
  <c r="AI176" i="1" s="1"/>
  <c r="AJ176" i="1" s="1"/>
  <c r="AH196" i="1"/>
  <c r="AI196" i="1" s="1"/>
  <c r="AJ196" i="1" s="1"/>
  <c r="O194" i="1"/>
  <c r="AH90" i="1"/>
  <c r="AI90" i="1" s="1"/>
  <c r="AJ90" i="1" s="1"/>
  <c r="O88" i="1"/>
  <c r="Q181" i="1"/>
  <c r="AH74" i="1"/>
  <c r="AI74" i="1" s="1"/>
  <c r="AJ74" i="1" s="1"/>
  <c r="N72" i="1"/>
  <c r="AH137" i="1"/>
  <c r="AI137" i="1" s="1"/>
  <c r="AJ137" i="1" s="1"/>
  <c r="O135" i="1"/>
  <c r="AH113" i="1"/>
  <c r="AI113" i="1" s="1"/>
  <c r="AJ113" i="1" s="1"/>
  <c r="N111" i="1"/>
  <c r="Q172" i="1"/>
  <c r="O172" i="1"/>
  <c r="AH47" i="1"/>
  <c r="AI47" i="1" s="1"/>
  <c r="AJ47" i="1" s="1"/>
  <c r="N45" i="1"/>
  <c r="AH48" i="1"/>
  <c r="AI48" i="1" s="1"/>
  <c r="AJ48" i="1" s="1"/>
  <c r="O46" i="1"/>
  <c r="AH76" i="1"/>
  <c r="AI76" i="1" s="1"/>
  <c r="AJ76" i="1" s="1"/>
  <c r="O74" i="1"/>
  <c r="AH114" i="1"/>
  <c r="AI114" i="1" s="1"/>
  <c r="AJ114" i="1" s="1"/>
  <c r="O112" i="1"/>
  <c r="AH53" i="1"/>
  <c r="AI53" i="1" s="1"/>
  <c r="AJ53" i="1" s="1"/>
  <c r="N51" i="1"/>
  <c r="AH89" i="1"/>
  <c r="AI89" i="1" s="1"/>
  <c r="AJ89" i="1" s="1"/>
  <c r="O87" i="1"/>
  <c r="Q65" i="1"/>
  <c r="O65" i="1"/>
  <c r="AH83" i="1"/>
  <c r="AI83" i="1" s="1"/>
  <c r="AJ83" i="1" s="1"/>
  <c r="O81" i="1"/>
  <c r="AH221" i="1"/>
  <c r="AI221" i="1" s="1"/>
  <c r="AJ221" i="1" s="1"/>
  <c r="N219" i="1"/>
  <c r="AH71" i="1"/>
  <c r="AI71" i="1" s="1"/>
  <c r="AJ71" i="1" s="1"/>
  <c r="O69" i="1"/>
  <c r="P59" i="1"/>
  <c r="N59" i="1"/>
  <c r="AH204" i="1"/>
  <c r="AI204" i="1" s="1"/>
  <c r="AJ204" i="1" s="1"/>
  <c r="N202" i="1"/>
  <c r="P127" i="1"/>
  <c r="N127" i="1"/>
  <c r="AH62" i="1"/>
  <c r="AI62" i="1" s="1"/>
  <c r="AJ62" i="1" s="1"/>
  <c r="O60" i="1"/>
  <c r="Q153" i="1"/>
  <c r="O153" i="1"/>
  <c r="AH222" i="1"/>
  <c r="AI222" i="1" s="1"/>
  <c r="AJ222" i="1" s="1"/>
  <c r="N220" i="1"/>
  <c r="AH102" i="1"/>
  <c r="AI102" i="1" s="1"/>
  <c r="AJ102" i="1" s="1"/>
  <c r="O100" i="1"/>
  <c r="Q139" i="1"/>
  <c r="O139" i="1"/>
  <c r="AH171" i="1"/>
  <c r="AI171" i="1" s="1"/>
  <c r="AJ171" i="1" s="1"/>
  <c r="Q209" i="1"/>
  <c r="O209" i="1"/>
  <c r="Q32" i="1"/>
  <c r="O32" i="1"/>
  <c r="Q177" i="1"/>
  <c r="O177" i="1"/>
  <c r="AH127" i="1"/>
  <c r="AI127" i="1" s="1"/>
  <c r="AJ127" i="1" s="1"/>
  <c r="N125" i="1"/>
  <c r="AH45" i="1"/>
  <c r="AI45" i="1" s="1"/>
  <c r="AJ45" i="1" s="1"/>
  <c r="AH93" i="1"/>
  <c r="AI93" i="1" s="1"/>
  <c r="AJ93" i="1" s="1"/>
  <c r="N91" i="1"/>
  <c r="P77" i="1"/>
  <c r="N77" i="1"/>
  <c r="P90" i="1"/>
  <c r="N90" i="1"/>
  <c r="Q70" i="1"/>
  <c r="Q133" i="1"/>
  <c r="O133" i="1"/>
  <c r="AH147" i="1"/>
  <c r="AI147" i="1" s="1"/>
  <c r="AJ147" i="1" s="1"/>
  <c r="O145" i="1"/>
  <c r="AH136" i="1"/>
  <c r="AI136" i="1" s="1"/>
  <c r="AJ136" i="1" s="1"/>
  <c r="O134" i="1"/>
  <c r="AH43" i="1"/>
  <c r="AI43" i="1" s="1"/>
  <c r="AJ43" i="1" s="1"/>
  <c r="N41" i="1"/>
  <c r="AH95" i="1"/>
  <c r="AI95" i="1" s="1"/>
  <c r="AJ95" i="1" s="1"/>
  <c r="O93" i="1"/>
  <c r="Q175" i="1"/>
  <c r="O175" i="1"/>
  <c r="AH146" i="1"/>
  <c r="AI146" i="1" s="1"/>
  <c r="AJ146" i="1" s="1"/>
  <c r="O144" i="1"/>
  <c r="Q95" i="1"/>
  <c r="O95" i="1"/>
  <c r="AH75" i="1"/>
  <c r="AI75" i="1" s="1"/>
  <c r="AJ75" i="1" s="1"/>
  <c r="O73" i="1"/>
  <c r="AH70" i="1"/>
  <c r="AI70" i="1" s="1"/>
  <c r="AJ70" i="1" s="1"/>
  <c r="O68" i="1"/>
  <c r="P172" i="1"/>
  <c r="N172" i="1"/>
  <c r="AH207" i="1"/>
  <c r="AI207" i="1" s="1"/>
  <c r="AJ207" i="1" s="1"/>
  <c r="O205" i="1"/>
  <c r="AN72" i="5"/>
  <c r="AO72" i="5" s="1"/>
  <c r="AP72" i="5" s="1"/>
  <c r="AN185" i="5"/>
  <c r="AO185" i="5" s="1"/>
  <c r="AP185" i="5" s="1"/>
  <c r="AN180" i="5"/>
  <c r="AO180" i="5" s="1"/>
  <c r="AP180" i="5" s="1"/>
  <c r="AN113" i="5"/>
  <c r="AO113" i="5" s="1"/>
  <c r="AP113" i="5" s="1"/>
  <c r="AN94" i="5"/>
  <c r="AO94" i="5" s="1"/>
  <c r="AP94" i="5" s="1"/>
  <c r="AN79" i="5"/>
  <c r="AO79" i="5" s="1"/>
  <c r="AP79" i="5" s="1"/>
  <c r="AN30" i="5"/>
  <c r="AO30" i="5" s="1"/>
  <c r="AP30" i="5" s="1"/>
  <c r="AN43" i="5"/>
  <c r="AO43" i="5" s="1"/>
  <c r="AP43" i="5" s="1"/>
  <c r="AN81" i="5"/>
  <c r="AO81" i="5" s="1"/>
  <c r="AP81" i="5" s="1"/>
  <c r="AN83" i="5"/>
  <c r="AO83" i="5" s="1"/>
  <c r="AP83" i="5" s="1"/>
  <c r="AN53" i="5"/>
  <c r="AO53" i="5" s="1"/>
  <c r="AP53" i="5" s="1"/>
  <c r="AN195" i="5"/>
  <c r="AO195" i="5" s="1"/>
  <c r="AP195" i="5" s="1"/>
  <c r="AN163" i="5"/>
  <c r="AO163" i="5" s="1"/>
  <c r="AP163" i="5" s="1"/>
  <c r="AN154" i="5"/>
  <c r="AO154" i="5" s="1"/>
  <c r="AP154" i="5" s="1"/>
  <c r="AN141" i="5"/>
  <c r="AO141" i="5" s="1"/>
  <c r="AP141" i="5" s="1"/>
  <c r="AN118" i="5"/>
  <c r="AO118" i="5" s="1"/>
  <c r="AP118" i="5" s="1"/>
  <c r="AN88" i="5"/>
  <c r="AO88" i="5" s="1"/>
  <c r="AP88" i="5" s="1"/>
  <c r="AN31" i="5"/>
  <c r="AO31" i="5" s="1"/>
  <c r="AP31" i="5" s="1"/>
  <c r="AN148" i="5"/>
  <c r="AO148" i="5" s="1"/>
  <c r="AP148" i="5" s="1"/>
  <c r="AN122" i="5"/>
  <c r="AO122" i="5" s="1"/>
  <c r="AP122" i="5" s="1"/>
  <c r="AN91" i="5"/>
  <c r="AO91" i="5" s="1"/>
  <c r="AP91" i="5" s="1"/>
  <c r="AN214" i="5"/>
  <c r="AO214" i="5" s="1"/>
  <c r="AP214" i="5" s="1"/>
  <c r="AN177" i="5"/>
  <c r="AO177" i="5" s="1"/>
  <c r="AP177" i="5" s="1"/>
  <c r="AN26" i="5"/>
  <c r="AO26" i="5" s="1"/>
  <c r="AP26" i="5" s="1"/>
  <c r="AN32" i="5"/>
  <c r="AO32" i="5" s="1"/>
  <c r="AP32" i="5" s="1"/>
  <c r="AN49" i="5"/>
  <c r="AO49" i="5" s="1"/>
  <c r="AP49" i="5" s="1"/>
  <c r="AN41" i="5"/>
  <c r="AO41" i="5" s="1"/>
  <c r="AP41" i="5" s="1"/>
  <c r="AN86" i="5"/>
  <c r="AO86" i="5" s="1"/>
  <c r="AP86" i="5" s="1"/>
  <c r="AN182" i="5"/>
  <c r="AO182" i="5" s="1"/>
  <c r="AP182" i="5" s="1"/>
  <c r="AN106" i="5"/>
  <c r="AO106" i="5" s="1"/>
  <c r="AP106" i="5" s="1"/>
  <c r="AN206" i="5"/>
  <c r="AO206" i="5" s="1"/>
  <c r="AP206" i="5" s="1"/>
  <c r="AN191" i="5"/>
  <c r="AO191" i="5" s="1"/>
  <c r="AP191" i="5" s="1"/>
  <c r="AN172" i="5"/>
  <c r="AO172" i="5" s="1"/>
  <c r="AP172" i="5" s="1"/>
  <c r="AN211" i="5"/>
  <c r="AO211" i="5" s="1"/>
  <c r="AP211" i="5" s="1"/>
  <c r="AN97" i="5"/>
  <c r="AO97" i="5" s="1"/>
  <c r="AP97" i="5" s="1"/>
  <c r="AN102" i="5"/>
  <c r="AO102" i="5" s="1"/>
  <c r="AP102" i="5" s="1"/>
  <c r="AN152" i="5"/>
  <c r="AO152" i="5" s="1"/>
  <c r="AP152" i="5" s="1"/>
  <c r="AN74" i="5"/>
  <c r="AO74" i="5" s="1"/>
  <c r="AP74" i="5" s="1"/>
  <c r="AN138" i="5"/>
  <c r="AO138" i="5" s="1"/>
  <c r="AP138" i="5" s="1"/>
  <c r="AN219" i="5"/>
  <c r="AO219" i="5" s="1"/>
  <c r="AP219" i="5" s="1"/>
  <c r="AN66" i="5"/>
  <c r="AO66" i="5" s="1"/>
  <c r="AP66" i="5" s="1"/>
  <c r="AN157" i="5"/>
  <c r="AO157" i="5" s="1"/>
  <c r="AP157" i="5" s="1"/>
  <c r="AN45" i="5"/>
  <c r="AO45" i="5" s="1"/>
  <c r="AP45" i="5" s="1"/>
  <c r="AN150" i="5"/>
  <c r="AO150" i="5" s="1"/>
  <c r="AP150" i="5" s="1"/>
  <c r="AN216" i="5"/>
  <c r="AO216" i="5" s="1"/>
  <c r="AP216" i="5" s="1"/>
  <c r="AN161" i="5"/>
  <c r="AO161" i="5" s="1"/>
  <c r="AP161" i="5" s="1"/>
  <c r="AN78" i="5"/>
  <c r="AO78" i="5" s="1"/>
  <c r="AP78" i="5" s="1"/>
  <c r="AN29" i="5"/>
  <c r="AO29" i="5" s="1"/>
  <c r="AP29" i="5" s="1"/>
  <c r="AN92" i="5"/>
  <c r="AO92" i="5" s="1"/>
  <c r="AP92" i="5" s="1"/>
  <c r="AN65" i="5"/>
  <c r="AO65" i="5" s="1"/>
  <c r="AP65" i="5" s="1"/>
  <c r="AN40" i="5"/>
  <c r="AO40" i="5" s="1"/>
  <c r="AP40" i="5" s="1"/>
  <c r="AN27" i="5"/>
  <c r="AO27" i="5" s="1"/>
  <c r="AP27" i="5" s="1"/>
  <c r="AN184" i="5"/>
  <c r="AO184" i="5" s="1"/>
  <c r="AP184" i="5" s="1"/>
  <c r="AN190" i="5"/>
  <c r="AO190" i="5" s="1"/>
  <c r="AP190" i="5" s="1"/>
  <c r="AN212" i="5"/>
  <c r="AO212" i="5" s="1"/>
  <c r="AP212" i="5" s="1"/>
  <c r="AN123" i="5"/>
  <c r="AO123" i="5" s="1"/>
  <c r="AP123" i="5" s="1"/>
  <c r="AN188" i="5"/>
  <c r="AO188" i="5" s="1"/>
  <c r="AP188" i="5" s="1"/>
  <c r="AN156" i="5"/>
  <c r="AO156" i="5" s="1"/>
  <c r="AP156" i="5" s="1"/>
  <c r="AN101" i="5"/>
  <c r="AO101" i="5" s="1"/>
  <c r="AP101" i="5" s="1"/>
  <c r="AN223" i="5"/>
  <c r="AO223" i="5" s="1"/>
  <c r="AP223" i="5" s="1"/>
  <c r="AN71" i="5"/>
  <c r="AO71" i="5" s="1"/>
  <c r="AP71" i="5" s="1"/>
  <c r="AN197" i="5"/>
  <c r="AO197" i="5" s="1"/>
  <c r="AP197" i="5" s="1"/>
  <c r="AN170" i="5"/>
  <c r="AO170" i="5" s="1"/>
  <c r="AP170" i="5" s="1"/>
  <c r="AN50" i="5"/>
  <c r="AO50" i="5" s="1"/>
  <c r="AP50" i="5" s="1"/>
  <c r="AN110" i="5"/>
  <c r="AO110" i="5" s="1"/>
  <c r="AP110" i="5" s="1"/>
  <c r="AN121" i="5"/>
  <c r="AO121" i="5" s="1"/>
  <c r="AP121" i="5" s="1"/>
  <c r="AN129" i="5"/>
  <c r="AO129" i="5" s="1"/>
  <c r="AP129" i="5" s="1"/>
  <c r="AN114" i="5"/>
  <c r="AO114" i="5" s="1"/>
  <c r="AP114" i="5" s="1"/>
  <c r="AN143" i="5"/>
  <c r="AO143" i="5" s="1"/>
  <c r="AP143" i="5" s="1"/>
  <c r="AN186" i="5"/>
  <c r="AO186" i="5" s="1"/>
  <c r="AP186" i="5" s="1"/>
  <c r="AN61" i="5"/>
  <c r="AO61" i="5" s="1"/>
  <c r="AP61" i="5" s="1"/>
  <c r="AN117" i="5"/>
  <c r="AO117" i="5" s="1"/>
  <c r="AP117" i="5" s="1"/>
  <c r="AN135" i="5"/>
  <c r="AO135" i="5" s="1"/>
  <c r="AP135" i="5" s="1"/>
  <c r="AN193" i="5"/>
  <c r="AO193" i="5" s="1"/>
  <c r="AP193" i="5" s="1"/>
  <c r="AN221" i="5"/>
  <c r="AO221" i="5" s="1"/>
  <c r="AP221" i="5" s="1"/>
  <c r="AN131" i="5"/>
  <c r="AO131" i="5" s="1"/>
  <c r="AP131" i="5" s="1"/>
  <c r="AN119" i="5"/>
  <c r="AO119" i="5" s="1"/>
  <c r="AP119" i="5" s="1"/>
  <c r="AN125" i="5"/>
  <c r="AO125" i="5" s="1"/>
  <c r="AP125" i="5" s="1"/>
  <c r="AN173" i="5"/>
  <c r="AO173" i="5" s="1"/>
  <c r="AP173" i="5" s="1"/>
  <c r="AN139" i="5"/>
  <c r="AO139" i="5" s="1"/>
  <c r="AP139" i="5" s="1"/>
  <c r="AN178" i="5"/>
  <c r="AO178" i="5" s="1"/>
  <c r="AP178" i="5" s="1"/>
  <c r="AN62" i="5"/>
  <c r="AO62" i="5" s="1"/>
  <c r="AP62" i="5" s="1"/>
  <c r="AN100" i="5"/>
  <c r="AO100" i="5" s="1"/>
  <c r="AP100" i="5" s="1"/>
  <c r="AN38" i="5"/>
  <c r="AO38" i="5" s="1"/>
  <c r="AP38" i="5" s="1"/>
  <c r="AN175" i="5"/>
  <c r="AO175" i="5" s="1"/>
  <c r="AP175" i="5" s="1"/>
  <c r="AN52" i="5"/>
  <c r="AO52" i="5" s="1"/>
  <c r="AP52" i="5" s="1"/>
  <c r="AN153" i="5"/>
  <c r="AO153" i="5" s="1"/>
  <c r="AP153" i="5" s="1"/>
  <c r="AN146" i="5"/>
  <c r="AO146" i="5" s="1"/>
  <c r="AP146" i="5" s="1"/>
  <c r="AN105" i="5"/>
  <c r="AO105" i="5" s="1"/>
  <c r="AP105" i="5" s="1"/>
  <c r="AN183" i="5"/>
  <c r="AO183" i="5" s="1"/>
  <c r="AP183" i="5" s="1"/>
  <c r="AN128" i="5"/>
  <c r="AO128" i="5" s="1"/>
  <c r="AP128" i="5" s="1"/>
  <c r="AN76" i="5"/>
  <c r="AO76" i="5" s="1"/>
  <c r="AP76" i="5" s="1"/>
  <c r="AN70" i="5"/>
  <c r="AO70" i="5" s="1"/>
  <c r="AP70" i="5" s="1"/>
  <c r="AN51" i="5"/>
  <c r="AO51" i="5" s="1"/>
  <c r="AP51" i="5" s="1"/>
  <c r="AN199" i="5"/>
  <c r="AO199" i="5" s="1"/>
  <c r="AP199" i="5" s="1"/>
  <c r="AN98" i="5"/>
  <c r="AO98" i="5" s="1"/>
  <c r="AP98" i="5" s="1"/>
  <c r="AN210" i="5"/>
  <c r="AO210" i="5" s="1"/>
  <c r="AP210" i="5" s="1"/>
  <c r="AN134" i="5"/>
  <c r="AO134" i="5" s="1"/>
  <c r="AP134" i="5" s="1"/>
  <c r="AN95" i="5"/>
  <c r="AO95" i="5" s="1"/>
  <c r="AP95" i="5" s="1"/>
  <c r="AN160" i="5"/>
  <c r="AO160" i="5" s="1"/>
  <c r="AP160" i="5" s="1"/>
  <c r="AN165" i="5"/>
  <c r="AO165" i="5" s="1"/>
  <c r="AP165" i="5" s="1"/>
  <c r="AN85" i="5"/>
  <c r="AO85" i="5" s="1"/>
  <c r="AP85" i="5" s="1"/>
  <c r="AN77" i="5"/>
  <c r="AO77" i="5" s="1"/>
  <c r="AP77" i="5" s="1"/>
  <c r="AN147" i="5"/>
  <c r="AO147" i="5" s="1"/>
  <c r="AP147" i="5" s="1"/>
  <c r="AN167" i="5"/>
  <c r="AO167" i="5" s="1"/>
  <c r="AP167" i="5" s="1"/>
  <c r="AN137" i="5"/>
  <c r="AO137" i="5" s="1"/>
  <c r="AP137" i="5" s="1"/>
  <c r="AN90" i="5"/>
  <c r="AO90" i="5" s="1"/>
  <c r="AP90" i="5" s="1"/>
  <c r="AN142" i="5"/>
  <c r="AO142" i="5" s="1"/>
  <c r="AP142" i="5" s="1"/>
  <c r="AN73" i="5"/>
  <c r="AO73" i="5" s="1"/>
  <c r="AP73" i="5" s="1"/>
  <c r="AN116" i="5"/>
  <c r="AO116" i="5" s="1"/>
  <c r="AP116" i="5" s="1"/>
  <c r="AN55" i="5"/>
  <c r="AO55" i="5" s="1"/>
  <c r="AP55" i="5" s="1"/>
  <c r="AN201" i="5"/>
  <c r="AO201" i="5" s="1"/>
  <c r="AP201" i="5" s="1"/>
  <c r="AN179" i="5"/>
  <c r="AO179" i="5" s="1"/>
  <c r="AP179" i="5" s="1"/>
  <c r="AN67" i="5"/>
  <c r="AO67" i="5" s="1"/>
  <c r="AP67" i="5" s="1"/>
  <c r="AN63" i="5"/>
  <c r="AO63" i="5" s="1"/>
  <c r="AP63" i="5" s="1"/>
  <c r="AN158" i="5"/>
  <c r="AO158" i="5" s="1"/>
  <c r="AP158" i="5" s="1"/>
  <c r="AN126" i="5"/>
  <c r="AO126" i="5" s="1"/>
  <c r="AP126" i="5" s="1"/>
  <c r="AN222" i="5"/>
  <c r="AO222" i="5" s="1"/>
  <c r="AP222" i="5" s="1"/>
  <c r="AN209" i="5"/>
  <c r="AO209" i="5" s="1"/>
  <c r="AP209" i="5" s="1"/>
  <c r="AN203" i="5"/>
  <c r="AO203" i="5" s="1"/>
  <c r="AP203" i="5" s="1"/>
  <c r="AN34" i="5"/>
  <c r="AO34" i="5" s="1"/>
  <c r="AP34" i="5" s="1"/>
  <c r="AN164" i="5"/>
  <c r="AO164" i="5" s="1"/>
  <c r="AP164" i="5" s="1"/>
  <c r="AN171" i="5"/>
  <c r="AO171" i="5" s="1"/>
  <c r="AP171" i="5" s="1"/>
  <c r="AN25" i="5"/>
  <c r="AO25" i="5" s="1"/>
  <c r="AP25" i="5" s="1"/>
  <c r="AN218" i="5"/>
  <c r="AO218" i="5" s="1"/>
  <c r="AP218" i="5" s="1"/>
  <c r="AN96" i="5"/>
  <c r="AO96" i="5" s="1"/>
  <c r="AP96" i="5" s="1"/>
  <c r="AN162" i="5"/>
  <c r="AO162" i="5" s="1"/>
  <c r="AP162" i="5" s="1"/>
  <c r="AN196" i="5"/>
  <c r="AO196" i="5" s="1"/>
  <c r="AP196" i="5" s="1"/>
  <c r="AN149" i="5"/>
  <c r="AO149" i="5" s="1"/>
  <c r="AP149" i="5" s="1"/>
  <c r="AN140" i="5"/>
  <c r="AO140" i="5" s="1"/>
  <c r="AP140" i="5" s="1"/>
  <c r="AN115" i="5"/>
  <c r="AO115" i="5" s="1"/>
  <c r="AP115" i="5" s="1"/>
  <c r="AN124" i="5"/>
  <c r="AO124" i="5" s="1"/>
  <c r="AP124" i="5" s="1"/>
  <c r="AN189" i="5"/>
  <c r="AO189" i="5" s="1"/>
  <c r="AP189" i="5" s="1"/>
  <c r="AN24" i="5"/>
  <c r="AN144" i="5"/>
  <c r="AO144" i="5" s="1"/>
  <c r="AP144" i="5" s="1"/>
  <c r="AN75" i="5"/>
  <c r="AO75" i="5" s="1"/>
  <c r="AP75" i="5" s="1"/>
  <c r="AN104" i="5"/>
  <c r="AO104" i="5" s="1"/>
  <c r="AP104" i="5" s="1"/>
  <c r="AN28" i="5"/>
  <c r="AO28" i="5" s="1"/>
  <c r="AP28" i="5" s="1"/>
  <c r="AN205" i="5"/>
  <c r="AO205" i="5" s="1"/>
  <c r="AP205" i="5" s="1"/>
  <c r="AN202" i="5"/>
  <c r="AO202" i="5" s="1"/>
  <c r="AP202" i="5" s="1"/>
  <c r="AN130" i="5"/>
  <c r="AO130" i="5" s="1"/>
  <c r="AP130" i="5" s="1"/>
  <c r="AN64" i="5"/>
  <c r="AO64" i="5" s="1"/>
  <c r="AP64" i="5" s="1"/>
  <c r="AN48" i="5"/>
  <c r="AO48" i="5" s="1"/>
  <c r="AP48" i="5" s="1"/>
  <c r="AN207" i="5"/>
  <c r="AO207" i="5" s="1"/>
  <c r="AP207" i="5" s="1"/>
  <c r="AN200" i="5"/>
  <c r="AO200" i="5" s="1"/>
  <c r="AP200" i="5" s="1"/>
  <c r="AN133" i="5"/>
  <c r="AO133" i="5" s="1"/>
  <c r="AP133" i="5" s="1"/>
  <c r="AN47" i="5"/>
  <c r="AO47" i="5" s="1"/>
  <c r="AP47" i="5" s="1"/>
  <c r="AN99" i="5"/>
  <c r="AO99" i="5" s="1"/>
  <c r="AP99" i="5" s="1"/>
  <c r="AN42" i="5"/>
  <c r="AO42" i="5" s="1"/>
  <c r="AP42" i="5" s="1"/>
  <c r="AN39" i="5"/>
  <c r="AO39" i="5" s="1"/>
  <c r="AP39" i="5" s="1"/>
  <c r="AN213" i="5"/>
  <c r="AO213" i="5" s="1"/>
  <c r="AP213" i="5" s="1"/>
  <c r="AN174" i="5"/>
  <c r="AO174" i="5" s="1"/>
  <c r="AP174" i="5" s="1"/>
  <c r="AN111" i="5"/>
  <c r="AO111" i="5" s="1"/>
  <c r="AP111" i="5" s="1"/>
  <c r="AN151" i="5"/>
  <c r="AO151" i="5" s="1"/>
  <c r="AP151" i="5" s="1"/>
  <c r="AN84" i="5"/>
  <c r="AO84" i="5" s="1"/>
  <c r="AP84" i="5" s="1"/>
  <c r="AN46" i="5"/>
  <c r="AO46" i="5" s="1"/>
  <c r="AP46" i="5" s="1"/>
  <c r="AN44" i="5"/>
  <c r="AO44" i="5" s="1"/>
  <c r="AP44" i="5" s="1"/>
  <c r="AN112" i="5"/>
  <c r="AO112" i="5" s="1"/>
  <c r="AP112" i="5" s="1"/>
  <c r="AN136" i="5"/>
  <c r="AO136" i="5" s="1"/>
  <c r="AP136" i="5" s="1"/>
  <c r="AN187" i="5"/>
  <c r="AO187" i="5" s="1"/>
  <c r="AP187" i="5" s="1"/>
  <c r="AN208" i="5"/>
  <c r="AO208" i="5" s="1"/>
  <c r="AP208" i="5" s="1"/>
  <c r="AN181" i="5"/>
  <c r="AO181" i="5" s="1"/>
  <c r="AP181" i="5" s="1"/>
  <c r="AN215" i="5"/>
  <c r="AO215" i="5" s="1"/>
  <c r="AP215" i="5" s="1"/>
  <c r="AN68" i="5"/>
  <c r="AO68" i="5" s="1"/>
  <c r="AP68" i="5" s="1"/>
  <c r="AN217" i="5"/>
  <c r="AO217" i="5" s="1"/>
  <c r="AP217" i="5" s="1"/>
  <c r="AN198" i="5"/>
  <c r="AO198" i="5" s="1"/>
  <c r="AP198" i="5" s="1"/>
  <c r="AN169" i="5"/>
  <c r="AO169" i="5" s="1"/>
  <c r="AP169" i="5" s="1"/>
  <c r="AN109" i="5"/>
  <c r="AO109" i="5" s="1"/>
  <c r="AP109" i="5" s="1"/>
  <c r="AN108" i="5"/>
  <c r="AO108" i="5" s="1"/>
  <c r="AP108" i="5" s="1"/>
  <c r="AN87" i="5"/>
  <c r="AO87" i="5" s="1"/>
  <c r="AP87" i="5" s="1"/>
  <c r="AN69" i="5"/>
  <c r="AO69" i="5" s="1"/>
  <c r="AP69" i="5" s="1"/>
  <c r="AN132" i="5"/>
  <c r="AO132" i="5" s="1"/>
  <c r="AP132" i="5" s="1"/>
  <c r="AN56" i="5"/>
  <c r="AO56" i="5" s="1"/>
  <c r="AP56" i="5" s="1"/>
  <c r="AN145" i="5"/>
  <c r="AO145" i="5" s="1"/>
  <c r="AP145" i="5" s="1"/>
  <c r="AN107" i="5"/>
  <c r="AO107" i="5" s="1"/>
  <c r="AP107" i="5" s="1"/>
  <c r="AN89" i="5"/>
  <c r="AO89" i="5" s="1"/>
  <c r="AP89" i="5" s="1"/>
  <c r="AN58" i="5"/>
  <c r="AO58" i="5" s="1"/>
  <c r="AP58" i="5" s="1"/>
  <c r="AN59" i="5"/>
  <c r="AO59" i="5" s="1"/>
  <c r="AP59" i="5" s="1"/>
  <c r="AN166" i="5"/>
  <c r="AO166" i="5" s="1"/>
  <c r="AP166" i="5" s="1"/>
  <c r="AN155" i="5"/>
  <c r="AO155" i="5" s="1"/>
  <c r="AP155" i="5" s="1"/>
  <c r="AN93" i="5"/>
  <c r="AO93" i="5" s="1"/>
  <c r="AP93" i="5" s="1"/>
  <c r="AN36" i="5"/>
  <c r="AO36" i="5" s="1"/>
  <c r="AP36" i="5" s="1"/>
  <c r="S25" i="5"/>
  <c r="T25" i="5" s="1"/>
  <c r="U25" i="5" s="1"/>
  <c r="AN220" i="5"/>
  <c r="AO220" i="5" s="1"/>
  <c r="AP220" i="5" s="1"/>
  <c r="AN168" i="5"/>
  <c r="AO168" i="5" s="1"/>
  <c r="AP168" i="5" s="1"/>
  <c r="AN33" i="5"/>
  <c r="AO33" i="5" s="1"/>
  <c r="AP33" i="5" s="1"/>
  <c r="AN176" i="5"/>
  <c r="AO176" i="5" s="1"/>
  <c r="AP176" i="5" s="1"/>
  <c r="AN194" i="5"/>
  <c r="AO194" i="5" s="1"/>
  <c r="AP194" i="5" s="1"/>
  <c r="AN127" i="5"/>
  <c r="AO127" i="5" s="1"/>
  <c r="AP127" i="5" s="1"/>
  <c r="AN82" i="5"/>
  <c r="AO82" i="5" s="1"/>
  <c r="AP82" i="5" s="1"/>
  <c r="AN103" i="5"/>
  <c r="AO103" i="5" s="1"/>
  <c r="AP103" i="5" s="1"/>
  <c r="AN57" i="5"/>
  <c r="AO57" i="5" s="1"/>
  <c r="AP57" i="5" s="1"/>
  <c r="AN37" i="5"/>
  <c r="AO37" i="5" s="1"/>
  <c r="AP37" i="5" s="1"/>
  <c r="AN120" i="5"/>
  <c r="AO120" i="5" s="1"/>
  <c r="AP120" i="5" s="1"/>
  <c r="AN80" i="5"/>
  <c r="AO80" i="5" s="1"/>
  <c r="AP80" i="5" s="1"/>
  <c r="Q36" i="3"/>
  <c r="I94" i="3"/>
  <c r="AH76" i="3"/>
  <c r="AI76" i="3" s="1"/>
  <c r="AJ76" i="3" s="1"/>
  <c r="I56" i="3"/>
  <c r="AH38" i="3"/>
  <c r="AI38" i="3" s="1"/>
  <c r="AJ38" i="3" s="1"/>
  <c r="P36" i="3"/>
  <c r="I97" i="3"/>
  <c r="AH79" i="3"/>
  <c r="AI79" i="3" s="1"/>
  <c r="AJ79" i="3" s="1"/>
  <c r="I52" i="3"/>
  <c r="AH34" i="3"/>
  <c r="AI34" i="3" s="1"/>
  <c r="AJ34" i="3" s="1"/>
  <c r="O27" i="3"/>
  <c r="I91" i="3"/>
  <c r="AH73" i="3"/>
  <c r="AI73" i="3" s="1"/>
  <c r="AJ73" i="3" s="1"/>
  <c r="O26" i="3"/>
  <c r="AH65" i="3"/>
  <c r="AI65" i="3" s="1"/>
  <c r="AJ65" i="3" s="1"/>
  <c r="I69" i="3"/>
  <c r="AH51" i="3"/>
  <c r="AI51" i="3" s="1"/>
  <c r="AJ51" i="3" s="1"/>
  <c r="AH45" i="3"/>
  <c r="AI45" i="3" s="1"/>
  <c r="AJ45" i="3" s="1"/>
  <c r="AH28" i="3"/>
  <c r="AI28" i="3" s="1"/>
  <c r="AJ28" i="3" s="1"/>
  <c r="I68" i="3"/>
  <c r="AH50" i="3"/>
  <c r="AI50" i="3" s="1"/>
  <c r="AJ50" i="3" s="1"/>
  <c r="I103" i="3"/>
  <c r="AH85" i="3"/>
  <c r="AI85" i="3" s="1"/>
  <c r="AJ85" i="3" s="1"/>
  <c r="O32" i="3"/>
  <c r="I67" i="3"/>
  <c r="I60" i="3"/>
  <c r="AH42" i="3"/>
  <c r="AI42" i="3" s="1"/>
  <c r="AJ42" i="3" s="1"/>
  <c r="I84" i="3"/>
  <c r="AH66" i="3"/>
  <c r="AI66" i="3" s="1"/>
  <c r="AJ66" i="3" s="1"/>
  <c r="I65" i="3"/>
  <c r="AH47" i="3"/>
  <c r="AI47" i="3" s="1"/>
  <c r="AJ47" i="3" s="1"/>
  <c r="I78" i="3"/>
  <c r="AH60" i="3"/>
  <c r="AI60" i="3" s="1"/>
  <c r="AJ60" i="3" s="1"/>
  <c r="AH25" i="3"/>
  <c r="O42" i="3"/>
  <c r="I53" i="3"/>
  <c r="AH35" i="3"/>
  <c r="AI35" i="3" s="1"/>
  <c r="AJ35" i="3" s="1"/>
  <c r="AH37" i="3"/>
  <c r="AI37" i="3" s="1"/>
  <c r="AJ37" i="3" s="1"/>
  <c r="I55" i="3"/>
  <c r="AH44" i="3"/>
  <c r="AI44" i="3" s="1"/>
  <c r="AJ44" i="3" s="1"/>
  <c r="I62" i="3"/>
  <c r="N32" i="3"/>
  <c r="O39" i="3"/>
  <c r="I81" i="3"/>
  <c r="AH63" i="3"/>
  <c r="AI63" i="3" s="1"/>
  <c r="AJ63" i="3" s="1"/>
  <c r="I50" i="3"/>
  <c r="AH32" i="3"/>
  <c r="AI32" i="3" s="1"/>
  <c r="AJ32" i="3" s="1"/>
  <c r="O23" i="3"/>
  <c r="I59" i="3"/>
  <c r="AH41" i="3"/>
  <c r="AI41" i="3" s="1"/>
  <c r="AJ41" i="3" s="1"/>
  <c r="S23" i="3"/>
  <c r="T23" i="3" s="1"/>
  <c r="U23" i="3" s="1"/>
  <c r="I106" i="3"/>
  <c r="I179" i="2"/>
  <c r="AH161" i="2"/>
  <c r="AI161" i="2" s="1"/>
  <c r="AJ161" i="2" s="1"/>
  <c r="I190" i="2"/>
  <c r="O37" i="2"/>
  <c r="AH43" i="2"/>
  <c r="AI43" i="2" s="1"/>
  <c r="AJ43" i="2" s="1"/>
  <c r="I61" i="2"/>
  <c r="O35" i="2"/>
  <c r="AH37" i="2"/>
  <c r="AI37" i="2" s="1"/>
  <c r="AJ37" i="2" s="1"/>
  <c r="I55" i="2"/>
  <c r="Q30" i="2"/>
  <c r="AH136" i="2"/>
  <c r="AI136" i="2" s="1"/>
  <c r="AJ136" i="2" s="1"/>
  <c r="Q33" i="2"/>
  <c r="AH30" i="2"/>
  <c r="AI30" i="2" s="1"/>
  <c r="AJ30" i="2" s="1"/>
  <c r="I48" i="2"/>
  <c r="Q28" i="2"/>
  <c r="O23" i="2"/>
  <c r="Q36" i="2"/>
  <c r="O27" i="2"/>
  <c r="AH111" i="2"/>
  <c r="AI111" i="2" s="1"/>
  <c r="AJ111" i="2" s="1"/>
  <c r="I133" i="2"/>
  <c r="I153" i="2" s="1"/>
  <c r="I173" i="2" s="1"/>
  <c r="I193" i="2" s="1"/>
  <c r="AH28" i="2"/>
  <c r="AI28" i="2" s="1"/>
  <c r="AJ28" i="2" s="1"/>
  <c r="I46" i="2"/>
  <c r="N41" i="2"/>
  <c r="AH42" i="2"/>
  <c r="AI42" i="2" s="1"/>
  <c r="AJ42" i="2" s="1"/>
  <c r="AH171" i="2"/>
  <c r="AI171" i="2" s="1"/>
  <c r="AJ171" i="2" s="1"/>
  <c r="O42" i="2"/>
  <c r="AH91" i="2"/>
  <c r="AI91" i="2" s="1"/>
  <c r="AJ91" i="2" s="1"/>
  <c r="AH49" i="2"/>
  <c r="AI49" i="2" s="1"/>
  <c r="AJ49" i="2" s="1"/>
  <c r="AH129" i="2"/>
  <c r="AI129" i="2" s="1"/>
  <c r="AJ129" i="2" s="1"/>
  <c r="O25" i="2"/>
  <c r="AH131" i="2"/>
  <c r="AI131" i="2" s="1"/>
  <c r="AJ131" i="2" s="1"/>
  <c r="AH71" i="2"/>
  <c r="AI71" i="2" s="1"/>
  <c r="AJ71" i="2" s="1"/>
  <c r="O26" i="2"/>
  <c r="AH44" i="2"/>
  <c r="AI44" i="2" s="1"/>
  <c r="AJ44" i="2" s="1"/>
  <c r="AH151" i="2"/>
  <c r="AI151" i="2" s="1"/>
  <c r="AJ151" i="2" s="1"/>
  <c r="AH51" i="2"/>
  <c r="AI51" i="2" s="1"/>
  <c r="AJ51" i="2" s="1"/>
  <c r="AH26" i="2"/>
  <c r="AI26" i="2" s="1"/>
  <c r="AJ26" i="2" s="1"/>
  <c r="I44" i="2"/>
  <c r="AH27" i="2"/>
  <c r="AI27" i="2" s="1"/>
  <c r="AJ27" i="2" s="1"/>
  <c r="AH39" i="2"/>
  <c r="AI39" i="2" s="1"/>
  <c r="AJ39" i="2" s="1"/>
  <c r="I57" i="2"/>
  <c r="AH25" i="2"/>
  <c r="AI25" i="2" s="1"/>
  <c r="AJ25" i="2" s="1"/>
  <c r="N26" i="2"/>
  <c r="AH154" i="2"/>
  <c r="AI154" i="2" s="1"/>
  <c r="AJ154" i="2" s="1"/>
  <c r="AH134" i="2"/>
  <c r="AI134" i="2" s="1"/>
  <c r="AJ134" i="2" s="1"/>
  <c r="I185" i="2"/>
  <c r="AH174" i="2"/>
  <c r="AI174" i="2" s="1"/>
  <c r="AJ174" i="2" s="1"/>
  <c r="AH114" i="2"/>
  <c r="AI114" i="2" s="1"/>
  <c r="AJ114" i="2" s="1"/>
  <c r="AH155" i="2"/>
  <c r="AI155" i="2" s="1"/>
  <c r="AJ155" i="2" s="1"/>
  <c r="AH194" i="2"/>
  <c r="AI194" i="2" s="1"/>
  <c r="AJ194" i="2" s="1"/>
  <c r="I183" i="2"/>
  <c r="I203" i="2" s="1"/>
  <c r="AH94" i="2"/>
  <c r="AI94" i="2" s="1"/>
  <c r="AJ94" i="2" s="1"/>
  <c r="I194" i="2"/>
  <c r="AH176" i="2"/>
  <c r="AI176" i="2" s="1"/>
  <c r="AJ176" i="2" s="1"/>
  <c r="AH69" i="2"/>
  <c r="AI69" i="2" s="1"/>
  <c r="AJ69" i="2" s="1"/>
  <c r="AH96" i="2"/>
  <c r="AI96" i="2" s="1"/>
  <c r="AJ96" i="2" s="1"/>
  <c r="AH140" i="2"/>
  <c r="AI140" i="2" s="1"/>
  <c r="AJ140" i="2" s="1"/>
  <c r="AH193" i="2"/>
  <c r="AI193" i="2" s="1"/>
  <c r="AJ193" i="2" s="1"/>
  <c r="AH72" i="2"/>
  <c r="AI72" i="2" s="1"/>
  <c r="AJ72" i="2" s="1"/>
  <c r="AH135" i="2"/>
  <c r="AI135" i="2" s="1"/>
  <c r="AJ135" i="2" s="1"/>
  <c r="AH45" i="2"/>
  <c r="AI45" i="2" s="1"/>
  <c r="AJ45" i="2" s="1"/>
  <c r="AH173" i="2"/>
  <c r="AI173" i="2" s="1"/>
  <c r="AJ173" i="2" s="1"/>
  <c r="AH56" i="2"/>
  <c r="AI56" i="2" s="1"/>
  <c r="AJ56" i="2" s="1"/>
  <c r="AH52" i="2"/>
  <c r="AI52" i="2" s="1"/>
  <c r="AJ52" i="2" s="1"/>
  <c r="Q40" i="2"/>
  <c r="AH100" i="2"/>
  <c r="AI100" i="2" s="1"/>
  <c r="AJ100" i="2" s="1"/>
  <c r="AH191" i="2"/>
  <c r="AI191" i="2" s="1"/>
  <c r="AJ191" i="2" s="1"/>
  <c r="AH116" i="2"/>
  <c r="AI116" i="2" s="1"/>
  <c r="AJ116" i="2" s="1"/>
  <c r="AH120" i="2"/>
  <c r="AI120" i="2" s="1"/>
  <c r="AJ120" i="2" s="1"/>
  <c r="AH35" i="2"/>
  <c r="AI35" i="2" s="1"/>
  <c r="AJ35" i="2" s="1"/>
  <c r="P33" i="2"/>
  <c r="AH31" i="2"/>
  <c r="AI31" i="2" s="1"/>
  <c r="AJ31" i="2" s="1"/>
  <c r="P29" i="2"/>
  <c r="AH141" i="2"/>
  <c r="AI141" i="2" s="1"/>
  <c r="AJ141" i="2" s="1"/>
  <c r="S23" i="2"/>
  <c r="T23" i="2" s="1"/>
  <c r="U23" i="2" s="1"/>
  <c r="AH101" i="2"/>
  <c r="AI101" i="2" s="1"/>
  <c r="AJ101" i="2" s="1"/>
  <c r="AH38" i="2"/>
  <c r="AI38" i="2" s="1"/>
  <c r="AJ38" i="2" s="1"/>
  <c r="AH92" i="2"/>
  <c r="AI92" i="2" s="1"/>
  <c r="AJ92" i="2" s="1"/>
  <c r="AH29" i="2"/>
  <c r="AI29" i="2" s="1"/>
  <c r="AJ29" i="2" s="1"/>
  <c r="AH180" i="2"/>
  <c r="AI180" i="2" s="1"/>
  <c r="AJ180" i="2" s="1"/>
  <c r="AH220" i="2"/>
  <c r="AI220" i="2" s="1"/>
  <c r="AJ220" i="2" s="1"/>
  <c r="AH61" i="2"/>
  <c r="AI61" i="2" s="1"/>
  <c r="AJ61" i="2" s="1"/>
  <c r="N37" i="2"/>
  <c r="N35" i="2"/>
  <c r="AH32" i="2"/>
  <c r="AI32" i="2" s="1"/>
  <c r="AJ32" i="2" s="1"/>
  <c r="P28" i="2"/>
  <c r="Q116" i="1"/>
  <c r="Q221" i="1"/>
  <c r="AH214" i="1"/>
  <c r="AI214" i="1" s="1"/>
  <c r="AJ214" i="1" s="1"/>
  <c r="AH73" i="1"/>
  <c r="AI73" i="1" s="1"/>
  <c r="AJ73" i="1" s="1"/>
  <c r="AH135" i="1"/>
  <c r="AI135" i="1" s="1"/>
  <c r="AJ135" i="1" s="1"/>
  <c r="AH167" i="1"/>
  <c r="AI167" i="1" s="1"/>
  <c r="AJ167" i="1" s="1"/>
  <c r="AH152" i="1"/>
  <c r="AI152" i="1" s="1"/>
  <c r="AJ152" i="1" s="1"/>
  <c r="AH69" i="1"/>
  <c r="AI69" i="1" s="1"/>
  <c r="AJ69" i="1" s="1"/>
  <c r="AH126" i="1"/>
  <c r="AI126" i="1" s="1"/>
  <c r="AJ126" i="1" s="1"/>
  <c r="AH216" i="1"/>
  <c r="AI216" i="1" s="1"/>
  <c r="AJ216" i="1" s="1"/>
  <c r="Q33" i="1"/>
  <c r="AH193" i="1"/>
  <c r="AI193" i="1" s="1"/>
  <c r="AJ193" i="1" s="1"/>
  <c r="AH34" i="1"/>
  <c r="AI34" i="1" s="1"/>
  <c r="AJ34" i="1" s="1"/>
  <c r="AH38" i="1"/>
  <c r="AI38" i="1" s="1"/>
  <c r="AJ38" i="1" s="1"/>
  <c r="P28" i="1"/>
  <c r="AH208" i="1"/>
  <c r="AI208" i="1" s="1"/>
  <c r="AJ208" i="1" s="1"/>
  <c r="AH200" i="1"/>
  <c r="AI200" i="1" s="1"/>
  <c r="AJ200" i="1" s="1"/>
  <c r="AH66" i="1"/>
  <c r="AI66" i="1" s="1"/>
  <c r="AJ66" i="1" s="1"/>
  <c r="AH49" i="1"/>
  <c r="AI49" i="1" s="1"/>
  <c r="AJ49" i="1" s="1"/>
  <c r="AH169" i="1"/>
  <c r="AI169" i="1" s="1"/>
  <c r="AJ169" i="1" s="1"/>
  <c r="AH81" i="1"/>
  <c r="AI81" i="1" s="1"/>
  <c r="AJ81" i="1" s="1"/>
  <c r="AH206" i="1"/>
  <c r="AI206" i="1" s="1"/>
  <c r="AJ206" i="1" s="1"/>
  <c r="AH57" i="1"/>
  <c r="AI57" i="1" s="1"/>
  <c r="AJ57" i="1" s="1"/>
  <c r="AH180" i="1"/>
  <c r="AI180" i="1" s="1"/>
  <c r="AJ180" i="1" s="1"/>
  <c r="AH223" i="1"/>
  <c r="AI223" i="1" s="1"/>
  <c r="AJ223" i="1" s="1"/>
  <c r="AH199" i="1"/>
  <c r="AI199" i="1" s="1"/>
  <c r="AJ199" i="1" s="1"/>
  <c r="AH101" i="1"/>
  <c r="AI101" i="1" s="1"/>
  <c r="AJ101" i="1" s="1"/>
  <c r="AH165" i="1"/>
  <c r="AI165" i="1" s="1"/>
  <c r="AJ165" i="1" s="1"/>
  <c r="AH31" i="1"/>
  <c r="AI31" i="1" s="1"/>
  <c r="AJ31" i="1" s="1"/>
  <c r="AH160" i="1"/>
  <c r="AI160" i="1" s="1"/>
  <c r="AJ160" i="1" s="1"/>
  <c r="AH42" i="1"/>
  <c r="AI42" i="1" s="1"/>
  <c r="AJ42" i="1" s="1"/>
  <c r="AH100" i="1"/>
  <c r="AI100" i="1" s="1"/>
  <c r="AJ100" i="1" s="1"/>
  <c r="AH117" i="1"/>
  <c r="AI117" i="1" s="1"/>
  <c r="AJ117" i="1" s="1"/>
  <c r="Q194" i="1"/>
  <c r="Q148" i="1"/>
  <c r="AH80" i="1"/>
  <c r="AI80" i="1" s="1"/>
  <c r="AJ80" i="1" s="1"/>
  <c r="Q60" i="1"/>
  <c r="AH141" i="1"/>
  <c r="AI141" i="1" s="1"/>
  <c r="AJ141" i="1" s="1"/>
  <c r="AH224" i="1"/>
  <c r="AI224" i="1" s="1"/>
  <c r="AJ224" i="1" s="1"/>
  <c r="AH140" i="1"/>
  <c r="AI140" i="1" s="1"/>
  <c r="AJ140" i="1" s="1"/>
  <c r="AH133" i="1"/>
  <c r="AI133" i="1" s="1"/>
  <c r="AJ133" i="1" s="1"/>
  <c r="Q73" i="1"/>
  <c r="AH142" i="1"/>
  <c r="AI142" i="1" s="1"/>
  <c r="AJ142" i="1" s="1"/>
  <c r="P198" i="1"/>
  <c r="AH155" i="1"/>
  <c r="AI155" i="1" s="1"/>
  <c r="AJ155" i="1" s="1"/>
  <c r="Q100" i="1"/>
  <c r="AH116" i="1"/>
  <c r="AI116" i="1" s="1"/>
  <c r="AJ116" i="1" s="1"/>
  <c r="AH162" i="1"/>
  <c r="AI162" i="1" s="1"/>
  <c r="AJ162" i="1" s="1"/>
  <c r="P136" i="1"/>
  <c r="AH56" i="1"/>
  <c r="AI56" i="1" s="1"/>
  <c r="AJ56" i="1" s="1"/>
  <c r="AH186" i="1"/>
  <c r="AI186" i="1" s="1"/>
  <c r="AJ186" i="1" s="1"/>
  <c r="AH63" i="1"/>
  <c r="AI63" i="1" s="1"/>
  <c r="AJ63" i="1" s="1"/>
  <c r="AH109" i="1"/>
  <c r="AI109" i="1" s="1"/>
  <c r="AJ109" i="1" s="1"/>
  <c r="AH203" i="1"/>
  <c r="AI203" i="1" s="1"/>
  <c r="AJ203" i="1" s="1"/>
  <c r="AH115" i="1"/>
  <c r="AI115" i="1" s="1"/>
  <c r="AJ115" i="1" s="1"/>
  <c r="P221" i="1"/>
  <c r="AH128" i="1"/>
  <c r="AI128" i="1" s="1"/>
  <c r="AJ128" i="1" s="1"/>
  <c r="AH32" i="1"/>
  <c r="AI32" i="1" s="1"/>
  <c r="AJ32" i="1" s="1"/>
  <c r="Q110" i="1"/>
  <c r="P189" i="1"/>
  <c r="AH132" i="1"/>
  <c r="AI132" i="1" s="1"/>
  <c r="AJ132" i="1" s="1"/>
  <c r="AH173" i="1"/>
  <c r="AI173" i="1" s="1"/>
  <c r="AJ173" i="1" s="1"/>
  <c r="AH131" i="1"/>
  <c r="AI131" i="1" s="1"/>
  <c r="AJ131" i="1" s="1"/>
  <c r="AH110" i="1"/>
  <c r="AI110" i="1" s="1"/>
  <c r="AJ110" i="1" s="1"/>
  <c r="Q180" i="1"/>
  <c r="P216" i="1"/>
  <c r="AH91" i="1"/>
  <c r="AI91" i="1" s="1"/>
  <c r="AJ91" i="1" s="1"/>
  <c r="AH27" i="1"/>
  <c r="AI27" i="1" s="1"/>
  <c r="AJ27" i="1" s="1"/>
  <c r="AH104" i="1"/>
  <c r="AI104" i="1" s="1"/>
  <c r="AJ104" i="1" s="1"/>
  <c r="P58" i="1"/>
  <c r="AH78" i="1"/>
  <c r="AI78" i="1" s="1"/>
  <c r="AJ78" i="1" s="1"/>
  <c r="AH125" i="1"/>
  <c r="AI125" i="1" s="1"/>
  <c r="AJ125" i="1" s="1"/>
  <c r="P122" i="1"/>
  <c r="AH79" i="1"/>
  <c r="AI79" i="1" s="1"/>
  <c r="AJ79" i="1" s="1"/>
  <c r="P30" i="1"/>
  <c r="P56" i="1"/>
  <c r="Q142" i="1"/>
  <c r="P175" i="1"/>
  <c r="AH201" i="1"/>
  <c r="AI201" i="1" s="1"/>
  <c r="AJ201" i="1" s="1"/>
  <c r="AH195" i="1"/>
  <c r="AI195" i="1" s="1"/>
  <c r="AJ195" i="1" s="1"/>
  <c r="P160" i="1"/>
  <c r="P162" i="1"/>
  <c r="AH85" i="1"/>
  <c r="AI85" i="1" s="1"/>
  <c r="AJ85" i="1" s="1"/>
  <c r="AH145" i="1"/>
  <c r="AI145" i="1" s="1"/>
  <c r="AJ145" i="1" s="1"/>
  <c r="AH205" i="1"/>
  <c r="AI205" i="1" s="1"/>
  <c r="AJ205" i="1" s="1"/>
  <c r="Q217" i="1"/>
  <c r="P174" i="1"/>
  <c r="P208" i="1"/>
  <c r="AH139" i="1"/>
  <c r="AI139" i="1" s="1"/>
  <c r="AJ139" i="1" s="1"/>
  <c r="AH92" i="1"/>
  <c r="AI92" i="1" s="1"/>
  <c r="AJ92" i="1" s="1"/>
  <c r="Q164" i="1"/>
  <c r="P220" i="1"/>
  <c r="AH212" i="1"/>
  <c r="AI212" i="1" s="1"/>
  <c r="AJ212" i="1" s="1"/>
  <c r="AH25" i="1"/>
  <c r="AH98" i="1"/>
  <c r="AI98" i="1" s="1"/>
  <c r="AJ98" i="1" s="1"/>
  <c r="AH55" i="1"/>
  <c r="AI55" i="1" s="1"/>
  <c r="AJ55" i="1" s="1"/>
  <c r="P103" i="1"/>
  <c r="AH129" i="1"/>
  <c r="AI129" i="1" s="1"/>
  <c r="AJ129" i="1" s="1"/>
  <c r="AH61" i="1"/>
  <c r="AI61" i="1" s="1"/>
  <c r="AJ61" i="1" s="1"/>
  <c r="AH181" i="1"/>
  <c r="AI181" i="1" s="1"/>
  <c r="AJ181" i="1" s="1"/>
  <c r="AH65" i="1"/>
  <c r="AI65" i="1" s="1"/>
  <c r="AJ65" i="1" s="1"/>
  <c r="Q101" i="1"/>
  <c r="P149" i="1"/>
  <c r="AH175" i="1"/>
  <c r="AI175" i="1" s="1"/>
  <c r="AJ175" i="1" s="1"/>
  <c r="AH96" i="1"/>
  <c r="AI96" i="1" s="1"/>
  <c r="AJ96" i="1" s="1"/>
  <c r="AH153" i="1"/>
  <c r="AI153" i="1" s="1"/>
  <c r="AJ153" i="1" s="1"/>
  <c r="AH174" i="1"/>
  <c r="AI174" i="1" s="1"/>
  <c r="AJ174" i="1" s="1"/>
  <c r="AH68" i="1"/>
  <c r="AI68" i="1" s="1"/>
  <c r="AJ68" i="1" s="1"/>
  <c r="AH121" i="1"/>
  <c r="AI121" i="1" s="1"/>
  <c r="AJ121" i="1" s="1"/>
  <c r="AH88" i="1"/>
  <c r="AI88" i="1" s="1"/>
  <c r="AJ88" i="1" s="1"/>
  <c r="AH198" i="1"/>
  <c r="AI198" i="1" s="1"/>
  <c r="AJ198" i="1" s="1"/>
  <c r="P125" i="1"/>
  <c r="P29" i="1"/>
  <c r="P32" i="1"/>
  <c r="P82" i="1"/>
  <c r="AH37" i="1"/>
  <c r="AI37" i="1" s="1"/>
  <c r="AJ37" i="1" s="1"/>
  <c r="AH179" i="1"/>
  <c r="AI179" i="1" s="1"/>
  <c r="AJ179" i="1" s="1"/>
  <c r="AH188" i="1"/>
  <c r="AI188" i="1" s="1"/>
  <c r="AJ188" i="1" s="1"/>
  <c r="P124" i="1"/>
  <c r="P99" i="1"/>
  <c r="Q159" i="1"/>
  <c r="Q52" i="1"/>
  <c r="P43" i="1"/>
  <c r="P71" i="1"/>
  <c r="AH97" i="1"/>
  <c r="AI97" i="1" s="1"/>
  <c r="AJ97" i="1" s="1"/>
  <c r="AH157" i="1"/>
  <c r="AI157" i="1" s="1"/>
  <c r="AJ157" i="1" s="1"/>
  <c r="P191" i="1"/>
  <c r="AH217" i="1"/>
  <c r="AI217" i="1" s="1"/>
  <c r="AJ217" i="1" s="1"/>
  <c r="AH211" i="1"/>
  <c r="AI211" i="1" s="1"/>
  <c r="AJ211" i="1" s="1"/>
  <c r="AH187" i="1"/>
  <c r="AI187" i="1" s="1"/>
  <c r="AJ187" i="1" s="1"/>
  <c r="AH67" i="1"/>
  <c r="AI67" i="1" s="1"/>
  <c r="AJ67" i="1" s="1"/>
  <c r="AH33" i="1"/>
  <c r="AI33" i="1" s="1"/>
  <c r="AJ33" i="1" s="1"/>
  <c r="P65" i="1"/>
  <c r="P79" i="1"/>
  <c r="P213" i="1"/>
  <c r="P163" i="1"/>
  <c r="P187" i="1"/>
  <c r="P214" i="1"/>
  <c r="P131" i="1"/>
  <c r="Q23" i="1"/>
  <c r="T23" i="1"/>
  <c r="P23" i="1"/>
  <c r="U23" i="1" l="1"/>
  <c r="AB23" i="1" s="1"/>
  <c r="AH65" i="2"/>
  <c r="AI65" i="2" s="1"/>
  <c r="AJ65" i="2" s="1"/>
  <c r="AO24" i="5"/>
  <c r="AP24" i="5" s="1"/>
  <c r="AP22" i="5" s="1"/>
  <c r="AR17" i="5"/>
  <c r="AJ26" i="5"/>
  <c r="AI25" i="5"/>
  <c r="AH25" i="5"/>
  <c r="AG25" i="5"/>
  <c r="AF25" i="5"/>
  <c r="Z25" i="5"/>
  <c r="AE25" i="5"/>
  <c r="AD25" i="5"/>
  <c r="AC25" i="5"/>
  <c r="AB25" i="5"/>
  <c r="AA25" i="5"/>
  <c r="Y25" i="5"/>
  <c r="V25" i="5"/>
  <c r="V23" i="3"/>
  <c r="AC23" i="3"/>
  <c r="Z23" i="3"/>
  <c r="AD23" i="3"/>
  <c r="S24" i="3"/>
  <c r="T24" i="3" s="1"/>
  <c r="U24" i="3" s="1"/>
  <c r="Y23" i="3"/>
  <c r="AA23" i="3"/>
  <c r="I72" i="3"/>
  <c r="AH54" i="3"/>
  <c r="AI54" i="3" s="1"/>
  <c r="AJ54" i="3" s="1"/>
  <c r="I75" i="3"/>
  <c r="AH57" i="3"/>
  <c r="AI57" i="3" s="1"/>
  <c r="AJ57" i="3" s="1"/>
  <c r="I104" i="3"/>
  <c r="AH86" i="3"/>
  <c r="AI86" i="3" s="1"/>
  <c r="AJ86" i="3" s="1"/>
  <c r="I79" i="3"/>
  <c r="AH61" i="3"/>
  <c r="AI61" i="3" s="1"/>
  <c r="AJ61" i="3" s="1"/>
  <c r="I117" i="3"/>
  <c r="AH99" i="3"/>
  <c r="AI99" i="3" s="1"/>
  <c r="AJ99" i="3" s="1"/>
  <c r="I82" i="3"/>
  <c r="AH64" i="3"/>
  <c r="AI64" i="3" s="1"/>
  <c r="AJ64" i="3" s="1"/>
  <c r="I80" i="3"/>
  <c r="AH62" i="3"/>
  <c r="AI62" i="3" s="1"/>
  <c r="AJ62" i="3" s="1"/>
  <c r="I89" i="3"/>
  <c r="AH71" i="3"/>
  <c r="AI71" i="3" s="1"/>
  <c r="AJ71" i="3" s="1"/>
  <c r="I73" i="3"/>
  <c r="AH55" i="3"/>
  <c r="AI55" i="3" s="1"/>
  <c r="AJ55" i="3" s="1"/>
  <c r="AH49" i="3"/>
  <c r="AI49" i="3" s="1"/>
  <c r="AJ49" i="3" s="1"/>
  <c r="I85" i="3"/>
  <c r="AH67" i="3"/>
  <c r="AI67" i="3" s="1"/>
  <c r="AJ67" i="3" s="1"/>
  <c r="I70" i="3"/>
  <c r="AH52" i="3"/>
  <c r="AI52" i="3" s="1"/>
  <c r="AJ52" i="3" s="1"/>
  <c r="AH69" i="3"/>
  <c r="AI69" i="3" s="1"/>
  <c r="AJ69" i="3" s="1"/>
  <c r="I87" i="3"/>
  <c r="I76" i="3"/>
  <c r="AH58" i="3"/>
  <c r="AI58" i="3" s="1"/>
  <c r="AJ58" i="3" s="1"/>
  <c r="I88" i="3"/>
  <c r="AH70" i="3"/>
  <c r="AI70" i="3" s="1"/>
  <c r="AJ70" i="3" s="1"/>
  <c r="AH48" i="3"/>
  <c r="AI48" i="3" s="1"/>
  <c r="AJ48" i="3" s="1"/>
  <c r="I126" i="3"/>
  <c r="I101" i="3"/>
  <c r="AH83" i="3"/>
  <c r="AI83" i="3" s="1"/>
  <c r="AJ83" i="3" s="1"/>
  <c r="AI25" i="3"/>
  <c r="AJ25" i="3" s="1"/>
  <c r="I114" i="3"/>
  <c r="AH96" i="3"/>
  <c r="AI96" i="3" s="1"/>
  <c r="AJ96" i="3" s="1"/>
  <c r="I111" i="3"/>
  <c r="AH93" i="3"/>
  <c r="AI93" i="3" s="1"/>
  <c r="AJ93" i="3" s="1"/>
  <c r="I98" i="3"/>
  <c r="AH80" i="3"/>
  <c r="AI80" i="3" s="1"/>
  <c r="AJ80" i="3" s="1"/>
  <c r="AH105" i="3"/>
  <c r="AI105" i="3" s="1"/>
  <c r="AJ105" i="3" s="1"/>
  <c r="I123" i="3"/>
  <c r="I77" i="2"/>
  <c r="AH59" i="2"/>
  <c r="AI59" i="2" s="1"/>
  <c r="AJ59" i="2" s="1"/>
  <c r="I66" i="2"/>
  <c r="AH48" i="2"/>
  <c r="AI48" i="2" s="1"/>
  <c r="AJ48" i="2" s="1"/>
  <c r="AH47" i="2"/>
  <c r="AI47" i="2" s="1"/>
  <c r="AJ47" i="2" s="1"/>
  <c r="I68" i="2"/>
  <c r="AH50" i="2"/>
  <c r="AI50" i="2" s="1"/>
  <c r="AJ50" i="2" s="1"/>
  <c r="I81" i="2"/>
  <c r="AH63" i="2"/>
  <c r="AI63" i="2" s="1"/>
  <c r="AJ63" i="2" s="1"/>
  <c r="I64" i="2"/>
  <c r="AH46" i="2"/>
  <c r="AI46" i="2" s="1"/>
  <c r="AJ46" i="2" s="1"/>
  <c r="I213" i="2"/>
  <c r="AH215" i="2" s="1"/>
  <c r="AI215" i="2" s="1"/>
  <c r="AJ215" i="2" s="1"/>
  <c r="AH195" i="2"/>
  <c r="AI195" i="2" s="1"/>
  <c r="AJ195" i="2" s="1"/>
  <c r="AH89" i="2"/>
  <c r="AI89" i="2" s="1"/>
  <c r="AJ89" i="2" s="1"/>
  <c r="AH64" i="2"/>
  <c r="AI64" i="2" s="1"/>
  <c r="AJ64" i="2" s="1"/>
  <c r="AH149" i="2"/>
  <c r="AI149" i="2" s="1"/>
  <c r="AJ149" i="2" s="1"/>
  <c r="AH75" i="2"/>
  <c r="AI75" i="2" s="1"/>
  <c r="AJ75" i="2" s="1"/>
  <c r="I210" i="2"/>
  <c r="AH58" i="2"/>
  <c r="AI58" i="2" s="1"/>
  <c r="AJ58" i="2" s="1"/>
  <c r="AH112" i="2"/>
  <c r="AI112" i="2" s="1"/>
  <c r="AJ112" i="2" s="1"/>
  <c r="AH115" i="2"/>
  <c r="AI115" i="2" s="1"/>
  <c r="AJ115" i="2" s="1"/>
  <c r="AH95" i="2"/>
  <c r="AI95" i="2" s="1"/>
  <c r="AJ95" i="2" s="1"/>
  <c r="AH55" i="2"/>
  <c r="AI55" i="2" s="1"/>
  <c r="AJ55" i="2" s="1"/>
  <c r="AH175" i="2"/>
  <c r="AI175" i="2" s="1"/>
  <c r="AJ175" i="2" s="1"/>
  <c r="AH62" i="2"/>
  <c r="AI62" i="2" s="1"/>
  <c r="AJ62" i="2" s="1"/>
  <c r="AH85" i="2"/>
  <c r="AI85" i="2" s="1"/>
  <c r="AJ85" i="2" s="1"/>
  <c r="I75" i="2"/>
  <c r="AH57" i="2"/>
  <c r="AI57" i="2" s="1"/>
  <c r="AJ57" i="2" s="1"/>
  <c r="I199" i="2"/>
  <c r="AH181" i="2"/>
  <c r="AI181" i="2" s="1"/>
  <c r="AJ181" i="2" s="1"/>
  <c r="AH109" i="2"/>
  <c r="AI109" i="2" s="1"/>
  <c r="AJ109" i="2" s="1"/>
  <c r="I205" i="2"/>
  <c r="I214" i="2"/>
  <c r="AH216" i="2" s="1"/>
  <c r="AI216" i="2" s="1"/>
  <c r="AJ216" i="2" s="1"/>
  <c r="AH196" i="2"/>
  <c r="AI196" i="2" s="1"/>
  <c r="AJ196" i="2" s="1"/>
  <c r="AD23" i="2"/>
  <c r="AC23" i="2"/>
  <c r="Z23" i="2"/>
  <c r="V23" i="2"/>
  <c r="AB23" i="2"/>
  <c r="AA23" i="2"/>
  <c r="Y23" i="2"/>
  <c r="AK20" i="1"/>
  <c r="AI25" i="1"/>
  <c r="AJ25" i="1" s="1"/>
  <c r="AJ23" i="1" s="1"/>
  <c r="AA23" i="1"/>
  <c r="Y23" i="1"/>
  <c r="Z23" i="1"/>
  <c r="AD23" i="1"/>
  <c r="AC23" i="1"/>
  <c r="V23" i="1" l="1"/>
  <c r="S26" i="5"/>
  <c r="T26" i="5" s="1"/>
  <c r="U26" i="5" s="1"/>
  <c r="AJ27" i="5" s="1"/>
  <c r="AH106" i="3"/>
  <c r="AI106" i="3" s="1"/>
  <c r="AJ106" i="3" s="1"/>
  <c r="I124" i="3"/>
  <c r="I109" i="3"/>
  <c r="AH91" i="3"/>
  <c r="AI91" i="3" s="1"/>
  <c r="AJ91" i="3" s="1"/>
  <c r="I95" i="3"/>
  <c r="AH77" i="3"/>
  <c r="AI77" i="3" s="1"/>
  <c r="AJ77" i="3" s="1"/>
  <c r="I131" i="3"/>
  <c r="AH113" i="3"/>
  <c r="AI113" i="3" s="1"/>
  <c r="AJ113" i="3" s="1"/>
  <c r="I134" i="3"/>
  <c r="AH116" i="3"/>
  <c r="AI116" i="3" s="1"/>
  <c r="AJ116" i="3" s="1"/>
  <c r="I96" i="3"/>
  <c r="AH78" i="3"/>
  <c r="AI78" i="3" s="1"/>
  <c r="AJ78" i="3" s="1"/>
  <c r="I107" i="3"/>
  <c r="AH89" i="3"/>
  <c r="AI89" i="3" s="1"/>
  <c r="AJ89" i="3" s="1"/>
  <c r="AH82" i="3"/>
  <c r="AI82" i="3" s="1"/>
  <c r="AJ82" i="3" s="1"/>
  <c r="I100" i="3"/>
  <c r="I92" i="3"/>
  <c r="AH74" i="3"/>
  <c r="AI74" i="3" s="1"/>
  <c r="AJ74" i="3" s="1"/>
  <c r="I102" i="3"/>
  <c r="AH84" i="3"/>
  <c r="AI84" i="3" s="1"/>
  <c r="AJ84" i="3" s="1"/>
  <c r="AH75" i="3"/>
  <c r="AI75" i="3" s="1"/>
  <c r="AJ75" i="3" s="1"/>
  <c r="I93" i="3"/>
  <c r="AH72" i="3"/>
  <c r="AI72" i="3" s="1"/>
  <c r="AJ72" i="3" s="1"/>
  <c r="I90" i="3"/>
  <c r="V24" i="3"/>
  <c r="AC24" i="3"/>
  <c r="AD24" i="3"/>
  <c r="S25" i="3"/>
  <c r="T25" i="3" s="1"/>
  <c r="U25" i="3" s="1"/>
  <c r="Y24" i="3"/>
  <c r="AA24" i="3"/>
  <c r="Z24" i="3"/>
  <c r="I143" i="3"/>
  <c r="AH125" i="3"/>
  <c r="AI125" i="3" s="1"/>
  <c r="AJ125" i="3" s="1"/>
  <c r="I137" i="3"/>
  <c r="AH119" i="3"/>
  <c r="AI119" i="3" s="1"/>
  <c r="AJ119" i="3" s="1"/>
  <c r="I146" i="3"/>
  <c r="I105" i="3"/>
  <c r="AH87" i="3"/>
  <c r="AI87" i="3" s="1"/>
  <c r="AJ87" i="3" s="1"/>
  <c r="I108" i="3"/>
  <c r="AH90" i="3"/>
  <c r="AI90" i="3" s="1"/>
  <c r="AJ90" i="3" s="1"/>
  <c r="I99" i="3"/>
  <c r="AH81" i="3"/>
  <c r="AI81" i="3" s="1"/>
  <c r="AJ81" i="3" s="1"/>
  <c r="AH103" i="3"/>
  <c r="AI103" i="3" s="1"/>
  <c r="AJ103" i="3" s="1"/>
  <c r="I121" i="3"/>
  <c r="I118" i="3"/>
  <c r="AH100" i="3"/>
  <c r="AI100" i="3" s="1"/>
  <c r="AJ100" i="3" s="1"/>
  <c r="AH68" i="3"/>
  <c r="I95" i="2"/>
  <c r="AH77" i="2"/>
  <c r="AI77" i="2" s="1"/>
  <c r="AJ77" i="2" s="1"/>
  <c r="AH78" i="2"/>
  <c r="AI78" i="2" s="1"/>
  <c r="AJ78" i="2" s="1"/>
  <c r="I84" i="2"/>
  <c r="AH66" i="2"/>
  <c r="AI66" i="2" s="1"/>
  <c r="AJ66" i="2" s="1"/>
  <c r="AH105" i="2"/>
  <c r="AI105" i="2" s="1"/>
  <c r="AJ105" i="2" s="1"/>
  <c r="I101" i="2"/>
  <c r="AH83" i="2"/>
  <c r="AI83" i="2" s="1"/>
  <c r="AJ83" i="2" s="1"/>
  <c r="AH82" i="2"/>
  <c r="AI82" i="2" s="1"/>
  <c r="AJ82" i="2" s="1"/>
  <c r="I88" i="2"/>
  <c r="AH70" i="2"/>
  <c r="AI70" i="2" s="1"/>
  <c r="AJ70" i="2" s="1"/>
  <c r="AH169" i="2"/>
  <c r="AI169" i="2" s="1"/>
  <c r="AJ169" i="2" s="1"/>
  <c r="AH67" i="2"/>
  <c r="AI67" i="2" s="1"/>
  <c r="AJ67" i="2" s="1"/>
  <c r="AH84" i="2"/>
  <c r="AI84" i="2" s="1"/>
  <c r="AJ84" i="2" s="1"/>
  <c r="I86" i="2"/>
  <c r="AH68" i="2"/>
  <c r="AI68" i="2" s="1"/>
  <c r="AJ68" i="2" s="1"/>
  <c r="S24" i="2"/>
  <c r="T24" i="2" s="1"/>
  <c r="U24" i="2" s="1"/>
  <c r="Z24" i="2" s="1"/>
  <c r="I219" i="2"/>
  <c r="AH221" i="2" s="1"/>
  <c r="AI221" i="2" s="1"/>
  <c r="AJ221" i="2" s="1"/>
  <c r="AH201" i="2"/>
  <c r="AI201" i="2" s="1"/>
  <c r="AJ201" i="2" s="1"/>
  <c r="AH132" i="2"/>
  <c r="AI132" i="2" s="1"/>
  <c r="AJ132" i="2" s="1"/>
  <c r="I97" i="2"/>
  <c r="AH79" i="2"/>
  <c r="AI79" i="2" s="1"/>
  <c r="AJ79" i="2" s="1"/>
  <c r="S24" i="1"/>
  <c r="T24" i="1" s="1"/>
  <c r="U24" i="1" s="1"/>
  <c r="AB24" i="2" l="1"/>
  <c r="AA24" i="2"/>
  <c r="AC24" i="2"/>
  <c r="AD24" i="2"/>
  <c r="V24" i="2"/>
  <c r="Y24" i="2"/>
  <c r="Z26" i="5"/>
  <c r="Y26" i="5"/>
  <c r="AB26" i="5"/>
  <c r="AC26" i="5"/>
  <c r="AD26" i="5"/>
  <c r="AE26" i="5"/>
  <c r="AF26" i="5"/>
  <c r="AG26" i="5"/>
  <c r="AH26" i="5"/>
  <c r="AI26" i="5"/>
  <c r="V26" i="5"/>
  <c r="AA26" i="5"/>
  <c r="I113" i="3"/>
  <c r="AH95" i="3"/>
  <c r="AI95" i="3" s="1"/>
  <c r="AJ95" i="3" s="1"/>
  <c r="I141" i="3"/>
  <c r="AH123" i="3"/>
  <c r="AI123" i="3" s="1"/>
  <c r="AJ123" i="3" s="1"/>
  <c r="I151" i="3"/>
  <c r="AH133" i="3"/>
  <c r="AI133" i="3" s="1"/>
  <c r="AJ133" i="3" s="1"/>
  <c r="I122" i="3"/>
  <c r="AH104" i="3"/>
  <c r="AI104" i="3" s="1"/>
  <c r="AJ104" i="3" s="1"/>
  <c r="Y25" i="3"/>
  <c r="AD25" i="3"/>
  <c r="V25" i="3"/>
  <c r="AC25" i="3"/>
  <c r="AA25" i="3"/>
  <c r="Z25" i="3"/>
  <c r="I120" i="3"/>
  <c r="AH102" i="3"/>
  <c r="AI102" i="3" s="1"/>
  <c r="AJ102" i="3" s="1"/>
  <c r="AH97" i="3"/>
  <c r="AI97" i="3" s="1"/>
  <c r="AJ97" i="3" s="1"/>
  <c r="I115" i="3"/>
  <c r="I138" i="3"/>
  <c r="AH120" i="3"/>
  <c r="AI120" i="3" s="1"/>
  <c r="AJ120" i="3" s="1"/>
  <c r="I116" i="3"/>
  <c r="AH98" i="3"/>
  <c r="AI98" i="3" s="1"/>
  <c r="AJ98" i="3" s="1"/>
  <c r="I154" i="3"/>
  <c r="AH136" i="3"/>
  <c r="AI136" i="3" s="1"/>
  <c r="AJ136" i="3" s="1"/>
  <c r="AH145" i="3"/>
  <c r="AI145" i="3" s="1"/>
  <c r="AJ145" i="3" s="1"/>
  <c r="I163" i="3"/>
  <c r="I129" i="3"/>
  <c r="AH111" i="3"/>
  <c r="AI111" i="3" s="1"/>
  <c r="AJ111" i="3" s="1"/>
  <c r="I119" i="3"/>
  <c r="AH101" i="3"/>
  <c r="AI101" i="3" s="1"/>
  <c r="AJ101" i="3" s="1"/>
  <c r="AH94" i="3"/>
  <c r="AI94" i="3" s="1"/>
  <c r="AJ94" i="3" s="1"/>
  <c r="I112" i="3"/>
  <c r="I128" i="3"/>
  <c r="AH110" i="3"/>
  <c r="AI110" i="3" s="1"/>
  <c r="AJ110" i="3" s="1"/>
  <c r="I125" i="3"/>
  <c r="AH107" i="3"/>
  <c r="AI107" i="3" s="1"/>
  <c r="AJ107" i="3" s="1"/>
  <c r="AI68" i="3"/>
  <c r="AJ68" i="3" s="1"/>
  <c r="AH109" i="3"/>
  <c r="AI109" i="3" s="1"/>
  <c r="AJ109" i="3" s="1"/>
  <c r="I127" i="3"/>
  <c r="I144" i="3"/>
  <c r="AH126" i="3"/>
  <c r="AI126" i="3" s="1"/>
  <c r="AJ126" i="3" s="1"/>
  <c r="I157" i="3"/>
  <c r="AH139" i="3"/>
  <c r="AI139" i="3" s="1"/>
  <c r="AJ139" i="3" s="1"/>
  <c r="AH88" i="3"/>
  <c r="AI88" i="3" s="1"/>
  <c r="AJ88" i="3" s="1"/>
  <c r="I166" i="3"/>
  <c r="I110" i="3"/>
  <c r="AH92" i="3"/>
  <c r="AI92" i="3" s="1"/>
  <c r="AJ92" i="3" s="1"/>
  <c r="I106" i="2"/>
  <c r="AH88" i="2"/>
  <c r="AI88" i="2" s="1"/>
  <c r="AJ88" i="2" s="1"/>
  <c r="AH125" i="2"/>
  <c r="AI125" i="2" s="1"/>
  <c r="AJ125" i="2" s="1"/>
  <c r="AH102" i="2"/>
  <c r="AI102" i="2" s="1"/>
  <c r="AJ102" i="2" s="1"/>
  <c r="I121" i="2"/>
  <c r="AH103" i="2"/>
  <c r="AI103" i="2" s="1"/>
  <c r="AJ103" i="2" s="1"/>
  <c r="I104" i="2"/>
  <c r="AH86" i="2"/>
  <c r="AH152" i="2"/>
  <c r="AI152" i="2" s="1"/>
  <c r="AJ152" i="2" s="1"/>
  <c r="AH209" i="2"/>
  <c r="AI209" i="2" s="1"/>
  <c r="AJ209" i="2" s="1"/>
  <c r="AH189" i="2"/>
  <c r="AI189" i="2" s="1"/>
  <c r="AJ189" i="2" s="1"/>
  <c r="AH104" i="2"/>
  <c r="AI104" i="2" s="1"/>
  <c r="AJ104" i="2" s="1"/>
  <c r="AH98" i="2"/>
  <c r="AI98" i="2" s="1"/>
  <c r="AJ98" i="2" s="1"/>
  <c r="AH87" i="2"/>
  <c r="AI87" i="2" s="1"/>
  <c r="AJ87" i="2" s="1"/>
  <c r="S25" i="2"/>
  <c r="T25" i="2" s="1"/>
  <c r="U25" i="2" s="1"/>
  <c r="AB25" i="2" s="1"/>
  <c r="I108" i="2"/>
  <c r="AH90" i="2"/>
  <c r="AI90" i="2" s="1"/>
  <c r="AJ90" i="2" s="1"/>
  <c r="I117" i="2"/>
  <c r="AH99" i="2"/>
  <c r="AI99" i="2" s="1"/>
  <c r="AJ99" i="2" s="1"/>
  <c r="I115" i="2"/>
  <c r="AH97" i="2"/>
  <c r="AI97" i="2" s="1"/>
  <c r="AJ97" i="2" s="1"/>
  <c r="Z24" i="1"/>
  <c r="AB24" i="1"/>
  <c r="AC24" i="1"/>
  <c r="AA24" i="1"/>
  <c r="AD24" i="1"/>
  <c r="V24" i="1"/>
  <c r="Y24" i="1"/>
  <c r="AD25" i="2" l="1"/>
  <c r="AC25" i="2"/>
  <c r="V25" i="2"/>
  <c r="S27" i="5"/>
  <c r="T27" i="5" s="1"/>
  <c r="U27" i="5" s="1"/>
  <c r="AA27" i="5" s="1"/>
  <c r="AH108" i="3"/>
  <c r="AI108" i="3" s="1"/>
  <c r="AJ108" i="3" s="1"/>
  <c r="I132" i="3"/>
  <c r="AH114" i="3"/>
  <c r="AI114" i="3" s="1"/>
  <c r="AJ114" i="3" s="1"/>
  <c r="I186" i="3"/>
  <c r="I177" i="3"/>
  <c r="AH159" i="3"/>
  <c r="AI159" i="3" s="1"/>
  <c r="AJ159" i="3" s="1"/>
  <c r="I158" i="3"/>
  <c r="AH140" i="3"/>
  <c r="AI140" i="3" s="1"/>
  <c r="AJ140" i="3" s="1"/>
  <c r="I174" i="3"/>
  <c r="AH156" i="3"/>
  <c r="AI156" i="3" s="1"/>
  <c r="AJ156" i="3" s="1"/>
  <c r="I136" i="3"/>
  <c r="AH118" i="3"/>
  <c r="AI118" i="3" s="1"/>
  <c r="AJ118" i="3" s="1"/>
  <c r="I135" i="3"/>
  <c r="AH117" i="3"/>
  <c r="AI117" i="3" s="1"/>
  <c r="AJ117" i="3" s="1"/>
  <c r="I142" i="3"/>
  <c r="AH124" i="3"/>
  <c r="AI124" i="3" s="1"/>
  <c r="AJ124" i="3" s="1"/>
  <c r="I148" i="3"/>
  <c r="AH130" i="3"/>
  <c r="AI130" i="3" s="1"/>
  <c r="AJ130" i="3" s="1"/>
  <c r="I164" i="3"/>
  <c r="AH146" i="3"/>
  <c r="AI146" i="3" s="1"/>
  <c r="AJ146" i="3" s="1"/>
  <c r="I139" i="3"/>
  <c r="AH121" i="3"/>
  <c r="AI121" i="3" s="1"/>
  <c r="AJ121" i="3" s="1"/>
  <c r="I147" i="3"/>
  <c r="AH129" i="3"/>
  <c r="AI129" i="3" s="1"/>
  <c r="AJ129" i="3" s="1"/>
  <c r="I171" i="3"/>
  <c r="AH153" i="3"/>
  <c r="AI153" i="3" s="1"/>
  <c r="AJ153" i="3" s="1"/>
  <c r="I149" i="3"/>
  <c r="AH131" i="3"/>
  <c r="AI131" i="3" s="1"/>
  <c r="AJ131" i="3" s="1"/>
  <c r="I140" i="3"/>
  <c r="AH122" i="3"/>
  <c r="AI122" i="3" s="1"/>
  <c r="AJ122" i="3" s="1"/>
  <c r="AH165" i="3"/>
  <c r="AI165" i="3" s="1"/>
  <c r="AJ165" i="3" s="1"/>
  <c r="I183" i="3"/>
  <c r="I161" i="3"/>
  <c r="AH143" i="3"/>
  <c r="AI143" i="3" s="1"/>
  <c r="AJ143" i="3" s="1"/>
  <c r="I145" i="3"/>
  <c r="AH127" i="3"/>
  <c r="AI127" i="3" s="1"/>
  <c r="AJ127" i="3" s="1"/>
  <c r="AH112" i="3"/>
  <c r="AI112" i="3" s="1"/>
  <c r="AJ112" i="3" s="1"/>
  <c r="I130" i="3"/>
  <c r="S26" i="3"/>
  <c r="T26" i="3" s="1"/>
  <c r="U26" i="3" s="1"/>
  <c r="I133" i="3"/>
  <c r="AH115" i="3"/>
  <c r="AI115" i="3" s="1"/>
  <c r="AJ115" i="3" s="1"/>
  <c r="AH172" i="2"/>
  <c r="AI172" i="2" s="1"/>
  <c r="AJ172" i="2" s="1"/>
  <c r="I128" i="2"/>
  <c r="AH110" i="2"/>
  <c r="AI110" i="2" s="1"/>
  <c r="AJ110" i="2" s="1"/>
  <c r="AI86" i="2"/>
  <c r="AJ86" i="2" s="1"/>
  <c r="I124" i="2"/>
  <c r="AH106" i="2"/>
  <c r="AI106" i="2" s="1"/>
  <c r="AJ106" i="2" s="1"/>
  <c r="Y25" i="2"/>
  <c r="AH107" i="2"/>
  <c r="AI107" i="2" s="1"/>
  <c r="AJ107" i="2" s="1"/>
  <c r="I141" i="2"/>
  <c r="AH123" i="2"/>
  <c r="AI123" i="2" s="1"/>
  <c r="AJ123" i="2" s="1"/>
  <c r="Z25" i="2"/>
  <c r="AA25" i="2"/>
  <c r="AH118" i="2"/>
  <c r="AI118" i="2" s="1"/>
  <c r="AJ118" i="2" s="1"/>
  <c r="AH122" i="2"/>
  <c r="AI122" i="2" s="1"/>
  <c r="AJ122" i="2" s="1"/>
  <c r="AH124" i="2"/>
  <c r="AI124" i="2" s="1"/>
  <c r="AJ124" i="2" s="1"/>
  <c r="AH145" i="2"/>
  <c r="AI145" i="2" s="1"/>
  <c r="AJ145" i="2" s="1"/>
  <c r="I135" i="2"/>
  <c r="AH117" i="2"/>
  <c r="AI117" i="2" s="1"/>
  <c r="AJ117" i="2" s="1"/>
  <c r="I126" i="2"/>
  <c r="AH108" i="2"/>
  <c r="AI108" i="2" s="1"/>
  <c r="AJ108" i="2" s="1"/>
  <c r="I137" i="2"/>
  <c r="AH119" i="2"/>
  <c r="AI119" i="2" s="1"/>
  <c r="AJ119" i="2" s="1"/>
  <c r="S26" i="2"/>
  <c r="T26" i="2" s="1"/>
  <c r="U26" i="2" s="1"/>
  <c r="S25" i="1"/>
  <c r="T25" i="1" s="1"/>
  <c r="U25" i="1" s="1"/>
  <c r="AD27" i="5" l="1"/>
  <c r="AE27" i="5"/>
  <c r="AF27" i="5"/>
  <c r="AG27" i="5"/>
  <c r="AH27" i="5"/>
  <c r="AI27" i="5"/>
  <c r="Y27" i="5"/>
  <c r="V27" i="5"/>
  <c r="AJ28" i="5"/>
  <c r="Z27" i="5"/>
  <c r="AB27" i="5"/>
  <c r="AC27" i="5"/>
  <c r="I203" i="3"/>
  <c r="AH205" i="3" s="1"/>
  <c r="AI205" i="3" s="1"/>
  <c r="AJ205" i="3" s="1"/>
  <c r="AH185" i="3"/>
  <c r="AI185" i="3" s="1"/>
  <c r="AJ185" i="3" s="1"/>
  <c r="I159" i="3"/>
  <c r="AH141" i="3"/>
  <c r="AI141" i="3" s="1"/>
  <c r="AJ141" i="3" s="1"/>
  <c r="I194" i="3"/>
  <c r="AH176" i="3"/>
  <c r="AI176" i="3" s="1"/>
  <c r="AJ176" i="3" s="1"/>
  <c r="I153" i="3"/>
  <c r="AH135" i="3"/>
  <c r="AI135" i="3" s="1"/>
  <c r="AJ135" i="3" s="1"/>
  <c r="I184" i="3"/>
  <c r="AH166" i="3"/>
  <c r="AI166" i="3" s="1"/>
  <c r="AJ166" i="3" s="1"/>
  <c r="I178" i="3"/>
  <c r="AH160" i="3"/>
  <c r="AI160" i="3" s="1"/>
  <c r="AJ160" i="3" s="1"/>
  <c r="AC26" i="3"/>
  <c r="AA26" i="3"/>
  <c r="Z26" i="3"/>
  <c r="Y26" i="3"/>
  <c r="V26" i="3"/>
  <c r="AD26" i="3"/>
  <c r="AH142" i="3"/>
  <c r="AI142" i="3" s="1"/>
  <c r="AJ142" i="3" s="1"/>
  <c r="I160" i="3"/>
  <c r="I168" i="3"/>
  <c r="AH150" i="3"/>
  <c r="AI150" i="3" s="1"/>
  <c r="AJ150" i="3" s="1"/>
  <c r="I197" i="3"/>
  <c r="AH179" i="3"/>
  <c r="AI179" i="3" s="1"/>
  <c r="AJ179" i="3" s="1"/>
  <c r="I181" i="3"/>
  <c r="AH163" i="3"/>
  <c r="AI163" i="3" s="1"/>
  <c r="AJ163" i="3" s="1"/>
  <c r="I150" i="3"/>
  <c r="AH132" i="3"/>
  <c r="AI132" i="3" s="1"/>
  <c r="AJ132" i="3" s="1"/>
  <c r="I169" i="3"/>
  <c r="AH151" i="3"/>
  <c r="AI151" i="3" s="1"/>
  <c r="AJ151" i="3" s="1"/>
  <c r="I162" i="3"/>
  <c r="AH144" i="3"/>
  <c r="AI144" i="3" s="1"/>
  <c r="AJ144" i="3" s="1"/>
  <c r="I206" i="3"/>
  <c r="I191" i="3"/>
  <c r="AH173" i="3"/>
  <c r="AI173" i="3" s="1"/>
  <c r="AJ173" i="3" s="1"/>
  <c r="I155" i="3"/>
  <c r="AH137" i="3"/>
  <c r="AI137" i="3" s="1"/>
  <c r="AJ137" i="3" s="1"/>
  <c r="I152" i="3"/>
  <c r="AH134" i="3"/>
  <c r="AI134" i="3" s="1"/>
  <c r="AJ134" i="3" s="1"/>
  <c r="I165" i="3"/>
  <c r="AH147" i="3"/>
  <c r="AI147" i="3" s="1"/>
  <c r="AJ147" i="3" s="1"/>
  <c r="I167" i="3"/>
  <c r="AH149" i="3"/>
  <c r="AI149" i="3" s="1"/>
  <c r="AJ149" i="3" s="1"/>
  <c r="I156" i="3"/>
  <c r="AH138" i="3"/>
  <c r="AI138" i="3" s="1"/>
  <c r="AJ138" i="3" s="1"/>
  <c r="AH128" i="3"/>
  <c r="AI128" i="3" s="1"/>
  <c r="AJ128" i="3" s="1"/>
  <c r="I155" i="2"/>
  <c r="AH137" i="2"/>
  <c r="AI137" i="2" s="1"/>
  <c r="AJ137" i="2" s="1"/>
  <c r="I161" i="2"/>
  <c r="AH143" i="2"/>
  <c r="AI143" i="2" s="1"/>
  <c r="AJ143" i="2" s="1"/>
  <c r="AH165" i="2"/>
  <c r="AI165" i="2" s="1"/>
  <c r="AJ165" i="2" s="1"/>
  <c r="AH127" i="2"/>
  <c r="AI127" i="2" s="1"/>
  <c r="AJ127" i="2" s="1"/>
  <c r="AH144" i="2"/>
  <c r="AI144" i="2" s="1"/>
  <c r="AJ144" i="2" s="1"/>
  <c r="I144" i="2"/>
  <c r="AH126" i="2"/>
  <c r="AI126" i="2" s="1"/>
  <c r="AJ126" i="2" s="1"/>
  <c r="AH142" i="2"/>
  <c r="AI142" i="2" s="1"/>
  <c r="AJ142" i="2" s="1"/>
  <c r="I157" i="2"/>
  <c r="AH139" i="2"/>
  <c r="AI139" i="2" s="1"/>
  <c r="AJ139" i="2" s="1"/>
  <c r="AH138" i="2"/>
  <c r="AI138" i="2" s="1"/>
  <c r="AJ138" i="2" s="1"/>
  <c r="I148" i="2"/>
  <c r="AH130" i="2"/>
  <c r="AI130" i="2" s="1"/>
  <c r="AJ130" i="2" s="1"/>
  <c r="I146" i="2"/>
  <c r="AH128" i="2"/>
  <c r="AI128" i="2" s="1"/>
  <c r="AJ128" i="2" s="1"/>
  <c r="AH212" i="2"/>
  <c r="AI212" i="2" s="1"/>
  <c r="AJ212" i="2" s="1"/>
  <c r="AH192" i="2"/>
  <c r="AI192" i="2" s="1"/>
  <c r="AJ192" i="2" s="1"/>
  <c r="AC26" i="2"/>
  <c r="AB26" i="2"/>
  <c r="AA26" i="2"/>
  <c r="AD26" i="2"/>
  <c r="Z26" i="2"/>
  <c r="Y26" i="2"/>
  <c r="V26" i="2"/>
  <c r="AD25" i="1"/>
  <c r="Y25" i="1"/>
  <c r="AB25" i="1"/>
  <c r="Z25" i="1"/>
  <c r="AC25" i="1"/>
  <c r="V25" i="1"/>
  <c r="AA25" i="1"/>
  <c r="S28" i="5" l="1"/>
  <c r="T28" i="5" s="1"/>
  <c r="U28" i="5" s="1"/>
  <c r="AJ29" i="5" s="1"/>
  <c r="S27" i="3"/>
  <c r="T27" i="3" s="1"/>
  <c r="U27" i="3" s="1"/>
  <c r="V27" i="3" s="1"/>
  <c r="I180" i="3"/>
  <c r="AH162" i="3"/>
  <c r="AI162" i="3" s="1"/>
  <c r="AJ162" i="3" s="1"/>
  <c r="I204" i="3"/>
  <c r="AH206" i="3" s="1"/>
  <c r="AI206" i="3" s="1"/>
  <c r="AJ206" i="3" s="1"/>
  <c r="AH186" i="3"/>
  <c r="AI186" i="3" s="1"/>
  <c r="AJ186" i="3" s="1"/>
  <c r="I176" i="3"/>
  <c r="AH158" i="3"/>
  <c r="AI158" i="3" s="1"/>
  <c r="AJ158" i="3" s="1"/>
  <c r="I188" i="3"/>
  <c r="AH170" i="3"/>
  <c r="AI170" i="3" s="1"/>
  <c r="AJ170" i="3" s="1"/>
  <c r="I182" i="3"/>
  <c r="AH164" i="3"/>
  <c r="AI164" i="3" s="1"/>
  <c r="AJ164" i="3" s="1"/>
  <c r="I187" i="3"/>
  <c r="AH169" i="3"/>
  <c r="AI169" i="3" s="1"/>
  <c r="AJ169" i="3" s="1"/>
  <c r="I185" i="3"/>
  <c r="AH167" i="3"/>
  <c r="AI167" i="3" s="1"/>
  <c r="AJ167" i="3" s="1"/>
  <c r="AH171" i="3"/>
  <c r="AI171" i="3" s="1"/>
  <c r="AJ171" i="3" s="1"/>
  <c r="I189" i="3"/>
  <c r="I173" i="3"/>
  <c r="AH155" i="3"/>
  <c r="AI155" i="3" s="1"/>
  <c r="AJ155" i="3" s="1"/>
  <c r="I172" i="3"/>
  <c r="AH154" i="3"/>
  <c r="AI154" i="3" s="1"/>
  <c r="AJ154" i="3" s="1"/>
  <c r="I170" i="3"/>
  <c r="AH152" i="3"/>
  <c r="AI152" i="3" s="1"/>
  <c r="AJ152" i="3" s="1"/>
  <c r="AH196" i="3"/>
  <c r="AI196" i="3" s="1"/>
  <c r="AJ196" i="3" s="1"/>
  <c r="I214" i="3"/>
  <c r="AH216" i="3" s="1"/>
  <c r="AI216" i="3" s="1"/>
  <c r="AJ216" i="3" s="1"/>
  <c r="I175" i="3"/>
  <c r="AH157" i="3"/>
  <c r="AI157" i="3" s="1"/>
  <c r="AJ157" i="3" s="1"/>
  <c r="AH183" i="3"/>
  <c r="AI183" i="3" s="1"/>
  <c r="AJ183" i="3" s="1"/>
  <c r="I201" i="3"/>
  <c r="I179" i="3"/>
  <c r="AH161" i="3"/>
  <c r="AI161" i="3" s="1"/>
  <c r="AJ161" i="3" s="1"/>
  <c r="AH148" i="3"/>
  <c r="AI148" i="3" s="1"/>
  <c r="AJ148" i="3" s="1"/>
  <c r="I211" i="3"/>
  <c r="AH213" i="3" s="1"/>
  <c r="AI213" i="3" s="1"/>
  <c r="AJ213" i="3" s="1"/>
  <c r="AH193" i="3"/>
  <c r="AI193" i="3" s="1"/>
  <c r="AJ193" i="3" s="1"/>
  <c r="AH199" i="3"/>
  <c r="AI199" i="3" s="1"/>
  <c r="AJ199" i="3" s="1"/>
  <c r="I217" i="3"/>
  <c r="AH219" i="3" s="1"/>
  <c r="AI219" i="3" s="1"/>
  <c r="AJ219" i="3" s="1"/>
  <c r="I198" i="3"/>
  <c r="AH180" i="3"/>
  <c r="AI180" i="3" s="1"/>
  <c r="AJ180" i="3" s="1"/>
  <c r="I166" i="2"/>
  <c r="AH148" i="2"/>
  <c r="AI148" i="2" s="1"/>
  <c r="AJ148" i="2" s="1"/>
  <c r="I164" i="2"/>
  <c r="AH146" i="2"/>
  <c r="AI146" i="2" s="1"/>
  <c r="AJ146" i="2" s="1"/>
  <c r="I168" i="2"/>
  <c r="AH150" i="2"/>
  <c r="AI150" i="2" s="1"/>
  <c r="AJ150" i="2" s="1"/>
  <c r="AH164" i="2"/>
  <c r="AI164" i="2" s="1"/>
  <c r="AJ164" i="2" s="1"/>
  <c r="AH158" i="2"/>
  <c r="AI158" i="2" s="1"/>
  <c r="AJ158" i="2" s="1"/>
  <c r="AH147" i="2"/>
  <c r="AI147" i="2" s="1"/>
  <c r="AJ147" i="2" s="1"/>
  <c r="I177" i="2"/>
  <c r="AH159" i="2"/>
  <c r="AI159" i="2" s="1"/>
  <c r="AJ159" i="2" s="1"/>
  <c r="AH205" i="2"/>
  <c r="AI205" i="2" s="1"/>
  <c r="AJ205" i="2" s="1"/>
  <c r="AH185" i="2"/>
  <c r="AI185" i="2" s="1"/>
  <c r="AJ185" i="2" s="1"/>
  <c r="I181" i="2"/>
  <c r="AH163" i="2"/>
  <c r="AI163" i="2" s="1"/>
  <c r="AJ163" i="2" s="1"/>
  <c r="AH162" i="2"/>
  <c r="AI162" i="2" s="1"/>
  <c r="AJ162" i="2" s="1"/>
  <c r="I175" i="2"/>
  <c r="AH157" i="2"/>
  <c r="AI157" i="2" s="1"/>
  <c r="AJ157" i="2" s="1"/>
  <c r="S27" i="2"/>
  <c r="T27" i="2" s="1"/>
  <c r="U27" i="2" s="1"/>
  <c r="S26" i="1"/>
  <c r="T26" i="1" s="1"/>
  <c r="U26" i="1" s="1"/>
  <c r="Z27" i="3" l="1"/>
  <c r="AC27" i="3"/>
  <c r="Y27" i="3"/>
  <c r="AA27" i="3"/>
  <c r="AG28" i="5"/>
  <c r="AH28" i="5"/>
  <c r="AB28" i="5"/>
  <c r="Z28" i="5"/>
  <c r="AC28" i="5"/>
  <c r="AD28" i="5"/>
  <c r="AE28" i="5"/>
  <c r="AA28" i="5"/>
  <c r="AF28" i="5"/>
  <c r="V28" i="5"/>
  <c r="Y28" i="5"/>
  <c r="AI28" i="5"/>
  <c r="AD27" i="3"/>
  <c r="S28" i="3"/>
  <c r="T28" i="3" s="1"/>
  <c r="U28" i="3" s="1"/>
  <c r="Y28" i="3" s="1"/>
  <c r="I205" i="3"/>
  <c r="AH207" i="3" s="1"/>
  <c r="AI207" i="3" s="1"/>
  <c r="AJ207" i="3" s="1"/>
  <c r="AH187" i="3"/>
  <c r="AI187" i="3" s="1"/>
  <c r="AJ187" i="3" s="1"/>
  <c r="AH184" i="3"/>
  <c r="AI184" i="3" s="1"/>
  <c r="AJ184" i="3" s="1"/>
  <c r="I202" i="3"/>
  <c r="I218" i="3"/>
  <c r="AH220" i="3" s="1"/>
  <c r="AI220" i="3" s="1"/>
  <c r="AJ220" i="3" s="1"/>
  <c r="AH200" i="3"/>
  <c r="AI200" i="3" s="1"/>
  <c r="AJ200" i="3" s="1"/>
  <c r="I207" i="3"/>
  <c r="AH209" i="3" s="1"/>
  <c r="AI209" i="3" s="1"/>
  <c r="AJ209" i="3" s="1"/>
  <c r="AH189" i="3"/>
  <c r="AI189" i="3" s="1"/>
  <c r="AJ189" i="3" s="1"/>
  <c r="I208" i="3"/>
  <c r="AH210" i="3" s="1"/>
  <c r="AI210" i="3" s="1"/>
  <c r="AJ210" i="3" s="1"/>
  <c r="AH190" i="3"/>
  <c r="AI190" i="3" s="1"/>
  <c r="AJ190" i="3" s="1"/>
  <c r="I195" i="3"/>
  <c r="AH177" i="3"/>
  <c r="AI177" i="3" s="1"/>
  <c r="AJ177" i="3" s="1"/>
  <c r="AH172" i="3"/>
  <c r="AI172" i="3" s="1"/>
  <c r="AJ172" i="3" s="1"/>
  <c r="I190" i="3"/>
  <c r="AH168" i="3"/>
  <c r="AI168" i="3" s="1"/>
  <c r="AJ168" i="3" s="1"/>
  <c r="I192" i="3"/>
  <c r="AH174" i="3"/>
  <c r="AI174" i="3" s="1"/>
  <c r="AJ174" i="3" s="1"/>
  <c r="AH178" i="3"/>
  <c r="AI178" i="3" s="1"/>
  <c r="AJ178" i="3" s="1"/>
  <c r="I196" i="3"/>
  <c r="AH175" i="3"/>
  <c r="AI175" i="3" s="1"/>
  <c r="AJ175" i="3" s="1"/>
  <c r="I193" i="3"/>
  <c r="I199" i="3"/>
  <c r="AH181" i="3"/>
  <c r="AI181" i="3" s="1"/>
  <c r="AJ181" i="3" s="1"/>
  <c r="AH203" i="3"/>
  <c r="AI203" i="3" s="1"/>
  <c r="AJ203" i="3" s="1"/>
  <c r="I221" i="3"/>
  <c r="AH223" i="3" s="1"/>
  <c r="AI223" i="3" s="1"/>
  <c r="AJ223" i="3" s="1"/>
  <c r="I209" i="3"/>
  <c r="AH211" i="3" s="1"/>
  <c r="AI211" i="3" s="1"/>
  <c r="AJ211" i="3" s="1"/>
  <c r="AH191" i="3"/>
  <c r="AI191" i="3" s="1"/>
  <c r="AJ191" i="3" s="1"/>
  <c r="AH182" i="3"/>
  <c r="AI182" i="3" s="1"/>
  <c r="AJ182" i="3" s="1"/>
  <c r="I200" i="3"/>
  <c r="AH178" i="2"/>
  <c r="AI178" i="2" s="1"/>
  <c r="AJ178" i="2" s="1"/>
  <c r="AH184" i="2"/>
  <c r="AI184" i="2" s="1"/>
  <c r="AJ184" i="2" s="1"/>
  <c r="I201" i="2"/>
  <c r="AH183" i="2"/>
  <c r="AI183" i="2" s="1"/>
  <c r="AJ183" i="2" s="1"/>
  <c r="I188" i="2"/>
  <c r="AH170" i="2"/>
  <c r="AI170" i="2" s="1"/>
  <c r="AJ170" i="2" s="1"/>
  <c r="I195" i="2"/>
  <c r="AH177" i="2"/>
  <c r="AI177" i="2" s="1"/>
  <c r="AJ177" i="2" s="1"/>
  <c r="AH182" i="2"/>
  <c r="AI182" i="2" s="1"/>
  <c r="AJ182" i="2" s="1"/>
  <c r="AH167" i="2"/>
  <c r="AI167" i="2" s="1"/>
  <c r="AJ167" i="2" s="1"/>
  <c r="I184" i="2"/>
  <c r="AH166" i="2"/>
  <c r="AI166" i="2" s="1"/>
  <c r="AJ166" i="2" s="1"/>
  <c r="I197" i="2"/>
  <c r="AH179" i="2"/>
  <c r="AI179" i="2" s="1"/>
  <c r="AJ179" i="2" s="1"/>
  <c r="I186" i="2"/>
  <c r="AH168" i="2"/>
  <c r="AI168" i="2" s="1"/>
  <c r="AJ168" i="2" s="1"/>
  <c r="AD27" i="2"/>
  <c r="AC27" i="2"/>
  <c r="AB27" i="2"/>
  <c r="S28" i="2" s="1"/>
  <c r="T28" i="2" s="1"/>
  <c r="U28" i="2" s="1"/>
  <c r="AA27" i="2"/>
  <c r="Z27" i="2"/>
  <c r="Y27" i="2"/>
  <c r="V27" i="2"/>
  <c r="AD26" i="1"/>
  <c r="Y26" i="1"/>
  <c r="AA26" i="1"/>
  <c r="AB26" i="1"/>
  <c r="AC26" i="1"/>
  <c r="V26" i="1"/>
  <c r="Z26" i="1"/>
  <c r="S29" i="5" l="1"/>
  <c r="T29" i="5" s="1"/>
  <c r="U29" i="5" s="1"/>
  <c r="AC29" i="5" s="1"/>
  <c r="AA29" i="5"/>
  <c r="AJ30" i="5"/>
  <c r="Z29" i="5"/>
  <c r="Y29" i="5"/>
  <c r="AI29" i="5"/>
  <c r="V29" i="5"/>
  <c r="AH29" i="5"/>
  <c r="AG29" i="5"/>
  <c r="AF29" i="5"/>
  <c r="S30" i="5" s="1"/>
  <c r="T30" i="5" s="1"/>
  <c r="U30" i="5" s="1"/>
  <c r="Z30" i="5" s="1"/>
  <c r="AD29" i="5"/>
  <c r="AB29" i="5"/>
  <c r="AE29" i="5"/>
  <c r="Z28" i="3"/>
  <c r="AD28" i="3"/>
  <c r="V28" i="3"/>
  <c r="AA28" i="3"/>
  <c r="AC28" i="3"/>
  <c r="I215" i="3"/>
  <c r="AH217" i="3" s="1"/>
  <c r="AI217" i="3" s="1"/>
  <c r="AJ217" i="3" s="1"/>
  <c r="AH197" i="3"/>
  <c r="AI197" i="3" s="1"/>
  <c r="AJ197" i="3" s="1"/>
  <c r="I213" i="3"/>
  <c r="AH215" i="3" s="1"/>
  <c r="AI215" i="3" s="1"/>
  <c r="AJ215" i="3" s="1"/>
  <c r="AH195" i="3"/>
  <c r="AI195" i="3" s="1"/>
  <c r="AJ195" i="3" s="1"/>
  <c r="I212" i="3"/>
  <c r="AH214" i="3" s="1"/>
  <c r="AI214" i="3" s="1"/>
  <c r="AJ214" i="3" s="1"/>
  <c r="AH194" i="3"/>
  <c r="AI194" i="3" s="1"/>
  <c r="AJ194" i="3" s="1"/>
  <c r="I222" i="3"/>
  <c r="AH224" i="3" s="1"/>
  <c r="AH204" i="3"/>
  <c r="AI204" i="3" s="1"/>
  <c r="AJ204" i="3" s="1"/>
  <c r="I216" i="3"/>
  <c r="AH218" i="3" s="1"/>
  <c r="AI218" i="3" s="1"/>
  <c r="AJ218" i="3" s="1"/>
  <c r="AH198" i="3"/>
  <c r="AI198" i="3" s="1"/>
  <c r="AJ198" i="3" s="1"/>
  <c r="AH208" i="3"/>
  <c r="AI208" i="3" s="1"/>
  <c r="AJ208" i="3" s="1"/>
  <c r="AH188" i="3"/>
  <c r="AI188" i="3" s="1"/>
  <c r="AJ188" i="3" s="1"/>
  <c r="I210" i="3"/>
  <c r="AH212" i="3" s="1"/>
  <c r="AI212" i="3" s="1"/>
  <c r="AJ212" i="3" s="1"/>
  <c r="AH192" i="3"/>
  <c r="AI192" i="3" s="1"/>
  <c r="AJ192" i="3" s="1"/>
  <c r="I219" i="3"/>
  <c r="AH221" i="3" s="1"/>
  <c r="AI221" i="3" s="1"/>
  <c r="AJ221" i="3" s="1"/>
  <c r="AH201" i="3"/>
  <c r="AI201" i="3" s="1"/>
  <c r="AJ201" i="3" s="1"/>
  <c r="AH202" i="3"/>
  <c r="AI202" i="3" s="1"/>
  <c r="AJ202" i="3" s="1"/>
  <c r="I220" i="3"/>
  <c r="AH222" i="3" s="1"/>
  <c r="AI222" i="3" s="1"/>
  <c r="AJ222" i="3" s="1"/>
  <c r="AH222" i="2"/>
  <c r="AI222" i="2" s="1"/>
  <c r="AJ222" i="2" s="1"/>
  <c r="AH202" i="2"/>
  <c r="AI202" i="2" s="1"/>
  <c r="AJ202" i="2" s="1"/>
  <c r="I215" i="2"/>
  <c r="AH217" i="2" s="1"/>
  <c r="AI217" i="2" s="1"/>
  <c r="AJ217" i="2" s="1"/>
  <c r="AH197" i="2"/>
  <c r="AI197" i="2" s="1"/>
  <c r="AJ197" i="2" s="1"/>
  <c r="I208" i="2"/>
  <c r="AH210" i="2" s="1"/>
  <c r="AI210" i="2" s="1"/>
  <c r="AJ210" i="2" s="1"/>
  <c r="AH190" i="2"/>
  <c r="AI190" i="2" s="1"/>
  <c r="AJ190" i="2" s="1"/>
  <c r="I206" i="2"/>
  <c r="AH208" i="2" s="1"/>
  <c r="AI208" i="2" s="1"/>
  <c r="AJ208" i="2" s="1"/>
  <c r="AH188" i="2"/>
  <c r="AI188" i="2" s="1"/>
  <c r="AJ188" i="2" s="1"/>
  <c r="I217" i="2"/>
  <c r="AH219" i="2" s="1"/>
  <c r="AI219" i="2" s="1"/>
  <c r="AJ219" i="2" s="1"/>
  <c r="AH199" i="2"/>
  <c r="AI199" i="2" s="1"/>
  <c r="AJ199" i="2" s="1"/>
  <c r="I221" i="2"/>
  <c r="AH223" i="2" s="1"/>
  <c r="AI223" i="2" s="1"/>
  <c r="AJ223" i="2" s="1"/>
  <c r="AH203" i="2"/>
  <c r="AI203" i="2" s="1"/>
  <c r="AJ203" i="2" s="1"/>
  <c r="I204" i="2"/>
  <c r="AH206" i="2" s="1"/>
  <c r="AI206" i="2" s="1"/>
  <c r="AJ206" i="2" s="1"/>
  <c r="AH186" i="2"/>
  <c r="AH224" i="2"/>
  <c r="AI224" i="2" s="1"/>
  <c r="AJ224" i="2" s="1"/>
  <c r="AH204" i="2"/>
  <c r="AI204" i="2" s="1"/>
  <c r="AJ204" i="2" s="1"/>
  <c r="AH207" i="2"/>
  <c r="AI207" i="2" s="1"/>
  <c r="AJ207" i="2" s="1"/>
  <c r="AH187" i="2"/>
  <c r="AI187" i="2" s="1"/>
  <c r="AJ187" i="2" s="1"/>
  <c r="AH218" i="2"/>
  <c r="AI218" i="2" s="1"/>
  <c r="AJ218" i="2" s="1"/>
  <c r="AH198" i="2"/>
  <c r="AI198" i="2" s="1"/>
  <c r="AJ198" i="2" s="1"/>
  <c r="AD28" i="2"/>
  <c r="AC28" i="2"/>
  <c r="AB28" i="2"/>
  <c r="S29" i="2" s="1"/>
  <c r="T29" i="2" s="1"/>
  <c r="U29" i="2" s="1"/>
  <c r="AA28" i="2"/>
  <c r="Z28" i="2"/>
  <c r="Y28" i="2"/>
  <c r="V28" i="2"/>
  <c r="S27" i="1"/>
  <c r="T27" i="1" s="1"/>
  <c r="U27" i="1" s="1"/>
  <c r="V30" i="5" l="1"/>
  <c r="AA30" i="5"/>
  <c r="Y30" i="5"/>
  <c r="AJ31" i="5"/>
  <c r="AB30" i="5"/>
  <c r="AE30" i="5"/>
  <c r="AF30" i="5"/>
  <c r="AG30" i="5"/>
  <c r="AH30" i="5"/>
  <c r="AC30" i="5"/>
  <c r="AI30" i="5"/>
  <c r="AD30" i="5"/>
  <c r="S29" i="3"/>
  <c r="T29" i="3" s="1"/>
  <c r="U29" i="3" s="1"/>
  <c r="AI224" i="3"/>
  <c r="AJ224" i="3" s="1"/>
  <c r="AJ23" i="3" s="1"/>
  <c r="AK20" i="3"/>
  <c r="AJ23" i="2"/>
  <c r="AI186" i="2"/>
  <c r="AJ186" i="2" s="1"/>
  <c r="AK20" i="2"/>
  <c r="AD29" i="2"/>
  <c r="AC29" i="2"/>
  <c r="AB29" i="2"/>
  <c r="S30" i="2" s="1"/>
  <c r="T30" i="2" s="1"/>
  <c r="U30" i="2" s="1"/>
  <c r="AA29" i="2"/>
  <c r="Z29" i="2"/>
  <c r="Y29" i="2"/>
  <c r="V29" i="2"/>
  <c r="AD27" i="1"/>
  <c r="AB27" i="1"/>
  <c r="AC27" i="1"/>
  <c r="V27" i="1"/>
  <c r="Z27" i="1"/>
  <c r="AA27" i="1"/>
  <c r="Y27" i="1"/>
  <c r="S31" i="5" l="1"/>
  <c r="T31" i="5" s="1"/>
  <c r="U31" i="5" s="1"/>
  <c r="Z31" i="5" s="1"/>
  <c r="V29" i="3"/>
  <c r="AD29" i="3"/>
  <c r="AA29" i="3"/>
  <c r="Y29" i="3"/>
  <c r="AC29" i="3"/>
  <c r="S30" i="3"/>
  <c r="T30" i="3" s="1"/>
  <c r="U30" i="3" s="1"/>
  <c r="Z30" i="3" s="1"/>
  <c r="Z29" i="3"/>
  <c r="AD30" i="2"/>
  <c r="AC30" i="2"/>
  <c r="AB30" i="2"/>
  <c r="AA30" i="2"/>
  <c r="Z30" i="2"/>
  <c r="Y30" i="2"/>
  <c r="V30" i="2"/>
  <c r="S28" i="1"/>
  <c r="T28" i="1" s="1"/>
  <c r="U28" i="1" s="1"/>
  <c r="Y30" i="3" l="1"/>
  <c r="AA30" i="3"/>
  <c r="S31" i="2"/>
  <c r="T31" i="2" s="1"/>
  <c r="U31" i="2" s="1"/>
  <c r="AC31" i="5"/>
  <c r="AH31" i="5"/>
  <c r="AG31" i="5"/>
  <c r="V31" i="5"/>
  <c r="AI31" i="5"/>
  <c r="AE31" i="5"/>
  <c r="AD31" i="5"/>
  <c r="AF31" i="5"/>
  <c r="AA31" i="5"/>
  <c r="Y31" i="5"/>
  <c r="AJ32" i="5"/>
  <c r="AB31" i="5"/>
  <c r="AD30" i="3"/>
  <c r="AC30" i="3"/>
  <c r="S31" i="3" s="1"/>
  <c r="T31" i="3" s="1"/>
  <c r="U31" i="3" s="1"/>
  <c r="V30" i="3"/>
  <c r="AD31" i="2"/>
  <c r="AC31" i="2"/>
  <c r="AB31" i="2"/>
  <c r="S32" i="2" s="1"/>
  <c r="T32" i="2" s="1"/>
  <c r="U32" i="2" s="1"/>
  <c r="AA31" i="2"/>
  <c r="Z31" i="2"/>
  <c r="Y31" i="2"/>
  <c r="V31" i="2"/>
  <c r="AD28" i="1"/>
  <c r="Y28" i="1"/>
  <c r="V28" i="1"/>
  <c r="AC28" i="1"/>
  <c r="AB28" i="1"/>
  <c r="Z28" i="1"/>
  <c r="AA28" i="1"/>
  <c r="S29" i="1" l="1"/>
  <c r="T29" i="1" s="1"/>
  <c r="U29" i="1" s="1"/>
  <c r="AD29" i="1" s="1"/>
  <c r="S32" i="5"/>
  <c r="T32" i="5" s="1"/>
  <c r="U32" i="5" s="1"/>
  <c r="AA32" i="5" s="1"/>
  <c r="AC31" i="3"/>
  <c r="V31" i="3"/>
  <c r="Z31" i="3"/>
  <c r="AD31" i="3"/>
  <c r="S32" i="3"/>
  <c r="T32" i="3" s="1"/>
  <c r="U32" i="3" s="1"/>
  <c r="Y32" i="3" s="1"/>
  <c r="Y31" i="3"/>
  <c r="AA31" i="3"/>
  <c r="AD32" i="2"/>
  <c r="AC32" i="2"/>
  <c r="AB32" i="2"/>
  <c r="S33" i="2" s="1"/>
  <c r="T33" i="2" s="1"/>
  <c r="U33" i="2" s="1"/>
  <c r="V32" i="2"/>
  <c r="AA32" i="2"/>
  <c r="Z32" i="2"/>
  <c r="Y32" i="2"/>
  <c r="V29" i="1" l="1"/>
  <c r="AA29" i="1"/>
  <c r="AC29" i="1"/>
  <c r="Z29" i="1"/>
  <c r="AB29" i="1"/>
  <c r="Y29" i="1"/>
  <c r="Z32" i="5"/>
  <c r="AB32" i="5"/>
  <c r="Y32" i="5"/>
  <c r="V32" i="5"/>
  <c r="AG32" i="5"/>
  <c r="AI32" i="5"/>
  <c r="AF32" i="5"/>
  <c r="AD32" i="5"/>
  <c r="AH32" i="5"/>
  <c r="AJ33" i="5"/>
  <c r="AE32" i="5"/>
  <c r="AC32" i="5"/>
  <c r="V32" i="3"/>
  <c r="AA32" i="3"/>
  <c r="Z32" i="3"/>
  <c r="AC32" i="3"/>
  <c r="AD32" i="3"/>
  <c r="S33" i="3"/>
  <c r="T33" i="3" s="1"/>
  <c r="U33" i="3" s="1"/>
  <c r="AD33" i="2"/>
  <c r="AC33" i="2"/>
  <c r="AB33" i="2"/>
  <c r="S34" i="2" s="1"/>
  <c r="T34" i="2" s="1"/>
  <c r="U34" i="2" s="1"/>
  <c r="AA33" i="2"/>
  <c r="Z33" i="2"/>
  <c r="Y33" i="2"/>
  <c r="V33" i="2"/>
  <c r="S30" i="1"/>
  <c r="T30" i="1" s="1"/>
  <c r="U30" i="1" s="1"/>
  <c r="S33" i="5" l="1"/>
  <c r="T33" i="5" s="1"/>
  <c r="U33" i="5" s="1"/>
  <c r="AJ34" i="5" s="1"/>
  <c r="AD33" i="3"/>
  <c r="AA33" i="3"/>
  <c r="Z33" i="3"/>
  <c r="Y33" i="3"/>
  <c r="AC33" i="3"/>
  <c r="V33" i="3"/>
  <c r="Y34" i="2"/>
  <c r="V34" i="2"/>
  <c r="AD34" i="2"/>
  <c r="AC34" i="2"/>
  <c r="AB34" i="2"/>
  <c r="S35" i="2" s="1"/>
  <c r="T35" i="2" s="1"/>
  <c r="U35" i="2" s="1"/>
  <c r="Z34" i="2"/>
  <c r="AA34" i="2"/>
  <c r="AD30" i="1"/>
  <c r="Y30" i="1"/>
  <c r="AC30" i="1"/>
  <c r="AB30" i="1"/>
  <c r="S31" i="1" s="1"/>
  <c r="T31" i="1" s="1"/>
  <c r="U31" i="1" s="1"/>
  <c r="AA30" i="1"/>
  <c r="V30" i="1"/>
  <c r="Z30" i="1"/>
  <c r="Z33" i="5" l="1"/>
  <c r="V33" i="5"/>
  <c r="Y33" i="5"/>
  <c r="AH33" i="5"/>
  <c r="AI33" i="5"/>
  <c r="AA33" i="5"/>
  <c r="AC33" i="5"/>
  <c r="AE33" i="5"/>
  <c r="AF33" i="5"/>
  <c r="AB33" i="5"/>
  <c r="AG33" i="5"/>
  <c r="AD33" i="5"/>
  <c r="S34" i="3"/>
  <c r="T34" i="3" s="1"/>
  <c r="U34" i="3" s="1"/>
  <c r="AD35" i="2"/>
  <c r="AC35" i="2"/>
  <c r="AB35" i="2"/>
  <c r="S36" i="2" s="1"/>
  <c r="T36" i="2" s="1"/>
  <c r="U36" i="2" s="1"/>
  <c r="AA35" i="2"/>
  <c r="Z35" i="2"/>
  <c r="Y35" i="2"/>
  <c r="V35" i="2"/>
  <c r="AD31" i="1"/>
  <c r="AB31" i="1"/>
  <c r="AC31" i="1"/>
  <c r="Z31" i="1"/>
  <c r="V31" i="1"/>
  <c r="AA31" i="1"/>
  <c r="Y31" i="1"/>
  <c r="S34" i="5" l="1"/>
  <c r="T34" i="5" s="1"/>
  <c r="U34" i="5" s="1"/>
  <c r="V34" i="5" s="1"/>
  <c r="AJ35" i="5"/>
  <c r="AE34" i="5"/>
  <c r="AB34" i="5"/>
  <c r="AH34" i="5"/>
  <c r="AI34" i="5"/>
  <c r="AG34" i="5"/>
  <c r="AF34" i="5"/>
  <c r="AD34" i="5"/>
  <c r="AC34" i="5"/>
  <c r="Y34" i="5"/>
  <c r="Y34" i="3"/>
  <c r="V34" i="3"/>
  <c r="AD34" i="3"/>
  <c r="AC34" i="3"/>
  <c r="S35" i="3"/>
  <c r="T35" i="3" s="1"/>
  <c r="U35" i="3" s="1"/>
  <c r="AA34" i="3"/>
  <c r="Z34" i="3"/>
  <c r="AD36" i="2"/>
  <c r="AC36" i="2"/>
  <c r="V36" i="2"/>
  <c r="AB36" i="2"/>
  <c r="S37" i="2" s="1"/>
  <c r="T37" i="2" s="1"/>
  <c r="U37" i="2" s="1"/>
  <c r="AA36" i="2"/>
  <c r="Z36" i="2"/>
  <c r="Y36" i="2"/>
  <c r="S32" i="1"/>
  <c r="T32" i="1" s="1"/>
  <c r="U32" i="1" s="1"/>
  <c r="AA34" i="5" l="1"/>
  <c r="Z34" i="5"/>
  <c r="S35" i="5"/>
  <c r="T35" i="5" s="1"/>
  <c r="U35" i="5" s="1"/>
  <c r="AE35" i="5" s="1"/>
  <c r="AA35" i="5"/>
  <c r="AB35" i="5"/>
  <c r="AD35" i="5"/>
  <c r="AC35" i="5"/>
  <c r="AA35" i="3"/>
  <c r="Z35" i="3"/>
  <c r="Y35" i="3"/>
  <c r="V35" i="3"/>
  <c r="AD35" i="3"/>
  <c r="S36" i="3" s="1"/>
  <c r="T36" i="3" s="1"/>
  <c r="U36" i="3" s="1"/>
  <c r="AC35" i="3"/>
  <c r="AD37" i="2"/>
  <c r="AC37" i="2"/>
  <c r="AB37" i="2"/>
  <c r="S38" i="2" s="1"/>
  <c r="T38" i="2" s="1"/>
  <c r="U38" i="2" s="1"/>
  <c r="AA37" i="2"/>
  <c r="Z37" i="2"/>
  <c r="Y37" i="2"/>
  <c r="V37" i="2"/>
  <c r="AD32" i="1"/>
  <c r="AA32" i="1"/>
  <c r="AC32" i="1"/>
  <c r="Y32" i="1"/>
  <c r="AB32" i="1"/>
  <c r="V32" i="1"/>
  <c r="Z32" i="1"/>
  <c r="S33" i="1" l="1"/>
  <c r="T33" i="1" s="1"/>
  <c r="U33" i="1" s="1"/>
  <c r="AA33" i="1" s="1"/>
  <c r="Y35" i="5"/>
  <c r="AF35" i="5"/>
  <c r="V35" i="5"/>
  <c r="AH35" i="5"/>
  <c r="Z35" i="5"/>
  <c r="AJ36" i="5"/>
  <c r="AG35" i="5"/>
  <c r="AI35" i="5"/>
  <c r="S36" i="5"/>
  <c r="T36" i="5" s="1"/>
  <c r="U36" i="5" s="1"/>
  <c r="AC36" i="5" s="1"/>
  <c r="AC36" i="3"/>
  <c r="AA36" i="3"/>
  <c r="Z36" i="3"/>
  <c r="V36" i="3"/>
  <c r="Y36" i="3"/>
  <c r="AD36" i="3"/>
  <c r="AD38" i="2"/>
  <c r="Y38" i="2"/>
  <c r="AA38" i="2"/>
  <c r="Z38" i="2"/>
  <c r="V38" i="2"/>
  <c r="AB38" i="2"/>
  <c r="AC38" i="2"/>
  <c r="AC33" i="1" l="1"/>
  <c r="AD33" i="1"/>
  <c r="Z33" i="1"/>
  <c r="Y33" i="1"/>
  <c r="V33" i="1"/>
  <c r="AB33" i="1"/>
  <c r="AJ37" i="5"/>
  <c r="Y36" i="5"/>
  <c r="AH36" i="5"/>
  <c r="AB36" i="5"/>
  <c r="AA36" i="5"/>
  <c r="V36" i="5"/>
  <c r="AI36" i="5"/>
  <c r="Z36" i="5"/>
  <c r="AD36" i="5"/>
  <c r="AG36" i="5"/>
  <c r="AE36" i="5"/>
  <c r="AF36" i="5"/>
  <c r="S37" i="3"/>
  <c r="T37" i="3" s="1"/>
  <c r="U37" i="3" s="1"/>
  <c r="S39" i="2"/>
  <c r="T39" i="2" s="1"/>
  <c r="U39" i="2" s="1"/>
  <c r="S34" i="1" l="1"/>
  <c r="T34" i="1" s="1"/>
  <c r="U34" i="1" s="1"/>
  <c r="V34" i="1" s="1"/>
  <c r="S37" i="5"/>
  <c r="T37" i="5" s="1"/>
  <c r="U37" i="5" s="1"/>
  <c r="V37" i="5" s="1"/>
  <c r="AD37" i="3"/>
  <c r="AC37" i="3"/>
  <c r="S38" i="3"/>
  <c r="T38" i="3" s="1"/>
  <c r="U38" i="3" s="1"/>
  <c r="AA37" i="3"/>
  <c r="Z37" i="3"/>
  <c r="Y37" i="3"/>
  <c r="V37" i="3"/>
  <c r="Y39" i="2"/>
  <c r="Z39" i="2"/>
  <c r="V39" i="2"/>
  <c r="AD39" i="2"/>
  <c r="AC39" i="2"/>
  <c r="AB39" i="2"/>
  <c r="S40" i="2" s="1"/>
  <c r="T40" i="2" s="1"/>
  <c r="U40" i="2" s="1"/>
  <c r="AA39" i="2"/>
  <c r="AD34" i="1" l="1"/>
  <c r="AA34" i="1"/>
  <c r="AB34" i="1"/>
  <c r="AC34" i="1"/>
  <c r="S35" i="1" s="1"/>
  <c r="T35" i="1" s="1"/>
  <c r="U35" i="1" s="1"/>
  <c r="AD35" i="1" s="1"/>
  <c r="Y34" i="1"/>
  <c r="Z34" i="1"/>
  <c r="AJ38" i="5"/>
  <c r="AB37" i="5"/>
  <c r="AG37" i="5"/>
  <c r="AA37" i="5"/>
  <c r="AE37" i="5"/>
  <c r="AH37" i="5"/>
  <c r="AI37" i="5"/>
  <c r="Z37" i="5"/>
  <c r="AF37" i="5"/>
  <c r="AD37" i="5"/>
  <c r="Y37" i="5"/>
  <c r="AC37" i="5"/>
  <c r="Y38" i="3"/>
  <c r="V38" i="3"/>
  <c r="AD38" i="3"/>
  <c r="AC38" i="3"/>
  <c r="S39" i="3"/>
  <c r="T39" i="3" s="1"/>
  <c r="U39" i="3" s="1"/>
  <c r="AA38" i="3"/>
  <c r="Z38" i="3"/>
  <c r="AA40" i="2"/>
  <c r="V40" i="2"/>
  <c r="Y40" i="2"/>
  <c r="AD40" i="2"/>
  <c r="AC40" i="2"/>
  <c r="AB40" i="2"/>
  <c r="Z40" i="2"/>
  <c r="V35" i="1" l="1"/>
  <c r="AB35" i="1"/>
  <c r="AA35" i="1"/>
  <c r="AC35" i="1"/>
  <c r="Z35" i="1"/>
  <c r="Y35" i="1"/>
  <c r="S36" i="1"/>
  <c r="T36" i="1" s="1"/>
  <c r="U36" i="1" s="1"/>
  <c r="AD36" i="1" s="1"/>
  <c r="S41" i="2"/>
  <c r="T41" i="2" s="1"/>
  <c r="U41" i="2" s="1"/>
  <c r="AB41" i="2" s="1"/>
  <c r="S38" i="5"/>
  <c r="T38" i="5" s="1"/>
  <c r="U38" i="5" s="1"/>
  <c r="Z38" i="5" s="1"/>
  <c r="AC39" i="3"/>
  <c r="AA39" i="3"/>
  <c r="Z39" i="3"/>
  <c r="Y39" i="3"/>
  <c r="V39" i="3"/>
  <c r="AD39" i="3"/>
  <c r="AA41" i="2"/>
  <c r="V41" i="2"/>
  <c r="Y41" i="2"/>
  <c r="AD41" i="2"/>
  <c r="AC41" i="2"/>
  <c r="Y36" i="1" l="1"/>
  <c r="AA36" i="1"/>
  <c r="AB36" i="1"/>
  <c r="Z36" i="1"/>
  <c r="V36" i="1"/>
  <c r="AC36" i="1"/>
  <c r="S37" i="1"/>
  <c r="T37" i="1" s="1"/>
  <c r="U37" i="1" s="1"/>
  <c r="AD37" i="1" s="1"/>
  <c r="Z41" i="2"/>
  <c r="S42" i="2"/>
  <c r="T42" i="2" s="1"/>
  <c r="U42" i="2" s="1"/>
  <c r="AB42" i="2" s="1"/>
  <c r="AB38" i="5"/>
  <c r="AG38" i="5"/>
  <c r="V38" i="5"/>
  <c r="AA38" i="5"/>
  <c r="AD38" i="5"/>
  <c r="AI38" i="5"/>
  <c r="AE38" i="5"/>
  <c r="AC38" i="5"/>
  <c r="AH38" i="5"/>
  <c r="AJ39" i="5"/>
  <c r="Y38" i="5"/>
  <c r="AF38" i="5"/>
  <c r="S40" i="3"/>
  <c r="T40" i="3" s="1"/>
  <c r="U40" i="3" s="1"/>
  <c r="V42" i="2"/>
  <c r="X42" i="2" s="1"/>
  <c r="AN22" i="2" s="1"/>
  <c r="AD42" i="2"/>
  <c r="AQ22" i="2" s="1"/>
  <c r="AC42" i="2"/>
  <c r="AP22" i="2" s="1"/>
  <c r="AA42" i="2"/>
  <c r="Z42" i="2"/>
  <c r="Y42" i="2"/>
  <c r="AA37" i="1" l="1"/>
  <c r="Y37" i="1"/>
  <c r="V37" i="1"/>
  <c r="AC37" i="1"/>
  <c r="AB37" i="1"/>
  <c r="S38" i="1" s="1"/>
  <c r="T38" i="1" s="1"/>
  <c r="U38" i="1" s="1"/>
  <c r="Z37" i="1"/>
  <c r="S39" i="5"/>
  <c r="T39" i="5" s="1"/>
  <c r="U39" i="5" s="1"/>
  <c r="V39" i="5" s="1"/>
  <c r="AD40" i="3"/>
  <c r="AC40" i="3"/>
  <c r="AA40" i="3"/>
  <c r="Z40" i="3"/>
  <c r="Y40" i="3"/>
  <c r="V40" i="3"/>
  <c r="S43" i="2"/>
  <c r="T43" i="2" s="1"/>
  <c r="U43" i="2" s="1"/>
  <c r="AO22" i="2"/>
  <c r="AG39" i="5" l="1"/>
  <c r="AI39" i="5"/>
  <c r="Z39" i="5"/>
  <c r="AD39" i="5"/>
  <c r="AJ40" i="5"/>
  <c r="Y39" i="5"/>
  <c r="AF39" i="5"/>
  <c r="AC39" i="5"/>
  <c r="AH39" i="5"/>
  <c r="AB39" i="5"/>
  <c r="AE39" i="5"/>
  <c r="S40" i="5" s="1"/>
  <c r="T40" i="5" s="1"/>
  <c r="U40" i="5" s="1"/>
  <c r="AC40" i="5" s="1"/>
  <c r="AA39" i="5"/>
  <c r="S41" i="3"/>
  <c r="T41" i="3" s="1"/>
  <c r="U41" i="3" s="1"/>
  <c r="Y41" i="3" s="1"/>
  <c r="AW22" i="2"/>
  <c r="AU22" i="2"/>
  <c r="AB43" i="2"/>
  <c r="AD43" i="2"/>
  <c r="AC43" i="2"/>
  <c r="AA43" i="2"/>
  <c r="Z43" i="2"/>
  <c r="Y43" i="2"/>
  <c r="V43" i="2"/>
  <c r="AD38" i="1"/>
  <c r="Y38" i="1"/>
  <c r="AB38" i="1"/>
  <c r="Z38" i="1"/>
  <c r="AC38" i="1"/>
  <c r="AA38" i="1"/>
  <c r="V38" i="1"/>
  <c r="AH40" i="5" l="1"/>
  <c r="AJ41" i="5"/>
  <c r="AI40" i="5"/>
  <c r="AB40" i="5"/>
  <c r="AF40" i="5"/>
  <c r="AG40" i="5"/>
  <c r="AE40" i="5"/>
  <c r="S41" i="5" s="1"/>
  <c r="T41" i="5" s="1"/>
  <c r="U41" i="5" s="1"/>
  <c r="AH41" i="5" s="1"/>
  <c r="AD40" i="5"/>
  <c r="Y40" i="5"/>
  <c r="AA40" i="5"/>
  <c r="Z40" i="5"/>
  <c r="V40" i="5"/>
  <c r="Z41" i="3"/>
  <c r="AA41" i="3"/>
  <c r="AC41" i="3"/>
  <c r="AD41" i="3"/>
  <c r="V41" i="3"/>
  <c r="S44" i="2"/>
  <c r="T44" i="2" s="1"/>
  <c r="U44" i="2" s="1"/>
  <c r="S39" i="1"/>
  <c r="T39" i="1" s="1"/>
  <c r="U39" i="1" s="1"/>
  <c r="AA41" i="5" l="1"/>
  <c r="Z41" i="5"/>
  <c r="V41" i="5"/>
  <c r="AC41" i="5"/>
  <c r="AG41" i="5"/>
  <c r="AI41" i="5"/>
  <c r="AE41" i="5"/>
  <c r="AJ42" i="5"/>
  <c r="AB41" i="5"/>
  <c r="Y41" i="5"/>
  <c r="AF41" i="5"/>
  <c r="AD41" i="5"/>
  <c r="S42" i="3"/>
  <c r="T42" i="3" s="1"/>
  <c r="U42" i="3" s="1"/>
  <c r="AD42" i="3" s="1"/>
  <c r="AO22" i="3"/>
  <c r="AD44" i="2"/>
  <c r="AC44" i="2"/>
  <c r="AB44" i="2"/>
  <c r="AA44" i="2"/>
  <c r="Z44" i="2"/>
  <c r="Y44" i="2"/>
  <c r="V44" i="2"/>
  <c r="AD39" i="1"/>
  <c r="AB39" i="1"/>
  <c r="AC39" i="1"/>
  <c r="V39" i="1"/>
  <c r="Z39" i="1"/>
  <c r="AA39" i="1"/>
  <c r="Y39" i="1"/>
  <c r="Y42" i="3" l="1"/>
  <c r="Z42" i="3"/>
  <c r="AC42" i="3"/>
  <c r="AP22" i="3" s="1"/>
  <c r="AA42" i="3"/>
  <c r="V42" i="3"/>
  <c r="X42" i="3" s="1"/>
  <c r="AN22" i="3" s="1"/>
  <c r="S42" i="5"/>
  <c r="T42" i="5" s="1"/>
  <c r="U42" i="5" s="1"/>
  <c r="AE42" i="5" s="1"/>
  <c r="AQ22" i="3"/>
  <c r="S43" i="3"/>
  <c r="T43" i="3" s="1"/>
  <c r="U43" i="3" s="1"/>
  <c r="V43" i="3" s="1"/>
  <c r="AU22" i="3"/>
  <c r="AW22" i="3"/>
  <c r="AC43" i="3"/>
  <c r="Y43" i="3"/>
  <c r="S45" i="2"/>
  <c r="T45" i="2" s="1"/>
  <c r="U45" i="2" s="1"/>
  <c r="AD45" i="2" s="1"/>
  <c r="S40" i="1"/>
  <c r="T40" i="1" s="1"/>
  <c r="U40" i="1" s="1"/>
  <c r="Z43" i="3" l="1"/>
  <c r="AA43" i="3"/>
  <c r="AD43" i="3"/>
  <c r="S44" i="3" s="1"/>
  <c r="T44" i="3" s="1"/>
  <c r="U44" i="3" s="1"/>
  <c r="AD44" i="3" s="1"/>
  <c r="V45" i="2"/>
  <c r="Y42" i="5"/>
  <c r="AC42" i="5"/>
  <c r="AG42" i="5"/>
  <c r="AF42" i="5"/>
  <c r="AB42" i="5"/>
  <c r="AJ43" i="5"/>
  <c r="AI42" i="5"/>
  <c r="AD42" i="5"/>
  <c r="AH42" i="5"/>
  <c r="V42" i="5"/>
  <c r="Z42" i="5"/>
  <c r="AA42" i="5"/>
  <c r="Z45" i="2"/>
  <c r="AB45" i="2"/>
  <c r="S46" i="2" s="1"/>
  <c r="T46" i="2" s="1"/>
  <c r="U46" i="2" s="1"/>
  <c r="Y46" i="2" s="1"/>
  <c r="AC45" i="2"/>
  <c r="AA45" i="2"/>
  <c r="Y45" i="2"/>
  <c r="AD40" i="1"/>
  <c r="Y40" i="1"/>
  <c r="AB40" i="1"/>
  <c r="AC40" i="1"/>
  <c r="V40" i="1"/>
  <c r="AA40" i="1"/>
  <c r="Z40" i="1"/>
  <c r="Y44" i="3" l="1"/>
  <c r="V44" i="3"/>
  <c r="Z44" i="3"/>
  <c r="AA44" i="3"/>
  <c r="AC44" i="3"/>
  <c r="S45" i="3"/>
  <c r="T45" i="3" s="1"/>
  <c r="U45" i="3" s="1"/>
  <c r="AA45" i="3" s="1"/>
  <c r="S43" i="5"/>
  <c r="T43" i="5" s="1"/>
  <c r="U43" i="5" s="1"/>
  <c r="AC43" i="5" s="1"/>
  <c r="V46" i="2"/>
  <c r="Z46" i="2"/>
  <c r="AA46" i="2"/>
  <c r="AB46" i="2"/>
  <c r="AC46" i="2"/>
  <c r="AD46" i="2"/>
  <c r="S41" i="1"/>
  <c r="T41" i="1" s="1"/>
  <c r="U41" i="1" s="1"/>
  <c r="AC45" i="3" l="1"/>
  <c r="Y45" i="3"/>
  <c r="AD45" i="3"/>
  <c r="V45" i="3"/>
  <c r="Z45" i="3"/>
  <c r="S47" i="2"/>
  <c r="T47" i="2" s="1"/>
  <c r="U47" i="2" s="1"/>
  <c r="AA47" i="2" s="1"/>
  <c r="V43" i="5"/>
  <c r="AI43" i="5"/>
  <c r="AE43" i="5"/>
  <c r="AJ44" i="5"/>
  <c r="BB24" i="5" s="1"/>
  <c r="AG43" i="5"/>
  <c r="Z43" i="5"/>
  <c r="AH43" i="5"/>
  <c r="AA43" i="5"/>
  <c r="Y43" i="5"/>
  <c r="AF43" i="5"/>
  <c r="AB43" i="5"/>
  <c r="AD43" i="5"/>
  <c r="S46" i="3"/>
  <c r="T46" i="3" s="1"/>
  <c r="U46" i="3" s="1"/>
  <c r="V47" i="2"/>
  <c r="Y47" i="2"/>
  <c r="Z47" i="2"/>
  <c r="AB47" i="2"/>
  <c r="AC47" i="2"/>
  <c r="AD47" i="2"/>
  <c r="AD41" i="1"/>
  <c r="Y41" i="1"/>
  <c r="AB41" i="1"/>
  <c r="V41" i="1"/>
  <c r="AA41" i="1"/>
  <c r="AC41" i="1"/>
  <c r="Z41" i="1"/>
  <c r="S44" i="5" l="1"/>
  <c r="T44" i="5" s="1"/>
  <c r="U44" i="5" s="1"/>
  <c r="AB44" i="5" s="1"/>
  <c r="V46" i="3"/>
  <c r="AD46" i="3"/>
  <c r="AC46" i="3"/>
  <c r="S47" i="3"/>
  <c r="T47" i="3" s="1"/>
  <c r="U47" i="3" s="1"/>
  <c r="Y46" i="3"/>
  <c r="AA46" i="3"/>
  <c r="Z46" i="3"/>
  <c r="S48" i="2"/>
  <c r="T48" i="2" s="1"/>
  <c r="U48" i="2" s="1"/>
  <c r="S42" i="1"/>
  <c r="T42" i="1" s="1"/>
  <c r="U42" i="1" s="1"/>
  <c r="Y44" i="5" l="1"/>
  <c r="Z44" i="5"/>
  <c r="AC44" i="5"/>
  <c r="AF44" i="5"/>
  <c r="AX24" i="5" s="1"/>
  <c r="AE44" i="5"/>
  <c r="AW24" i="5" s="1"/>
  <c r="AJ45" i="5"/>
  <c r="AG44" i="5"/>
  <c r="AY24" i="5" s="1"/>
  <c r="AD44" i="5"/>
  <c r="AA44" i="5"/>
  <c r="V44" i="5"/>
  <c r="X44" i="5" s="1"/>
  <c r="AV24" i="5" s="1"/>
  <c r="AI44" i="5"/>
  <c r="BA24" i="5" s="1"/>
  <c r="AH44" i="5"/>
  <c r="AZ24" i="5" s="1"/>
  <c r="AD47" i="3"/>
  <c r="AC47" i="3"/>
  <c r="S48" i="3"/>
  <c r="T48" i="3" s="1"/>
  <c r="U48" i="3" s="1"/>
  <c r="AA47" i="3"/>
  <c r="Z47" i="3"/>
  <c r="Y47" i="3"/>
  <c r="V47" i="3"/>
  <c r="AA48" i="2"/>
  <c r="AC48" i="2"/>
  <c r="AB48" i="2"/>
  <c r="V48" i="2"/>
  <c r="AD48" i="2"/>
  <c r="Z48" i="2"/>
  <c r="Y48" i="2"/>
  <c r="AD42" i="1"/>
  <c r="AQ22" i="1" s="1"/>
  <c r="AA42" i="1"/>
  <c r="AC42" i="1"/>
  <c r="AP22" i="1" s="1"/>
  <c r="Y42" i="1"/>
  <c r="AB42" i="1"/>
  <c r="Z42" i="1"/>
  <c r="V42" i="1"/>
  <c r="X42" i="1" s="1"/>
  <c r="AN22" i="1" s="1"/>
  <c r="S45" i="5" l="1"/>
  <c r="T45" i="5" s="1"/>
  <c r="U45" i="5" s="1"/>
  <c r="AB45" i="5" s="1"/>
  <c r="AA48" i="3"/>
  <c r="Z48" i="3"/>
  <c r="Y48" i="3"/>
  <c r="V48" i="3"/>
  <c r="AC48" i="3"/>
  <c r="AD48" i="3"/>
  <c r="S49" i="2"/>
  <c r="T49" i="2" s="1"/>
  <c r="U49" i="2" s="1"/>
  <c r="S43" i="1"/>
  <c r="T43" i="1" s="1"/>
  <c r="U43" i="1" s="1"/>
  <c r="AA43" i="1" s="1"/>
  <c r="AO22" i="1"/>
  <c r="AC43" i="1" l="1"/>
  <c r="AD43" i="1"/>
  <c r="AW22" i="1"/>
  <c r="AU22" i="1"/>
  <c r="Z43" i="1"/>
  <c r="Y43" i="1"/>
  <c r="V43" i="1"/>
  <c r="AB43" i="1"/>
  <c r="AC45" i="5"/>
  <c r="V45" i="5"/>
  <c r="AJ46" i="5"/>
  <c r="AI45" i="5"/>
  <c r="AE45" i="5"/>
  <c r="AD45" i="5"/>
  <c r="AF45" i="5"/>
  <c r="AA45" i="5"/>
  <c r="Y45" i="5"/>
  <c r="Z45" i="5"/>
  <c r="AH45" i="5"/>
  <c r="AG45" i="5"/>
  <c r="S49" i="3"/>
  <c r="T49" i="3" s="1"/>
  <c r="U49" i="3" s="1"/>
  <c r="AB49" i="2"/>
  <c r="Z49" i="2"/>
  <c r="V49" i="2"/>
  <c r="AC49" i="2"/>
  <c r="AD49" i="2"/>
  <c r="AA49" i="2"/>
  <c r="Y49" i="2"/>
  <c r="S44" i="1" l="1"/>
  <c r="T44" i="1" s="1"/>
  <c r="U44" i="1" s="1"/>
  <c r="AD44" i="1" s="1"/>
  <c r="S46" i="5"/>
  <c r="T46" i="5" s="1"/>
  <c r="U46" i="5" s="1"/>
  <c r="V46" i="5" s="1"/>
  <c r="V49" i="3"/>
  <c r="AD49" i="3"/>
  <c r="AC49" i="3"/>
  <c r="S50" i="3"/>
  <c r="T50" i="3" s="1"/>
  <c r="U50" i="3" s="1"/>
  <c r="Y49" i="3"/>
  <c r="AA49" i="3"/>
  <c r="Z49" i="3"/>
  <c r="S50" i="2"/>
  <c r="T50" i="2" s="1"/>
  <c r="U50" i="2" s="1"/>
  <c r="AB44" i="1" l="1"/>
  <c r="AA44" i="1"/>
  <c r="V44" i="1"/>
  <c r="Y44" i="1"/>
  <c r="AC44" i="1"/>
  <c r="Z44" i="1"/>
  <c r="AG46" i="5"/>
  <c r="Z46" i="5"/>
  <c r="AB46" i="5"/>
  <c r="AH46" i="5"/>
  <c r="Y46" i="5"/>
  <c r="AA46" i="5"/>
  <c r="AD46" i="5"/>
  <c r="AJ47" i="5"/>
  <c r="AE46" i="5"/>
  <c r="AC46" i="5"/>
  <c r="AF46" i="5"/>
  <c r="AI46" i="5"/>
  <c r="AD50" i="3"/>
  <c r="AC50" i="3"/>
  <c r="S51" i="3"/>
  <c r="T51" i="3" s="1"/>
  <c r="U51" i="3" s="1"/>
  <c r="AA50" i="3"/>
  <c r="Z50" i="3"/>
  <c r="Y50" i="3"/>
  <c r="V50" i="3"/>
  <c r="Z50" i="2"/>
  <c r="Y50" i="2"/>
  <c r="AC50" i="2"/>
  <c r="AD50" i="2"/>
  <c r="AB50" i="2"/>
  <c r="S51" i="2" s="1"/>
  <c r="T51" i="2" s="1"/>
  <c r="U51" i="2" s="1"/>
  <c r="V50" i="2"/>
  <c r="AA50" i="2"/>
  <c r="S45" i="1" l="1"/>
  <c r="T45" i="1" s="1"/>
  <c r="U45" i="1" s="1"/>
  <c r="Y45" i="1" s="1"/>
  <c r="S47" i="5"/>
  <c r="T47" i="5" s="1"/>
  <c r="U47" i="5" s="1"/>
  <c r="AA47" i="5" s="1"/>
  <c r="AA51" i="3"/>
  <c r="Z51" i="3"/>
  <c r="Y51" i="3"/>
  <c r="V51" i="3"/>
  <c r="AC51" i="3"/>
  <c r="AD51" i="3"/>
  <c r="AC51" i="2"/>
  <c r="Z51" i="2"/>
  <c r="Y51" i="2"/>
  <c r="V51" i="2"/>
  <c r="AD51" i="2"/>
  <c r="AB51" i="2"/>
  <c r="AA51" i="2"/>
  <c r="S52" i="2" l="1"/>
  <c r="T52" i="2" s="1"/>
  <c r="U52" i="2" s="1"/>
  <c r="V45" i="1"/>
  <c r="AC45" i="1"/>
  <c r="Z45" i="1"/>
  <c r="AA45" i="1"/>
  <c r="AD45" i="1"/>
  <c r="AB45" i="1"/>
  <c r="S46" i="1"/>
  <c r="T46" i="1" s="1"/>
  <c r="U46" i="1" s="1"/>
  <c r="AH47" i="5"/>
  <c r="AI47" i="5"/>
  <c r="V47" i="5"/>
  <c r="Z47" i="5"/>
  <c r="AJ48" i="5"/>
  <c r="AD47" i="5"/>
  <c r="AF47" i="5"/>
  <c r="Y47" i="5"/>
  <c r="AC47" i="5"/>
  <c r="AB47" i="5"/>
  <c r="AG47" i="5"/>
  <c r="AE47" i="5"/>
  <c r="S48" i="5" s="1"/>
  <c r="T48" i="5" s="1"/>
  <c r="U48" i="5" s="1"/>
  <c r="AG48" i="5" s="1"/>
  <c r="S52" i="3"/>
  <c r="T52" i="3" s="1"/>
  <c r="U52" i="3" s="1"/>
  <c r="AB52" i="2"/>
  <c r="Y52" i="2"/>
  <c r="AD52" i="2"/>
  <c r="AC52" i="2"/>
  <c r="AA52" i="2"/>
  <c r="Z52" i="2"/>
  <c r="V52" i="2"/>
  <c r="V46" i="1" l="1"/>
  <c r="AB46" i="1"/>
  <c r="Y46" i="1"/>
  <c r="AC46" i="1"/>
  <c r="Z46" i="1"/>
  <c r="AD46" i="1"/>
  <c r="AA46" i="1"/>
  <c r="AD48" i="5"/>
  <c r="AB48" i="5"/>
  <c r="Y48" i="5"/>
  <c r="AH48" i="5"/>
  <c r="AF48" i="5"/>
  <c r="AI48" i="5"/>
  <c r="Z48" i="5"/>
  <c r="V48" i="5"/>
  <c r="AC48" i="5"/>
  <c r="AE48" i="5"/>
  <c r="AA48" i="5"/>
  <c r="AJ49" i="5"/>
  <c r="V52" i="3"/>
  <c r="AD52" i="3"/>
  <c r="AC52" i="3"/>
  <c r="S53" i="3"/>
  <c r="T53" i="3" s="1"/>
  <c r="U53" i="3" s="1"/>
  <c r="Y52" i="3"/>
  <c r="AA52" i="3"/>
  <c r="Z52" i="3"/>
  <c r="S53" i="2"/>
  <c r="T53" i="2" s="1"/>
  <c r="U53" i="2" s="1"/>
  <c r="S47" i="1" l="1"/>
  <c r="T47" i="1" s="1"/>
  <c r="U47" i="1" s="1"/>
  <c r="S49" i="5"/>
  <c r="T49" i="5" s="1"/>
  <c r="U49" i="5" s="1"/>
  <c r="Y49" i="5" s="1"/>
  <c r="AD53" i="3"/>
  <c r="AC53" i="3"/>
  <c r="S54" i="3"/>
  <c r="T54" i="3" s="1"/>
  <c r="U54" i="3" s="1"/>
  <c r="AA53" i="3"/>
  <c r="Z53" i="3"/>
  <c r="Y53" i="3"/>
  <c r="V53" i="3"/>
  <c r="Z53" i="2"/>
  <c r="AD53" i="2"/>
  <c r="AB53" i="2"/>
  <c r="AA53" i="2"/>
  <c r="Y53" i="2"/>
  <c r="AC53" i="2"/>
  <c r="V53" i="2"/>
  <c r="V47" i="1" l="1"/>
  <c r="AA47" i="1"/>
  <c r="AD47" i="1"/>
  <c r="Z47" i="1"/>
  <c r="AC47" i="1"/>
  <c r="AB47" i="1"/>
  <c r="S48" i="1" s="1"/>
  <c r="T48" i="1" s="1"/>
  <c r="U48" i="1" s="1"/>
  <c r="Y47" i="1"/>
  <c r="AD49" i="5"/>
  <c r="AC49" i="5"/>
  <c r="AI49" i="5"/>
  <c r="Z49" i="5"/>
  <c r="AB49" i="5"/>
  <c r="AJ50" i="5"/>
  <c r="V49" i="5"/>
  <c r="AF49" i="5"/>
  <c r="AG49" i="5"/>
  <c r="AE49" i="5"/>
  <c r="AH49" i="5"/>
  <c r="AA49" i="5"/>
  <c r="AA54" i="3"/>
  <c r="Z54" i="3"/>
  <c r="Y54" i="3"/>
  <c r="V54" i="3"/>
  <c r="AC54" i="3"/>
  <c r="AD54" i="3"/>
  <c r="S54" i="2"/>
  <c r="T54" i="2" s="1"/>
  <c r="U54" i="2" s="1"/>
  <c r="V48" i="1" l="1"/>
  <c r="AA48" i="1"/>
  <c r="AC48" i="1"/>
  <c r="AD48" i="1"/>
  <c r="Z48" i="1"/>
  <c r="Y48" i="1"/>
  <c r="AB48" i="1"/>
  <c r="S50" i="5"/>
  <c r="T50" i="5" s="1"/>
  <c r="U50" i="5" s="1"/>
  <c r="AC50" i="5" s="1"/>
  <c r="S55" i="3"/>
  <c r="T55" i="3" s="1"/>
  <c r="U55" i="3" s="1"/>
  <c r="AD54" i="2"/>
  <c r="V54" i="2"/>
  <c r="AA54" i="2"/>
  <c r="AC54" i="2"/>
  <c r="AB54" i="2"/>
  <c r="Z54" i="2"/>
  <c r="Y54" i="2"/>
  <c r="S49" i="1" l="1"/>
  <c r="T49" i="1" s="1"/>
  <c r="U49" i="1" s="1"/>
  <c r="AD49" i="1" s="1"/>
  <c r="S55" i="2"/>
  <c r="T55" i="2" s="1"/>
  <c r="U55" i="2" s="1"/>
  <c r="V55" i="2" s="1"/>
  <c r="Z50" i="5"/>
  <c r="AB50" i="5"/>
  <c r="AJ51" i="5"/>
  <c r="AD50" i="5"/>
  <c r="Y50" i="5"/>
  <c r="AI50" i="5"/>
  <c r="AF50" i="5"/>
  <c r="AH50" i="5"/>
  <c r="AE50" i="5"/>
  <c r="AA50" i="5"/>
  <c r="V50" i="5"/>
  <c r="AG50" i="5"/>
  <c r="V55" i="3"/>
  <c r="AD55" i="3"/>
  <c r="AC55" i="3"/>
  <c r="S56" i="3"/>
  <c r="T56" i="3" s="1"/>
  <c r="U56" i="3" s="1"/>
  <c r="Y55" i="3"/>
  <c r="AA55" i="3"/>
  <c r="Z55" i="3"/>
  <c r="AC55" i="2"/>
  <c r="AA55" i="2"/>
  <c r="Y55" i="2"/>
  <c r="AD55" i="2"/>
  <c r="AB55" i="2"/>
  <c r="S56" i="2" s="1"/>
  <c r="T56" i="2" s="1"/>
  <c r="U56" i="2" s="1"/>
  <c r="Z55" i="2"/>
  <c r="V49" i="1" l="1"/>
  <c r="AB49" i="1"/>
  <c r="Y49" i="1"/>
  <c r="Z49" i="1"/>
  <c r="AA49" i="1"/>
  <c r="AC49" i="1"/>
  <c r="S51" i="5"/>
  <c r="T51" i="5" s="1"/>
  <c r="U51" i="5" s="1"/>
  <c r="AD51" i="5" s="1"/>
  <c r="AD56" i="3"/>
  <c r="AC56" i="3"/>
  <c r="S57" i="3"/>
  <c r="T57" i="3" s="1"/>
  <c r="U57" i="3" s="1"/>
  <c r="AA56" i="3"/>
  <c r="Z56" i="3"/>
  <c r="Y56" i="3"/>
  <c r="V56" i="3"/>
  <c r="Z56" i="2"/>
  <c r="V56" i="2"/>
  <c r="AD56" i="2"/>
  <c r="AB56" i="2"/>
  <c r="Y56" i="2"/>
  <c r="AC56" i="2"/>
  <c r="AA56" i="2"/>
  <c r="S50" i="1" l="1"/>
  <c r="T50" i="1" s="1"/>
  <c r="U50" i="1" s="1"/>
  <c r="Y50" i="1" s="1"/>
  <c r="Z50" i="1"/>
  <c r="AC50" i="1"/>
  <c r="V50" i="1"/>
  <c r="AA50" i="1"/>
  <c r="V51" i="5"/>
  <c r="AG51" i="5"/>
  <c r="AF51" i="5"/>
  <c r="AA51" i="5"/>
  <c r="Z51" i="5"/>
  <c r="AE51" i="5"/>
  <c r="AC51" i="5"/>
  <c r="AH51" i="5"/>
  <c r="AB51" i="5"/>
  <c r="AJ52" i="5"/>
  <c r="AI51" i="5"/>
  <c r="Y51" i="5"/>
  <c r="S52" i="5"/>
  <c r="T52" i="5" s="1"/>
  <c r="U52" i="5" s="1"/>
  <c r="AA57" i="3"/>
  <c r="Z57" i="3"/>
  <c r="Y57" i="3"/>
  <c r="V57" i="3"/>
  <c r="AC57" i="3"/>
  <c r="AD57" i="3"/>
  <c r="S57" i="2"/>
  <c r="T57" i="2" s="1"/>
  <c r="U57" i="2" s="1"/>
  <c r="AB57" i="2" s="1"/>
  <c r="Y57" i="2"/>
  <c r="AB50" i="1" l="1"/>
  <c r="AD50" i="1"/>
  <c r="AA57" i="2"/>
  <c r="AC57" i="2"/>
  <c r="AD57" i="2"/>
  <c r="S51" i="1"/>
  <c r="T51" i="1" s="1"/>
  <c r="U51" i="1" s="1"/>
  <c r="Y52" i="5"/>
  <c r="AH52" i="5"/>
  <c r="V52" i="5"/>
  <c r="AC52" i="5"/>
  <c r="AJ53" i="5"/>
  <c r="AF52" i="5"/>
  <c r="AI52" i="5"/>
  <c r="AE52" i="5"/>
  <c r="AD52" i="5"/>
  <c r="AA52" i="5"/>
  <c r="AG52" i="5"/>
  <c r="Z52" i="5"/>
  <c r="AB52" i="5"/>
  <c r="S58" i="3"/>
  <c r="T58" i="3" s="1"/>
  <c r="U58" i="3" s="1"/>
  <c r="V57" i="2"/>
  <c r="Z57" i="2"/>
  <c r="S58" i="2"/>
  <c r="T58" i="2" s="1"/>
  <c r="U58" i="2" s="1"/>
  <c r="Z51" i="1" l="1"/>
  <c r="V51" i="1"/>
  <c r="AA51" i="1"/>
  <c r="Y51" i="1"/>
  <c r="AB51" i="1"/>
  <c r="AD51" i="1"/>
  <c r="AC51" i="1"/>
  <c r="S53" i="5"/>
  <c r="T53" i="5" s="1"/>
  <c r="U53" i="5" s="1"/>
  <c r="V58" i="3"/>
  <c r="AD58" i="3"/>
  <c r="AC58" i="3"/>
  <c r="S59" i="3" s="1"/>
  <c r="T59" i="3" s="1"/>
  <c r="U59" i="3" s="1"/>
  <c r="Y58" i="3"/>
  <c r="AA58" i="3"/>
  <c r="Z58" i="3"/>
  <c r="AB58" i="2"/>
  <c r="Z58" i="2"/>
  <c r="Y58" i="2"/>
  <c r="V58" i="2"/>
  <c r="AD58" i="2"/>
  <c r="AC58" i="2"/>
  <c r="AA58" i="2"/>
  <c r="S52" i="1" l="1"/>
  <c r="T52" i="1" s="1"/>
  <c r="U52" i="1" s="1"/>
  <c r="Z53" i="5"/>
  <c r="AF53" i="5"/>
  <c r="AH53" i="5"/>
  <c r="AB53" i="5"/>
  <c r="AG53" i="5"/>
  <c r="AI53" i="5"/>
  <c r="AD53" i="5"/>
  <c r="V53" i="5"/>
  <c r="AE53" i="5"/>
  <c r="Y53" i="5"/>
  <c r="AJ54" i="5"/>
  <c r="AC53" i="5"/>
  <c r="AA53" i="5"/>
  <c r="AD59" i="3"/>
  <c r="AC59" i="3"/>
  <c r="S60" i="3"/>
  <c r="T60" i="3" s="1"/>
  <c r="U60" i="3" s="1"/>
  <c r="AA59" i="3"/>
  <c r="Z59" i="3"/>
  <c r="Y59" i="3"/>
  <c r="V59" i="3"/>
  <c r="S59" i="2"/>
  <c r="T59" i="2" s="1"/>
  <c r="U59" i="2" s="1"/>
  <c r="AC52" i="1" l="1"/>
  <c r="AA52" i="1"/>
  <c r="AB52" i="1"/>
  <c r="Z52" i="1"/>
  <c r="AD52" i="1"/>
  <c r="Y52" i="1"/>
  <c r="V52" i="1"/>
  <c r="S54" i="5"/>
  <c r="T54" i="5" s="1"/>
  <c r="U54" i="5" s="1"/>
  <c r="AF54" i="5" s="1"/>
  <c r="AA60" i="3"/>
  <c r="Z60" i="3"/>
  <c r="Y60" i="3"/>
  <c r="V60" i="3"/>
  <c r="AC60" i="3"/>
  <c r="AD60" i="3"/>
  <c r="Y59" i="2"/>
  <c r="V59" i="2"/>
  <c r="Z59" i="2"/>
  <c r="AD59" i="2"/>
  <c r="AC59" i="2"/>
  <c r="AB59" i="2"/>
  <c r="S60" i="2" s="1"/>
  <c r="T60" i="2" s="1"/>
  <c r="U60" i="2" s="1"/>
  <c r="AA59" i="2"/>
  <c r="S53" i="1" l="1"/>
  <c r="T53" i="1" s="1"/>
  <c r="U53" i="1" s="1"/>
  <c r="AH54" i="5"/>
  <c r="AE54" i="5"/>
  <c r="AI54" i="5"/>
  <c r="V54" i="5"/>
  <c r="AJ55" i="5"/>
  <c r="Y54" i="5"/>
  <c r="AB54" i="5"/>
  <c r="AG54" i="5"/>
  <c r="AC54" i="5"/>
  <c r="AA54" i="5"/>
  <c r="Z54" i="5"/>
  <c r="AD54" i="5"/>
  <c r="S61" i="3"/>
  <c r="T61" i="3" s="1"/>
  <c r="U61" i="3" s="1"/>
  <c r="AB60" i="2"/>
  <c r="AC60" i="2"/>
  <c r="AD60" i="2"/>
  <c r="Y60" i="2"/>
  <c r="Z60" i="2"/>
  <c r="V60" i="2"/>
  <c r="AA60" i="2"/>
  <c r="V53" i="1" l="1"/>
  <c r="Z53" i="1"/>
  <c r="AA53" i="1"/>
  <c r="Y53" i="1"/>
  <c r="AB53" i="1"/>
  <c r="AD53" i="1"/>
  <c r="AC53" i="1"/>
  <c r="S55" i="5"/>
  <c r="T55" i="5" s="1"/>
  <c r="U55" i="5" s="1"/>
  <c r="AB55" i="5" s="1"/>
  <c r="V61" i="3"/>
  <c r="AD61" i="3"/>
  <c r="AC61" i="3"/>
  <c r="S62" i="3"/>
  <c r="T62" i="3" s="1"/>
  <c r="U62" i="3" s="1"/>
  <c r="Y61" i="3"/>
  <c r="Z61" i="3"/>
  <c r="AA61" i="3"/>
  <c r="S61" i="2"/>
  <c r="T61" i="2" s="1"/>
  <c r="U61" i="2" s="1"/>
  <c r="S54" i="1" l="1"/>
  <c r="T54" i="1" s="1"/>
  <c r="U54" i="1" s="1"/>
  <c r="AB54" i="1" s="1"/>
  <c r="AE55" i="5"/>
  <c r="AJ56" i="5"/>
  <c r="Y55" i="5"/>
  <c r="AI55" i="5"/>
  <c r="AD55" i="5"/>
  <c r="V55" i="5"/>
  <c r="AF55" i="5"/>
  <c r="AC55" i="5"/>
  <c r="AG55" i="5"/>
  <c r="AA55" i="5"/>
  <c r="AH55" i="5"/>
  <c r="Z55" i="5"/>
  <c r="AD62" i="3"/>
  <c r="AQ23" i="3" s="1"/>
  <c r="AC62" i="3"/>
  <c r="AP23" i="3" s="1"/>
  <c r="AA62" i="3"/>
  <c r="Z62" i="3"/>
  <c r="Y62" i="3"/>
  <c r="V62" i="3"/>
  <c r="X62" i="3" s="1"/>
  <c r="AN23" i="3" s="1"/>
  <c r="AC61" i="2"/>
  <c r="AA61" i="2"/>
  <c r="V61" i="2"/>
  <c r="AD61" i="2"/>
  <c r="AB61" i="2"/>
  <c r="S62" i="2" s="1"/>
  <c r="T62" i="2" s="1"/>
  <c r="U62" i="2" s="1"/>
  <c r="Z61" i="2"/>
  <c r="Y61" i="2"/>
  <c r="AA54" i="1" l="1"/>
  <c r="AC54" i="1"/>
  <c r="V54" i="1"/>
  <c r="Y54" i="1"/>
  <c r="AD54" i="1"/>
  <c r="Z54" i="1"/>
  <c r="S55" i="1"/>
  <c r="T55" i="1" s="1"/>
  <c r="U55" i="1" s="1"/>
  <c r="S56" i="5"/>
  <c r="T56" i="5" s="1"/>
  <c r="U56" i="5" s="1"/>
  <c r="AB56" i="5" s="1"/>
  <c r="S63" i="3"/>
  <c r="T63" i="3" s="1"/>
  <c r="U63" i="3" s="1"/>
  <c r="AO23" i="3"/>
  <c r="V62" i="2"/>
  <c r="X62" i="2" s="1"/>
  <c r="AN23" i="2" s="1"/>
  <c r="AD62" i="2"/>
  <c r="AQ23" i="2" s="1"/>
  <c r="AC62" i="2"/>
  <c r="AP23" i="2" s="1"/>
  <c r="AB62" i="2"/>
  <c r="Y62" i="2"/>
  <c r="AA62" i="2"/>
  <c r="Z62" i="2"/>
  <c r="Y55" i="1" l="1"/>
  <c r="AC55" i="1"/>
  <c r="AB55" i="1"/>
  <c r="Z55" i="1"/>
  <c r="AA55" i="1"/>
  <c r="AD55" i="1"/>
  <c r="V55" i="1"/>
  <c r="V56" i="5"/>
  <c r="AE56" i="5"/>
  <c r="AH56" i="5"/>
  <c r="AD56" i="5"/>
  <c r="AF56" i="5"/>
  <c r="AG56" i="5"/>
  <c r="AC56" i="5"/>
  <c r="Z56" i="5"/>
  <c r="AJ57" i="5"/>
  <c r="AI56" i="5"/>
  <c r="AA56" i="5"/>
  <c r="Y56" i="5"/>
  <c r="AU23" i="3"/>
  <c r="AW23" i="3"/>
  <c r="AA63" i="3"/>
  <c r="Z63" i="3"/>
  <c r="Y63" i="3"/>
  <c r="V63" i="3"/>
  <c r="AC63" i="3"/>
  <c r="AD63" i="3"/>
  <c r="AO23" i="2"/>
  <c r="S63" i="2"/>
  <c r="T63" i="2" s="1"/>
  <c r="U63" i="2" s="1"/>
  <c r="S56" i="1" l="1"/>
  <c r="T56" i="1" s="1"/>
  <c r="U56" i="1" s="1"/>
  <c r="S57" i="5"/>
  <c r="T57" i="5" s="1"/>
  <c r="U57" i="5" s="1"/>
  <c r="V57" i="5" s="1"/>
  <c r="S64" i="3"/>
  <c r="T64" i="3" s="1"/>
  <c r="U64" i="3" s="1"/>
  <c r="AB63" i="2"/>
  <c r="Z63" i="2"/>
  <c r="Y63" i="2"/>
  <c r="V63" i="2"/>
  <c r="AA63" i="2"/>
  <c r="AD63" i="2"/>
  <c r="AC63" i="2"/>
  <c r="AW23" i="2"/>
  <c r="AU23" i="2"/>
  <c r="AB56" i="1" l="1"/>
  <c r="AC56" i="1"/>
  <c r="AA56" i="1"/>
  <c r="V56" i="1"/>
  <c r="Z56" i="1"/>
  <c r="Y56" i="1"/>
  <c r="AD56" i="1"/>
  <c r="Z57" i="5"/>
  <c r="AD57" i="5"/>
  <c r="AI57" i="5"/>
  <c r="AG57" i="5"/>
  <c r="AB57" i="5"/>
  <c r="AJ58" i="5"/>
  <c r="AE57" i="5"/>
  <c r="AC57" i="5"/>
  <c r="AF57" i="5"/>
  <c r="AH57" i="5"/>
  <c r="Y57" i="5"/>
  <c r="AA57" i="5"/>
  <c r="AD64" i="3"/>
  <c r="AC64" i="3"/>
  <c r="S65" i="3"/>
  <c r="T65" i="3" s="1"/>
  <c r="U65" i="3" s="1"/>
  <c r="AA64" i="3"/>
  <c r="V64" i="3"/>
  <c r="Z64" i="3"/>
  <c r="Y64" i="3"/>
  <c r="S64" i="2"/>
  <c r="T64" i="2" s="1"/>
  <c r="U64" i="2" s="1"/>
  <c r="S57" i="1" l="1"/>
  <c r="T57" i="1" s="1"/>
  <c r="U57" i="1" s="1"/>
  <c r="S58" i="5"/>
  <c r="T58" i="5" s="1"/>
  <c r="U58" i="5" s="1"/>
  <c r="AE58" i="5" s="1"/>
  <c r="AB58" i="5"/>
  <c r="Y58" i="5"/>
  <c r="AC58" i="5"/>
  <c r="AF58" i="5"/>
  <c r="AG58" i="5"/>
  <c r="AI58" i="5"/>
  <c r="AJ59" i="5"/>
  <c r="AA58" i="5"/>
  <c r="AH58" i="5"/>
  <c r="Z58" i="5"/>
  <c r="AD58" i="5"/>
  <c r="AD65" i="3"/>
  <c r="AC65" i="3"/>
  <c r="S66" i="3"/>
  <c r="T66" i="3" s="1"/>
  <c r="U66" i="3" s="1"/>
  <c r="AA65" i="3"/>
  <c r="Z65" i="3"/>
  <c r="Y65" i="3"/>
  <c r="V65" i="3"/>
  <c r="Y64" i="2"/>
  <c r="AD64" i="2"/>
  <c r="AB64" i="2"/>
  <c r="Z64" i="2"/>
  <c r="V64" i="2"/>
  <c r="AA64" i="2"/>
  <c r="AC64" i="2"/>
  <c r="AD57" i="1" l="1"/>
  <c r="Y57" i="1"/>
  <c r="AB57" i="1"/>
  <c r="Z57" i="1"/>
  <c r="AA57" i="1"/>
  <c r="V57" i="1"/>
  <c r="AC57" i="1"/>
  <c r="S58" i="1" s="1"/>
  <c r="T58" i="1" s="1"/>
  <c r="U58" i="1" s="1"/>
  <c r="V58" i="5"/>
  <c r="S59" i="5"/>
  <c r="T59" i="5" s="1"/>
  <c r="U59" i="5" s="1"/>
  <c r="AH59" i="5" s="1"/>
  <c r="AA66" i="3"/>
  <c r="Z66" i="3"/>
  <c r="AD66" i="3"/>
  <c r="S67" i="3" s="1"/>
  <c r="T67" i="3" s="1"/>
  <c r="U67" i="3" s="1"/>
  <c r="AC66" i="3"/>
  <c r="Y66" i="3"/>
  <c r="V66" i="3"/>
  <c r="S65" i="2"/>
  <c r="T65" i="2" s="1"/>
  <c r="U65" i="2" s="1"/>
  <c r="AD58" i="1" l="1"/>
  <c r="Z58" i="1"/>
  <c r="AB58" i="1"/>
  <c r="Y58" i="1"/>
  <c r="AC58" i="1"/>
  <c r="V58" i="1"/>
  <c r="AA58" i="1"/>
  <c r="AE59" i="5"/>
  <c r="AG59" i="5"/>
  <c r="AA59" i="5"/>
  <c r="AI59" i="5"/>
  <c r="AB59" i="5"/>
  <c r="AC59" i="5"/>
  <c r="Z59" i="5"/>
  <c r="V59" i="5"/>
  <c r="Y59" i="5"/>
  <c r="AD59" i="5"/>
  <c r="AF59" i="5"/>
  <c r="S60" i="5" s="1"/>
  <c r="T60" i="5" s="1"/>
  <c r="U60" i="5" s="1"/>
  <c r="AE60" i="5" s="1"/>
  <c r="AJ60" i="5"/>
  <c r="AD67" i="3"/>
  <c r="AC67" i="3"/>
  <c r="S68" i="3"/>
  <c r="T68" i="3" s="1"/>
  <c r="U68" i="3" s="1"/>
  <c r="AA67" i="3"/>
  <c r="Z67" i="3"/>
  <c r="Y67" i="3"/>
  <c r="V67" i="3"/>
  <c r="AD65" i="2"/>
  <c r="AC65" i="2"/>
  <c r="AB65" i="2"/>
  <c r="S66" i="2" s="1"/>
  <c r="T66" i="2" s="1"/>
  <c r="U66" i="2" s="1"/>
  <c r="Z65" i="2"/>
  <c r="AA65" i="2"/>
  <c r="V65" i="2"/>
  <c r="Y65" i="2"/>
  <c r="S59" i="1" l="1"/>
  <c r="T59" i="1" s="1"/>
  <c r="U59" i="1" s="1"/>
  <c r="AG60" i="5"/>
  <c r="AB60" i="5"/>
  <c r="AD60" i="5"/>
  <c r="Z60" i="5"/>
  <c r="Y60" i="5"/>
  <c r="AC60" i="5"/>
  <c r="AI60" i="5"/>
  <c r="AF60" i="5"/>
  <c r="V60" i="5"/>
  <c r="AA60" i="5"/>
  <c r="AH60" i="5"/>
  <c r="AJ61" i="5"/>
  <c r="AD68" i="3"/>
  <c r="Z68" i="3"/>
  <c r="Y68" i="3"/>
  <c r="AC68" i="3"/>
  <c r="S69" i="3"/>
  <c r="T69" i="3" s="1"/>
  <c r="U69" i="3" s="1"/>
  <c r="AA68" i="3"/>
  <c r="V68" i="3"/>
  <c r="Y66" i="2"/>
  <c r="V66" i="2"/>
  <c r="AC66" i="2"/>
  <c r="AA66" i="2"/>
  <c r="AD66" i="2"/>
  <c r="Z66" i="2"/>
  <c r="AB66" i="2"/>
  <c r="S67" i="2" l="1"/>
  <c r="T67" i="2" s="1"/>
  <c r="U67" i="2" s="1"/>
  <c r="AC67" i="2" s="1"/>
  <c r="V59" i="1"/>
  <c r="AC59" i="1"/>
  <c r="AD59" i="1"/>
  <c r="AA59" i="1"/>
  <c r="AB59" i="1"/>
  <c r="S60" i="1" s="1"/>
  <c r="T60" i="1" s="1"/>
  <c r="U60" i="1" s="1"/>
  <c r="Z59" i="1"/>
  <c r="Y59" i="1"/>
  <c r="S61" i="5"/>
  <c r="T61" i="5" s="1"/>
  <c r="U61" i="5" s="1"/>
  <c r="AD61" i="5" s="1"/>
  <c r="AA69" i="3"/>
  <c r="Z69" i="3"/>
  <c r="AD69" i="3"/>
  <c r="S70" i="3" s="1"/>
  <c r="T70" i="3" s="1"/>
  <c r="U70" i="3" s="1"/>
  <c r="AC69" i="3"/>
  <c r="Y69" i="3"/>
  <c r="V69" i="3"/>
  <c r="Z67" i="2"/>
  <c r="Y67" i="2"/>
  <c r="V67" i="2"/>
  <c r="AA67" i="2"/>
  <c r="AB67" i="2"/>
  <c r="AD67" i="2"/>
  <c r="AD60" i="1" l="1"/>
  <c r="AC60" i="1"/>
  <c r="Y60" i="1"/>
  <c r="V60" i="1"/>
  <c r="AA60" i="1"/>
  <c r="Z60" i="1"/>
  <c r="AB60" i="1"/>
  <c r="Y61" i="5"/>
  <c r="AF61" i="5"/>
  <c r="AB61" i="5"/>
  <c r="AA61" i="5"/>
  <c r="AE61" i="5"/>
  <c r="AI61" i="5"/>
  <c r="Z61" i="5"/>
  <c r="AC61" i="5"/>
  <c r="AJ62" i="5"/>
  <c r="AG61" i="5"/>
  <c r="AH61" i="5"/>
  <c r="V61" i="5"/>
  <c r="V70" i="3"/>
  <c r="AD70" i="3"/>
  <c r="AC70" i="3"/>
  <c r="S71" i="3" s="1"/>
  <c r="T71" i="3" s="1"/>
  <c r="U71" i="3" s="1"/>
  <c r="Z70" i="3"/>
  <c r="Y70" i="3"/>
  <c r="AA70" i="3"/>
  <c r="S68" i="2"/>
  <c r="T68" i="2" s="1"/>
  <c r="U68" i="2" s="1"/>
  <c r="V68" i="2" s="1"/>
  <c r="AA68" i="2"/>
  <c r="Y68" i="2" l="1"/>
  <c r="AB68" i="2"/>
  <c r="Z68" i="2"/>
  <c r="S61" i="1"/>
  <c r="T61" i="1" s="1"/>
  <c r="U61" i="1" s="1"/>
  <c r="S62" i="5"/>
  <c r="T62" i="5" s="1"/>
  <c r="U62" i="5" s="1"/>
  <c r="AC62" i="5" s="1"/>
  <c r="AD71" i="3"/>
  <c r="AC71" i="3"/>
  <c r="Z71" i="3"/>
  <c r="Y71" i="3"/>
  <c r="S72" i="3"/>
  <c r="T72" i="3" s="1"/>
  <c r="U72" i="3" s="1"/>
  <c r="AA71" i="3"/>
  <c r="V71" i="3"/>
  <c r="AD68" i="2"/>
  <c r="AC68" i="2"/>
  <c r="S69" i="2"/>
  <c r="T69" i="2" s="1"/>
  <c r="U69" i="2" s="1"/>
  <c r="Z69" i="2" s="1"/>
  <c r="AB69" i="2" l="1"/>
  <c r="AD69" i="2"/>
  <c r="AD61" i="1"/>
  <c r="Y61" i="1"/>
  <c r="Z61" i="1"/>
  <c r="AC61" i="1"/>
  <c r="V61" i="1"/>
  <c r="AA61" i="1"/>
  <c r="AB61" i="1"/>
  <c r="S62" i="1" s="1"/>
  <c r="T62" i="1" s="1"/>
  <c r="U62" i="1" s="1"/>
  <c r="AA62" i="5"/>
  <c r="V62" i="5"/>
  <c r="AH62" i="5"/>
  <c r="AB62" i="5"/>
  <c r="AE62" i="5"/>
  <c r="AJ63" i="5"/>
  <c r="Z62" i="5"/>
  <c r="Y62" i="5"/>
  <c r="AF62" i="5"/>
  <c r="AD62" i="5"/>
  <c r="AG62" i="5"/>
  <c r="AI62" i="5"/>
  <c r="AA72" i="3"/>
  <c r="Z72" i="3"/>
  <c r="Y72" i="3"/>
  <c r="AD72" i="3"/>
  <c r="AC72" i="3"/>
  <c r="V72" i="3"/>
  <c r="Y69" i="2"/>
  <c r="AA69" i="2"/>
  <c r="AC69" i="2"/>
  <c r="S70" i="2" s="1"/>
  <c r="T70" i="2" s="1"/>
  <c r="U70" i="2" s="1"/>
  <c r="V69" i="2"/>
  <c r="AD62" i="1" l="1"/>
  <c r="AQ23" i="1" s="1"/>
  <c r="Z62" i="1"/>
  <c r="AC62" i="1"/>
  <c r="AP23" i="1" s="1"/>
  <c r="AA62" i="1"/>
  <c r="AB62" i="1"/>
  <c r="V62" i="1"/>
  <c r="X62" i="1" s="1"/>
  <c r="AN23" i="1" s="1"/>
  <c r="Y62" i="1"/>
  <c r="S63" i="5"/>
  <c r="T63" i="5" s="1"/>
  <c r="U63" i="5" s="1"/>
  <c r="AA63" i="5" s="1"/>
  <c r="S73" i="3"/>
  <c r="T73" i="3" s="1"/>
  <c r="U73" i="3" s="1"/>
  <c r="AD70" i="2"/>
  <c r="AC70" i="2"/>
  <c r="AB70" i="2"/>
  <c r="S71" i="2" s="1"/>
  <c r="T71" i="2" s="1"/>
  <c r="U71" i="2" s="1"/>
  <c r="Z71" i="2" s="1"/>
  <c r="Z70" i="2"/>
  <c r="V70" i="2"/>
  <c r="Y70" i="2"/>
  <c r="AA70" i="2"/>
  <c r="Y71" i="2" l="1"/>
  <c r="AD71" i="2"/>
  <c r="AB71" i="2"/>
  <c r="AO23" i="1"/>
  <c r="AW23" i="1" s="1"/>
  <c r="S63" i="1"/>
  <c r="T63" i="1" s="1"/>
  <c r="U63" i="1" s="1"/>
  <c r="AE63" i="5"/>
  <c r="AB63" i="5"/>
  <c r="Y63" i="5"/>
  <c r="AJ64" i="5"/>
  <c r="BB25" i="5" s="1"/>
  <c r="V63" i="5"/>
  <c r="AD63" i="5"/>
  <c r="AF63" i="5"/>
  <c r="Z63" i="5"/>
  <c r="AH63" i="5"/>
  <c r="AG63" i="5"/>
  <c r="AI63" i="5"/>
  <c r="AC63" i="5"/>
  <c r="V73" i="3"/>
  <c r="AD73" i="3"/>
  <c r="AC73" i="3"/>
  <c r="Y73" i="3"/>
  <c r="Z73" i="3"/>
  <c r="S74" i="3"/>
  <c r="T74" i="3" s="1"/>
  <c r="U74" i="3" s="1"/>
  <c r="AA73" i="3"/>
  <c r="V71" i="2"/>
  <c r="AA71" i="2"/>
  <c r="AC71" i="2"/>
  <c r="S72" i="2"/>
  <c r="T72" i="2" s="1"/>
  <c r="U72" i="2" s="1"/>
  <c r="AD63" i="1" l="1"/>
  <c r="AB63" i="1"/>
  <c r="Y63" i="1"/>
  <c r="Z63" i="1"/>
  <c r="V63" i="1"/>
  <c r="AC63" i="1"/>
  <c r="AA63" i="1"/>
  <c r="AU23" i="1"/>
  <c r="S64" i="5"/>
  <c r="T64" i="5" s="1"/>
  <c r="U64" i="5" s="1"/>
  <c r="V64" i="5" s="1"/>
  <c r="X64" i="5" s="1"/>
  <c r="AV25" i="5" s="1"/>
  <c r="AD74" i="3"/>
  <c r="AC74" i="3"/>
  <c r="S75" i="3" s="1"/>
  <c r="T75" i="3" s="1"/>
  <c r="U75" i="3" s="1"/>
  <c r="Z74" i="3"/>
  <c r="Y74" i="3"/>
  <c r="AA74" i="3"/>
  <c r="V74" i="3"/>
  <c r="Y72" i="2"/>
  <c r="V72" i="2"/>
  <c r="AB72" i="2"/>
  <c r="AD72" i="2"/>
  <c r="AA72" i="2"/>
  <c r="AC72" i="2"/>
  <c r="Z72" i="2"/>
  <c r="S64" i="1" l="1"/>
  <c r="T64" i="1" s="1"/>
  <c r="U64" i="1" s="1"/>
  <c r="AJ65" i="5"/>
  <c r="AE64" i="5"/>
  <c r="AW25" i="5" s="1"/>
  <c r="AG64" i="5"/>
  <c r="AY25" i="5" s="1"/>
  <c r="AH64" i="5"/>
  <c r="AZ25" i="5" s="1"/>
  <c r="AD64" i="5"/>
  <c r="AC64" i="5"/>
  <c r="Y64" i="5"/>
  <c r="AF64" i="5"/>
  <c r="AX25" i="5" s="1"/>
  <c r="AI64" i="5"/>
  <c r="BA25" i="5" s="1"/>
  <c r="AB64" i="5"/>
  <c r="AA64" i="5"/>
  <c r="Z64" i="5"/>
  <c r="AA75" i="3"/>
  <c r="Z75" i="3"/>
  <c r="Y75" i="3"/>
  <c r="AD75" i="3"/>
  <c r="AC75" i="3"/>
  <c r="V75" i="3"/>
  <c r="S73" i="2"/>
  <c r="T73" i="2" s="1"/>
  <c r="U73" i="2" s="1"/>
  <c r="AA64" i="1" l="1"/>
  <c r="V64" i="1"/>
  <c r="AD64" i="1"/>
  <c r="Z64" i="1"/>
  <c r="Y64" i="1"/>
  <c r="AB64" i="1"/>
  <c r="AC64" i="1"/>
  <c r="S65" i="5"/>
  <c r="T65" i="5" s="1"/>
  <c r="U65" i="5" s="1"/>
  <c r="S76" i="3"/>
  <c r="T76" i="3" s="1"/>
  <c r="U76" i="3" s="1"/>
  <c r="Z73" i="2"/>
  <c r="Y73" i="2"/>
  <c r="AB73" i="2"/>
  <c r="V73" i="2"/>
  <c r="AD73" i="2"/>
  <c r="AC73" i="2"/>
  <c r="AA73" i="2"/>
  <c r="S65" i="1" l="1"/>
  <c r="T65" i="1" s="1"/>
  <c r="U65" i="1" s="1"/>
  <c r="AD65" i="1" s="1"/>
  <c r="AE65" i="5"/>
  <c r="AF65" i="5"/>
  <c r="Y65" i="5"/>
  <c r="AD65" i="5"/>
  <c r="AI65" i="5"/>
  <c r="Z65" i="5"/>
  <c r="AB65" i="5"/>
  <c r="AC65" i="5"/>
  <c r="AJ66" i="5"/>
  <c r="AH65" i="5"/>
  <c r="AA65" i="5"/>
  <c r="V65" i="5"/>
  <c r="AG65" i="5"/>
  <c r="V76" i="3"/>
  <c r="AD76" i="3"/>
  <c r="AC76" i="3"/>
  <c r="S77" i="3"/>
  <c r="T77" i="3" s="1"/>
  <c r="U77" i="3" s="1"/>
  <c r="Y76" i="3"/>
  <c r="AA76" i="3"/>
  <c r="Z76" i="3"/>
  <c r="S74" i="2"/>
  <c r="T74" i="2" s="1"/>
  <c r="U74" i="2" s="1"/>
  <c r="AA74" i="2" s="1"/>
  <c r="V65" i="1" l="1"/>
  <c r="AC65" i="1"/>
  <c r="Z65" i="1"/>
  <c r="AB65" i="1"/>
  <c r="AA65" i="1"/>
  <c r="Y65" i="1"/>
  <c r="AD74" i="2"/>
  <c r="V74" i="2"/>
  <c r="S66" i="1"/>
  <c r="T66" i="1" s="1"/>
  <c r="U66" i="1" s="1"/>
  <c r="AD66" i="1" s="1"/>
  <c r="S66" i="5"/>
  <c r="T66" i="5" s="1"/>
  <c r="U66" i="5" s="1"/>
  <c r="AD77" i="3"/>
  <c r="AC77" i="3"/>
  <c r="S78" i="3" s="1"/>
  <c r="T78" i="3" s="1"/>
  <c r="U78" i="3" s="1"/>
  <c r="AA77" i="3"/>
  <c r="Z77" i="3"/>
  <c r="Y77" i="3"/>
  <c r="V77" i="3"/>
  <c r="Z74" i="2"/>
  <c r="Y74" i="2"/>
  <c r="AC74" i="2"/>
  <c r="AB74" i="2"/>
  <c r="S75" i="2"/>
  <c r="T75" i="2" s="1"/>
  <c r="U75" i="2" s="1"/>
  <c r="AC66" i="1" l="1"/>
  <c r="AA66" i="1"/>
  <c r="V66" i="1"/>
  <c r="Y66" i="1"/>
  <c r="Z66" i="1"/>
  <c r="AB66" i="1"/>
  <c r="S67" i="1" s="1"/>
  <c r="T67" i="1" s="1"/>
  <c r="U67" i="1" s="1"/>
  <c r="AE66" i="5"/>
  <c r="Z66" i="5"/>
  <c r="AB66" i="5"/>
  <c r="AD66" i="5"/>
  <c r="AH66" i="5"/>
  <c r="AC66" i="5"/>
  <c r="AJ67" i="5"/>
  <c r="AI66" i="5"/>
  <c r="AF66" i="5"/>
  <c r="AG66" i="5"/>
  <c r="AA66" i="5"/>
  <c r="V66" i="5"/>
  <c r="Y66" i="5"/>
  <c r="AA78" i="3"/>
  <c r="Z78" i="3"/>
  <c r="Y78" i="3"/>
  <c r="AD78" i="3"/>
  <c r="AC78" i="3"/>
  <c r="V78" i="3"/>
  <c r="AB75" i="2"/>
  <c r="AA75" i="2"/>
  <c r="Z75" i="2"/>
  <c r="V75" i="2"/>
  <c r="AD75" i="2"/>
  <c r="Y75" i="2"/>
  <c r="AC75" i="2"/>
  <c r="AD67" i="1" l="1"/>
  <c r="AB67" i="1"/>
  <c r="AC67" i="1"/>
  <c r="AA67" i="1"/>
  <c r="Z67" i="1"/>
  <c r="Y67" i="1"/>
  <c r="V67" i="1"/>
  <c r="S67" i="5"/>
  <c r="T67" i="5" s="1"/>
  <c r="U67" i="5" s="1"/>
  <c r="S79" i="3"/>
  <c r="T79" i="3" s="1"/>
  <c r="U79" i="3" s="1"/>
  <c r="S76" i="2"/>
  <c r="T76" i="2" s="1"/>
  <c r="U76" i="2" s="1"/>
  <c r="S68" i="1" l="1"/>
  <c r="T68" i="1" s="1"/>
  <c r="U68" i="1" s="1"/>
  <c r="AD67" i="5"/>
  <c r="AI67" i="5"/>
  <c r="AG67" i="5"/>
  <c r="AA67" i="5"/>
  <c r="AJ68" i="5"/>
  <c r="AE67" i="5"/>
  <c r="AH67" i="5"/>
  <c r="Z67" i="5"/>
  <c r="AC67" i="5"/>
  <c r="AB67" i="5"/>
  <c r="AF67" i="5"/>
  <c r="Y67" i="5"/>
  <c r="V67" i="5"/>
  <c r="V79" i="3"/>
  <c r="AD79" i="3"/>
  <c r="AC79" i="3"/>
  <c r="S80" i="3"/>
  <c r="T80" i="3" s="1"/>
  <c r="U80" i="3" s="1"/>
  <c r="AA79" i="3"/>
  <c r="Z79" i="3"/>
  <c r="Y79" i="3"/>
  <c r="AC76" i="2"/>
  <c r="Z76" i="2"/>
  <c r="V76" i="2"/>
  <c r="Y76" i="2"/>
  <c r="AA76" i="2"/>
  <c r="AB76" i="2"/>
  <c r="AD76" i="2"/>
  <c r="AD68" i="1" l="1"/>
  <c r="AB68" i="1"/>
  <c r="AC68" i="1"/>
  <c r="Z68" i="1"/>
  <c r="AA68" i="1"/>
  <c r="Y68" i="1"/>
  <c r="V68" i="1"/>
  <c r="S68" i="5"/>
  <c r="T68" i="5" s="1"/>
  <c r="U68" i="5" s="1"/>
  <c r="AD80" i="3"/>
  <c r="AC80" i="3"/>
  <c r="S81" i="3" s="1"/>
  <c r="T81" i="3" s="1"/>
  <c r="U81" i="3" s="1"/>
  <c r="AA80" i="3"/>
  <c r="Z80" i="3"/>
  <c r="Y80" i="3"/>
  <c r="V80" i="3"/>
  <c r="S77" i="2"/>
  <c r="T77" i="2" s="1"/>
  <c r="U77" i="2" s="1"/>
  <c r="Z77" i="2" s="1"/>
  <c r="AA77" i="2" l="1"/>
  <c r="V77" i="2"/>
  <c r="AC77" i="2"/>
  <c r="S69" i="1"/>
  <c r="T69" i="1" s="1"/>
  <c r="U69" i="1" s="1"/>
  <c r="AA68" i="5"/>
  <c r="AJ69" i="5"/>
  <c r="AH68" i="5"/>
  <c r="AC68" i="5"/>
  <c r="Z68" i="5"/>
  <c r="AB68" i="5"/>
  <c r="AE68" i="5"/>
  <c r="V68" i="5"/>
  <c r="AG68" i="5"/>
  <c r="AI68" i="5"/>
  <c r="Y68" i="5"/>
  <c r="AF68" i="5"/>
  <c r="AD68" i="5"/>
  <c r="AA81" i="3"/>
  <c r="Z81" i="3"/>
  <c r="Y81" i="3"/>
  <c r="AC81" i="3"/>
  <c r="V81" i="3"/>
  <c r="AD81" i="3"/>
  <c r="AD77" i="2"/>
  <c r="S78" i="2" s="1"/>
  <c r="T78" i="2" s="1"/>
  <c r="U78" i="2" s="1"/>
  <c r="AB77" i="2"/>
  <c r="Y77" i="2"/>
  <c r="AD69" i="1" l="1"/>
  <c r="AA69" i="1"/>
  <c r="Z69" i="1"/>
  <c r="Y69" i="1"/>
  <c r="V69" i="1"/>
  <c r="AC69" i="1"/>
  <c r="AB69" i="1"/>
  <c r="S70" i="1" s="1"/>
  <c r="T70" i="1" s="1"/>
  <c r="U70" i="1" s="1"/>
  <c r="S69" i="5"/>
  <c r="T69" i="5" s="1"/>
  <c r="U69" i="5" s="1"/>
  <c r="AB69" i="5" s="1"/>
  <c r="S82" i="3"/>
  <c r="T82" i="3" s="1"/>
  <c r="U82" i="3" s="1"/>
  <c r="Y78" i="2"/>
  <c r="AD78" i="2"/>
  <c r="Z78" i="2"/>
  <c r="AA78" i="2"/>
  <c r="AC78" i="2"/>
  <c r="AB78" i="2"/>
  <c r="V78" i="2"/>
  <c r="S79" i="2" l="1"/>
  <c r="T79" i="2" s="1"/>
  <c r="U79" i="2" s="1"/>
  <c r="AB70" i="1"/>
  <c r="AC70" i="1"/>
  <c r="Y70" i="1"/>
  <c r="V70" i="1"/>
  <c r="Z70" i="1"/>
  <c r="AD70" i="1"/>
  <c r="AA70" i="1"/>
  <c r="V69" i="5"/>
  <c r="AH69" i="5"/>
  <c r="AF69" i="5"/>
  <c r="Z69" i="5"/>
  <c r="AE69" i="5"/>
  <c r="AG69" i="5"/>
  <c r="Y69" i="5"/>
  <c r="AD69" i="5"/>
  <c r="AC69" i="5"/>
  <c r="AJ70" i="5"/>
  <c r="AA69" i="5"/>
  <c r="AI69" i="5"/>
  <c r="V82" i="3"/>
  <c r="X82" i="3" s="1"/>
  <c r="AN24" i="3" s="1"/>
  <c r="AD82" i="3"/>
  <c r="AQ24" i="3" s="1"/>
  <c r="AC82" i="3"/>
  <c r="AP24" i="3" s="1"/>
  <c r="AA82" i="3"/>
  <c r="Z82" i="3"/>
  <c r="Y82" i="3"/>
  <c r="V79" i="2"/>
  <c r="AC79" i="2"/>
  <c r="AA79" i="2"/>
  <c r="Z79" i="2"/>
  <c r="AD79" i="2"/>
  <c r="AB79" i="2"/>
  <c r="S80" i="2" s="1"/>
  <c r="T80" i="2" s="1"/>
  <c r="U80" i="2" s="1"/>
  <c r="Y79" i="2"/>
  <c r="S71" i="1" l="1"/>
  <c r="T71" i="1" s="1"/>
  <c r="U71" i="1" s="1"/>
  <c r="S70" i="5"/>
  <c r="T70" i="5" s="1"/>
  <c r="U70" i="5" s="1"/>
  <c r="AF70" i="5" s="1"/>
  <c r="S83" i="3"/>
  <c r="T83" i="3" s="1"/>
  <c r="U83" i="3" s="1"/>
  <c r="AO24" i="3"/>
  <c r="AA80" i="2"/>
  <c r="Z80" i="2"/>
  <c r="AC80" i="2"/>
  <c r="AD80" i="2"/>
  <c r="AB80" i="2"/>
  <c r="S81" i="2" s="1"/>
  <c r="T81" i="2" s="1"/>
  <c r="U81" i="2" s="1"/>
  <c r="Y80" i="2"/>
  <c r="V80" i="2"/>
  <c r="AD71" i="1" l="1"/>
  <c r="Z71" i="1"/>
  <c r="V71" i="1"/>
  <c r="Y71" i="1"/>
  <c r="AB71" i="1"/>
  <c r="AC71" i="1"/>
  <c r="AA71" i="1"/>
  <c r="AJ71" i="5"/>
  <c r="AE70" i="5"/>
  <c r="AH70" i="5"/>
  <c r="Z70" i="5"/>
  <c r="AI70" i="5"/>
  <c r="V70" i="5"/>
  <c r="Y70" i="5"/>
  <c r="AD70" i="5"/>
  <c r="AB70" i="5"/>
  <c r="AC70" i="5"/>
  <c r="AG70" i="5"/>
  <c r="S71" i="5" s="1"/>
  <c r="T71" i="5" s="1"/>
  <c r="U71" i="5" s="1"/>
  <c r="AA70" i="5"/>
  <c r="AW24" i="3"/>
  <c r="AU24" i="3"/>
  <c r="AD83" i="3"/>
  <c r="AC83" i="3"/>
  <c r="S84" i="3"/>
  <c r="T84" i="3" s="1"/>
  <c r="U84" i="3" s="1"/>
  <c r="AA83" i="3"/>
  <c r="Z83" i="3"/>
  <c r="Y83" i="3"/>
  <c r="V83" i="3"/>
  <c r="Z81" i="2"/>
  <c r="V81" i="2"/>
  <c r="AD81" i="2"/>
  <c r="AA81" i="2"/>
  <c r="Y81" i="2"/>
  <c r="AC81" i="2"/>
  <c r="AB81" i="2"/>
  <c r="S82" i="2" s="1"/>
  <c r="T82" i="2" s="1"/>
  <c r="U82" i="2" s="1"/>
  <c r="S72" i="1" l="1"/>
  <c r="T72" i="1" s="1"/>
  <c r="U72" i="1" s="1"/>
  <c r="Z71" i="5"/>
  <c r="AE71" i="5"/>
  <c r="AC71" i="5"/>
  <c r="AJ72" i="5"/>
  <c r="AB71" i="5"/>
  <c r="AA71" i="5"/>
  <c r="V71" i="5"/>
  <c r="AH71" i="5"/>
  <c r="AI71" i="5"/>
  <c r="AD71" i="5"/>
  <c r="AG71" i="5"/>
  <c r="Y71" i="5"/>
  <c r="AF71" i="5"/>
  <c r="AA84" i="3"/>
  <c r="Z84" i="3"/>
  <c r="Y84" i="3"/>
  <c r="V84" i="3"/>
  <c r="AD84" i="3"/>
  <c r="AC84" i="3"/>
  <c r="AC82" i="2"/>
  <c r="AP24" i="2" s="1"/>
  <c r="Z82" i="2"/>
  <c r="V82" i="2"/>
  <c r="X82" i="2" s="1"/>
  <c r="AN24" i="2" s="1"/>
  <c r="AB82" i="2"/>
  <c r="AD82" i="2"/>
  <c r="AQ24" i="2" s="1"/>
  <c r="Y82" i="2"/>
  <c r="AA82" i="2"/>
  <c r="AD72" i="1" l="1"/>
  <c r="AC72" i="1"/>
  <c r="Y72" i="1"/>
  <c r="V72" i="1"/>
  <c r="Z72" i="1"/>
  <c r="AB72" i="1"/>
  <c r="S73" i="1" s="1"/>
  <c r="T73" i="1" s="1"/>
  <c r="U73" i="1" s="1"/>
  <c r="AA72" i="1"/>
  <c r="S72" i="5"/>
  <c r="T72" i="5" s="1"/>
  <c r="U72" i="5" s="1"/>
  <c r="AJ73" i="5" s="1"/>
  <c r="S85" i="3"/>
  <c r="T85" i="3" s="1"/>
  <c r="U85" i="3" s="1"/>
  <c r="S83" i="2"/>
  <c r="T83" i="2" s="1"/>
  <c r="U83" i="2" s="1"/>
  <c r="AO24" i="2"/>
  <c r="Y73" i="1" l="1"/>
  <c r="Z73" i="1"/>
  <c r="AD73" i="1"/>
  <c r="V73" i="1"/>
  <c r="AC73" i="1"/>
  <c r="AB73" i="1"/>
  <c r="S74" i="1" s="1"/>
  <c r="T74" i="1" s="1"/>
  <c r="U74" i="1" s="1"/>
  <c r="AA73" i="1"/>
  <c r="AH72" i="5"/>
  <c r="AG72" i="5"/>
  <c r="V72" i="5"/>
  <c r="AF72" i="5"/>
  <c r="AC72" i="5"/>
  <c r="Z72" i="5"/>
  <c r="AI72" i="5"/>
  <c r="AA72" i="5"/>
  <c r="AB72" i="5"/>
  <c r="Y72" i="5"/>
  <c r="AD72" i="5"/>
  <c r="AE72" i="5"/>
  <c r="AD85" i="3"/>
  <c r="AC85" i="3"/>
  <c r="S86" i="3"/>
  <c r="T86" i="3" s="1"/>
  <c r="U86" i="3" s="1"/>
  <c r="AA85" i="3"/>
  <c r="Z85" i="3"/>
  <c r="Y85" i="3"/>
  <c r="V85" i="3"/>
  <c r="AW24" i="2"/>
  <c r="AU24" i="2"/>
  <c r="AA83" i="2"/>
  <c r="Z83" i="2"/>
  <c r="Y83" i="2"/>
  <c r="V83" i="2"/>
  <c r="AD83" i="2"/>
  <c r="AB83" i="2"/>
  <c r="AC83" i="2"/>
  <c r="S84" i="2" l="1"/>
  <c r="T84" i="2" s="1"/>
  <c r="U84" i="2" s="1"/>
  <c r="AD74" i="1"/>
  <c r="Z74" i="1"/>
  <c r="AB74" i="1"/>
  <c r="AC74" i="1"/>
  <c r="AA74" i="1"/>
  <c r="V74" i="1"/>
  <c r="Y74" i="1"/>
  <c r="S73" i="5"/>
  <c r="T73" i="5" s="1"/>
  <c r="U73" i="5" s="1"/>
  <c r="AA73" i="5" s="1"/>
  <c r="AJ74" i="5"/>
  <c r="AC73" i="5"/>
  <c r="V73" i="5"/>
  <c r="AG73" i="5"/>
  <c r="Z73" i="5"/>
  <c r="AH73" i="5"/>
  <c r="AD86" i="3"/>
  <c r="AC86" i="3"/>
  <c r="S87" i="3"/>
  <c r="T87" i="3" s="1"/>
  <c r="U87" i="3" s="1"/>
  <c r="AA86" i="3"/>
  <c r="Z86" i="3"/>
  <c r="Y86" i="3"/>
  <c r="V86" i="3"/>
  <c r="Z84" i="2"/>
  <c r="AC84" i="2"/>
  <c r="Y84" i="2"/>
  <c r="AB84" i="2"/>
  <c r="V84" i="2"/>
  <c r="AD84" i="2"/>
  <c r="AA84" i="2"/>
  <c r="S75" i="1" l="1"/>
  <c r="T75" i="1" s="1"/>
  <c r="U75" i="1" s="1"/>
  <c r="AI73" i="5"/>
  <c r="AD73" i="5"/>
  <c r="AF73" i="5"/>
  <c r="AB73" i="5"/>
  <c r="Y73" i="5"/>
  <c r="AE73" i="5"/>
  <c r="S74" i="5"/>
  <c r="T74" i="5" s="1"/>
  <c r="U74" i="5" s="1"/>
  <c r="AF74" i="5" s="1"/>
  <c r="AA87" i="3"/>
  <c r="Z87" i="3"/>
  <c r="Y87" i="3"/>
  <c r="V87" i="3"/>
  <c r="AD87" i="3"/>
  <c r="AC87" i="3"/>
  <c r="S88" i="3"/>
  <c r="T88" i="3" s="1"/>
  <c r="U88" i="3" s="1"/>
  <c r="S85" i="2"/>
  <c r="T85" i="2" s="1"/>
  <c r="U85" i="2" s="1"/>
  <c r="AD75" i="1" l="1"/>
  <c r="AB75" i="1"/>
  <c r="AC75" i="1"/>
  <c r="Y75" i="1"/>
  <c r="Z75" i="1"/>
  <c r="V75" i="1"/>
  <c r="AA75" i="1"/>
  <c r="Y74" i="5"/>
  <c r="AD74" i="5"/>
  <c r="AA74" i="5"/>
  <c r="AC74" i="5"/>
  <c r="Z74" i="5"/>
  <c r="AI74" i="5"/>
  <c r="AB74" i="5"/>
  <c r="V74" i="5"/>
  <c r="AE74" i="5"/>
  <c r="AG74" i="5"/>
  <c r="AH74" i="5"/>
  <c r="AJ75" i="5"/>
  <c r="AD88" i="3"/>
  <c r="AC88" i="3"/>
  <c r="S89" i="3"/>
  <c r="T89" i="3" s="1"/>
  <c r="U89" i="3" s="1"/>
  <c r="AA88" i="3"/>
  <c r="Z88" i="3"/>
  <c r="Y88" i="3"/>
  <c r="V88" i="3"/>
  <c r="AA85" i="2"/>
  <c r="AB85" i="2"/>
  <c r="V85" i="2"/>
  <c r="Z85" i="2"/>
  <c r="AC85" i="2"/>
  <c r="Y85" i="2"/>
  <c r="AD85" i="2"/>
  <c r="S76" i="1" l="1"/>
  <c r="T76" i="1" s="1"/>
  <c r="U76" i="1" s="1"/>
  <c r="AD76" i="1" s="1"/>
  <c r="S75" i="5"/>
  <c r="T75" i="5" s="1"/>
  <c r="U75" i="5" s="1"/>
  <c r="AB75" i="5" s="1"/>
  <c r="AD89" i="3"/>
  <c r="AC89" i="3"/>
  <c r="S90" i="3" s="1"/>
  <c r="T90" i="3" s="1"/>
  <c r="U90" i="3" s="1"/>
  <c r="AA89" i="3"/>
  <c r="Z89" i="3"/>
  <c r="Y89" i="3"/>
  <c r="V89" i="3"/>
  <c r="S86" i="2"/>
  <c r="T86" i="2" s="1"/>
  <c r="U86" i="2" s="1"/>
  <c r="Z76" i="1" l="1"/>
  <c r="V76" i="1"/>
  <c r="Y76" i="1"/>
  <c r="AC76" i="1"/>
  <c r="AB76" i="1"/>
  <c r="AA76" i="1"/>
  <c r="AE75" i="5"/>
  <c r="AJ76" i="5"/>
  <c r="AD75" i="5"/>
  <c r="V75" i="5"/>
  <c r="AA75" i="5"/>
  <c r="AC75" i="5"/>
  <c r="AI75" i="5"/>
  <c r="Z75" i="5"/>
  <c r="AG75" i="5"/>
  <c r="Y75" i="5"/>
  <c r="AF75" i="5"/>
  <c r="AH75" i="5"/>
  <c r="AA90" i="3"/>
  <c r="Z90" i="3"/>
  <c r="Y90" i="3"/>
  <c r="V90" i="3"/>
  <c r="AD90" i="3"/>
  <c r="S91" i="3" s="1"/>
  <c r="T91" i="3" s="1"/>
  <c r="U91" i="3" s="1"/>
  <c r="AC90" i="3"/>
  <c r="Y86" i="2"/>
  <c r="V86" i="2"/>
  <c r="AD86" i="2"/>
  <c r="AA86" i="2"/>
  <c r="Z86" i="2"/>
  <c r="AB86" i="2"/>
  <c r="AC86" i="2"/>
  <c r="S77" i="1" l="1"/>
  <c r="T77" i="1" s="1"/>
  <c r="U77" i="1" s="1"/>
  <c r="AD77" i="1" s="1"/>
  <c r="S76" i="5"/>
  <c r="T76" i="5" s="1"/>
  <c r="U76" i="5" s="1"/>
  <c r="AB76" i="5" s="1"/>
  <c r="AD91" i="3"/>
  <c r="AC91" i="3"/>
  <c r="S92" i="3" s="1"/>
  <c r="T92" i="3" s="1"/>
  <c r="U92" i="3" s="1"/>
  <c r="AA91" i="3"/>
  <c r="Z91" i="3"/>
  <c r="Y91" i="3"/>
  <c r="V91" i="3"/>
  <c r="S87" i="2"/>
  <c r="T87" i="2" s="1"/>
  <c r="U87" i="2" s="1"/>
  <c r="AB87" i="2" s="1"/>
  <c r="AD87" i="2"/>
  <c r="AC87" i="2"/>
  <c r="Z87" i="2"/>
  <c r="V87" i="2"/>
  <c r="V77" i="1" l="1"/>
  <c r="AB77" i="1"/>
  <c r="AC77" i="1"/>
  <c r="AA77" i="1"/>
  <c r="Y77" i="1"/>
  <c r="Z77" i="1"/>
  <c r="Y87" i="2"/>
  <c r="Y76" i="5"/>
  <c r="AE76" i="5"/>
  <c r="AF76" i="5"/>
  <c r="AA76" i="5"/>
  <c r="V76" i="5"/>
  <c r="Z76" i="5"/>
  <c r="AC76" i="5"/>
  <c r="AI76" i="5"/>
  <c r="AG76" i="5"/>
  <c r="AH76" i="5"/>
  <c r="AD76" i="5"/>
  <c r="AJ77" i="5"/>
  <c r="AD92" i="3"/>
  <c r="AC92" i="3"/>
  <c r="S93" i="3"/>
  <c r="T93" i="3" s="1"/>
  <c r="U93" i="3" s="1"/>
  <c r="AA92" i="3"/>
  <c r="Z92" i="3"/>
  <c r="Y92" i="3"/>
  <c r="V92" i="3"/>
  <c r="AA87" i="2"/>
  <c r="S88" i="2"/>
  <c r="T88" i="2" s="1"/>
  <c r="U88" i="2" s="1"/>
  <c r="S78" i="1" l="1"/>
  <c r="T78" i="1" s="1"/>
  <c r="U78" i="1" s="1"/>
  <c r="S77" i="5"/>
  <c r="T77" i="5" s="1"/>
  <c r="U77" i="5" s="1"/>
  <c r="AA93" i="3"/>
  <c r="Z93" i="3"/>
  <c r="Y93" i="3"/>
  <c r="V93" i="3"/>
  <c r="AD93" i="3"/>
  <c r="AC93" i="3"/>
  <c r="S94" i="3"/>
  <c r="T94" i="3" s="1"/>
  <c r="U94" i="3" s="1"/>
  <c r="Y88" i="2"/>
  <c r="V88" i="2"/>
  <c r="AA88" i="2"/>
  <c r="AD88" i="2"/>
  <c r="Z88" i="2"/>
  <c r="AB88" i="2"/>
  <c r="AC88" i="2"/>
  <c r="AD78" i="1" l="1"/>
  <c r="AA78" i="1"/>
  <c r="AB78" i="1"/>
  <c r="Y78" i="1"/>
  <c r="Z78" i="1"/>
  <c r="AC78" i="1"/>
  <c r="V78" i="1"/>
  <c r="AD77" i="5"/>
  <c r="V77" i="5"/>
  <c r="AA77" i="5"/>
  <c r="AG77" i="5"/>
  <c r="Y77" i="5"/>
  <c r="AI77" i="5"/>
  <c r="AC77" i="5"/>
  <c r="Z77" i="5"/>
  <c r="AJ78" i="5"/>
  <c r="AE77" i="5"/>
  <c r="AH77" i="5"/>
  <c r="AF77" i="5"/>
  <c r="AB77" i="5"/>
  <c r="AD94" i="3"/>
  <c r="AC94" i="3"/>
  <c r="S95" i="3"/>
  <c r="T95" i="3" s="1"/>
  <c r="U95" i="3" s="1"/>
  <c r="AA94" i="3"/>
  <c r="V94" i="3"/>
  <c r="Y94" i="3"/>
  <c r="Z94" i="3"/>
  <c r="S89" i="2"/>
  <c r="T89" i="2" s="1"/>
  <c r="U89" i="2" s="1"/>
  <c r="S79" i="1" l="1"/>
  <c r="T79" i="1" s="1"/>
  <c r="U79" i="1" s="1"/>
  <c r="S78" i="5"/>
  <c r="T78" i="5" s="1"/>
  <c r="U78" i="5" s="1"/>
  <c r="Z78" i="5" s="1"/>
  <c r="AD95" i="3"/>
  <c r="AC95" i="3"/>
  <c r="S96" i="3"/>
  <c r="T96" i="3" s="1"/>
  <c r="U96" i="3" s="1"/>
  <c r="AA95" i="3"/>
  <c r="Z95" i="3"/>
  <c r="Y95" i="3"/>
  <c r="V95" i="3"/>
  <c r="AB89" i="2"/>
  <c r="Z89" i="2"/>
  <c r="Y89" i="2"/>
  <c r="V89" i="2"/>
  <c r="AA89" i="2"/>
  <c r="AC89" i="2"/>
  <c r="AD89" i="2"/>
  <c r="Z79" i="1" l="1"/>
  <c r="AB79" i="1"/>
  <c r="Y79" i="1"/>
  <c r="V79" i="1"/>
  <c r="AC79" i="1"/>
  <c r="AA79" i="1"/>
  <c r="AD79" i="1"/>
  <c r="AC78" i="5"/>
  <c r="Y78" i="5"/>
  <c r="AA78" i="5"/>
  <c r="AE78" i="5"/>
  <c r="V78" i="5"/>
  <c r="AF78" i="5"/>
  <c r="AH78" i="5"/>
  <c r="AG78" i="5"/>
  <c r="AD78" i="5"/>
  <c r="AI78" i="5"/>
  <c r="S79" i="5" s="1"/>
  <c r="T79" i="5" s="1"/>
  <c r="U79" i="5" s="1"/>
  <c r="AB78" i="5"/>
  <c r="AJ79" i="5"/>
  <c r="AA96" i="3"/>
  <c r="Z96" i="3"/>
  <c r="Y96" i="3"/>
  <c r="V96" i="3"/>
  <c r="AD96" i="3"/>
  <c r="S97" i="3" s="1"/>
  <c r="T97" i="3" s="1"/>
  <c r="U97" i="3" s="1"/>
  <c r="AC96" i="3"/>
  <c r="S90" i="2"/>
  <c r="T90" i="2" s="1"/>
  <c r="U90" i="2" s="1"/>
  <c r="S80" i="1" l="1"/>
  <c r="T80" i="1" s="1"/>
  <c r="U80" i="1" s="1"/>
  <c r="AC79" i="5"/>
  <c r="AB79" i="5"/>
  <c r="AA79" i="5"/>
  <c r="AG79" i="5"/>
  <c r="AE79" i="5"/>
  <c r="AI79" i="5"/>
  <c r="Y79" i="5"/>
  <c r="AJ80" i="5"/>
  <c r="V79" i="5"/>
  <c r="AH79" i="5"/>
  <c r="Z79" i="5"/>
  <c r="AD79" i="5"/>
  <c r="AF79" i="5"/>
  <c r="AD97" i="3"/>
  <c r="AC97" i="3"/>
  <c r="S98" i="3"/>
  <c r="T98" i="3" s="1"/>
  <c r="U98" i="3" s="1"/>
  <c r="AA97" i="3"/>
  <c r="Z97" i="3"/>
  <c r="Y97" i="3"/>
  <c r="V97" i="3"/>
  <c r="Y90" i="2"/>
  <c r="AD90" i="2"/>
  <c r="AA90" i="2"/>
  <c r="AC90" i="2"/>
  <c r="Z90" i="2"/>
  <c r="AB90" i="2"/>
  <c r="V90" i="2"/>
  <c r="AC80" i="1" l="1"/>
  <c r="Y80" i="1"/>
  <c r="AA80" i="1"/>
  <c r="Z80" i="1"/>
  <c r="AB80" i="1"/>
  <c r="AD80" i="1"/>
  <c r="V80" i="1"/>
  <c r="S91" i="2"/>
  <c r="T91" i="2" s="1"/>
  <c r="U91" i="2" s="1"/>
  <c r="AA91" i="2" s="1"/>
  <c r="S80" i="5"/>
  <c r="T80" i="5" s="1"/>
  <c r="U80" i="5" s="1"/>
  <c r="AI80" i="5" s="1"/>
  <c r="AD98" i="3"/>
  <c r="AC98" i="3"/>
  <c r="S99" i="3" s="1"/>
  <c r="T99" i="3" s="1"/>
  <c r="U99" i="3" s="1"/>
  <c r="AA98" i="3"/>
  <c r="Z98" i="3"/>
  <c r="Y98" i="3"/>
  <c r="V98" i="3"/>
  <c r="Z91" i="2"/>
  <c r="Y91" i="2"/>
  <c r="V91" i="2"/>
  <c r="AC91" i="2"/>
  <c r="AB91" i="2"/>
  <c r="AD91" i="2"/>
  <c r="S81" i="1" l="1"/>
  <c r="T81" i="1" s="1"/>
  <c r="U81" i="1" s="1"/>
  <c r="AF80" i="5"/>
  <c r="AG80" i="5"/>
  <c r="AC80" i="5"/>
  <c r="AJ81" i="5"/>
  <c r="AD80" i="5"/>
  <c r="Z80" i="5"/>
  <c r="AH80" i="5"/>
  <c r="V80" i="5"/>
  <c r="AE80" i="5"/>
  <c r="AB80" i="5"/>
  <c r="AA80" i="5"/>
  <c r="Y80" i="5"/>
  <c r="Z99" i="3"/>
  <c r="AA99" i="3"/>
  <c r="Y99" i="3"/>
  <c r="V99" i="3"/>
  <c r="AC99" i="3"/>
  <c r="AD99" i="3"/>
  <c r="S92" i="2"/>
  <c r="T92" i="2" s="1"/>
  <c r="U92" i="2" s="1"/>
  <c r="AC81" i="1" l="1"/>
  <c r="V81" i="1"/>
  <c r="AB81" i="1"/>
  <c r="AA81" i="1"/>
  <c r="Y81" i="1"/>
  <c r="Z81" i="1"/>
  <c r="AD81" i="1"/>
  <c r="S81" i="5"/>
  <c r="T81" i="5" s="1"/>
  <c r="U81" i="5" s="1"/>
  <c r="Z81" i="5" s="1"/>
  <c r="S100" i="3"/>
  <c r="T100" i="3" s="1"/>
  <c r="U100" i="3" s="1"/>
  <c r="AD92" i="2"/>
  <c r="AA92" i="2"/>
  <c r="AC92" i="2"/>
  <c r="V92" i="2"/>
  <c r="AB92" i="2"/>
  <c r="S93" i="2" s="1"/>
  <c r="T93" i="2" s="1"/>
  <c r="U93" i="2" s="1"/>
  <c r="Y92" i="2"/>
  <c r="Z92" i="2"/>
  <c r="S82" i="1" l="1"/>
  <c r="T82" i="1" s="1"/>
  <c r="U82" i="1" s="1"/>
  <c r="AG81" i="5"/>
  <c r="AH81" i="5"/>
  <c r="V81" i="5"/>
  <c r="AA81" i="5"/>
  <c r="AF81" i="5"/>
  <c r="Y81" i="5"/>
  <c r="AI81" i="5"/>
  <c r="AB81" i="5"/>
  <c r="AE81" i="5"/>
  <c r="AD81" i="5"/>
  <c r="AJ82" i="5"/>
  <c r="AC81" i="5"/>
  <c r="AA100" i="3"/>
  <c r="Z100" i="3"/>
  <c r="Y100" i="3"/>
  <c r="V100" i="3"/>
  <c r="AD100" i="3"/>
  <c r="S101" i="3" s="1"/>
  <c r="T101" i="3" s="1"/>
  <c r="U101" i="3" s="1"/>
  <c r="AC100" i="3"/>
  <c r="Y93" i="2"/>
  <c r="AD93" i="2"/>
  <c r="AC93" i="2"/>
  <c r="AB93" i="2"/>
  <c r="S94" i="2" s="1"/>
  <c r="T94" i="2" s="1"/>
  <c r="U94" i="2" s="1"/>
  <c r="Z93" i="2"/>
  <c r="V93" i="2"/>
  <c r="AA93" i="2"/>
  <c r="AC82" i="1" l="1"/>
  <c r="AP24" i="1" s="1"/>
  <c r="AD82" i="1"/>
  <c r="AQ24" i="1" s="1"/>
  <c r="V82" i="1"/>
  <c r="X82" i="1" s="1"/>
  <c r="AN24" i="1" s="1"/>
  <c r="Y82" i="1"/>
  <c r="AB82" i="1"/>
  <c r="Z82" i="1"/>
  <c r="AA82" i="1"/>
  <c r="S82" i="5"/>
  <c r="T82" i="5" s="1"/>
  <c r="U82" i="5" s="1"/>
  <c r="AB82" i="5" s="1"/>
  <c r="AD101" i="3"/>
  <c r="Y101" i="3"/>
  <c r="V101" i="3"/>
  <c r="AC101" i="3"/>
  <c r="S102" i="3" s="1"/>
  <c r="T102" i="3" s="1"/>
  <c r="U102" i="3" s="1"/>
  <c r="AA101" i="3"/>
  <c r="Z101" i="3"/>
  <c r="AC94" i="2"/>
  <c r="Y94" i="2"/>
  <c r="AB94" i="2"/>
  <c r="AA94" i="2"/>
  <c r="Z94" i="2"/>
  <c r="AD94" i="2"/>
  <c r="V94" i="2"/>
  <c r="AO24" i="1" l="1"/>
  <c r="S83" i="1"/>
  <c r="T83" i="1" s="1"/>
  <c r="U83" i="1" s="1"/>
  <c r="AE82" i="5"/>
  <c r="AH82" i="5"/>
  <c r="AC82" i="5"/>
  <c r="AI82" i="5"/>
  <c r="AJ83" i="5"/>
  <c r="AG82" i="5"/>
  <c r="AA82" i="5"/>
  <c r="V82" i="5"/>
  <c r="AD82" i="5"/>
  <c r="Z82" i="5"/>
  <c r="AF82" i="5"/>
  <c r="S83" i="5" s="1"/>
  <c r="T83" i="5" s="1"/>
  <c r="U83" i="5" s="1"/>
  <c r="AG83" i="5" s="1"/>
  <c r="Y82" i="5"/>
  <c r="AD102" i="3"/>
  <c r="AQ25" i="3" s="1"/>
  <c r="Y102" i="3"/>
  <c r="AC102" i="3"/>
  <c r="AP25" i="3" s="1"/>
  <c r="AA102" i="3"/>
  <c r="V102" i="3"/>
  <c r="X102" i="3" s="1"/>
  <c r="AN25" i="3" s="1"/>
  <c r="Z102" i="3"/>
  <c r="S95" i="2"/>
  <c r="T95" i="2" s="1"/>
  <c r="U95" i="2" s="1"/>
  <c r="AD83" i="1" l="1"/>
  <c r="AA83" i="1"/>
  <c r="AB83" i="1"/>
  <c r="Z83" i="1"/>
  <c r="V83" i="1"/>
  <c r="AC83" i="1"/>
  <c r="Y83" i="1"/>
  <c r="AW24" i="1"/>
  <c r="AU24" i="1"/>
  <c r="AC83" i="5"/>
  <c r="AH83" i="5"/>
  <c r="AE83" i="5"/>
  <c r="Y83" i="5"/>
  <c r="AI83" i="5"/>
  <c r="Z83" i="5"/>
  <c r="AB83" i="5"/>
  <c r="AD83" i="5"/>
  <c r="AA83" i="5"/>
  <c r="AJ84" i="5"/>
  <c r="BB26" i="5" s="1"/>
  <c r="AF83" i="5"/>
  <c r="V83" i="5"/>
  <c r="S103" i="3"/>
  <c r="T103" i="3" s="1"/>
  <c r="U103" i="3" s="1"/>
  <c r="AO25" i="3"/>
  <c r="V95" i="2"/>
  <c r="AB95" i="2"/>
  <c r="AC95" i="2"/>
  <c r="Y95" i="2"/>
  <c r="AA95" i="2"/>
  <c r="Z95" i="2"/>
  <c r="AD95" i="2"/>
  <c r="S84" i="1" l="1"/>
  <c r="T84" i="1" s="1"/>
  <c r="U84" i="1" s="1"/>
  <c r="S84" i="5"/>
  <c r="T84" i="5" s="1"/>
  <c r="U84" i="5" s="1"/>
  <c r="AC84" i="5" s="1"/>
  <c r="AU25" i="3"/>
  <c r="AW25" i="3"/>
  <c r="Z103" i="3"/>
  <c r="AD103" i="3"/>
  <c r="AC103" i="3"/>
  <c r="S104" i="3" s="1"/>
  <c r="T104" i="3" s="1"/>
  <c r="U104" i="3" s="1"/>
  <c r="AA103" i="3"/>
  <c r="Y103" i="3"/>
  <c r="V103" i="3"/>
  <c r="S96" i="2"/>
  <c r="T96" i="2" s="1"/>
  <c r="U96" i="2" s="1"/>
  <c r="AB84" i="1" l="1"/>
  <c r="AD84" i="1"/>
  <c r="Z84" i="1"/>
  <c r="V84" i="1"/>
  <c r="AA84" i="1"/>
  <c r="Y84" i="1"/>
  <c r="AC84" i="1"/>
  <c r="AG84" i="5"/>
  <c r="AY26" i="5" s="1"/>
  <c r="AE84" i="5"/>
  <c r="AW26" i="5" s="1"/>
  <c r="Y84" i="5"/>
  <c r="AI84" i="5"/>
  <c r="BA26" i="5" s="1"/>
  <c r="V84" i="5"/>
  <c r="X84" i="5" s="1"/>
  <c r="AV26" i="5" s="1"/>
  <c r="AB84" i="5"/>
  <c r="AF84" i="5"/>
  <c r="AX26" i="5" s="1"/>
  <c r="AD84" i="5"/>
  <c r="AH84" i="5"/>
  <c r="AZ26" i="5" s="1"/>
  <c r="AJ85" i="5"/>
  <c r="AA84" i="5"/>
  <c r="Z84" i="5"/>
  <c r="AD104" i="3"/>
  <c r="AC104" i="3"/>
  <c r="S105" i="3"/>
  <c r="T105" i="3" s="1"/>
  <c r="U105" i="3" s="1"/>
  <c r="AA104" i="3"/>
  <c r="Z104" i="3"/>
  <c r="Y104" i="3"/>
  <c r="V104" i="3"/>
  <c r="V96" i="2"/>
  <c r="AA96" i="2"/>
  <c r="AC96" i="2"/>
  <c r="AD96" i="2"/>
  <c r="Y96" i="2"/>
  <c r="AB96" i="2"/>
  <c r="S97" i="2" s="1"/>
  <c r="T97" i="2" s="1"/>
  <c r="U97" i="2" s="1"/>
  <c r="Z96" i="2"/>
  <c r="S85" i="1" l="1"/>
  <c r="T85" i="1" s="1"/>
  <c r="U85" i="1" s="1"/>
  <c r="S85" i="5"/>
  <c r="T85" i="5" s="1"/>
  <c r="U85" i="5" s="1"/>
  <c r="Z85" i="5" s="1"/>
  <c r="AD105" i="3"/>
  <c r="Z105" i="3"/>
  <c r="Y105" i="3"/>
  <c r="AC105" i="3"/>
  <c r="S106" i="3"/>
  <c r="T106" i="3" s="1"/>
  <c r="U106" i="3" s="1"/>
  <c r="AA105" i="3"/>
  <c r="V105" i="3"/>
  <c r="V97" i="2"/>
  <c r="AC97" i="2"/>
  <c r="Z97" i="2"/>
  <c r="Y97" i="2"/>
  <c r="AB97" i="2"/>
  <c r="AD97" i="2"/>
  <c r="AA97" i="2"/>
  <c r="AD85" i="1" l="1"/>
  <c r="AB85" i="1"/>
  <c r="AC85" i="1"/>
  <c r="V85" i="1"/>
  <c r="AA85" i="1"/>
  <c r="Z85" i="1"/>
  <c r="Y85" i="1"/>
  <c r="AA85" i="5"/>
  <c r="AJ86" i="5"/>
  <c r="AI85" i="5"/>
  <c r="AC85" i="5"/>
  <c r="AF85" i="5"/>
  <c r="AE85" i="5"/>
  <c r="AD85" i="5"/>
  <c r="AG85" i="5"/>
  <c r="AH85" i="5"/>
  <c r="Y85" i="5"/>
  <c r="AB85" i="5"/>
  <c r="V85" i="5"/>
  <c r="Z106" i="3"/>
  <c r="AD106" i="3"/>
  <c r="AC106" i="3"/>
  <c r="S107" i="3"/>
  <c r="T107" i="3" s="1"/>
  <c r="U107" i="3" s="1"/>
  <c r="AA106" i="3"/>
  <c r="Y106" i="3"/>
  <c r="V106" i="3"/>
  <c r="S98" i="2"/>
  <c r="T98" i="2" s="1"/>
  <c r="U98" i="2" s="1"/>
  <c r="Z98" i="2" s="1"/>
  <c r="S86" i="1" l="1"/>
  <c r="T86" i="1" s="1"/>
  <c r="U86" i="1" s="1"/>
  <c r="AC86" i="1" s="1"/>
  <c r="Z86" i="1"/>
  <c r="AA86" i="1"/>
  <c r="Y86" i="1"/>
  <c r="AA98" i="2"/>
  <c r="AC98" i="2"/>
  <c r="AD98" i="2"/>
  <c r="S86" i="5"/>
  <c r="T86" i="5" s="1"/>
  <c r="U86" i="5" s="1"/>
  <c r="AD107" i="3"/>
  <c r="AC107" i="3"/>
  <c r="S108" i="3"/>
  <c r="T108" i="3" s="1"/>
  <c r="U108" i="3" s="1"/>
  <c r="AA107" i="3"/>
  <c r="Z107" i="3"/>
  <c r="Y107" i="3"/>
  <c r="V107" i="3"/>
  <c r="AB98" i="2"/>
  <c r="Y98" i="2"/>
  <c r="V98" i="2"/>
  <c r="S99" i="2"/>
  <c r="T99" i="2" s="1"/>
  <c r="U99" i="2" s="1"/>
  <c r="AD86" i="1" l="1"/>
  <c r="V86" i="1"/>
  <c r="AB86" i="1"/>
  <c r="S87" i="1"/>
  <c r="T87" i="1" s="1"/>
  <c r="U87" i="1" s="1"/>
  <c r="AG86" i="5"/>
  <c r="V86" i="5"/>
  <c r="Y86" i="5"/>
  <c r="AE86" i="5"/>
  <c r="AI86" i="5"/>
  <c r="AB86" i="5"/>
  <c r="AC86" i="5"/>
  <c r="AD86" i="5"/>
  <c r="AA86" i="5"/>
  <c r="Z86" i="5"/>
  <c r="AH86" i="5"/>
  <c r="AJ87" i="5"/>
  <c r="AF86" i="5"/>
  <c r="AD108" i="3"/>
  <c r="S109" i="3" s="1"/>
  <c r="T109" i="3" s="1"/>
  <c r="U109" i="3" s="1"/>
  <c r="Z108" i="3"/>
  <c r="Y108" i="3"/>
  <c r="V108" i="3"/>
  <c r="AC108" i="3"/>
  <c r="AA108" i="3"/>
  <c r="Z99" i="2"/>
  <c r="Y99" i="2"/>
  <c r="AD99" i="2"/>
  <c r="V99" i="2"/>
  <c r="AA99" i="2"/>
  <c r="AC99" i="2"/>
  <c r="AB99" i="2"/>
  <c r="S100" i="2" s="1"/>
  <c r="T100" i="2" s="1"/>
  <c r="U100" i="2" s="1"/>
  <c r="AD87" i="1" l="1"/>
  <c r="V87" i="1"/>
  <c r="AB87" i="1"/>
  <c r="Z87" i="1"/>
  <c r="AC87" i="1"/>
  <c r="Y87" i="1"/>
  <c r="AA87" i="1"/>
  <c r="S87" i="5"/>
  <c r="T87" i="5" s="1"/>
  <c r="U87" i="5" s="1"/>
  <c r="Z109" i="3"/>
  <c r="AD109" i="3"/>
  <c r="AC109" i="3"/>
  <c r="S110" i="3"/>
  <c r="T110" i="3" s="1"/>
  <c r="U110" i="3" s="1"/>
  <c r="Y109" i="3"/>
  <c r="V109" i="3"/>
  <c r="AA109" i="3"/>
  <c r="AB100" i="2"/>
  <c r="Z100" i="2"/>
  <c r="AD100" i="2"/>
  <c r="AC100" i="2"/>
  <c r="AA100" i="2"/>
  <c r="V100" i="2"/>
  <c r="Y100" i="2"/>
  <c r="S88" i="1" l="1"/>
  <c r="T88" i="1" s="1"/>
  <c r="U88" i="1" s="1"/>
  <c r="AE87" i="5"/>
  <c r="AF87" i="5"/>
  <c r="Z87" i="5"/>
  <c r="Y87" i="5"/>
  <c r="AJ88" i="5"/>
  <c r="AD87" i="5"/>
  <c r="V87" i="5"/>
  <c r="AG87" i="5"/>
  <c r="AB87" i="5"/>
  <c r="AC87" i="5"/>
  <c r="AA87" i="5"/>
  <c r="AI87" i="5"/>
  <c r="AH87" i="5"/>
  <c r="AD110" i="3"/>
  <c r="AC110" i="3"/>
  <c r="S111" i="3"/>
  <c r="T111" i="3" s="1"/>
  <c r="U111" i="3" s="1"/>
  <c r="V110" i="3"/>
  <c r="Z110" i="3"/>
  <c r="AA110" i="3"/>
  <c r="Y110" i="3"/>
  <c r="S101" i="2"/>
  <c r="T101" i="2" s="1"/>
  <c r="U101" i="2" s="1"/>
  <c r="AC88" i="1" l="1"/>
  <c r="V88" i="1"/>
  <c r="Y88" i="1"/>
  <c r="Z88" i="1"/>
  <c r="AB88" i="1"/>
  <c r="S89" i="1" s="1"/>
  <c r="T89" i="1" s="1"/>
  <c r="U89" i="1" s="1"/>
  <c r="AD88" i="1"/>
  <c r="AA88" i="1"/>
  <c r="S88" i="5"/>
  <c r="T88" i="5" s="1"/>
  <c r="U88" i="5" s="1"/>
  <c r="AD111" i="3"/>
  <c r="Z111" i="3"/>
  <c r="Y111" i="3"/>
  <c r="V111" i="3"/>
  <c r="AA111" i="3"/>
  <c r="AC111" i="3"/>
  <c r="S112" i="3"/>
  <c r="T112" i="3" s="1"/>
  <c r="U112" i="3" s="1"/>
  <c r="V101" i="2"/>
  <c r="AD101" i="2"/>
  <c r="AB101" i="2"/>
  <c r="AA101" i="2"/>
  <c r="AC101" i="2"/>
  <c r="Y101" i="2"/>
  <c r="Z101" i="2"/>
  <c r="AD89" i="1" l="1"/>
  <c r="Y89" i="1"/>
  <c r="AB89" i="1"/>
  <c r="AC89" i="1"/>
  <c r="V89" i="1"/>
  <c r="Z89" i="1"/>
  <c r="AA89" i="1"/>
  <c r="AH88" i="5"/>
  <c r="AI88" i="5"/>
  <c r="AB88" i="5"/>
  <c r="AC88" i="5"/>
  <c r="Y88" i="5"/>
  <c r="AF88" i="5"/>
  <c r="AJ89" i="5"/>
  <c r="AG88" i="5"/>
  <c r="V88" i="5"/>
  <c r="Z88" i="5"/>
  <c r="AE88" i="5"/>
  <c r="AA88" i="5"/>
  <c r="AD88" i="5"/>
  <c r="Z112" i="3"/>
  <c r="AA112" i="3"/>
  <c r="Y112" i="3"/>
  <c r="V112" i="3"/>
  <c r="AC112" i="3"/>
  <c r="AD112" i="3"/>
  <c r="S113" i="3"/>
  <c r="T113" i="3" s="1"/>
  <c r="U113" i="3" s="1"/>
  <c r="S102" i="2"/>
  <c r="T102" i="2" s="1"/>
  <c r="U102" i="2" s="1"/>
  <c r="S90" i="1" l="1"/>
  <c r="T90" i="1" s="1"/>
  <c r="U90" i="1" s="1"/>
  <c r="AC90" i="1" s="1"/>
  <c r="S89" i="5"/>
  <c r="T89" i="5" s="1"/>
  <c r="U89" i="5" s="1"/>
  <c r="AB89" i="5" s="1"/>
  <c r="AD113" i="3"/>
  <c r="AC113" i="3"/>
  <c r="S114" i="3"/>
  <c r="T114" i="3" s="1"/>
  <c r="U114" i="3" s="1"/>
  <c r="AA113" i="3"/>
  <c r="Z113" i="3"/>
  <c r="Y113" i="3"/>
  <c r="V113" i="3"/>
  <c r="AC102" i="2"/>
  <c r="AP25" i="2" s="1"/>
  <c r="AA102" i="2"/>
  <c r="AD102" i="2"/>
  <c r="AQ25" i="2" s="1"/>
  <c r="Z102" i="2"/>
  <c r="AB102" i="2"/>
  <c r="V102" i="2"/>
  <c r="X102" i="2" s="1"/>
  <c r="AN25" i="2" s="1"/>
  <c r="Y102" i="2"/>
  <c r="V90" i="1" l="1"/>
  <c r="AB90" i="1"/>
  <c r="Y90" i="1"/>
  <c r="AA90" i="1"/>
  <c r="AD90" i="1"/>
  <c r="Z90" i="1"/>
  <c r="S91" i="1"/>
  <c r="T91" i="1" s="1"/>
  <c r="U91" i="1" s="1"/>
  <c r="AB91" i="1" s="1"/>
  <c r="AI89" i="5"/>
  <c r="AA89" i="5"/>
  <c r="Z89" i="5"/>
  <c r="AF89" i="5"/>
  <c r="AD89" i="5"/>
  <c r="AH89" i="5"/>
  <c r="Y89" i="5"/>
  <c r="AE89" i="5"/>
  <c r="AJ90" i="5"/>
  <c r="V89" i="5"/>
  <c r="AC89" i="5"/>
  <c r="AG89" i="5"/>
  <c r="AD114" i="3"/>
  <c r="Z114" i="3"/>
  <c r="Y114" i="3"/>
  <c r="V114" i="3"/>
  <c r="AC114" i="3"/>
  <c r="S115" i="3" s="1"/>
  <c r="T115" i="3" s="1"/>
  <c r="U115" i="3" s="1"/>
  <c r="AA114" i="3"/>
  <c r="S103" i="2"/>
  <c r="T103" i="2" s="1"/>
  <c r="U103" i="2" s="1"/>
  <c r="AO25" i="2"/>
  <c r="AA91" i="1" l="1"/>
  <c r="AC91" i="1"/>
  <c r="Y91" i="1"/>
  <c r="V91" i="1"/>
  <c r="AD91" i="1"/>
  <c r="Z91" i="1"/>
  <c r="S92" i="1"/>
  <c r="T92" i="1" s="1"/>
  <c r="U92" i="1" s="1"/>
  <c r="S90" i="5"/>
  <c r="T90" i="5" s="1"/>
  <c r="U90" i="5" s="1"/>
  <c r="AJ91" i="5" s="1"/>
  <c r="Z115" i="3"/>
  <c r="AD115" i="3"/>
  <c r="AC115" i="3"/>
  <c r="S116" i="3"/>
  <c r="T116" i="3" s="1"/>
  <c r="U116" i="3" s="1"/>
  <c r="AA115" i="3"/>
  <c r="Y115" i="3"/>
  <c r="V115" i="3"/>
  <c r="AW25" i="2"/>
  <c r="AU25" i="2"/>
  <c r="V103" i="2"/>
  <c r="AC103" i="2"/>
  <c r="Z103" i="2"/>
  <c r="AA103" i="2"/>
  <c r="Y103" i="2"/>
  <c r="AD103" i="2"/>
  <c r="AB103" i="2"/>
  <c r="S104" i="2" s="1"/>
  <c r="T104" i="2" s="1"/>
  <c r="U104" i="2" s="1"/>
  <c r="AB92" i="1" l="1"/>
  <c r="AD92" i="1"/>
  <c r="Y92" i="1"/>
  <c r="Z92" i="1"/>
  <c r="AC92" i="1"/>
  <c r="AA92" i="1"/>
  <c r="V92" i="1"/>
  <c r="AH90" i="5"/>
  <c r="AI90" i="5"/>
  <c r="AG90" i="5"/>
  <c r="AD90" i="5"/>
  <c r="AC90" i="5"/>
  <c r="AB90" i="5"/>
  <c r="Y90" i="5"/>
  <c r="V90" i="5"/>
  <c r="AA90" i="5"/>
  <c r="AE90" i="5"/>
  <c r="AF90" i="5"/>
  <c r="Z90" i="5"/>
  <c r="AD116" i="3"/>
  <c r="AC116" i="3"/>
  <c r="S117" i="3"/>
  <c r="T117" i="3" s="1"/>
  <c r="U117" i="3" s="1"/>
  <c r="AA116" i="3"/>
  <c r="Z116" i="3"/>
  <c r="Y116" i="3"/>
  <c r="V116" i="3"/>
  <c r="AB104" i="2"/>
  <c r="Z104" i="2"/>
  <c r="Y104" i="2"/>
  <c r="V104" i="2"/>
  <c r="AC104" i="2"/>
  <c r="AD104" i="2"/>
  <c r="AA104" i="2"/>
  <c r="S93" i="1" l="1"/>
  <c r="T93" i="1" s="1"/>
  <c r="U93" i="1" s="1"/>
  <c r="S91" i="5"/>
  <c r="T91" i="5" s="1"/>
  <c r="U91" i="5" s="1"/>
  <c r="AB91" i="5" s="1"/>
  <c r="AD117" i="3"/>
  <c r="S118" i="3" s="1"/>
  <c r="T118" i="3" s="1"/>
  <c r="U118" i="3" s="1"/>
  <c r="Z117" i="3"/>
  <c r="Y117" i="3"/>
  <c r="V117" i="3"/>
  <c r="AC117" i="3"/>
  <c r="AA117" i="3"/>
  <c r="S105" i="2"/>
  <c r="T105" i="2" s="1"/>
  <c r="U105" i="2" s="1"/>
  <c r="AC93" i="1" l="1"/>
  <c r="AB93" i="1"/>
  <c r="Z93" i="1"/>
  <c r="AA93" i="1"/>
  <c r="Y93" i="1"/>
  <c r="V93" i="1"/>
  <c r="AD93" i="1"/>
  <c r="AH91" i="5"/>
  <c r="AA91" i="5"/>
  <c r="AF91" i="5"/>
  <c r="Z91" i="5"/>
  <c r="Y91" i="5"/>
  <c r="AI91" i="5"/>
  <c r="AE91" i="5"/>
  <c r="AD91" i="5"/>
  <c r="V91" i="5"/>
  <c r="AJ92" i="5"/>
  <c r="AG91" i="5"/>
  <c r="AC91" i="5"/>
  <c r="Z118" i="3"/>
  <c r="AD118" i="3"/>
  <c r="AC118" i="3"/>
  <c r="S119" i="3"/>
  <c r="T119" i="3" s="1"/>
  <c r="U119" i="3" s="1"/>
  <c r="AA118" i="3"/>
  <c r="Y118" i="3"/>
  <c r="V118" i="3"/>
  <c r="AC105" i="2"/>
  <c r="AB105" i="2"/>
  <c r="AD105" i="2"/>
  <c r="Z105" i="2"/>
  <c r="Y105" i="2"/>
  <c r="AA105" i="2"/>
  <c r="V105" i="2"/>
  <c r="S94" i="1" l="1"/>
  <c r="T94" i="1" s="1"/>
  <c r="U94" i="1" s="1"/>
  <c r="S92" i="5"/>
  <c r="T92" i="5" s="1"/>
  <c r="U92" i="5" s="1"/>
  <c r="AA92" i="5" s="1"/>
  <c r="AD119" i="3"/>
  <c r="AC119" i="3"/>
  <c r="S120" i="3" s="1"/>
  <c r="T120" i="3" s="1"/>
  <c r="U120" i="3" s="1"/>
  <c r="AA119" i="3"/>
  <c r="Z119" i="3"/>
  <c r="Y119" i="3"/>
  <c r="V119" i="3"/>
  <c r="S106" i="2"/>
  <c r="T106" i="2" s="1"/>
  <c r="U106" i="2" s="1"/>
  <c r="AC106" i="2" s="1"/>
  <c r="Y94" i="1" l="1"/>
  <c r="Z94" i="1"/>
  <c r="AC94" i="1"/>
  <c r="AB94" i="1"/>
  <c r="AD94" i="1"/>
  <c r="AA94" i="1"/>
  <c r="V94" i="1"/>
  <c r="V106" i="2"/>
  <c r="AF92" i="5"/>
  <c r="AB92" i="5"/>
  <c r="AH92" i="5"/>
  <c r="AJ93" i="5"/>
  <c r="AC92" i="5"/>
  <c r="AE92" i="5"/>
  <c r="Y92" i="5"/>
  <c r="Z92" i="5"/>
  <c r="AG92" i="5"/>
  <c r="V92" i="5"/>
  <c r="AI92" i="5"/>
  <c r="AD92" i="5"/>
  <c r="AD120" i="3"/>
  <c r="AA120" i="3"/>
  <c r="Z120" i="3"/>
  <c r="Y120" i="3"/>
  <c r="V120" i="3"/>
  <c r="AC120" i="3"/>
  <c r="AD106" i="2"/>
  <c r="AA106" i="2"/>
  <c r="Z106" i="2"/>
  <c r="AB106" i="2"/>
  <c r="Y106" i="2"/>
  <c r="S107" i="2"/>
  <c r="T107" i="2" s="1"/>
  <c r="U107" i="2" s="1"/>
  <c r="S95" i="1" l="1"/>
  <c r="T95" i="1" s="1"/>
  <c r="U95" i="1" s="1"/>
  <c r="AA95" i="1" s="1"/>
  <c r="AB95" i="1"/>
  <c r="V95" i="1"/>
  <c r="Z95" i="1"/>
  <c r="AC95" i="1"/>
  <c r="S121" i="3"/>
  <c r="T121" i="3" s="1"/>
  <c r="U121" i="3" s="1"/>
  <c r="AC121" i="3" s="1"/>
  <c r="S93" i="5"/>
  <c r="T93" i="5" s="1"/>
  <c r="U93" i="5" s="1"/>
  <c r="AJ94" i="5" s="1"/>
  <c r="Z121" i="3"/>
  <c r="AA121" i="3"/>
  <c r="Y121" i="3"/>
  <c r="V121" i="3"/>
  <c r="AD121" i="3"/>
  <c r="Z107" i="2"/>
  <c r="AA107" i="2"/>
  <c r="Y107" i="2"/>
  <c r="AC107" i="2"/>
  <c r="AB107" i="2"/>
  <c r="V107" i="2"/>
  <c r="AD107" i="2"/>
  <c r="AD95" i="1" l="1"/>
  <c r="Y95" i="1"/>
  <c r="S96" i="1"/>
  <c r="T96" i="1" s="1"/>
  <c r="U96" i="1" s="1"/>
  <c r="S122" i="3"/>
  <c r="T122" i="3" s="1"/>
  <c r="U122" i="3" s="1"/>
  <c r="AC122" i="3" s="1"/>
  <c r="AP26" i="3" s="1"/>
  <c r="AD93" i="5"/>
  <c r="Z93" i="5"/>
  <c r="AB93" i="5"/>
  <c r="AA93" i="5"/>
  <c r="AE93" i="5"/>
  <c r="AI93" i="5"/>
  <c r="AC93" i="5"/>
  <c r="AH93" i="5"/>
  <c r="AG93" i="5"/>
  <c r="AF93" i="5"/>
  <c r="V93" i="5"/>
  <c r="Y93" i="5"/>
  <c r="S108" i="2"/>
  <c r="T108" i="2" s="1"/>
  <c r="U108" i="2" s="1"/>
  <c r="V96" i="1" l="1"/>
  <c r="Y96" i="1"/>
  <c r="AB96" i="1"/>
  <c r="AA96" i="1"/>
  <c r="AC96" i="1"/>
  <c r="AD96" i="1"/>
  <c r="Z96" i="1"/>
  <c r="Y122" i="3"/>
  <c r="V122" i="3"/>
  <c r="X122" i="3" s="1"/>
  <c r="AN26" i="3" s="1"/>
  <c r="AA122" i="3"/>
  <c r="AD122" i="3"/>
  <c r="AQ26" i="3" s="1"/>
  <c r="Z122" i="3"/>
  <c r="S94" i="5"/>
  <c r="T94" i="5" s="1"/>
  <c r="U94" i="5" s="1"/>
  <c r="AF94" i="5" s="1"/>
  <c r="AG94" i="5"/>
  <c r="AD94" i="5"/>
  <c r="AB94" i="5"/>
  <c r="AI94" i="5"/>
  <c r="AJ95" i="5"/>
  <c r="V94" i="5"/>
  <c r="S123" i="3"/>
  <c r="T123" i="3" s="1"/>
  <c r="U123" i="3" s="1"/>
  <c r="AO26" i="3"/>
  <c r="AC108" i="2"/>
  <c r="AD108" i="2"/>
  <c r="Z108" i="2"/>
  <c r="Y108" i="2"/>
  <c r="V108" i="2"/>
  <c r="AB108" i="2"/>
  <c r="S109" i="2" s="1"/>
  <c r="T109" i="2" s="1"/>
  <c r="U109" i="2" s="1"/>
  <c r="AA108" i="2"/>
  <c r="S97" i="1" l="1"/>
  <c r="T97" i="1" s="1"/>
  <c r="U97" i="1" s="1"/>
  <c r="AC94" i="5"/>
  <c r="Y94" i="5"/>
  <c r="AH94" i="5"/>
  <c r="Z94" i="5"/>
  <c r="AA94" i="5"/>
  <c r="AE94" i="5"/>
  <c r="S95" i="5"/>
  <c r="T95" i="5" s="1"/>
  <c r="U95" i="5" s="1"/>
  <c r="AA95" i="5" s="1"/>
  <c r="AW26" i="3"/>
  <c r="AU26" i="3"/>
  <c r="AC123" i="3"/>
  <c r="Z123" i="3"/>
  <c r="Y123" i="3"/>
  <c r="V123" i="3"/>
  <c r="AD123" i="3"/>
  <c r="S124" i="3"/>
  <c r="T124" i="3" s="1"/>
  <c r="U124" i="3" s="1"/>
  <c r="AA123" i="3"/>
  <c r="AA109" i="2"/>
  <c r="V109" i="2"/>
  <c r="AB109" i="2"/>
  <c r="Z109" i="2"/>
  <c r="AC109" i="2"/>
  <c r="AD109" i="2"/>
  <c r="Y109" i="2"/>
  <c r="AD97" i="1" l="1"/>
  <c r="AA97" i="1"/>
  <c r="V97" i="1"/>
  <c r="AC97" i="1"/>
  <c r="AB97" i="1"/>
  <c r="S98" i="1" s="1"/>
  <c r="T98" i="1" s="1"/>
  <c r="U98" i="1" s="1"/>
  <c r="Y97" i="1"/>
  <c r="Z97" i="1"/>
  <c r="AG95" i="5"/>
  <c r="AF95" i="5"/>
  <c r="Z95" i="5"/>
  <c r="AD95" i="5"/>
  <c r="Y95" i="5"/>
  <c r="V95" i="5"/>
  <c r="AE95" i="5"/>
  <c r="AJ96" i="5"/>
  <c r="AI95" i="5"/>
  <c r="AC95" i="5"/>
  <c r="AH95" i="5"/>
  <c r="AB95" i="5"/>
  <c r="Y124" i="3"/>
  <c r="AD124" i="3"/>
  <c r="AC124" i="3"/>
  <c r="S125" i="3"/>
  <c r="T125" i="3" s="1"/>
  <c r="U125" i="3" s="1"/>
  <c r="AA124" i="3"/>
  <c r="Z124" i="3"/>
  <c r="V124" i="3"/>
  <c r="S110" i="2"/>
  <c r="T110" i="2" s="1"/>
  <c r="U110" i="2" s="1"/>
  <c r="V98" i="1" l="1"/>
  <c r="AA98" i="1"/>
  <c r="AB98" i="1"/>
  <c r="AD98" i="1"/>
  <c r="AC98" i="1"/>
  <c r="Y98" i="1"/>
  <c r="Z98" i="1"/>
  <c r="S96" i="5"/>
  <c r="T96" i="5" s="1"/>
  <c r="U96" i="5" s="1"/>
  <c r="Z96" i="5" s="1"/>
  <c r="AD125" i="3"/>
  <c r="AC125" i="3"/>
  <c r="S126" i="3"/>
  <c r="T126" i="3" s="1"/>
  <c r="U126" i="3" s="1"/>
  <c r="AA125" i="3"/>
  <c r="Z125" i="3"/>
  <c r="V125" i="3"/>
  <c r="Y125" i="3"/>
  <c r="Y110" i="2"/>
  <c r="AD110" i="2"/>
  <c r="Z110" i="2"/>
  <c r="AB110" i="2"/>
  <c r="V110" i="2"/>
  <c r="AA110" i="2"/>
  <c r="AC110" i="2"/>
  <c r="S99" i="1" l="1"/>
  <c r="T99" i="1" s="1"/>
  <c r="U99" i="1" s="1"/>
  <c r="AE96" i="5"/>
  <c r="AI96" i="5"/>
  <c r="AB96" i="5"/>
  <c r="AH96" i="5"/>
  <c r="V96" i="5"/>
  <c r="AD96" i="5"/>
  <c r="Y96" i="5"/>
  <c r="AF96" i="5"/>
  <c r="AG96" i="5"/>
  <c r="AC96" i="5"/>
  <c r="AA96" i="5"/>
  <c r="AJ97" i="5"/>
  <c r="AC126" i="3"/>
  <c r="Z126" i="3"/>
  <c r="Y126" i="3"/>
  <c r="V126" i="3"/>
  <c r="AA126" i="3"/>
  <c r="AD126" i="3"/>
  <c r="S111" i="2"/>
  <c r="T111" i="2" s="1"/>
  <c r="U111" i="2" s="1"/>
  <c r="AD99" i="1" l="1"/>
  <c r="AA99" i="1"/>
  <c r="AB99" i="1"/>
  <c r="V99" i="1"/>
  <c r="Y99" i="1"/>
  <c r="AC99" i="1"/>
  <c r="Z99" i="1"/>
  <c r="S97" i="5"/>
  <c r="T97" i="5" s="1"/>
  <c r="U97" i="5" s="1"/>
  <c r="AE97" i="5" s="1"/>
  <c r="S127" i="3"/>
  <c r="T127" i="3" s="1"/>
  <c r="U127" i="3" s="1"/>
  <c r="Y111" i="2"/>
  <c r="AB111" i="2"/>
  <c r="V111" i="2"/>
  <c r="Z111" i="2"/>
  <c r="AC111" i="2"/>
  <c r="AD111" i="2"/>
  <c r="AA111" i="2"/>
  <c r="S100" i="1" l="1"/>
  <c r="T100" i="1" s="1"/>
  <c r="U100" i="1" s="1"/>
  <c r="Z97" i="5"/>
  <c r="AJ98" i="5"/>
  <c r="AB97" i="5"/>
  <c r="AF97" i="5"/>
  <c r="AG97" i="5"/>
  <c r="AC97" i="5"/>
  <c r="AH97" i="5"/>
  <c r="AD97" i="5"/>
  <c r="Y97" i="5"/>
  <c r="AA97" i="5"/>
  <c r="V97" i="5"/>
  <c r="AI97" i="5"/>
  <c r="Z127" i="3"/>
  <c r="Y127" i="3"/>
  <c r="V127" i="3"/>
  <c r="AD127" i="3"/>
  <c r="AC127" i="3"/>
  <c r="S128" i="3"/>
  <c r="T128" i="3" s="1"/>
  <c r="U128" i="3" s="1"/>
  <c r="AA127" i="3"/>
  <c r="S112" i="2"/>
  <c r="T112" i="2" s="1"/>
  <c r="U112" i="2" s="1"/>
  <c r="AD100" i="1" l="1"/>
  <c r="AC100" i="1"/>
  <c r="AB100" i="1"/>
  <c r="S101" i="1" s="1"/>
  <c r="T101" i="1" s="1"/>
  <c r="U101" i="1" s="1"/>
  <c r="V100" i="1"/>
  <c r="Y100" i="1"/>
  <c r="AA100" i="1"/>
  <c r="Z100" i="1"/>
  <c r="S98" i="5"/>
  <c r="T98" i="5" s="1"/>
  <c r="U98" i="5" s="1"/>
  <c r="AE98" i="5" s="1"/>
  <c r="AD128" i="3"/>
  <c r="AC128" i="3"/>
  <c r="S129" i="3"/>
  <c r="T129" i="3" s="1"/>
  <c r="U129" i="3" s="1"/>
  <c r="AA128" i="3"/>
  <c r="Z128" i="3"/>
  <c r="Y128" i="3"/>
  <c r="V128" i="3"/>
  <c r="Z112" i="2"/>
  <c r="AA112" i="2"/>
  <c r="Y112" i="2"/>
  <c r="AB112" i="2"/>
  <c r="V112" i="2"/>
  <c r="AD112" i="2"/>
  <c r="AC112" i="2"/>
  <c r="AD101" i="1" l="1"/>
  <c r="AC101" i="1"/>
  <c r="Y101" i="1"/>
  <c r="AB101" i="1"/>
  <c r="S102" i="1" s="1"/>
  <c r="T102" i="1" s="1"/>
  <c r="U102" i="1" s="1"/>
  <c r="V101" i="1"/>
  <c r="AA101" i="1"/>
  <c r="Z101" i="1"/>
  <c r="AH98" i="5"/>
  <c r="Y98" i="5"/>
  <c r="V98" i="5"/>
  <c r="AI98" i="5"/>
  <c r="AG98" i="5"/>
  <c r="AF98" i="5"/>
  <c r="AB98" i="5"/>
  <c r="AJ99" i="5"/>
  <c r="AC98" i="5"/>
  <c r="Z98" i="5"/>
  <c r="AD98" i="5"/>
  <c r="AA98" i="5"/>
  <c r="AD129" i="3"/>
  <c r="AC129" i="3"/>
  <c r="S130" i="3"/>
  <c r="T130" i="3" s="1"/>
  <c r="U130" i="3" s="1"/>
  <c r="Z129" i="3"/>
  <c r="Y129" i="3"/>
  <c r="V129" i="3"/>
  <c r="AA129" i="3"/>
  <c r="S113" i="2"/>
  <c r="T113" i="2" s="1"/>
  <c r="U113" i="2" s="1"/>
  <c r="AB113" i="2" s="1"/>
  <c r="AD113" i="2"/>
  <c r="AC102" i="1" l="1"/>
  <c r="AP25" i="1" s="1"/>
  <c r="Y102" i="1"/>
  <c r="Z102" i="1"/>
  <c r="V102" i="1"/>
  <c r="X102" i="1" s="1"/>
  <c r="AN25" i="1" s="1"/>
  <c r="AB102" i="1"/>
  <c r="AD102" i="1"/>
  <c r="AQ25" i="1" s="1"/>
  <c r="AA102" i="1"/>
  <c r="AC113" i="2"/>
  <c r="Z113" i="2"/>
  <c r="S99" i="5"/>
  <c r="T99" i="5" s="1"/>
  <c r="U99" i="5" s="1"/>
  <c r="AD99" i="5" s="1"/>
  <c r="Z130" i="3"/>
  <c r="AA130" i="3"/>
  <c r="Y130" i="3"/>
  <c r="AD130" i="3"/>
  <c r="AC130" i="3"/>
  <c r="V130" i="3"/>
  <c r="Y113" i="2"/>
  <c r="AA113" i="2"/>
  <c r="V113" i="2"/>
  <c r="S114" i="2"/>
  <c r="T114" i="2" s="1"/>
  <c r="U114" i="2" s="1"/>
  <c r="AO25" i="1" l="1"/>
  <c r="S103" i="1"/>
  <c r="T103" i="1" s="1"/>
  <c r="U103" i="1" s="1"/>
  <c r="Y99" i="5"/>
  <c r="AF99" i="5"/>
  <c r="AA99" i="5"/>
  <c r="AE99" i="5"/>
  <c r="AI99" i="5"/>
  <c r="AH99" i="5"/>
  <c r="Z99" i="5"/>
  <c r="AC99" i="5"/>
  <c r="V99" i="5"/>
  <c r="AJ100" i="5"/>
  <c r="AG99" i="5"/>
  <c r="AB99" i="5"/>
  <c r="S131" i="3"/>
  <c r="T131" i="3" s="1"/>
  <c r="U131" i="3" s="1"/>
  <c r="AD131" i="3" s="1"/>
  <c r="AB114" i="2"/>
  <c r="AA114" i="2"/>
  <c r="Z114" i="2"/>
  <c r="Y114" i="2"/>
  <c r="V114" i="2"/>
  <c r="AC114" i="2"/>
  <c r="AD114" i="2"/>
  <c r="Y103" i="1" l="1"/>
  <c r="AD103" i="1"/>
  <c r="AA103" i="1"/>
  <c r="V103" i="1"/>
  <c r="Z103" i="1"/>
  <c r="AB103" i="1"/>
  <c r="S104" i="1" s="1"/>
  <c r="T104" i="1" s="1"/>
  <c r="U104" i="1" s="1"/>
  <c r="AC103" i="1"/>
  <c r="AU25" i="1"/>
  <c r="AW25" i="1"/>
  <c r="S100" i="5"/>
  <c r="T100" i="5" s="1"/>
  <c r="U100" i="5" s="1"/>
  <c r="AC100" i="5" s="1"/>
  <c r="AC131" i="3"/>
  <c r="S132" i="3" s="1"/>
  <c r="T132" i="3" s="1"/>
  <c r="U132" i="3" s="1"/>
  <c r="AD132" i="3" s="1"/>
  <c r="AA131" i="3"/>
  <c r="V131" i="3"/>
  <c r="Y131" i="3"/>
  <c r="Z131" i="3"/>
  <c r="S115" i="2"/>
  <c r="T115" i="2" s="1"/>
  <c r="U115" i="2" s="1"/>
  <c r="AD104" i="1" l="1"/>
  <c r="V104" i="1"/>
  <c r="Z104" i="1"/>
  <c r="AA104" i="1"/>
  <c r="AC104" i="1"/>
  <c r="Y104" i="1"/>
  <c r="AB104" i="1"/>
  <c r="S105" i="1" s="1"/>
  <c r="T105" i="1" s="1"/>
  <c r="U105" i="1" s="1"/>
  <c r="AA100" i="5"/>
  <c r="Y100" i="5"/>
  <c r="AF100" i="5"/>
  <c r="AJ101" i="5"/>
  <c r="AH100" i="5"/>
  <c r="AB100" i="5"/>
  <c r="AI100" i="5"/>
  <c r="AG100" i="5"/>
  <c r="Z100" i="5"/>
  <c r="V100" i="5"/>
  <c r="AD100" i="5"/>
  <c r="AE100" i="5"/>
  <c r="S101" i="5" s="1"/>
  <c r="T101" i="5" s="1"/>
  <c r="U101" i="5" s="1"/>
  <c r="AJ102" i="5" s="1"/>
  <c r="Y132" i="3"/>
  <c r="AA132" i="3"/>
  <c r="AC132" i="3"/>
  <c r="V132" i="3"/>
  <c r="S133" i="3"/>
  <c r="T133" i="3" s="1"/>
  <c r="U133" i="3" s="1"/>
  <c r="Z133" i="3" s="1"/>
  <c r="Z132" i="3"/>
  <c r="AB115" i="2"/>
  <c r="AA115" i="2"/>
  <c r="Y115" i="2"/>
  <c r="AC115" i="2"/>
  <c r="V115" i="2"/>
  <c r="Z115" i="2"/>
  <c r="AD115" i="2"/>
  <c r="Z105" i="1" l="1"/>
  <c r="AD105" i="1"/>
  <c r="Y105" i="1"/>
  <c r="AC105" i="1"/>
  <c r="V105" i="1"/>
  <c r="AB105" i="1"/>
  <c r="S106" i="1" s="1"/>
  <c r="T106" i="1" s="1"/>
  <c r="U106" i="1" s="1"/>
  <c r="AA105" i="1"/>
  <c r="V101" i="5"/>
  <c r="AC101" i="5"/>
  <c r="AH101" i="5"/>
  <c r="AE101" i="5"/>
  <c r="AA101" i="5"/>
  <c r="AB101" i="5"/>
  <c r="Z101" i="5"/>
  <c r="Y101" i="5"/>
  <c r="AI101" i="5"/>
  <c r="AF101" i="5"/>
  <c r="AD101" i="5"/>
  <c r="AG101" i="5"/>
  <c r="Y133" i="3"/>
  <c r="V133" i="3"/>
  <c r="AD133" i="3"/>
  <c r="AA133" i="3"/>
  <c r="AC133" i="3"/>
  <c r="S134" i="3" s="1"/>
  <c r="T134" i="3" s="1"/>
  <c r="U134" i="3" s="1"/>
  <c r="AD134" i="3" s="1"/>
  <c r="S116" i="2"/>
  <c r="T116" i="2" s="1"/>
  <c r="U116" i="2" s="1"/>
  <c r="Y106" i="1" l="1"/>
  <c r="AC106" i="1"/>
  <c r="AD106" i="1"/>
  <c r="Z106" i="1"/>
  <c r="AA106" i="1"/>
  <c r="V106" i="1"/>
  <c r="AB106" i="1"/>
  <c r="S102" i="5"/>
  <c r="T102" i="5" s="1"/>
  <c r="U102" i="5" s="1"/>
  <c r="AD102" i="5" s="1"/>
  <c r="Z134" i="3"/>
  <c r="AC134" i="3"/>
  <c r="S135" i="3" s="1"/>
  <c r="T135" i="3" s="1"/>
  <c r="U135" i="3" s="1"/>
  <c r="Y135" i="3" s="1"/>
  <c r="V134" i="3"/>
  <c r="Y134" i="3"/>
  <c r="AA134" i="3"/>
  <c r="AA135" i="3"/>
  <c r="AB116" i="2"/>
  <c r="AA116" i="2"/>
  <c r="AD116" i="2"/>
  <c r="AC116" i="2"/>
  <c r="Z116" i="2"/>
  <c r="V116" i="2"/>
  <c r="Y116" i="2"/>
  <c r="S107" i="1" l="1"/>
  <c r="T107" i="1" s="1"/>
  <c r="U107" i="1" s="1"/>
  <c r="AD135" i="3"/>
  <c r="V135" i="3"/>
  <c r="AC135" i="3"/>
  <c r="S136" i="3" s="1"/>
  <c r="T136" i="3" s="1"/>
  <c r="U136" i="3" s="1"/>
  <c r="AD136" i="3" s="1"/>
  <c r="Z135" i="3"/>
  <c r="AG102" i="5"/>
  <c r="Z102" i="5"/>
  <c r="AA102" i="5"/>
  <c r="AF102" i="5"/>
  <c r="AB102" i="5"/>
  <c r="AI102" i="5"/>
  <c r="AJ103" i="5"/>
  <c r="Y102" i="5"/>
  <c r="AC102" i="5"/>
  <c r="AH102" i="5"/>
  <c r="AE102" i="5"/>
  <c r="S103" i="5" s="1"/>
  <c r="T103" i="5" s="1"/>
  <c r="U103" i="5" s="1"/>
  <c r="V102" i="5"/>
  <c r="S117" i="2"/>
  <c r="T117" i="2" s="1"/>
  <c r="U117" i="2" s="1"/>
  <c r="AC107" i="1" l="1"/>
  <c r="Z107" i="1"/>
  <c r="Y107" i="1"/>
  <c r="AD107" i="1"/>
  <c r="AA107" i="1"/>
  <c r="AB107" i="1"/>
  <c r="S108" i="1" s="1"/>
  <c r="T108" i="1" s="1"/>
  <c r="U108" i="1" s="1"/>
  <c r="V107" i="1"/>
  <c r="Z136" i="3"/>
  <c r="AC136" i="3"/>
  <c r="V136" i="3"/>
  <c r="Y136" i="3"/>
  <c r="AA136" i="3"/>
  <c r="AB103" i="5"/>
  <c r="Y103" i="5"/>
  <c r="AC103" i="5"/>
  <c r="AA103" i="5"/>
  <c r="V103" i="5"/>
  <c r="AF103" i="5"/>
  <c r="AJ104" i="5"/>
  <c r="BB27" i="5" s="1"/>
  <c r="AE103" i="5"/>
  <c r="AI103" i="5"/>
  <c r="AH103" i="5"/>
  <c r="AG103" i="5"/>
  <c r="AD103" i="5"/>
  <c r="Z103" i="5"/>
  <c r="S137" i="3"/>
  <c r="T137" i="3" s="1"/>
  <c r="U137" i="3" s="1"/>
  <c r="AD137" i="3" s="1"/>
  <c r="Z117" i="2"/>
  <c r="Y117" i="2"/>
  <c r="AA117" i="2"/>
  <c r="AB117" i="2"/>
  <c r="AC117" i="2"/>
  <c r="V117" i="2"/>
  <c r="AD117" i="2"/>
  <c r="AD108" i="1" l="1"/>
  <c r="V108" i="1"/>
  <c r="AA108" i="1"/>
  <c r="AB108" i="1"/>
  <c r="Z108" i="1"/>
  <c r="AC108" i="1"/>
  <c r="Y108" i="1"/>
  <c r="Z137" i="3"/>
  <c r="AA137" i="3"/>
  <c r="V137" i="3"/>
  <c r="Y137" i="3"/>
  <c r="S104" i="5"/>
  <c r="T104" i="5" s="1"/>
  <c r="U104" i="5" s="1"/>
  <c r="AC137" i="3"/>
  <c r="S138" i="3"/>
  <c r="T138" i="3" s="1"/>
  <c r="U138" i="3" s="1"/>
  <c r="AD138" i="3" s="1"/>
  <c r="S118" i="2"/>
  <c r="T118" i="2" s="1"/>
  <c r="U118" i="2" s="1"/>
  <c r="S109" i="1" l="1"/>
  <c r="T109" i="1" s="1"/>
  <c r="U109" i="1" s="1"/>
  <c r="AA109" i="1" s="1"/>
  <c r="AB104" i="5"/>
  <c r="AJ105" i="5"/>
  <c r="AF104" i="5"/>
  <c r="AX27" i="5" s="1"/>
  <c r="AH104" i="5"/>
  <c r="AZ27" i="5" s="1"/>
  <c r="AA104" i="5"/>
  <c r="Y104" i="5"/>
  <c r="Z104" i="5"/>
  <c r="AC104" i="5"/>
  <c r="AD104" i="5"/>
  <c r="AE104" i="5"/>
  <c r="AI104" i="5"/>
  <c r="BA27" i="5" s="1"/>
  <c r="AG104" i="5"/>
  <c r="AY27" i="5" s="1"/>
  <c r="V104" i="5"/>
  <c r="X104" i="5" s="1"/>
  <c r="AV27" i="5" s="1"/>
  <c r="Y138" i="3"/>
  <c r="V138" i="3"/>
  <c r="AA138" i="3"/>
  <c r="AC138" i="3"/>
  <c r="S139" i="3" s="1"/>
  <c r="T139" i="3" s="1"/>
  <c r="U139" i="3" s="1"/>
  <c r="Z139" i="3" s="1"/>
  <c r="Z138" i="3"/>
  <c r="AB118" i="2"/>
  <c r="Z118" i="2"/>
  <c r="Y118" i="2"/>
  <c r="AC118" i="2"/>
  <c r="AD118" i="2"/>
  <c r="AA118" i="2"/>
  <c r="V118" i="2"/>
  <c r="AC109" i="1" l="1"/>
  <c r="AD109" i="1"/>
  <c r="AB109" i="1"/>
  <c r="S110" i="1" s="1"/>
  <c r="T110" i="1" s="1"/>
  <c r="U110" i="1" s="1"/>
  <c r="AC110" i="1" s="1"/>
  <c r="Z109" i="1"/>
  <c r="Y109" i="1"/>
  <c r="V109" i="1"/>
  <c r="V110" i="1"/>
  <c r="AD110" i="1"/>
  <c r="S105" i="5"/>
  <c r="T105" i="5" s="1"/>
  <c r="U105" i="5" s="1"/>
  <c r="AW27" i="5"/>
  <c r="AC139" i="3"/>
  <c r="V139" i="3"/>
  <c r="Y139" i="3"/>
  <c r="AA139" i="3"/>
  <c r="AD139" i="3"/>
  <c r="S140" i="3"/>
  <c r="T140" i="3" s="1"/>
  <c r="U140" i="3" s="1"/>
  <c r="S119" i="2"/>
  <c r="T119" i="2" s="1"/>
  <c r="U119" i="2" s="1"/>
  <c r="Y110" i="1" l="1"/>
  <c r="AA110" i="1"/>
  <c r="Z110" i="1"/>
  <c r="AB110" i="1"/>
  <c r="S111" i="1" s="1"/>
  <c r="T111" i="1" s="1"/>
  <c r="U111" i="1" s="1"/>
  <c r="Z105" i="5"/>
  <c r="AA105" i="5"/>
  <c r="AF105" i="5"/>
  <c r="AB105" i="5"/>
  <c r="V105" i="5"/>
  <c r="AJ106" i="5"/>
  <c r="AI105" i="5"/>
  <c r="AE105" i="5"/>
  <c r="Y105" i="5"/>
  <c r="AH105" i="5"/>
  <c r="AC105" i="5"/>
  <c r="AD105" i="5"/>
  <c r="AG105" i="5"/>
  <c r="AD140" i="3"/>
  <c r="S141" i="3" s="1"/>
  <c r="T141" i="3" s="1"/>
  <c r="U141" i="3" s="1"/>
  <c r="Z140" i="3"/>
  <c r="Y140" i="3"/>
  <c r="V140" i="3"/>
  <c r="AC140" i="3"/>
  <c r="AA140" i="3"/>
  <c r="Y119" i="2"/>
  <c r="V119" i="2"/>
  <c r="AC119" i="2"/>
  <c r="AA119" i="2"/>
  <c r="AD119" i="2"/>
  <c r="Z119" i="2"/>
  <c r="AB119" i="2"/>
  <c r="S120" i="2" s="1"/>
  <c r="T120" i="2" s="1"/>
  <c r="U120" i="2" s="1"/>
  <c r="V111" i="1" l="1"/>
  <c r="AD111" i="1"/>
  <c r="AB111" i="1"/>
  <c r="Y111" i="1"/>
  <c r="AA111" i="1"/>
  <c r="Z111" i="1"/>
  <c r="AC111" i="1"/>
  <c r="S106" i="5"/>
  <c r="T106" i="5" s="1"/>
  <c r="U106" i="5" s="1"/>
  <c r="AD141" i="3"/>
  <c r="Z141" i="3"/>
  <c r="V141" i="3"/>
  <c r="AC141" i="3"/>
  <c r="S142" i="3"/>
  <c r="T142" i="3" s="1"/>
  <c r="U142" i="3" s="1"/>
  <c r="Y141" i="3"/>
  <c r="AA141" i="3"/>
  <c r="AA120" i="2"/>
  <c r="V120" i="2"/>
  <c r="Y120" i="2"/>
  <c r="AB120" i="2"/>
  <c r="AC120" i="2"/>
  <c r="Z120" i="2"/>
  <c r="AD120" i="2"/>
  <c r="S112" i="1" l="1"/>
  <c r="T112" i="1" s="1"/>
  <c r="U112" i="1" s="1"/>
  <c r="AE106" i="5"/>
  <c r="AI106" i="5"/>
  <c r="Z106" i="5"/>
  <c r="AC106" i="5"/>
  <c r="Y106" i="5"/>
  <c r="AA106" i="5"/>
  <c r="AH106" i="5"/>
  <c r="AB106" i="5"/>
  <c r="AF106" i="5"/>
  <c r="AG106" i="5"/>
  <c r="V106" i="5"/>
  <c r="AJ107" i="5"/>
  <c r="AD106" i="5"/>
  <c r="Y142" i="3"/>
  <c r="V142" i="3"/>
  <c r="X142" i="3" s="1"/>
  <c r="AN27" i="3" s="1"/>
  <c r="AD142" i="3"/>
  <c r="AQ27" i="3" s="1"/>
  <c r="AC142" i="3"/>
  <c r="AP27" i="3" s="1"/>
  <c r="AA142" i="3"/>
  <c r="Z142" i="3"/>
  <c r="S121" i="2"/>
  <c r="T121" i="2" s="1"/>
  <c r="U121" i="2" s="1"/>
  <c r="AB112" i="1" l="1"/>
  <c r="Y112" i="1"/>
  <c r="AA112" i="1"/>
  <c r="V112" i="1"/>
  <c r="AC112" i="1"/>
  <c r="AD112" i="1"/>
  <c r="Z112" i="1"/>
  <c r="S107" i="5"/>
  <c r="T107" i="5" s="1"/>
  <c r="U107" i="5" s="1"/>
  <c r="S143" i="3"/>
  <c r="T143" i="3" s="1"/>
  <c r="U143" i="3" s="1"/>
  <c r="AO27" i="3"/>
  <c r="Y121" i="2"/>
  <c r="V121" i="2"/>
  <c r="AC121" i="2"/>
  <c r="Z121" i="2"/>
  <c r="AB121" i="2"/>
  <c r="AA121" i="2"/>
  <c r="AD121" i="2"/>
  <c r="S113" i="1" l="1"/>
  <c r="T113" i="1" s="1"/>
  <c r="U113" i="1" s="1"/>
  <c r="AC107" i="5"/>
  <c r="V107" i="5"/>
  <c r="AF107" i="5"/>
  <c r="AI107" i="5"/>
  <c r="AG107" i="5"/>
  <c r="AB107" i="5"/>
  <c r="AH107" i="5"/>
  <c r="Z107" i="5"/>
  <c r="AD107" i="5"/>
  <c r="AE107" i="5"/>
  <c r="AA107" i="5"/>
  <c r="AJ108" i="5"/>
  <c r="Y107" i="5"/>
  <c r="AW27" i="3"/>
  <c r="AU27" i="3"/>
  <c r="AC143" i="3"/>
  <c r="AD143" i="3"/>
  <c r="AA143" i="3"/>
  <c r="Y143" i="3"/>
  <c r="Z143" i="3"/>
  <c r="V143" i="3"/>
  <c r="S122" i="2"/>
  <c r="T122" i="2" s="1"/>
  <c r="U122" i="2" s="1"/>
  <c r="AA113" i="1" l="1"/>
  <c r="AB113" i="1"/>
  <c r="Z113" i="1"/>
  <c r="Y113" i="1"/>
  <c r="AD113" i="1"/>
  <c r="V113" i="1"/>
  <c r="AC113" i="1"/>
  <c r="S108" i="5"/>
  <c r="T108" i="5" s="1"/>
  <c r="U108" i="5" s="1"/>
  <c r="AH108" i="5" s="1"/>
  <c r="S144" i="3"/>
  <c r="T144" i="3" s="1"/>
  <c r="U144" i="3" s="1"/>
  <c r="AC144" i="3" s="1"/>
  <c r="AC122" i="2"/>
  <c r="AP26" i="2" s="1"/>
  <c r="V122" i="2"/>
  <c r="X122" i="2" s="1"/>
  <c r="AN26" i="2" s="1"/>
  <c r="AD122" i="2"/>
  <c r="AQ26" i="2" s="1"/>
  <c r="AA122" i="2"/>
  <c r="Z122" i="2"/>
  <c r="Y122" i="2"/>
  <c r="AB122" i="2"/>
  <c r="S114" i="1" l="1"/>
  <c r="T114" i="1" s="1"/>
  <c r="U114" i="1" s="1"/>
  <c r="AF108" i="5"/>
  <c r="V108" i="5"/>
  <c r="AJ109" i="5"/>
  <c r="AC108" i="5"/>
  <c r="AI108" i="5"/>
  <c r="AA108" i="5"/>
  <c r="AE108" i="5"/>
  <c r="Y108" i="5"/>
  <c r="Z108" i="5"/>
  <c r="AB108" i="5"/>
  <c r="AD108" i="5"/>
  <c r="AG108" i="5"/>
  <c r="Z144" i="3"/>
  <c r="AA144" i="3"/>
  <c r="AD144" i="3"/>
  <c r="V144" i="3"/>
  <c r="Y144" i="3"/>
  <c r="S145" i="3"/>
  <c r="T145" i="3" s="1"/>
  <c r="U145" i="3" s="1"/>
  <c r="Y145" i="3" s="1"/>
  <c r="AO26" i="2"/>
  <c r="S123" i="2"/>
  <c r="T123" i="2" s="1"/>
  <c r="U123" i="2" s="1"/>
  <c r="AB114" i="1" l="1"/>
  <c r="V114" i="1"/>
  <c r="AC114" i="1"/>
  <c r="AA114" i="1"/>
  <c r="Y114" i="1"/>
  <c r="Z114" i="1"/>
  <c r="AD114" i="1"/>
  <c r="S109" i="5"/>
  <c r="T109" i="5" s="1"/>
  <c r="U109" i="5" s="1"/>
  <c r="Y109" i="5" s="1"/>
  <c r="Z145" i="3"/>
  <c r="AA145" i="3"/>
  <c r="V145" i="3"/>
  <c r="AC145" i="3"/>
  <c r="AD145" i="3"/>
  <c r="AB123" i="2"/>
  <c r="V123" i="2"/>
  <c r="Z123" i="2"/>
  <c r="AA123" i="2"/>
  <c r="Y123" i="2"/>
  <c r="AC123" i="2"/>
  <c r="AD123" i="2"/>
  <c r="AW26" i="2"/>
  <c r="AU26" i="2"/>
  <c r="S115" i="1" l="1"/>
  <c r="T115" i="1" s="1"/>
  <c r="U115" i="1" s="1"/>
  <c r="AI109" i="5"/>
  <c r="AG109" i="5"/>
  <c r="Z109" i="5"/>
  <c r="AC109" i="5"/>
  <c r="AF109" i="5"/>
  <c r="AB109" i="5"/>
  <c r="AH109" i="5"/>
  <c r="V109" i="5"/>
  <c r="AJ110" i="5"/>
  <c r="AA109" i="5"/>
  <c r="AE109" i="5"/>
  <c r="AD109" i="5"/>
  <c r="S146" i="3"/>
  <c r="T146" i="3" s="1"/>
  <c r="U146" i="3" s="1"/>
  <c r="AC146" i="3" s="1"/>
  <c r="S124" i="2"/>
  <c r="T124" i="2" s="1"/>
  <c r="U124" i="2" s="1"/>
  <c r="Y115" i="1" l="1"/>
  <c r="AC115" i="1"/>
  <c r="V115" i="1"/>
  <c r="Z115" i="1"/>
  <c r="AD115" i="1"/>
  <c r="AA115" i="1"/>
  <c r="AB115" i="1"/>
  <c r="S116" i="1" s="1"/>
  <c r="T116" i="1" s="1"/>
  <c r="U116" i="1" s="1"/>
  <c r="Z146" i="3"/>
  <c r="Y146" i="3"/>
  <c r="AA146" i="3"/>
  <c r="V146" i="3"/>
  <c r="AD146" i="3"/>
  <c r="S147" i="3" s="1"/>
  <c r="T147" i="3" s="1"/>
  <c r="U147" i="3" s="1"/>
  <c r="S110" i="5"/>
  <c r="T110" i="5" s="1"/>
  <c r="U110" i="5" s="1"/>
  <c r="AF110" i="5" s="1"/>
  <c r="AB124" i="2"/>
  <c r="AC124" i="2"/>
  <c r="AD124" i="2"/>
  <c r="Z124" i="2"/>
  <c r="AA124" i="2"/>
  <c r="V124" i="2"/>
  <c r="Y124" i="2"/>
  <c r="Z116" i="1" l="1"/>
  <c r="AB116" i="1"/>
  <c r="AD116" i="1"/>
  <c r="AC116" i="1"/>
  <c r="AA116" i="1"/>
  <c r="V116" i="1"/>
  <c r="Y116" i="1"/>
  <c r="AC147" i="3"/>
  <c r="Z147" i="3"/>
  <c r="V147" i="3"/>
  <c r="AA147" i="3"/>
  <c r="AD147" i="3"/>
  <c r="Y147" i="3"/>
  <c r="AE110" i="5"/>
  <c r="AB110" i="5"/>
  <c r="AJ111" i="5"/>
  <c r="AG110" i="5"/>
  <c r="AH110" i="5"/>
  <c r="Y110" i="5"/>
  <c r="V110" i="5"/>
  <c r="AA110" i="5"/>
  <c r="AC110" i="5"/>
  <c r="AD110" i="5"/>
  <c r="AI110" i="5"/>
  <c r="Z110" i="5"/>
  <c r="S125" i="2"/>
  <c r="T125" i="2" s="1"/>
  <c r="U125" i="2" s="1"/>
  <c r="S117" i="1" l="1"/>
  <c r="T117" i="1" s="1"/>
  <c r="U117" i="1" s="1"/>
  <c r="AA117" i="1"/>
  <c r="AC117" i="1"/>
  <c r="AB117" i="1"/>
  <c r="V117" i="1"/>
  <c r="Y117" i="1"/>
  <c r="AD117" i="1"/>
  <c r="Z117" i="1"/>
  <c r="S148" i="3"/>
  <c r="T148" i="3" s="1"/>
  <c r="U148" i="3" s="1"/>
  <c r="S111" i="5"/>
  <c r="T111" i="5" s="1"/>
  <c r="U111" i="5" s="1"/>
  <c r="AI111" i="5" s="1"/>
  <c r="AA125" i="2"/>
  <c r="AD125" i="2"/>
  <c r="Z125" i="2"/>
  <c r="AC125" i="2"/>
  <c r="Y125" i="2"/>
  <c r="AB125" i="2"/>
  <c r="V125" i="2"/>
  <c r="S118" i="1" l="1"/>
  <c r="T118" i="1" s="1"/>
  <c r="U118" i="1" s="1"/>
  <c r="Y148" i="3"/>
  <c r="V148" i="3"/>
  <c r="AC148" i="3"/>
  <c r="AA148" i="3"/>
  <c r="Z148" i="3"/>
  <c r="AD148" i="3"/>
  <c r="S126" i="2"/>
  <c r="T126" i="2" s="1"/>
  <c r="U126" i="2" s="1"/>
  <c r="AG111" i="5"/>
  <c r="AA111" i="5"/>
  <c r="AD111" i="5"/>
  <c r="AH111" i="5"/>
  <c r="AC111" i="5"/>
  <c r="AF111" i="5"/>
  <c r="V111" i="5"/>
  <c r="AE111" i="5"/>
  <c r="S112" i="5" s="1"/>
  <c r="T112" i="5" s="1"/>
  <c r="U112" i="5" s="1"/>
  <c r="Y111" i="5"/>
  <c r="Z111" i="5"/>
  <c r="AB111" i="5"/>
  <c r="AJ112" i="5"/>
  <c r="AC126" i="2"/>
  <c r="AB126" i="2"/>
  <c r="Z126" i="2"/>
  <c r="V126" i="2"/>
  <c r="AD126" i="2"/>
  <c r="Y126" i="2"/>
  <c r="AA126" i="2"/>
  <c r="Y118" i="1" l="1"/>
  <c r="AA118" i="1"/>
  <c r="Z118" i="1"/>
  <c r="AD118" i="1"/>
  <c r="AC118" i="1"/>
  <c r="AB118" i="1"/>
  <c r="S119" i="1" s="1"/>
  <c r="T119" i="1" s="1"/>
  <c r="U119" i="1" s="1"/>
  <c r="V118" i="1"/>
  <c r="S149" i="3"/>
  <c r="T149" i="3" s="1"/>
  <c r="U149" i="3" s="1"/>
  <c r="AJ113" i="5"/>
  <c r="AH112" i="5"/>
  <c r="AG112" i="5"/>
  <c r="AI112" i="5"/>
  <c r="AA112" i="5"/>
  <c r="Z112" i="5"/>
  <c r="AE112" i="5"/>
  <c r="V112" i="5"/>
  <c r="AD112" i="5"/>
  <c r="Y112" i="5"/>
  <c r="AC112" i="5"/>
  <c r="AB112" i="5"/>
  <c r="AF112" i="5"/>
  <c r="S127" i="2"/>
  <c r="T127" i="2" s="1"/>
  <c r="U127" i="2" s="1"/>
  <c r="Y119" i="1" l="1"/>
  <c r="V119" i="1"/>
  <c r="Z119" i="1"/>
  <c r="AA119" i="1"/>
  <c r="AB119" i="1"/>
  <c r="AC119" i="1"/>
  <c r="AD119" i="1"/>
  <c r="Z149" i="3"/>
  <c r="Y149" i="3"/>
  <c r="AC149" i="3"/>
  <c r="AA149" i="3"/>
  <c r="AD149" i="3"/>
  <c r="V149" i="3"/>
  <c r="S113" i="5"/>
  <c r="T113" i="5" s="1"/>
  <c r="U113" i="5" s="1"/>
  <c r="AG113" i="5" s="1"/>
  <c r="AB127" i="2"/>
  <c r="AA127" i="2"/>
  <c r="Y127" i="2"/>
  <c r="AD127" i="2"/>
  <c r="V127" i="2"/>
  <c r="Z127" i="2"/>
  <c r="AC127" i="2"/>
  <c r="S120" i="1" l="1"/>
  <c r="T120" i="1" s="1"/>
  <c r="U120" i="1" s="1"/>
  <c r="V120" i="1" s="1"/>
  <c r="Y120" i="1"/>
  <c r="Z120" i="1"/>
  <c r="AA120" i="1"/>
  <c r="AC120" i="1"/>
  <c r="AB120" i="1"/>
  <c r="S121" i="1" s="1"/>
  <c r="T121" i="1" s="1"/>
  <c r="U121" i="1" s="1"/>
  <c r="AD120" i="1"/>
  <c r="S150" i="3"/>
  <c r="T150" i="3" s="1"/>
  <c r="U150" i="3" s="1"/>
  <c r="AH113" i="5"/>
  <c r="AC113" i="5"/>
  <c r="AA113" i="5"/>
  <c r="Y113" i="5"/>
  <c r="V113" i="5"/>
  <c r="AJ114" i="5"/>
  <c r="Z113" i="5"/>
  <c r="AI113" i="5"/>
  <c r="AF113" i="5"/>
  <c r="AD113" i="5"/>
  <c r="AE113" i="5"/>
  <c r="S114" i="5" s="1"/>
  <c r="T114" i="5" s="1"/>
  <c r="U114" i="5" s="1"/>
  <c r="AB114" i="5" s="1"/>
  <c r="AB113" i="5"/>
  <c r="S128" i="2"/>
  <c r="T128" i="2" s="1"/>
  <c r="U128" i="2" s="1"/>
  <c r="Y121" i="1" l="1"/>
  <c r="AD121" i="1"/>
  <c r="AA121" i="1"/>
  <c r="Z121" i="1"/>
  <c r="AB121" i="1"/>
  <c r="V121" i="1"/>
  <c r="AC121" i="1"/>
  <c r="Z150" i="3"/>
  <c r="AC150" i="3"/>
  <c r="Y150" i="3"/>
  <c r="V150" i="3"/>
  <c r="AD150" i="3"/>
  <c r="AA150" i="3"/>
  <c r="AA114" i="5"/>
  <c r="AF114" i="5"/>
  <c r="AH114" i="5"/>
  <c r="AE114" i="5"/>
  <c r="AD114" i="5"/>
  <c r="AG114" i="5"/>
  <c r="Z114" i="5"/>
  <c r="AC114" i="5"/>
  <c r="V114" i="5"/>
  <c r="Y114" i="5"/>
  <c r="AJ115" i="5"/>
  <c r="AI114" i="5"/>
  <c r="AC128" i="2"/>
  <c r="AA128" i="2"/>
  <c r="AD128" i="2"/>
  <c r="V128" i="2"/>
  <c r="AB128" i="2"/>
  <c r="Y128" i="2"/>
  <c r="Z128" i="2"/>
  <c r="S122" i="1" l="1"/>
  <c r="T122" i="1" s="1"/>
  <c r="U122" i="1" s="1"/>
  <c r="Y122" i="1" s="1"/>
  <c r="AB122" i="1"/>
  <c r="AO26" i="1" s="1"/>
  <c r="AA122" i="1"/>
  <c r="S151" i="3"/>
  <c r="T151" i="3" s="1"/>
  <c r="U151" i="3" s="1"/>
  <c r="S129" i="2"/>
  <c r="T129" i="2" s="1"/>
  <c r="U129" i="2" s="1"/>
  <c r="AC129" i="2" s="1"/>
  <c r="S115" i="5"/>
  <c r="T115" i="5" s="1"/>
  <c r="U115" i="5" s="1"/>
  <c r="AD115" i="5" s="1"/>
  <c r="AB129" i="2"/>
  <c r="Z129" i="2"/>
  <c r="AD129" i="2"/>
  <c r="AA129" i="2"/>
  <c r="Y129" i="2"/>
  <c r="V129" i="2"/>
  <c r="AD122" i="1" l="1"/>
  <c r="AQ26" i="1" s="1"/>
  <c r="AC122" i="1"/>
  <c r="V122" i="1"/>
  <c r="X122" i="1" s="1"/>
  <c r="AN26" i="1" s="1"/>
  <c r="Z122" i="1"/>
  <c r="Y151" i="3"/>
  <c r="AC151" i="3"/>
  <c r="AD151" i="3"/>
  <c r="Z151" i="3"/>
  <c r="V151" i="3"/>
  <c r="AA151" i="3"/>
  <c r="AB115" i="5"/>
  <c r="AJ116" i="5"/>
  <c r="Z115" i="5"/>
  <c r="AC115" i="5"/>
  <c r="AH115" i="5"/>
  <c r="AF115" i="5"/>
  <c r="AG115" i="5"/>
  <c r="V115" i="5"/>
  <c r="AE115" i="5"/>
  <c r="AI115" i="5"/>
  <c r="AA115" i="5"/>
  <c r="Y115" i="5"/>
  <c r="S130" i="2"/>
  <c r="T130" i="2" s="1"/>
  <c r="U130" i="2" s="1"/>
  <c r="AP26" i="1" l="1"/>
  <c r="S123" i="1"/>
  <c r="T123" i="1" s="1"/>
  <c r="U123" i="1" s="1"/>
  <c r="S152" i="3"/>
  <c r="T152" i="3" s="1"/>
  <c r="U152" i="3" s="1"/>
  <c r="S116" i="5"/>
  <c r="T116" i="5" s="1"/>
  <c r="U116" i="5" s="1"/>
  <c r="Z116" i="5" s="1"/>
  <c r="AD130" i="2"/>
  <c r="AC130" i="2"/>
  <c r="Y130" i="2"/>
  <c r="AB130" i="2"/>
  <c r="S131" i="2" s="1"/>
  <c r="T131" i="2" s="1"/>
  <c r="U131" i="2" s="1"/>
  <c r="AA130" i="2"/>
  <c r="V130" i="2"/>
  <c r="Z130" i="2"/>
  <c r="Y123" i="1" l="1"/>
  <c r="AD123" i="1"/>
  <c r="V123" i="1"/>
  <c r="AA123" i="1"/>
  <c r="AC123" i="1"/>
  <c r="Z123" i="1"/>
  <c r="AB123" i="1"/>
  <c r="S124" i="1" s="1"/>
  <c r="T124" i="1" s="1"/>
  <c r="U124" i="1" s="1"/>
  <c r="AU26" i="1"/>
  <c r="AW26" i="1"/>
  <c r="Y152" i="3"/>
  <c r="AD152" i="3"/>
  <c r="AC152" i="3"/>
  <c r="S153" i="3" s="1"/>
  <c r="T153" i="3" s="1"/>
  <c r="U153" i="3" s="1"/>
  <c r="AA152" i="3"/>
  <c r="V152" i="3"/>
  <c r="Z152" i="3"/>
  <c r="AI116" i="5"/>
  <c r="AH116" i="5"/>
  <c r="AD116" i="5"/>
  <c r="Y116" i="5"/>
  <c r="AJ117" i="5"/>
  <c r="AB116" i="5"/>
  <c r="AC116" i="5"/>
  <c r="V116" i="5"/>
  <c r="AE116" i="5"/>
  <c r="AG116" i="5"/>
  <c r="AA116" i="5"/>
  <c r="AF116" i="5"/>
  <c r="Z131" i="2"/>
  <c r="AD131" i="2"/>
  <c r="AA131" i="2"/>
  <c r="AB131" i="2"/>
  <c r="V131" i="2"/>
  <c r="AC131" i="2"/>
  <c r="Y131" i="2"/>
  <c r="AB124" i="1" l="1"/>
  <c r="AA124" i="1"/>
  <c r="AD124" i="1"/>
  <c r="Z124" i="1"/>
  <c r="V124" i="1"/>
  <c r="Y124" i="1"/>
  <c r="AC124" i="1"/>
  <c r="S125" i="1" s="1"/>
  <c r="T125" i="1" s="1"/>
  <c r="U125" i="1" s="1"/>
  <c r="Z125" i="1" s="1"/>
  <c r="AC153" i="3"/>
  <c r="AA153" i="3"/>
  <c r="AD153" i="3"/>
  <c r="V153" i="3"/>
  <c r="Y153" i="3"/>
  <c r="Z153" i="3"/>
  <c r="S117" i="5"/>
  <c r="T117" i="5" s="1"/>
  <c r="U117" i="5" s="1"/>
  <c r="AC117" i="5" s="1"/>
  <c r="S132" i="2"/>
  <c r="T132" i="2" s="1"/>
  <c r="U132" i="2" s="1"/>
  <c r="Y132" i="2" s="1"/>
  <c r="AC125" i="1" l="1"/>
  <c r="V125" i="1"/>
  <c r="AB125" i="1"/>
  <c r="Y125" i="1"/>
  <c r="AD125" i="1"/>
  <c r="AA125" i="1"/>
  <c r="S154" i="3"/>
  <c r="T154" i="3" s="1"/>
  <c r="U154" i="3" s="1"/>
  <c r="AD132" i="2"/>
  <c r="AB132" i="2"/>
  <c r="V132" i="2"/>
  <c r="V117" i="5"/>
  <c r="AG117" i="5"/>
  <c r="Z117" i="5"/>
  <c r="AI117" i="5"/>
  <c r="AA117" i="5"/>
  <c r="AH117" i="5"/>
  <c r="AB117" i="5"/>
  <c r="AF117" i="5"/>
  <c r="Y117" i="5"/>
  <c r="AE117" i="5"/>
  <c r="S118" i="5" s="1"/>
  <c r="T118" i="5" s="1"/>
  <c r="U118" i="5" s="1"/>
  <c r="AF118" i="5" s="1"/>
  <c r="AD117" i="5"/>
  <c r="AJ118" i="5"/>
  <c r="AC132" i="2"/>
  <c r="Z132" i="2"/>
  <c r="AA132" i="2"/>
  <c r="S133" i="2"/>
  <c r="T133" i="2" s="1"/>
  <c r="U133" i="2" s="1"/>
  <c r="S126" i="1" l="1"/>
  <c r="T126" i="1" s="1"/>
  <c r="U126" i="1" s="1"/>
  <c r="V154" i="3"/>
  <c r="AA154" i="3"/>
  <c r="Z154" i="3"/>
  <c r="Y154" i="3"/>
  <c r="AD154" i="3"/>
  <c r="AC154" i="3"/>
  <c r="S155" i="3" s="1"/>
  <c r="T155" i="3" s="1"/>
  <c r="U155" i="3" s="1"/>
  <c r="AH118" i="5"/>
  <c r="AB118" i="5"/>
  <c r="AC118" i="5"/>
  <c r="AE118" i="5"/>
  <c r="Z118" i="5"/>
  <c r="Y118" i="5"/>
  <c r="AA118" i="5"/>
  <c r="V118" i="5"/>
  <c r="AI118" i="5"/>
  <c r="AJ119" i="5"/>
  <c r="AG118" i="5"/>
  <c r="AD118" i="5"/>
  <c r="Z133" i="2"/>
  <c r="AA133" i="2"/>
  <c r="Y133" i="2"/>
  <c r="AB133" i="2"/>
  <c r="AD133" i="2"/>
  <c r="V133" i="2"/>
  <c r="AC133" i="2"/>
  <c r="AD126" i="1" l="1"/>
  <c r="AC126" i="1"/>
  <c r="Y126" i="1"/>
  <c r="AA126" i="1"/>
  <c r="AB126" i="1"/>
  <c r="S127" i="1" s="1"/>
  <c r="T127" i="1" s="1"/>
  <c r="U127" i="1" s="1"/>
  <c r="AD127" i="1" s="1"/>
  <c r="V126" i="1"/>
  <c r="Z126" i="1"/>
  <c r="AC155" i="3"/>
  <c r="Z155" i="3"/>
  <c r="V155" i="3"/>
  <c r="AD155" i="3"/>
  <c r="AA155" i="3"/>
  <c r="Y155" i="3"/>
  <c r="S119" i="5"/>
  <c r="T119" i="5" s="1"/>
  <c r="U119" i="5" s="1"/>
  <c r="AC119" i="5" s="1"/>
  <c r="S134" i="2"/>
  <c r="T134" i="2" s="1"/>
  <c r="U134" i="2" s="1"/>
  <c r="AB127" i="1" l="1"/>
  <c r="AC127" i="1"/>
  <c r="V127" i="1"/>
  <c r="AA127" i="1"/>
  <c r="Y127" i="1"/>
  <c r="Z127" i="1"/>
  <c r="S128" i="1"/>
  <c r="T128" i="1" s="1"/>
  <c r="U128" i="1" s="1"/>
  <c r="AB128" i="1" s="1"/>
  <c r="S156" i="3"/>
  <c r="T156" i="3" s="1"/>
  <c r="U156" i="3" s="1"/>
  <c r="AF119" i="5"/>
  <c r="AJ120" i="5"/>
  <c r="Z119" i="5"/>
  <c r="AB119" i="5"/>
  <c r="AA119" i="5"/>
  <c r="AE119" i="5"/>
  <c r="AI119" i="5"/>
  <c r="AG119" i="5"/>
  <c r="V119" i="5"/>
  <c r="AH119" i="5"/>
  <c r="Y119" i="5"/>
  <c r="AD119" i="5"/>
  <c r="V134" i="2"/>
  <c r="Y134" i="2"/>
  <c r="AD134" i="2"/>
  <c r="Z134" i="2"/>
  <c r="AC134" i="2"/>
  <c r="AA134" i="2"/>
  <c r="AB134" i="2"/>
  <c r="S135" i="2" s="1"/>
  <c r="T135" i="2" s="1"/>
  <c r="U135" i="2" s="1"/>
  <c r="AD128" i="1" l="1"/>
  <c r="Z128" i="1"/>
  <c r="Y128" i="1"/>
  <c r="V128" i="1"/>
  <c r="AA128" i="1"/>
  <c r="AC128" i="1"/>
  <c r="S129" i="1" s="1"/>
  <c r="T129" i="1" s="1"/>
  <c r="U129" i="1" s="1"/>
  <c r="AD156" i="3"/>
  <c r="AA156" i="3"/>
  <c r="Z156" i="3"/>
  <c r="Y156" i="3"/>
  <c r="AC156" i="3"/>
  <c r="S157" i="3" s="1"/>
  <c r="T157" i="3" s="1"/>
  <c r="U157" i="3" s="1"/>
  <c r="V156" i="3"/>
  <c r="S120" i="5"/>
  <c r="T120" i="5" s="1"/>
  <c r="U120" i="5" s="1"/>
  <c r="Z120" i="5" s="1"/>
  <c r="AD135" i="2"/>
  <c r="V135" i="2"/>
  <c r="AB135" i="2"/>
  <c r="Y135" i="2"/>
  <c r="Z135" i="2"/>
  <c r="AA135" i="2"/>
  <c r="AC135" i="2"/>
  <c r="Y157" i="3" l="1"/>
  <c r="V157" i="3"/>
  <c r="Z157" i="3"/>
  <c r="AD157" i="3"/>
  <c r="AA157" i="3"/>
  <c r="AC157" i="3"/>
  <c r="S158" i="3" s="1"/>
  <c r="T158" i="3" s="1"/>
  <c r="U158" i="3" s="1"/>
  <c r="AA129" i="1"/>
  <c r="Y129" i="1"/>
  <c r="AD129" i="1"/>
  <c r="AC129" i="1"/>
  <c r="V129" i="1"/>
  <c r="AB129" i="1"/>
  <c r="S130" i="1" s="1"/>
  <c r="T130" i="1" s="1"/>
  <c r="U130" i="1" s="1"/>
  <c r="Z129" i="1"/>
  <c r="Y120" i="5"/>
  <c r="AG120" i="5"/>
  <c r="AB120" i="5"/>
  <c r="AD120" i="5"/>
  <c r="AC120" i="5"/>
  <c r="AJ121" i="5"/>
  <c r="AE120" i="5"/>
  <c r="V120" i="5"/>
  <c r="AI120" i="5"/>
  <c r="AA120" i="5"/>
  <c r="AF120" i="5"/>
  <c r="AH120" i="5"/>
  <c r="AO28" i="3"/>
  <c r="S136" i="2"/>
  <c r="T136" i="2" s="1"/>
  <c r="U136" i="2" s="1"/>
  <c r="AD158" i="3" l="1"/>
  <c r="AC158" i="3"/>
  <c r="S159" i="3" s="1"/>
  <c r="T159" i="3" s="1"/>
  <c r="U159" i="3" s="1"/>
  <c r="V158" i="3"/>
  <c r="Z158" i="3"/>
  <c r="AA158" i="3"/>
  <c r="Y158" i="3"/>
  <c r="Z130" i="1"/>
  <c r="Y130" i="1"/>
  <c r="AC130" i="1"/>
  <c r="AA130" i="1"/>
  <c r="V130" i="1"/>
  <c r="AB130" i="1"/>
  <c r="AD130" i="1"/>
  <c r="S121" i="5"/>
  <c r="T121" i="5" s="1"/>
  <c r="U121" i="5" s="1"/>
  <c r="Z121" i="5" s="1"/>
  <c r="AC136" i="2"/>
  <c r="AD136" i="2"/>
  <c r="Z136" i="2"/>
  <c r="Y136" i="2"/>
  <c r="V136" i="2"/>
  <c r="AA136" i="2"/>
  <c r="AB136" i="2"/>
  <c r="S137" i="2" s="1"/>
  <c r="T137" i="2" s="1"/>
  <c r="U137" i="2" s="1"/>
  <c r="Y159" i="3" l="1"/>
  <c r="AD159" i="3"/>
  <c r="V159" i="3"/>
  <c r="AA159" i="3"/>
  <c r="Z159" i="3"/>
  <c r="AC159" i="3"/>
  <c r="S160" i="3" s="1"/>
  <c r="T160" i="3" s="1"/>
  <c r="U160" i="3" s="1"/>
  <c r="S131" i="1"/>
  <c r="T131" i="1" s="1"/>
  <c r="U131" i="1" s="1"/>
  <c r="Z131" i="1" s="1"/>
  <c r="AF121" i="5"/>
  <c r="AB121" i="5"/>
  <c r="AG121" i="5"/>
  <c r="Y121" i="5"/>
  <c r="AC121" i="5"/>
  <c r="AI121" i="5"/>
  <c r="AJ122" i="5"/>
  <c r="AD121" i="5"/>
  <c r="AE121" i="5"/>
  <c r="V121" i="5"/>
  <c r="AH121" i="5"/>
  <c r="AA121" i="5"/>
  <c r="Y137" i="2"/>
  <c r="AA137" i="2"/>
  <c r="V137" i="2"/>
  <c r="AD137" i="2"/>
  <c r="Z137" i="2"/>
  <c r="AC137" i="2"/>
  <c r="AB137" i="2"/>
  <c r="AB131" i="1" l="1"/>
  <c r="AC131" i="1"/>
  <c r="AD131" i="1"/>
  <c r="Y131" i="1"/>
  <c r="V131" i="1"/>
  <c r="AA131" i="1"/>
  <c r="AA160" i="3"/>
  <c r="AD160" i="3"/>
  <c r="AC160" i="3"/>
  <c r="S161" i="3" s="1"/>
  <c r="T161" i="3" s="1"/>
  <c r="U161" i="3" s="1"/>
  <c r="Z160" i="3"/>
  <c r="V160" i="3"/>
  <c r="Y160" i="3"/>
  <c r="S138" i="2"/>
  <c r="T138" i="2" s="1"/>
  <c r="U138" i="2" s="1"/>
  <c r="AC138" i="2" s="1"/>
  <c r="S122" i="5"/>
  <c r="T122" i="5" s="1"/>
  <c r="U122" i="5" s="1"/>
  <c r="AI122" i="5" s="1"/>
  <c r="AD138" i="2"/>
  <c r="AB138" i="2"/>
  <c r="AA138" i="2"/>
  <c r="V138" i="2"/>
  <c r="Y138" i="2"/>
  <c r="S132" i="1" l="1"/>
  <c r="T132" i="1" s="1"/>
  <c r="U132" i="1" s="1"/>
  <c r="Y161" i="3"/>
  <c r="AC161" i="3"/>
  <c r="V161" i="3"/>
  <c r="Z161" i="3"/>
  <c r="AD161" i="3"/>
  <c r="AA161" i="3"/>
  <c r="S139" i="2"/>
  <c r="T139" i="2" s="1"/>
  <c r="U139" i="2" s="1"/>
  <c r="AC139" i="2" s="1"/>
  <c r="Z138" i="2"/>
  <c r="AA122" i="5"/>
  <c r="AF122" i="5"/>
  <c r="AC122" i="5"/>
  <c r="AD122" i="5"/>
  <c r="Z122" i="5"/>
  <c r="AH122" i="5"/>
  <c r="AE122" i="5"/>
  <c r="V122" i="5"/>
  <c r="AB122" i="5"/>
  <c r="Y122" i="5"/>
  <c r="AG122" i="5"/>
  <c r="AJ123" i="5"/>
  <c r="V139" i="2"/>
  <c r="AA139" i="2"/>
  <c r="Z139" i="2"/>
  <c r="Y139" i="2"/>
  <c r="AD132" i="1" l="1"/>
  <c r="Y132" i="1"/>
  <c r="AC132" i="1"/>
  <c r="AB132" i="1"/>
  <c r="AA132" i="1"/>
  <c r="V132" i="1"/>
  <c r="Z132" i="1"/>
  <c r="S162" i="3"/>
  <c r="T162" i="3" s="1"/>
  <c r="U162" i="3" s="1"/>
  <c r="AD139" i="2"/>
  <c r="AB139" i="2"/>
  <c r="S140" i="2" s="1"/>
  <c r="T140" i="2" s="1"/>
  <c r="U140" i="2" s="1"/>
  <c r="Z140" i="2" s="1"/>
  <c r="S123" i="5"/>
  <c r="T123" i="5" s="1"/>
  <c r="U123" i="5" s="1"/>
  <c r="AJ124" i="5" s="1"/>
  <c r="BB28" i="5" s="1"/>
  <c r="Y140" i="2"/>
  <c r="AD140" i="2"/>
  <c r="AA140" i="2"/>
  <c r="V140" i="2"/>
  <c r="AC140" i="2"/>
  <c r="S133" i="1" l="1"/>
  <c r="T133" i="1" s="1"/>
  <c r="U133" i="1" s="1"/>
  <c r="AB133" i="1" s="1"/>
  <c r="AC133" i="1"/>
  <c r="AD162" i="3"/>
  <c r="AQ28" i="3" s="1"/>
  <c r="V162" i="3"/>
  <c r="X162" i="3" s="1"/>
  <c r="AN28" i="3" s="1"/>
  <c r="Y162" i="3"/>
  <c r="AA162" i="3"/>
  <c r="Z162" i="3"/>
  <c r="AC162" i="3"/>
  <c r="AB140" i="2"/>
  <c r="AH123" i="5"/>
  <c r="AD123" i="5"/>
  <c r="AB123" i="5"/>
  <c r="Y123" i="5"/>
  <c r="AG123" i="5"/>
  <c r="AE123" i="5"/>
  <c r="AI123" i="5"/>
  <c r="AA123" i="5"/>
  <c r="AC123" i="5"/>
  <c r="AF123" i="5"/>
  <c r="Z123" i="5"/>
  <c r="V123" i="5"/>
  <c r="S141" i="2"/>
  <c r="T141" i="2" s="1"/>
  <c r="U141" i="2" s="1"/>
  <c r="AD133" i="1" l="1"/>
  <c r="Z133" i="1"/>
  <c r="Y133" i="1"/>
  <c r="V133" i="1"/>
  <c r="AA133" i="1"/>
  <c r="S134" i="1"/>
  <c r="T134" i="1" s="1"/>
  <c r="U134" i="1" s="1"/>
  <c r="AP28" i="3"/>
  <c r="S163" i="3"/>
  <c r="T163" i="3" s="1"/>
  <c r="U163" i="3" s="1"/>
  <c r="AU28" i="3"/>
  <c r="AW28" i="3"/>
  <c r="S124" i="5"/>
  <c r="T124" i="5" s="1"/>
  <c r="U124" i="5" s="1"/>
  <c r="AJ125" i="5" s="1"/>
  <c r="AB141" i="2"/>
  <c r="AD141" i="2"/>
  <c r="Y141" i="2"/>
  <c r="AC141" i="2"/>
  <c r="Z141" i="2"/>
  <c r="V141" i="2"/>
  <c r="AA141" i="2"/>
  <c r="AB134" i="1" l="1"/>
  <c r="AD134" i="1"/>
  <c r="Z134" i="1"/>
  <c r="Y134" i="1"/>
  <c r="AC134" i="1"/>
  <c r="V134" i="1"/>
  <c r="AA134" i="1"/>
  <c r="AA163" i="3"/>
  <c r="AC163" i="3"/>
  <c r="Z163" i="3"/>
  <c r="Y163" i="3"/>
  <c r="V163" i="3"/>
  <c r="AD163" i="3"/>
  <c r="Z124" i="5"/>
  <c r="AH124" i="5"/>
  <c r="AZ28" i="5" s="1"/>
  <c r="V124" i="5"/>
  <c r="X124" i="5" s="1"/>
  <c r="AV28" i="5" s="1"/>
  <c r="AC124" i="5"/>
  <c r="AB124" i="5"/>
  <c r="AI124" i="5"/>
  <c r="BA28" i="5" s="1"/>
  <c r="AF124" i="5"/>
  <c r="AX28" i="5" s="1"/>
  <c r="AG124" i="5"/>
  <c r="AY28" i="5" s="1"/>
  <c r="AA124" i="5"/>
  <c r="Y124" i="5"/>
  <c r="AE124" i="5"/>
  <c r="AW28" i="5" s="1"/>
  <c r="AD124" i="5"/>
  <c r="S142" i="2"/>
  <c r="T142" i="2" s="1"/>
  <c r="U142" i="2" s="1"/>
  <c r="S135" i="1" l="1"/>
  <c r="T135" i="1" s="1"/>
  <c r="U135" i="1" s="1"/>
  <c r="S164" i="3"/>
  <c r="T164" i="3" s="1"/>
  <c r="U164" i="3" s="1"/>
  <c r="S125" i="5"/>
  <c r="T125" i="5" s="1"/>
  <c r="U125" i="5" s="1"/>
  <c r="AJ126" i="5" s="1"/>
  <c r="Z142" i="2"/>
  <c r="V142" i="2"/>
  <c r="X142" i="2" s="1"/>
  <c r="AN27" i="2" s="1"/>
  <c r="AC142" i="2"/>
  <c r="AP27" i="2" s="1"/>
  <c r="AA142" i="2"/>
  <c r="Y142" i="2"/>
  <c r="AD142" i="2"/>
  <c r="AQ27" i="2" s="1"/>
  <c r="AB142" i="2"/>
  <c r="AB135" i="1" l="1"/>
  <c r="AC135" i="1"/>
  <c r="V135" i="1"/>
  <c r="Y135" i="1"/>
  <c r="AD135" i="1"/>
  <c r="AA135" i="1"/>
  <c r="Z135" i="1"/>
  <c r="Z164" i="3"/>
  <c r="AD164" i="3"/>
  <c r="Y164" i="3"/>
  <c r="AA164" i="3"/>
  <c r="AC164" i="3"/>
  <c r="S165" i="3" s="1"/>
  <c r="T165" i="3" s="1"/>
  <c r="U165" i="3" s="1"/>
  <c r="V164" i="3"/>
  <c r="V125" i="5"/>
  <c r="AE125" i="5"/>
  <c r="AC125" i="5"/>
  <c r="AG125" i="5"/>
  <c r="AI125" i="5"/>
  <c r="Z125" i="5"/>
  <c r="AA125" i="5"/>
  <c r="AH125" i="5"/>
  <c r="AB125" i="5"/>
  <c r="AD125" i="5"/>
  <c r="Y125" i="5"/>
  <c r="AF125" i="5"/>
  <c r="S143" i="2"/>
  <c r="T143" i="2" s="1"/>
  <c r="U143" i="2" s="1"/>
  <c r="AO27" i="2"/>
  <c r="S136" i="1" l="1"/>
  <c r="T136" i="1" s="1"/>
  <c r="U136" i="1" s="1"/>
  <c r="AC165" i="3"/>
  <c r="AA165" i="3"/>
  <c r="AD165" i="3"/>
  <c r="Z165" i="3"/>
  <c r="Y165" i="3"/>
  <c r="V165" i="3"/>
  <c r="S126" i="5"/>
  <c r="T126" i="5" s="1"/>
  <c r="U126" i="5" s="1"/>
  <c r="AJ127" i="5" s="1"/>
  <c r="AW27" i="2"/>
  <c r="AU27" i="2"/>
  <c r="AD143" i="2"/>
  <c r="AB143" i="2"/>
  <c r="Z143" i="2"/>
  <c r="AC143" i="2"/>
  <c r="AA143" i="2"/>
  <c r="V143" i="2"/>
  <c r="Y143" i="2"/>
  <c r="V136" i="1" l="1"/>
  <c r="AC136" i="1"/>
  <c r="AA136" i="1"/>
  <c r="AD136" i="1"/>
  <c r="Y136" i="1"/>
  <c r="Z136" i="1"/>
  <c r="AB136" i="1"/>
  <c r="S137" i="1" s="1"/>
  <c r="T137" i="1" s="1"/>
  <c r="U137" i="1" s="1"/>
  <c r="S166" i="3"/>
  <c r="T166" i="3" s="1"/>
  <c r="U166" i="3" s="1"/>
  <c r="AH126" i="5"/>
  <c r="AC126" i="5"/>
  <c r="AB126" i="5"/>
  <c r="AI126" i="5"/>
  <c r="AD126" i="5"/>
  <c r="AF126" i="5"/>
  <c r="AA126" i="5"/>
  <c r="Y126" i="5"/>
  <c r="Z126" i="5"/>
  <c r="AG126" i="5"/>
  <c r="AE126" i="5"/>
  <c r="S127" i="5" s="1"/>
  <c r="T127" i="5" s="1"/>
  <c r="U127" i="5" s="1"/>
  <c r="V126" i="5"/>
  <c r="S144" i="2"/>
  <c r="T144" i="2" s="1"/>
  <c r="U144" i="2" s="1"/>
  <c r="AA137" i="1" l="1"/>
  <c r="V137" i="1"/>
  <c r="Z137" i="1"/>
  <c r="AB137" i="1"/>
  <c r="AD137" i="1"/>
  <c r="AC137" i="1"/>
  <c r="Y137" i="1"/>
  <c r="V166" i="3"/>
  <c r="AD166" i="3"/>
  <c r="Z166" i="3"/>
  <c r="AC166" i="3"/>
  <c r="S167" i="3" s="1"/>
  <c r="T167" i="3" s="1"/>
  <c r="U167" i="3" s="1"/>
  <c r="Y166" i="3"/>
  <c r="AA166" i="3"/>
  <c r="AI127" i="5"/>
  <c r="AD127" i="5"/>
  <c r="AE127" i="5"/>
  <c r="AG127" i="5"/>
  <c r="Y127" i="5"/>
  <c r="AJ128" i="5"/>
  <c r="AB127" i="5"/>
  <c r="Z127" i="5"/>
  <c r="AA127" i="5"/>
  <c r="AH127" i="5"/>
  <c r="AC127" i="5"/>
  <c r="V127" i="5"/>
  <c r="AF127" i="5"/>
  <c r="Y144" i="2"/>
  <c r="V144" i="2"/>
  <c r="AC144" i="2"/>
  <c r="AA144" i="2"/>
  <c r="Z144" i="2"/>
  <c r="AD144" i="2"/>
  <c r="AB144" i="2"/>
  <c r="S145" i="2" s="1"/>
  <c r="T145" i="2" s="1"/>
  <c r="U145" i="2" s="1"/>
  <c r="S138" i="1" l="1"/>
  <c r="T138" i="1" s="1"/>
  <c r="U138" i="1" s="1"/>
  <c r="AD167" i="3"/>
  <c r="Y167" i="3"/>
  <c r="V167" i="3"/>
  <c r="AC167" i="3"/>
  <c r="S168" i="3" s="1"/>
  <c r="T168" i="3" s="1"/>
  <c r="U168" i="3" s="1"/>
  <c r="Z167" i="3"/>
  <c r="AA167" i="3"/>
  <c r="S128" i="5"/>
  <c r="T128" i="5" s="1"/>
  <c r="U128" i="5" s="1"/>
  <c r="AB145" i="2"/>
  <c r="AA145" i="2"/>
  <c r="Z145" i="2"/>
  <c r="Y145" i="2"/>
  <c r="V145" i="2"/>
  <c r="AD145" i="2"/>
  <c r="AC145" i="2"/>
  <c r="Z138" i="1" l="1"/>
  <c r="V138" i="1"/>
  <c r="AB138" i="1"/>
  <c r="AC138" i="1"/>
  <c r="Y138" i="1"/>
  <c r="AA138" i="1"/>
  <c r="AD138" i="1"/>
  <c r="Z168" i="3"/>
  <c r="AA168" i="3"/>
  <c r="Y168" i="3"/>
  <c r="V168" i="3"/>
  <c r="AD168" i="3"/>
  <c r="AC168" i="3"/>
  <c r="S169" i="3" s="1"/>
  <c r="T169" i="3" s="1"/>
  <c r="U169" i="3" s="1"/>
  <c r="AA128" i="5"/>
  <c r="AF128" i="5"/>
  <c r="AJ129" i="5"/>
  <c r="AB128" i="5"/>
  <c r="AG128" i="5"/>
  <c r="AI128" i="5"/>
  <c r="V128" i="5"/>
  <c r="AE128" i="5"/>
  <c r="AD128" i="5"/>
  <c r="Y128" i="5"/>
  <c r="Z128" i="5"/>
  <c r="AC128" i="5"/>
  <c r="AH128" i="5"/>
  <c r="S146" i="2"/>
  <c r="T146" i="2" s="1"/>
  <c r="U146" i="2" s="1"/>
  <c r="S139" i="1" l="1"/>
  <c r="T139" i="1" s="1"/>
  <c r="U139" i="1" s="1"/>
  <c r="AD169" i="3"/>
  <c r="Z169" i="3"/>
  <c r="AC169" i="3"/>
  <c r="S170" i="3" s="1"/>
  <c r="T170" i="3" s="1"/>
  <c r="U170" i="3" s="1"/>
  <c r="V169" i="3"/>
  <c r="Y169" i="3"/>
  <c r="AA169" i="3"/>
  <c r="S129" i="5"/>
  <c r="T129" i="5" s="1"/>
  <c r="U129" i="5" s="1"/>
  <c r="AH129" i="5" s="1"/>
  <c r="AA146" i="2"/>
  <c r="Z146" i="2"/>
  <c r="Y146" i="2"/>
  <c r="V146" i="2"/>
  <c r="AC146" i="2"/>
  <c r="AD146" i="2"/>
  <c r="AB146" i="2"/>
  <c r="S147" i="2" s="1"/>
  <c r="T147" i="2" s="1"/>
  <c r="U147" i="2" s="1"/>
  <c r="Z139" i="1" l="1"/>
  <c r="AA139" i="1"/>
  <c r="AD139" i="1"/>
  <c r="Y139" i="1"/>
  <c r="AB139" i="1"/>
  <c r="AC139" i="1"/>
  <c r="V139" i="1"/>
  <c r="AD170" i="3"/>
  <c r="AC170" i="3"/>
  <c r="S171" i="3" s="1"/>
  <c r="T171" i="3" s="1"/>
  <c r="U171" i="3" s="1"/>
  <c r="V170" i="3"/>
  <c r="Y170" i="3"/>
  <c r="Z170" i="3"/>
  <c r="AA170" i="3"/>
  <c r="AI129" i="5"/>
  <c r="AB129" i="5"/>
  <c r="AJ130" i="5"/>
  <c r="Y129" i="5"/>
  <c r="AD129" i="5"/>
  <c r="AE129" i="5"/>
  <c r="AG129" i="5"/>
  <c r="AC129" i="5"/>
  <c r="V129" i="5"/>
  <c r="Z129" i="5"/>
  <c r="AA129" i="5"/>
  <c r="AF129" i="5"/>
  <c r="AA147" i="2"/>
  <c r="Z147" i="2"/>
  <c r="Y147" i="2"/>
  <c r="V147" i="2"/>
  <c r="AD147" i="2"/>
  <c r="AC147" i="2"/>
  <c r="AB147" i="2"/>
  <c r="S148" i="2" s="1"/>
  <c r="T148" i="2" s="1"/>
  <c r="U148" i="2" s="1"/>
  <c r="S140" i="1" l="1"/>
  <c r="T140" i="1" s="1"/>
  <c r="U140" i="1" s="1"/>
  <c r="AD140" i="1" s="1"/>
  <c r="AC140" i="1"/>
  <c r="AA140" i="1"/>
  <c r="AB140" i="1"/>
  <c r="Z140" i="1"/>
  <c r="AD171" i="3"/>
  <c r="AC171" i="3"/>
  <c r="S172" i="3" s="1"/>
  <c r="T172" i="3" s="1"/>
  <c r="U172" i="3" s="1"/>
  <c r="Z171" i="3"/>
  <c r="AA171" i="3"/>
  <c r="Y171" i="3"/>
  <c r="V171" i="3"/>
  <c r="S130" i="5"/>
  <c r="T130" i="5" s="1"/>
  <c r="U130" i="5" s="1"/>
  <c r="AC130" i="5" s="1"/>
  <c r="AA148" i="2"/>
  <c r="Z148" i="2"/>
  <c r="Y148" i="2"/>
  <c r="V148" i="2"/>
  <c r="AD148" i="2"/>
  <c r="AC148" i="2"/>
  <c r="AB148" i="2"/>
  <c r="S149" i="2" s="1"/>
  <c r="T149" i="2" s="1"/>
  <c r="U149" i="2" s="1"/>
  <c r="V140" i="1" l="1"/>
  <c r="Y140" i="1"/>
  <c r="S141" i="1"/>
  <c r="T141" i="1" s="1"/>
  <c r="U141" i="1" s="1"/>
  <c r="Z141" i="1" s="1"/>
  <c r="AA172" i="3"/>
  <c r="Z172" i="3"/>
  <c r="Y172" i="3"/>
  <c r="AD172" i="3"/>
  <c r="AC172" i="3"/>
  <c r="S173" i="3" s="1"/>
  <c r="T173" i="3" s="1"/>
  <c r="U173" i="3" s="1"/>
  <c r="V172" i="3"/>
  <c r="Z130" i="5"/>
  <c r="AE130" i="5"/>
  <c r="V130" i="5"/>
  <c r="AF130" i="5"/>
  <c r="AA130" i="5"/>
  <c r="Y130" i="5"/>
  <c r="AB130" i="5"/>
  <c r="AJ131" i="5"/>
  <c r="AI130" i="5"/>
  <c r="AG130" i="5"/>
  <c r="AH130" i="5"/>
  <c r="AD130" i="5"/>
  <c r="V149" i="2"/>
  <c r="AC149" i="2"/>
  <c r="AA149" i="2"/>
  <c r="AB149" i="2"/>
  <c r="AD149" i="2"/>
  <c r="Z149" i="2"/>
  <c r="Y149" i="2"/>
  <c r="AC141" i="1" l="1"/>
  <c r="V141" i="1"/>
  <c r="AA141" i="1"/>
  <c r="Y141" i="1"/>
  <c r="AB141" i="1"/>
  <c r="AD141" i="1"/>
  <c r="S142" i="1"/>
  <c r="T142" i="1" s="1"/>
  <c r="U142" i="1" s="1"/>
  <c r="Z142" i="1" s="1"/>
  <c r="Z173" i="3"/>
  <c r="Y173" i="3"/>
  <c r="V173" i="3"/>
  <c r="AD173" i="3"/>
  <c r="AC173" i="3"/>
  <c r="S174" i="3" s="1"/>
  <c r="T174" i="3" s="1"/>
  <c r="U174" i="3" s="1"/>
  <c r="AA173" i="3"/>
  <c r="S131" i="5"/>
  <c r="T131" i="5" s="1"/>
  <c r="U131" i="5" s="1"/>
  <c r="V131" i="5" s="1"/>
  <c r="S150" i="2"/>
  <c r="T150" i="2" s="1"/>
  <c r="U150" i="2" s="1"/>
  <c r="Z150" i="2" s="1"/>
  <c r="V142" i="1" l="1"/>
  <c r="X142" i="1" s="1"/>
  <c r="AN27" i="1" s="1"/>
  <c r="Y142" i="1"/>
  <c r="AB142" i="1"/>
  <c r="AD142" i="1"/>
  <c r="AQ27" i="1" s="1"/>
  <c r="AC142" i="1"/>
  <c r="AP27" i="1" s="1"/>
  <c r="AA142" i="1"/>
  <c r="AO27" i="1"/>
  <c r="AW27" i="1" s="1"/>
  <c r="AA174" i="3"/>
  <c r="V174" i="3"/>
  <c r="AD174" i="3"/>
  <c r="AC174" i="3"/>
  <c r="S175" i="3" s="1"/>
  <c r="T175" i="3" s="1"/>
  <c r="U175" i="3" s="1"/>
  <c r="Z174" i="3"/>
  <c r="Y174" i="3"/>
  <c r="Y150" i="2"/>
  <c r="AB150" i="2"/>
  <c r="AC150" i="2"/>
  <c r="AD150" i="2"/>
  <c r="Y131" i="5"/>
  <c r="AJ132" i="5"/>
  <c r="AE131" i="5"/>
  <c r="AD131" i="5"/>
  <c r="AG131" i="5"/>
  <c r="AC131" i="5"/>
  <c r="AA131" i="5"/>
  <c r="AB131" i="5"/>
  <c r="AH131" i="5"/>
  <c r="AI131" i="5"/>
  <c r="Z131" i="5"/>
  <c r="AF131" i="5"/>
  <c r="AA150" i="2"/>
  <c r="V150" i="2"/>
  <c r="S151" i="2"/>
  <c r="T151" i="2" s="1"/>
  <c r="U151" i="2" s="1"/>
  <c r="Z151" i="2" s="1"/>
  <c r="AU27" i="1" l="1"/>
  <c r="S143" i="1"/>
  <c r="T143" i="1" s="1"/>
  <c r="U143" i="1" s="1"/>
  <c r="AA175" i="3"/>
  <c r="AC175" i="3"/>
  <c r="V175" i="3"/>
  <c r="Z175" i="3"/>
  <c r="Y175" i="3"/>
  <c r="AD175" i="3"/>
  <c r="AA151" i="2"/>
  <c r="V151" i="2"/>
  <c r="AC151" i="2"/>
  <c r="AD151" i="2"/>
  <c r="Y151" i="2"/>
  <c r="AB151" i="2"/>
  <c r="S152" i="2" s="1"/>
  <c r="T152" i="2" s="1"/>
  <c r="U152" i="2" s="1"/>
  <c r="AD152" i="2" s="1"/>
  <c r="S132" i="5"/>
  <c r="T132" i="5" s="1"/>
  <c r="U132" i="5" s="1"/>
  <c r="AB132" i="5" s="1"/>
  <c r="AC143" i="1" l="1"/>
  <c r="Y143" i="1"/>
  <c r="AA143" i="1"/>
  <c r="AD143" i="1"/>
  <c r="AB143" i="1"/>
  <c r="S144" i="1" s="1"/>
  <c r="T144" i="1" s="1"/>
  <c r="U144" i="1" s="1"/>
  <c r="Z143" i="1"/>
  <c r="V143" i="1"/>
  <c r="S176" i="3"/>
  <c r="T176" i="3" s="1"/>
  <c r="U176" i="3" s="1"/>
  <c r="AA152" i="2"/>
  <c r="AC152" i="2"/>
  <c r="V152" i="2"/>
  <c r="AB152" i="2"/>
  <c r="S153" i="2" s="1"/>
  <c r="T153" i="2" s="1"/>
  <c r="U153" i="2" s="1"/>
  <c r="Y152" i="2"/>
  <c r="Z152" i="2"/>
  <c r="Y132" i="5"/>
  <c r="AA132" i="5"/>
  <c r="V132" i="5"/>
  <c r="AI132" i="5"/>
  <c r="AC132" i="5"/>
  <c r="AD132" i="5"/>
  <c r="AH132" i="5"/>
  <c r="AE132" i="5"/>
  <c r="AF132" i="5"/>
  <c r="AJ133" i="5"/>
  <c r="Z132" i="5"/>
  <c r="AG132" i="5"/>
  <c r="Z144" i="1" l="1"/>
  <c r="V144" i="1"/>
  <c r="AA144" i="1"/>
  <c r="Y144" i="1"/>
  <c r="AD144" i="1"/>
  <c r="AB144" i="1"/>
  <c r="AC144" i="1"/>
  <c r="AD176" i="3"/>
  <c r="AC176" i="3"/>
  <c r="S177" i="3" s="1"/>
  <c r="T177" i="3" s="1"/>
  <c r="U177" i="3" s="1"/>
  <c r="V176" i="3"/>
  <c r="AA176" i="3"/>
  <c r="Z176" i="3"/>
  <c r="Y176" i="3"/>
  <c r="S133" i="5"/>
  <c r="T133" i="5" s="1"/>
  <c r="U133" i="5" s="1"/>
  <c r="AJ134" i="5" s="1"/>
  <c r="AC153" i="2"/>
  <c r="AB153" i="2"/>
  <c r="AA153" i="2"/>
  <c r="AD153" i="2"/>
  <c r="Y153" i="2"/>
  <c r="Z153" i="2"/>
  <c r="V153" i="2"/>
  <c r="S145" i="1" l="1"/>
  <c r="T145" i="1" s="1"/>
  <c r="U145" i="1" s="1"/>
  <c r="AC177" i="3"/>
  <c r="Y177" i="3"/>
  <c r="Z177" i="3"/>
  <c r="AA177" i="3"/>
  <c r="V177" i="3"/>
  <c r="AD177" i="3"/>
  <c r="AA133" i="5"/>
  <c r="AE133" i="5"/>
  <c r="AD133" i="5"/>
  <c r="AG133" i="5"/>
  <c r="Y133" i="5"/>
  <c r="AF133" i="5"/>
  <c r="AB133" i="5"/>
  <c r="AC133" i="5"/>
  <c r="V133" i="5"/>
  <c r="AH133" i="5"/>
  <c r="AI133" i="5"/>
  <c r="Z133" i="5"/>
  <c r="AO29" i="3"/>
  <c r="S154" i="2"/>
  <c r="T154" i="2" s="1"/>
  <c r="U154" i="2" s="1"/>
  <c r="AC145" i="1" l="1"/>
  <c r="V145" i="1"/>
  <c r="AD145" i="1"/>
  <c r="AB145" i="1"/>
  <c r="S146" i="1" s="1"/>
  <c r="T146" i="1" s="1"/>
  <c r="U146" i="1" s="1"/>
  <c r="Z145" i="1"/>
  <c r="Y145" i="1"/>
  <c r="AA145" i="1"/>
  <c r="S178" i="3"/>
  <c r="T178" i="3" s="1"/>
  <c r="U178" i="3" s="1"/>
  <c r="S134" i="5"/>
  <c r="T134" i="5" s="1"/>
  <c r="U134" i="5" s="1"/>
  <c r="AJ135" i="5" s="1"/>
  <c r="AC154" i="2"/>
  <c r="AB154" i="2"/>
  <c r="AD154" i="2"/>
  <c r="AA154" i="2"/>
  <c r="V154" i="2"/>
  <c r="Y154" i="2"/>
  <c r="Z154" i="2"/>
  <c r="AD146" i="1" l="1"/>
  <c r="Y146" i="1"/>
  <c r="AB146" i="1"/>
  <c r="Z146" i="1"/>
  <c r="AC146" i="1"/>
  <c r="AA146" i="1"/>
  <c r="V146" i="1"/>
  <c r="Y178" i="3"/>
  <c r="AD178" i="3"/>
  <c r="AC178" i="3"/>
  <c r="S179" i="3" s="1"/>
  <c r="T179" i="3" s="1"/>
  <c r="U179" i="3" s="1"/>
  <c r="V178" i="3"/>
  <c r="AA178" i="3"/>
  <c r="Z178" i="3"/>
  <c r="AH134" i="5"/>
  <c r="AA134" i="5"/>
  <c r="Z134" i="5"/>
  <c r="AG134" i="5"/>
  <c r="AI134" i="5"/>
  <c r="AF134" i="5"/>
  <c r="Y134" i="5"/>
  <c r="V134" i="5"/>
  <c r="AC134" i="5"/>
  <c r="AB134" i="5"/>
  <c r="AE134" i="5"/>
  <c r="S135" i="5" s="1"/>
  <c r="T135" i="5" s="1"/>
  <c r="U135" i="5" s="1"/>
  <c r="Y135" i="5" s="1"/>
  <c r="AD134" i="5"/>
  <c r="S155" i="2"/>
  <c r="T155" i="2" s="1"/>
  <c r="U155" i="2" s="1"/>
  <c r="Z155" i="2" s="1"/>
  <c r="Y155" i="2"/>
  <c r="S147" i="1" l="1"/>
  <c r="T147" i="1" s="1"/>
  <c r="U147" i="1" s="1"/>
  <c r="Y179" i="3"/>
  <c r="V179" i="3"/>
  <c r="AD179" i="3"/>
  <c r="AA179" i="3"/>
  <c r="AC179" i="3"/>
  <c r="S180" i="3" s="1"/>
  <c r="T180" i="3" s="1"/>
  <c r="U180" i="3" s="1"/>
  <c r="Z179" i="3"/>
  <c r="AA155" i="2"/>
  <c r="AD155" i="2"/>
  <c r="V155" i="2"/>
  <c r="AB155" i="2"/>
  <c r="AC155" i="2"/>
  <c r="AC135" i="5"/>
  <c r="AD135" i="5"/>
  <c r="AI135" i="5"/>
  <c r="AH135" i="5"/>
  <c r="AB135" i="5"/>
  <c r="AA135" i="5"/>
  <c r="AF135" i="5"/>
  <c r="AE135" i="5"/>
  <c r="AG135" i="5"/>
  <c r="AJ136" i="5"/>
  <c r="V135" i="5"/>
  <c r="Z135" i="5"/>
  <c r="S156" i="2"/>
  <c r="T156" i="2" s="1"/>
  <c r="U156" i="2" s="1"/>
  <c r="AA156" i="2" s="1"/>
  <c r="AB147" i="1" l="1"/>
  <c r="AC147" i="1"/>
  <c r="V147" i="1"/>
  <c r="AA147" i="1"/>
  <c r="Z147" i="1"/>
  <c r="Y147" i="1"/>
  <c r="AD147" i="1"/>
  <c r="Y180" i="3"/>
  <c r="V180" i="3"/>
  <c r="AC180" i="3"/>
  <c r="Z180" i="3"/>
  <c r="AD180" i="3"/>
  <c r="AA180" i="3"/>
  <c r="AC156" i="2"/>
  <c r="Y156" i="2"/>
  <c r="Z156" i="2"/>
  <c r="V156" i="2"/>
  <c r="AD156" i="2"/>
  <c r="AB156" i="2"/>
  <c r="S136" i="5"/>
  <c r="T136" i="5" s="1"/>
  <c r="U136" i="5" s="1"/>
  <c r="AC136" i="5" s="1"/>
  <c r="S148" i="1" l="1"/>
  <c r="T148" i="1" s="1"/>
  <c r="U148" i="1" s="1"/>
  <c r="S181" i="3"/>
  <c r="T181" i="3" s="1"/>
  <c r="U181" i="3" s="1"/>
  <c r="S157" i="2"/>
  <c r="T157" i="2" s="1"/>
  <c r="U157" i="2" s="1"/>
  <c r="AG136" i="5"/>
  <c r="AB136" i="5"/>
  <c r="AD136" i="5"/>
  <c r="Y136" i="5"/>
  <c r="AF136" i="5"/>
  <c r="AA136" i="5"/>
  <c r="AE136" i="5"/>
  <c r="AI136" i="5"/>
  <c r="AH136" i="5"/>
  <c r="AJ137" i="5"/>
  <c r="V136" i="5"/>
  <c r="Z136" i="5"/>
  <c r="V157" i="2"/>
  <c r="AA157" i="2"/>
  <c r="AC157" i="2"/>
  <c r="Y157" i="2"/>
  <c r="AB157" i="2"/>
  <c r="AD157" i="2"/>
  <c r="Z157" i="2"/>
  <c r="V148" i="1" l="1"/>
  <c r="Z148" i="1"/>
  <c r="AC148" i="1"/>
  <c r="AB148" i="1"/>
  <c r="S149" i="1" s="1"/>
  <c r="T149" i="1" s="1"/>
  <c r="U149" i="1" s="1"/>
  <c r="AD148" i="1"/>
  <c r="AA148" i="1"/>
  <c r="Y148" i="1"/>
  <c r="AD181" i="3"/>
  <c r="Y181" i="3"/>
  <c r="AC181" i="3"/>
  <c r="S182" i="3" s="1"/>
  <c r="T182" i="3" s="1"/>
  <c r="U182" i="3" s="1"/>
  <c r="AA181" i="3"/>
  <c r="Z181" i="3"/>
  <c r="V181" i="3"/>
  <c r="S137" i="5"/>
  <c r="T137" i="5" s="1"/>
  <c r="U137" i="5" s="1"/>
  <c r="AG137" i="5" s="1"/>
  <c r="S158" i="2"/>
  <c r="T158" i="2" s="1"/>
  <c r="U158" i="2" s="1"/>
  <c r="AB158" i="2" s="1"/>
  <c r="AC149" i="1" l="1"/>
  <c r="Z149" i="1"/>
  <c r="AB149" i="1"/>
  <c r="AD149" i="1"/>
  <c r="AA149" i="1"/>
  <c r="Y149" i="1"/>
  <c r="V149" i="1"/>
  <c r="AA182" i="3"/>
  <c r="Z182" i="3"/>
  <c r="V182" i="3"/>
  <c r="X182" i="3" s="1"/>
  <c r="AN29" i="3" s="1"/>
  <c r="AD182" i="3"/>
  <c r="AQ29" i="3" s="1"/>
  <c r="AC182" i="3"/>
  <c r="Y182" i="3"/>
  <c r="AA158" i="2"/>
  <c r="AD158" i="2"/>
  <c r="Y158" i="2"/>
  <c r="V158" i="2"/>
  <c r="AC158" i="2"/>
  <c r="S159" i="2" s="1"/>
  <c r="T159" i="2" s="1"/>
  <c r="U159" i="2" s="1"/>
  <c r="AI137" i="5"/>
  <c r="V137" i="5"/>
  <c r="AE137" i="5"/>
  <c r="AD137" i="5"/>
  <c r="Y137" i="5"/>
  <c r="Z137" i="5"/>
  <c r="AJ138" i="5"/>
  <c r="AF137" i="5"/>
  <c r="AA137" i="5"/>
  <c r="AH137" i="5"/>
  <c r="AC137" i="5"/>
  <c r="AB137" i="5"/>
  <c r="Z158" i="2"/>
  <c r="S150" i="1" l="1"/>
  <c r="T150" i="1" s="1"/>
  <c r="U150" i="1" s="1"/>
  <c r="AP29" i="3"/>
  <c r="AW29" i="3" s="1"/>
  <c r="S183" i="3"/>
  <c r="T183" i="3" s="1"/>
  <c r="U183" i="3" s="1"/>
  <c r="S138" i="5"/>
  <c r="T138" i="5" s="1"/>
  <c r="U138" i="5" s="1"/>
  <c r="AD138" i="5" s="1"/>
  <c r="AD159" i="2"/>
  <c r="AA159" i="2"/>
  <c r="Z159" i="2"/>
  <c r="Y159" i="2"/>
  <c r="V159" i="2"/>
  <c r="AC159" i="2"/>
  <c r="AB159" i="2"/>
  <c r="S160" i="2" s="1"/>
  <c r="T160" i="2" s="1"/>
  <c r="U160" i="2" s="1"/>
  <c r="Z150" i="1" l="1"/>
  <c r="AC150" i="1"/>
  <c r="Y150" i="1"/>
  <c r="V150" i="1"/>
  <c r="AA150" i="1"/>
  <c r="AD150" i="1"/>
  <c r="AB150" i="1"/>
  <c r="S151" i="1" s="1"/>
  <c r="T151" i="1" s="1"/>
  <c r="U151" i="1" s="1"/>
  <c r="AU29" i="3"/>
  <c r="AA183" i="3"/>
  <c r="Z183" i="3"/>
  <c r="Y183" i="3"/>
  <c r="V183" i="3"/>
  <c r="AC183" i="3"/>
  <c r="AD183" i="3"/>
  <c r="AF138" i="5"/>
  <c r="AB138" i="5"/>
  <c r="AI138" i="5"/>
  <c r="Z138" i="5"/>
  <c r="Y138" i="5"/>
  <c r="AG138" i="5"/>
  <c r="AA138" i="5"/>
  <c r="AE138" i="5"/>
  <c r="AJ139" i="5"/>
  <c r="V138" i="5"/>
  <c r="AH138" i="5"/>
  <c r="AC138" i="5"/>
  <c r="Y160" i="2"/>
  <c r="AC160" i="2"/>
  <c r="AD160" i="2"/>
  <c r="V160" i="2"/>
  <c r="AB160" i="2"/>
  <c r="S161" i="2" s="1"/>
  <c r="T161" i="2" s="1"/>
  <c r="U161" i="2" s="1"/>
  <c r="Z160" i="2"/>
  <c r="AA160" i="2"/>
  <c r="Z151" i="1" l="1"/>
  <c r="AB151" i="1"/>
  <c r="AC151" i="1"/>
  <c r="Y151" i="1"/>
  <c r="V151" i="1"/>
  <c r="AA151" i="1"/>
  <c r="AD151" i="1"/>
  <c r="S184" i="3"/>
  <c r="T184" i="3" s="1"/>
  <c r="U184" i="3" s="1"/>
  <c r="S139" i="5"/>
  <c r="T139" i="5" s="1"/>
  <c r="U139" i="5" s="1"/>
  <c r="AA139" i="5" s="1"/>
  <c r="V161" i="2"/>
  <c r="AD161" i="2"/>
  <c r="AB161" i="2"/>
  <c r="Z161" i="2"/>
  <c r="AA161" i="2"/>
  <c r="Y161" i="2"/>
  <c r="AC161" i="2"/>
  <c r="S152" i="1" l="1"/>
  <c r="T152" i="1" s="1"/>
  <c r="U152" i="1" s="1"/>
  <c r="Y184" i="3"/>
  <c r="V184" i="3"/>
  <c r="AD184" i="3"/>
  <c r="AA184" i="3"/>
  <c r="AC184" i="3"/>
  <c r="S185" i="3" s="1"/>
  <c r="T185" i="3" s="1"/>
  <c r="U185" i="3" s="1"/>
  <c r="Z184" i="3"/>
  <c r="AF139" i="5"/>
  <c r="AC139" i="5"/>
  <c r="AH139" i="5"/>
  <c r="AB139" i="5"/>
  <c r="Y139" i="5"/>
  <c r="AJ140" i="5"/>
  <c r="V139" i="5"/>
  <c r="AI139" i="5"/>
  <c r="AE139" i="5"/>
  <c r="AD139" i="5"/>
  <c r="AG139" i="5"/>
  <c r="Z139" i="5"/>
  <c r="S162" i="2"/>
  <c r="T162" i="2" s="1"/>
  <c r="U162" i="2" s="1"/>
  <c r="AB152" i="1" l="1"/>
  <c r="V152" i="1"/>
  <c r="AD152" i="1"/>
  <c r="AA152" i="1"/>
  <c r="Y152" i="1"/>
  <c r="AC152" i="1"/>
  <c r="Z152" i="1"/>
  <c r="V185" i="3"/>
  <c r="AC185" i="3"/>
  <c r="Y185" i="3"/>
  <c r="AA185" i="3"/>
  <c r="Z185" i="3"/>
  <c r="AD185" i="3"/>
  <c r="S140" i="5"/>
  <c r="T140" i="5" s="1"/>
  <c r="U140" i="5" s="1"/>
  <c r="AC140" i="5" s="1"/>
  <c r="AA162" i="2"/>
  <c r="AD162" i="2"/>
  <c r="AQ28" i="2" s="1"/>
  <c r="AC162" i="2"/>
  <c r="AP28" i="2" s="1"/>
  <c r="V162" i="2"/>
  <c r="X162" i="2" s="1"/>
  <c r="AN28" i="2" s="1"/>
  <c r="Z162" i="2"/>
  <c r="Y162" i="2"/>
  <c r="AB162" i="2"/>
  <c r="S153" i="1" l="1"/>
  <c r="T153" i="1" s="1"/>
  <c r="U153" i="1" s="1"/>
  <c r="S186" i="3"/>
  <c r="T186" i="3" s="1"/>
  <c r="U186" i="3" s="1"/>
  <c r="AI140" i="5"/>
  <c r="AE140" i="5"/>
  <c r="AD140" i="5"/>
  <c r="AB140" i="5"/>
  <c r="Z140" i="5"/>
  <c r="AF140" i="5"/>
  <c r="AH140" i="5"/>
  <c r="V140" i="5"/>
  <c r="Y140" i="5"/>
  <c r="AJ141" i="5"/>
  <c r="AA140" i="5"/>
  <c r="AG140" i="5"/>
  <c r="S141" i="5" s="1"/>
  <c r="T141" i="5" s="1"/>
  <c r="U141" i="5" s="1"/>
  <c r="AO28" i="2"/>
  <c r="S163" i="2"/>
  <c r="T163" i="2" s="1"/>
  <c r="U163" i="2" s="1"/>
  <c r="V153" i="1" l="1"/>
  <c r="AC153" i="1"/>
  <c r="Z153" i="1"/>
  <c r="AD153" i="1"/>
  <c r="Y153" i="1"/>
  <c r="AA153" i="1"/>
  <c r="AB153" i="1"/>
  <c r="S154" i="1" s="1"/>
  <c r="T154" i="1" s="1"/>
  <c r="U154" i="1" s="1"/>
  <c r="Y186" i="3"/>
  <c r="AA186" i="3"/>
  <c r="V186" i="3"/>
  <c r="AD186" i="3"/>
  <c r="AC186" i="3"/>
  <c r="S187" i="3" s="1"/>
  <c r="T187" i="3" s="1"/>
  <c r="U187" i="3" s="1"/>
  <c r="Z186" i="3"/>
  <c r="Y141" i="5"/>
  <c r="AJ142" i="5"/>
  <c r="V141" i="5"/>
  <c r="AF141" i="5"/>
  <c r="AB141" i="5"/>
  <c r="AI141" i="5"/>
  <c r="AC141" i="5"/>
  <c r="AE141" i="5"/>
  <c r="AG141" i="5"/>
  <c r="AA141" i="5"/>
  <c r="AH141" i="5"/>
  <c r="AD141" i="5"/>
  <c r="Z141" i="5"/>
  <c r="AD163" i="2"/>
  <c r="Z163" i="2"/>
  <c r="V163" i="2"/>
  <c r="AB163" i="2"/>
  <c r="AA163" i="2"/>
  <c r="Y163" i="2"/>
  <c r="AC163" i="2"/>
  <c r="AU28" i="2"/>
  <c r="AW28" i="2"/>
  <c r="AA154" i="1" l="1"/>
  <c r="Y154" i="1"/>
  <c r="Z154" i="1"/>
  <c r="AB154" i="1"/>
  <c r="AC154" i="1"/>
  <c r="AD154" i="1"/>
  <c r="V154" i="1"/>
  <c r="Y187" i="3"/>
  <c r="V187" i="3"/>
  <c r="AC187" i="3"/>
  <c r="AA187" i="3"/>
  <c r="Z187" i="3"/>
  <c r="AD187" i="3"/>
  <c r="S142" i="5"/>
  <c r="T142" i="5" s="1"/>
  <c r="U142" i="5" s="1"/>
  <c r="AB142" i="5" s="1"/>
  <c r="S164" i="2"/>
  <c r="T164" i="2" s="1"/>
  <c r="U164" i="2" s="1"/>
  <c r="S155" i="1" l="1"/>
  <c r="T155" i="1" s="1"/>
  <c r="U155" i="1" s="1"/>
  <c r="S188" i="3"/>
  <c r="T188" i="3" s="1"/>
  <c r="U188" i="3" s="1"/>
  <c r="AJ143" i="5"/>
  <c r="AG142" i="5"/>
  <c r="Y142" i="5"/>
  <c r="Z142" i="5"/>
  <c r="V142" i="5"/>
  <c r="AD142" i="5"/>
  <c r="AA142" i="5"/>
  <c r="AF142" i="5"/>
  <c r="AC142" i="5"/>
  <c r="AE142" i="5"/>
  <c r="AI142" i="5"/>
  <c r="AH142" i="5"/>
  <c r="V164" i="2"/>
  <c r="AA164" i="2"/>
  <c r="Y164" i="2"/>
  <c r="AB164" i="2"/>
  <c r="Z164" i="2"/>
  <c r="AC164" i="2"/>
  <c r="AD164" i="2"/>
  <c r="Z155" i="1" l="1"/>
  <c r="V155" i="1"/>
  <c r="AD155" i="1"/>
  <c r="AB155" i="1"/>
  <c r="Y155" i="1"/>
  <c r="AA155" i="1"/>
  <c r="AC155" i="1"/>
  <c r="AD188" i="3"/>
  <c r="AA188" i="3"/>
  <c r="AC188" i="3"/>
  <c r="S189" i="3" s="1"/>
  <c r="T189" i="3" s="1"/>
  <c r="U189" i="3" s="1"/>
  <c r="Z188" i="3"/>
  <c r="Y188" i="3"/>
  <c r="V188" i="3"/>
  <c r="S143" i="5"/>
  <c r="T143" i="5" s="1"/>
  <c r="U143" i="5" s="1"/>
  <c r="AD143" i="5" s="1"/>
  <c r="S165" i="2"/>
  <c r="T165" i="2" s="1"/>
  <c r="U165" i="2" s="1"/>
  <c r="S156" i="1" l="1"/>
  <c r="T156" i="1" s="1"/>
  <c r="U156" i="1" s="1"/>
  <c r="AC189" i="3"/>
  <c r="V189" i="3"/>
  <c r="AA189" i="3"/>
  <c r="Z189" i="3"/>
  <c r="Y189" i="3"/>
  <c r="AD189" i="3"/>
  <c r="AI143" i="5"/>
  <c r="Y143" i="5"/>
  <c r="Z143" i="5"/>
  <c r="AE143" i="5"/>
  <c r="AG143" i="5"/>
  <c r="V143" i="5"/>
  <c r="AJ144" i="5"/>
  <c r="BB29" i="5" s="1"/>
  <c r="AA143" i="5"/>
  <c r="AB143" i="5"/>
  <c r="AC143" i="5"/>
  <c r="AF143" i="5"/>
  <c r="AH143" i="5"/>
  <c r="AD165" i="2"/>
  <c r="Y165" i="2"/>
  <c r="AC165" i="2"/>
  <c r="Z165" i="2"/>
  <c r="V165" i="2"/>
  <c r="AB165" i="2"/>
  <c r="S166" i="2" s="1"/>
  <c r="T166" i="2" s="1"/>
  <c r="U166" i="2" s="1"/>
  <c r="AA165" i="2"/>
  <c r="AA156" i="1" l="1"/>
  <c r="AB156" i="1"/>
  <c r="Z156" i="1"/>
  <c r="AC156" i="1"/>
  <c r="Y156" i="1"/>
  <c r="AD156" i="1"/>
  <c r="V156" i="1"/>
  <c r="S190" i="3"/>
  <c r="T190" i="3" s="1"/>
  <c r="U190" i="3" s="1"/>
  <c r="S144" i="5"/>
  <c r="T144" i="5" s="1"/>
  <c r="U144" i="5" s="1"/>
  <c r="Y144" i="5" s="1"/>
  <c r="Z166" i="2"/>
  <c r="V166" i="2"/>
  <c r="Y166" i="2"/>
  <c r="AD166" i="2"/>
  <c r="AC166" i="2"/>
  <c r="AA166" i="2"/>
  <c r="AB166" i="2"/>
  <c r="S167" i="2" s="1"/>
  <c r="T167" i="2" s="1"/>
  <c r="U167" i="2" s="1"/>
  <c r="S157" i="1" l="1"/>
  <c r="T157" i="1" s="1"/>
  <c r="U157" i="1" s="1"/>
  <c r="Y190" i="3"/>
  <c r="AA190" i="3"/>
  <c r="Z190" i="3"/>
  <c r="AD190" i="3"/>
  <c r="AC190" i="3"/>
  <c r="S191" i="3" s="1"/>
  <c r="T191" i="3" s="1"/>
  <c r="U191" i="3" s="1"/>
  <c r="V190" i="3"/>
  <c r="AD144" i="5"/>
  <c r="AG144" i="5"/>
  <c r="AY29" i="5" s="1"/>
  <c r="AJ145" i="5"/>
  <c r="AB144" i="5"/>
  <c r="AI144" i="5"/>
  <c r="BA29" i="5" s="1"/>
  <c r="AE144" i="5"/>
  <c r="AW29" i="5" s="1"/>
  <c r="AF144" i="5"/>
  <c r="AX29" i="5" s="1"/>
  <c r="AH144" i="5"/>
  <c r="AZ29" i="5" s="1"/>
  <c r="AA144" i="5"/>
  <c r="Z144" i="5"/>
  <c r="AC144" i="5"/>
  <c r="V144" i="5"/>
  <c r="X144" i="5" s="1"/>
  <c r="AV29" i="5" s="1"/>
  <c r="AA167" i="2"/>
  <c r="AC167" i="2"/>
  <c r="V167" i="2"/>
  <c r="AB167" i="2"/>
  <c r="AD167" i="2"/>
  <c r="Z167" i="2"/>
  <c r="Y167" i="2"/>
  <c r="AC157" i="1" l="1"/>
  <c r="AD157" i="1"/>
  <c r="AB157" i="1"/>
  <c r="V157" i="1"/>
  <c r="Z157" i="1"/>
  <c r="AA157" i="1"/>
  <c r="Y157" i="1"/>
  <c r="AD191" i="3"/>
  <c r="AC191" i="3"/>
  <c r="S192" i="3" s="1"/>
  <c r="T192" i="3" s="1"/>
  <c r="U192" i="3" s="1"/>
  <c r="AA191" i="3"/>
  <c r="Z191" i="3"/>
  <c r="Y191" i="3"/>
  <c r="V191" i="3"/>
  <c r="S145" i="5"/>
  <c r="T145" i="5" s="1"/>
  <c r="U145" i="5" s="1"/>
  <c r="AG145" i="5" s="1"/>
  <c r="S168" i="2"/>
  <c r="T168" i="2" s="1"/>
  <c r="U168" i="2" s="1"/>
  <c r="S158" i="1" l="1"/>
  <c r="T158" i="1" s="1"/>
  <c r="U158" i="1" s="1"/>
  <c r="AC192" i="3"/>
  <c r="AA192" i="3"/>
  <c r="Y192" i="3"/>
  <c r="AD192" i="3"/>
  <c r="Z192" i="3"/>
  <c r="V192" i="3"/>
  <c r="AB145" i="5"/>
  <c r="AJ146" i="5"/>
  <c r="AH145" i="5"/>
  <c r="AA145" i="5"/>
  <c r="AE145" i="5"/>
  <c r="Y145" i="5"/>
  <c r="Z145" i="5"/>
  <c r="AD145" i="5"/>
  <c r="V145" i="5"/>
  <c r="AI145" i="5"/>
  <c r="AF145" i="5"/>
  <c r="AC145" i="5"/>
  <c r="V168" i="2"/>
  <c r="Y168" i="2"/>
  <c r="AB168" i="2"/>
  <c r="AC168" i="2"/>
  <c r="Z168" i="2"/>
  <c r="AD168" i="2"/>
  <c r="AA168" i="2"/>
  <c r="AC158" i="1" l="1"/>
  <c r="Z158" i="1"/>
  <c r="V158" i="1"/>
  <c r="Y158" i="1"/>
  <c r="AB158" i="1"/>
  <c r="AD158" i="1"/>
  <c r="AA158" i="1"/>
  <c r="S193" i="3"/>
  <c r="T193" i="3" s="1"/>
  <c r="U193" i="3" s="1"/>
  <c r="S146" i="5"/>
  <c r="T146" i="5" s="1"/>
  <c r="U146" i="5" s="1"/>
  <c r="AI146" i="5" s="1"/>
  <c r="S169" i="2"/>
  <c r="T169" i="2" s="1"/>
  <c r="U169" i="2" s="1"/>
  <c r="S159" i="1" l="1"/>
  <c r="T159" i="1" s="1"/>
  <c r="U159" i="1" s="1"/>
  <c r="Y159" i="1" s="1"/>
  <c r="AA159" i="1"/>
  <c r="AD159" i="1"/>
  <c r="AC159" i="1"/>
  <c r="Z159" i="1"/>
  <c r="AB159" i="1"/>
  <c r="S160" i="1" s="1"/>
  <c r="T160" i="1" s="1"/>
  <c r="U160" i="1" s="1"/>
  <c r="V159" i="1"/>
  <c r="Y193" i="3"/>
  <c r="V193" i="3"/>
  <c r="AA193" i="3"/>
  <c r="AC193" i="3"/>
  <c r="Z193" i="3"/>
  <c r="AD193" i="3"/>
  <c r="AE146" i="5"/>
  <c r="AC146" i="5"/>
  <c r="AJ147" i="5"/>
  <c r="AD146" i="5"/>
  <c r="Y146" i="5"/>
  <c r="AF146" i="5"/>
  <c r="AG146" i="5"/>
  <c r="Z146" i="5"/>
  <c r="V146" i="5"/>
  <c r="AB146" i="5"/>
  <c r="AH146" i="5"/>
  <c r="AA146" i="5"/>
  <c r="AC169" i="2"/>
  <c r="AB169" i="2"/>
  <c r="Z169" i="2"/>
  <c r="AA169" i="2"/>
  <c r="Y169" i="2"/>
  <c r="V169" i="2"/>
  <c r="AD169" i="2"/>
  <c r="AC160" i="1" l="1"/>
  <c r="V160" i="1"/>
  <c r="AA160" i="1"/>
  <c r="Z160" i="1"/>
  <c r="Y160" i="1"/>
  <c r="AD160" i="1"/>
  <c r="AB160" i="1"/>
  <c r="S161" i="1" s="1"/>
  <c r="T161" i="1" s="1"/>
  <c r="U161" i="1" s="1"/>
  <c r="S194" i="3"/>
  <c r="T194" i="3" s="1"/>
  <c r="U194" i="3" s="1"/>
  <c r="S147" i="5"/>
  <c r="T147" i="5" s="1"/>
  <c r="U147" i="5" s="1"/>
  <c r="AA147" i="5" s="1"/>
  <c r="S170" i="2"/>
  <c r="T170" i="2" s="1"/>
  <c r="U170" i="2" s="1"/>
  <c r="AD161" i="1" l="1"/>
  <c r="AC161" i="1"/>
  <c r="V161" i="1"/>
  <c r="Y161" i="1"/>
  <c r="AA161" i="1"/>
  <c r="AB161" i="1"/>
  <c r="S162" i="1" s="1"/>
  <c r="T162" i="1" s="1"/>
  <c r="U162" i="1" s="1"/>
  <c r="Z161" i="1"/>
  <c r="AC194" i="3"/>
  <c r="AA194" i="3"/>
  <c r="Y194" i="3"/>
  <c r="Z194" i="3"/>
  <c r="V194" i="3"/>
  <c r="AD194" i="3"/>
  <c r="AH147" i="5"/>
  <c r="AD147" i="5"/>
  <c r="AC147" i="5"/>
  <c r="AI147" i="5"/>
  <c r="Z147" i="5"/>
  <c r="AJ148" i="5"/>
  <c r="AF147" i="5"/>
  <c r="V147" i="5"/>
  <c r="AB147" i="5"/>
  <c r="AE147" i="5"/>
  <c r="S148" i="5" s="1"/>
  <c r="T148" i="5" s="1"/>
  <c r="U148" i="5" s="1"/>
  <c r="Z148" i="5" s="1"/>
  <c r="AG147" i="5"/>
  <c r="Y147" i="5"/>
  <c r="V170" i="2"/>
  <c r="AC170" i="2"/>
  <c r="AB170" i="2"/>
  <c r="AA170" i="2"/>
  <c r="AD170" i="2"/>
  <c r="Y170" i="2"/>
  <c r="Z170" i="2"/>
  <c r="AB162" i="1" l="1"/>
  <c r="V162" i="1"/>
  <c r="X162" i="1" s="1"/>
  <c r="AN28" i="1" s="1"/>
  <c r="Z162" i="1"/>
  <c r="AC162" i="1"/>
  <c r="AP28" i="1" s="1"/>
  <c r="Y162" i="1"/>
  <c r="AA162" i="1"/>
  <c r="AD162" i="1"/>
  <c r="AQ28" i="1" s="1"/>
  <c r="S195" i="3"/>
  <c r="T195" i="3" s="1"/>
  <c r="U195" i="3" s="1"/>
  <c r="AD148" i="5"/>
  <c r="AH148" i="5"/>
  <c r="Y148" i="5"/>
  <c r="AC148" i="5"/>
  <c r="AJ149" i="5"/>
  <c r="AB148" i="5"/>
  <c r="AF148" i="5"/>
  <c r="AG148" i="5"/>
  <c r="V148" i="5"/>
  <c r="AA148" i="5"/>
  <c r="AE148" i="5"/>
  <c r="AI148" i="5"/>
  <c r="S171" i="2"/>
  <c r="T171" i="2" s="1"/>
  <c r="U171" i="2" s="1"/>
  <c r="AO28" i="1" l="1"/>
  <c r="S163" i="1"/>
  <c r="T163" i="1" s="1"/>
  <c r="U163" i="1" s="1"/>
  <c r="Y195" i="3"/>
  <c r="AC195" i="3"/>
  <c r="AA195" i="3"/>
  <c r="Z195" i="3"/>
  <c r="V195" i="3"/>
  <c r="AD195" i="3"/>
  <c r="S149" i="5"/>
  <c r="T149" i="5" s="1"/>
  <c r="U149" i="5" s="1"/>
  <c r="Y149" i="5" s="1"/>
  <c r="AO30" i="3"/>
  <c r="Z171" i="2"/>
  <c r="AA171" i="2"/>
  <c r="AD171" i="2"/>
  <c r="V171" i="2"/>
  <c r="AC171" i="2"/>
  <c r="AB171" i="2"/>
  <c r="S172" i="2" s="1"/>
  <c r="T172" i="2" s="1"/>
  <c r="U172" i="2" s="1"/>
  <c r="Y171" i="2"/>
  <c r="AA163" i="1" l="1"/>
  <c r="AC163" i="1"/>
  <c r="AD163" i="1"/>
  <c r="V163" i="1"/>
  <c r="AB163" i="1"/>
  <c r="S164" i="1" s="1"/>
  <c r="T164" i="1" s="1"/>
  <c r="U164" i="1" s="1"/>
  <c r="Z164" i="1" s="1"/>
  <c r="Z163" i="1"/>
  <c r="Y163" i="1"/>
  <c r="AW28" i="1"/>
  <c r="AU28" i="1"/>
  <c r="V164" i="1"/>
  <c r="AD164" i="1"/>
  <c r="AA164" i="1"/>
  <c r="S196" i="3"/>
  <c r="T196" i="3" s="1"/>
  <c r="U196" i="3" s="1"/>
  <c r="AG149" i="5"/>
  <c r="AF149" i="5"/>
  <c r="AA149" i="5"/>
  <c r="V149" i="5"/>
  <c r="AD149" i="5"/>
  <c r="AI149" i="5"/>
  <c r="AC149" i="5"/>
  <c r="Z149" i="5"/>
  <c r="AH149" i="5"/>
  <c r="AB149" i="5"/>
  <c r="AJ150" i="5"/>
  <c r="AE149" i="5"/>
  <c r="AA172" i="2"/>
  <c r="Z172" i="2"/>
  <c r="Y172" i="2"/>
  <c r="V172" i="2"/>
  <c r="AD172" i="2"/>
  <c r="AB172" i="2"/>
  <c r="AC172" i="2"/>
  <c r="Y164" i="1" l="1"/>
  <c r="AC164" i="1"/>
  <c r="AB164" i="1"/>
  <c r="S165" i="1"/>
  <c r="T165" i="1" s="1"/>
  <c r="U165" i="1" s="1"/>
  <c r="Y165" i="1" s="1"/>
  <c r="AC196" i="3"/>
  <c r="Z196" i="3"/>
  <c r="V196" i="3"/>
  <c r="AD196" i="3"/>
  <c r="Y196" i="3"/>
  <c r="AA196" i="3"/>
  <c r="S150" i="5"/>
  <c r="T150" i="5" s="1"/>
  <c r="U150" i="5" s="1"/>
  <c r="AB150" i="5" s="1"/>
  <c r="Z150" i="5"/>
  <c r="AI150" i="5"/>
  <c r="AG150" i="5"/>
  <c r="V150" i="5"/>
  <c r="AD150" i="5"/>
  <c r="AJ151" i="5"/>
  <c r="AF150" i="5"/>
  <c r="Y150" i="5"/>
  <c r="AH150" i="5"/>
  <c r="AE150" i="5"/>
  <c r="AA150" i="5"/>
  <c r="AC150" i="5"/>
  <c r="S173" i="2"/>
  <c r="T173" i="2" s="1"/>
  <c r="U173" i="2" s="1"/>
  <c r="AB165" i="1" l="1"/>
  <c r="Z165" i="1"/>
  <c r="V165" i="1"/>
  <c r="AC165" i="1"/>
  <c r="S166" i="1" s="1"/>
  <c r="T166" i="1" s="1"/>
  <c r="U166" i="1" s="1"/>
  <c r="AD165" i="1"/>
  <c r="AA165" i="1"/>
  <c r="S197" i="3"/>
  <c r="T197" i="3" s="1"/>
  <c r="U197" i="3" s="1"/>
  <c r="S151" i="5"/>
  <c r="T151" i="5" s="1"/>
  <c r="U151" i="5" s="1"/>
  <c r="AF151" i="5" s="1"/>
  <c r="AB173" i="2"/>
  <c r="Z173" i="2"/>
  <c r="AD173" i="2"/>
  <c r="AC173" i="2"/>
  <c r="V173" i="2"/>
  <c r="AA173" i="2"/>
  <c r="Y173" i="2"/>
  <c r="AC166" i="1" l="1"/>
  <c r="AB166" i="1"/>
  <c r="AD166" i="1"/>
  <c r="Y166" i="1"/>
  <c r="V166" i="1"/>
  <c r="AA166" i="1"/>
  <c r="Z166" i="1"/>
  <c r="S167" i="1"/>
  <c r="T167" i="1" s="1"/>
  <c r="U167" i="1" s="1"/>
  <c r="Y197" i="3"/>
  <c r="V197" i="3"/>
  <c r="AC197" i="3"/>
  <c r="AD197" i="3"/>
  <c r="AA197" i="3"/>
  <c r="Z197" i="3"/>
  <c r="AE151" i="5"/>
  <c r="AI151" i="5"/>
  <c r="AG151" i="5"/>
  <c r="AD151" i="5"/>
  <c r="Z151" i="5"/>
  <c r="AJ152" i="5"/>
  <c r="AB151" i="5"/>
  <c r="AH151" i="5"/>
  <c r="Y151" i="5"/>
  <c r="AC151" i="5"/>
  <c r="AA151" i="5"/>
  <c r="V151" i="5"/>
  <c r="S174" i="2"/>
  <c r="T174" i="2" s="1"/>
  <c r="U174" i="2" s="1"/>
  <c r="Y167" i="1" l="1"/>
  <c r="V167" i="1"/>
  <c r="AA167" i="1"/>
  <c r="AB167" i="1"/>
  <c r="AC167" i="1"/>
  <c r="AD167" i="1"/>
  <c r="Z167" i="1"/>
  <c r="S198" i="3"/>
  <c r="T198" i="3" s="1"/>
  <c r="U198" i="3" s="1"/>
  <c r="S152" i="5"/>
  <c r="T152" i="5" s="1"/>
  <c r="U152" i="5" s="1"/>
  <c r="AC152" i="5" s="1"/>
  <c r="AC174" i="2"/>
  <c r="V174" i="2"/>
  <c r="AD174" i="2"/>
  <c r="Z174" i="2"/>
  <c r="AA174" i="2"/>
  <c r="Y174" i="2"/>
  <c r="AB174" i="2"/>
  <c r="S168" i="1" l="1"/>
  <c r="T168" i="1" s="1"/>
  <c r="U168" i="1" s="1"/>
  <c r="AC168" i="1" s="1"/>
  <c r="AC198" i="3"/>
  <c r="AA198" i="3"/>
  <c r="Z198" i="3"/>
  <c r="Y198" i="3"/>
  <c r="AD198" i="3"/>
  <c r="V198" i="3"/>
  <c r="S175" i="2"/>
  <c r="T175" i="2" s="1"/>
  <c r="U175" i="2" s="1"/>
  <c r="Y152" i="5"/>
  <c r="AD152" i="5"/>
  <c r="Z152" i="5"/>
  <c r="AE152" i="5"/>
  <c r="AA152" i="5"/>
  <c r="AJ153" i="5"/>
  <c r="AI152" i="5"/>
  <c r="AF152" i="5"/>
  <c r="AG152" i="5"/>
  <c r="V152" i="5"/>
  <c r="AB152" i="5"/>
  <c r="AH152" i="5"/>
  <c r="AD175" i="2"/>
  <c r="AB175" i="2"/>
  <c r="AC175" i="2"/>
  <c r="Z175" i="2"/>
  <c r="AA175" i="2"/>
  <c r="Y175" i="2"/>
  <c r="V175" i="2"/>
  <c r="AD168" i="1" l="1"/>
  <c r="Y168" i="1"/>
  <c r="AB168" i="1"/>
  <c r="V168" i="1"/>
  <c r="AA168" i="1"/>
  <c r="Z168" i="1"/>
  <c r="S169" i="1"/>
  <c r="T169" i="1" s="1"/>
  <c r="U169" i="1" s="1"/>
  <c r="S199" i="3"/>
  <c r="T199" i="3" s="1"/>
  <c r="U199" i="3" s="1"/>
  <c r="S153" i="5"/>
  <c r="T153" i="5" s="1"/>
  <c r="U153" i="5" s="1"/>
  <c r="AJ154" i="5" s="1"/>
  <c r="AB153" i="5"/>
  <c r="Y153" i="5"/>
  <c r="AH153" i="5"/>
  <c r="AG153" i="5"/>
  <c r="V153" i="5"/>
  <c r="AA153" i="5"/>
  <c r="AF153" i="5"/>
  <c r="Z153" i="5"/>
  <c r="S176" i="2"/>
  <c r="T176" i="2" s="1"/>
  <c r="U176" i="2" s="1"/>
  <c r="Z176" i="2" s="1"/>
  <c r="AC169" i="1" l="1"/>
  <c r="AA169" i="1"/>
  <c r="AD169" i="1"/>
  <c r="Y169" i="1"/>
  <c r="AB169" i="1"/>
  <c r="V169" i="1"/>
  <c r="Z169" i="1"/>
  <c r="AA199" i="3"/>
  <c r="Z199" i="3"/>
  <c r="V199" i="3"/>
  <c r="AD199" i="3"/>
  <c r="AC199" i="3"/>
  <c r="S200" i="3" s="1"/>
  <c r="T200" i="3" s="1"/>
  <c r="U200" i="3" s="1"/>
  <c r="Y199" i="3"/>
  <c r="AB176" i="2"/>
  <c r="V176" i="2"/>
  <c r="AA176" i="2"/>
  <c r="AD176" i="2"/>
  <c r="AC176" i="2"/>
  <c r="Y176" i="2"/>
  <c r="AC153" i="5"/>
  <c r="AI153" i="5"/>
  <c r="AE153" i="5"/>
  <c r="AD153" i="5"/>
  <c r="S154" i="5"/>
  <c r="T154" i="5" s="1"/>
  <c r="U154" i="5" s="1"/>
  <c r="V154" i="5" s="1"/>
  <c r="S170" i="1" l="1"/>
  <c r="T170" i="1" s="1"/>
  <c r="U170" i="1" s="1"/>
  <c r="AD200" i="3"/>
  <c r="AC200" i="3"/>
  <c r="S201" i="3" s="1"/>
  <c r="T201" i="3" s="1"/>
  <c r="U201" i="3" s="1"/>
  <c r="AA200" i="3"/>
  <c r="Y200" i="3"/>
  <c r="Z200" i="3"/>
  <c r="V200" i="3"/>
  <c r="S177" i="2"/>
  <c r="T177" i="2" s="1"/>
  <c r="U177" i="2" s="1"/>
  <c r="AF154" i="5"/>
  <c r="AC154" i="5"/>
  <c r="Z154" i="5"/>
  <c r="AH154" i="5"/>
  <c r="AG154" i="5"/>
  <c r="AA154" i="5"/>
  <c r="AJ155" i="5"/>
  <c r="AI154" i="5"/>
  <c r="AE154" i="5"/>
  <c r="AD154" i="5"/>
  <c r="Y154" i="5"/>
  <c r="AB154" i="5"/>
  <c r="AB170" i="1" l="1"/>
  <c r="AA170" i="1"/>
  <c r="Z170" i="1"/>
  <c r="AD170" i="1"/>
  <c r="AC170" i="1"/>
  <c r="V170" i="1"/>
  <c r="Y170" i="1"/>
  <c r="Y201" i="3"/>
  <c r="Z201" i="3"/>
  <c r="V201" i="3"/>
  <c r="AD201" i="3"/>
  <c r="AC201" i="3"/>
  <c r="S202" i="3" s="1"/>
  <c r="T202" i="3" s="1"/>
  <c r="U202" i="3" s="1"/>
  <c r="AA201" i="3"/>
  <c r="AD177" i="2"/>
  <c r="AA177" i="2"/>
  <c r="AB177" i="2"/>
  <c r="Z177" i="2"/>
  <c r="Y177" i="2"/>
  <c r="AC177" i="2"/>
  <c r="V177" i="2"/>
  <c r="S155" i="5"/>
  <c r="T155" i="5" s="1"/>
  <c r="U155" i="5" s="1"/>
  <c r="Y155" i="5" s="1"/>
  <c r="S171" i="1" l="1"/>
  <c r="T171" i="1" s="1"/>
  <c r="U171" i="1" s="1"/>
  <c r="AA202" i="3"/>
  <c r="Z202" i="3"/>
  <c r="AC202" i="3"/>
  <c r="Y202" i="3"/>
  <c r="V202" i="3"/>
  <c r="X202" i="3" s="1"/>
  <c r="AN30" i="3" s="1"/>
  <c r="AD202" i="3"/>
  <c r="AQ30" i="3" s="1"/>
  <c r="S178" i="2"/>
  <c r="T178" i="2" s="1"/>
  <c r="U178" i="2" s="1"/>
  <c r="AB155" i="5"/>
  <c r="AJ156" i="5"/>
  <c r="AC155" i="5"/>
  <c r="V155" i="5"/>
  <c r="AI155" i="5"/>
  <c r="Z155" i="5"/>
  <c r="AE155" i="5"/>
  <c r="AF155" i="5"/>
  <c r="AA155" i="5"/>
  <c r="AD155" i="5"/>
  <c r="AG155" i="5"/>
  <c r="AH155" i="5"/>
  <c r="V171" i="1" l="1"/>
  <c r="AC171" i="1"/>
  <c r="AB171" i="1"/>
  <c r="Y171" i="1"/>
  <c r="AA171" i="1"/>
  <c r="AD171" i="1"/>
  <c r="Z171" i="1"/>
  <c r="AP30" i="3"/>
  <c r="AU30" i="3" s="1"/>
  <c r="S203" i="3"/>
  <c r="T203" i="3" s="1"/>
  <c r="U203" i="3" s="1"/>
  <c r="AC178" i="2"/>
  <c r="AD178" i="2"/>
  <c r="V178" i="2"/>
  <c r="Z178" i="2"/>
  <c r="AB178" i="2"/>
  <c r="S179" i="2" s="1"/>
  <c r="T179" i="2" s="1"/>
  <c r="U179" i="2" s="1"/>
  <c r="AD179" i="2" s="1"/>
  <c r="Y178" i="2"/>
  <c r="AA178" i="2"/>
  <c r="S156" i="5"/>
  <c r="T156" i="5" s="1"/>
  <c r="U156" i="5" s="1"/>
  <c r="AE156" i="5" s="1"/>
  <c r="S172" i="1" l="1"/>
  <c r="T172" i="1" s="1"/>
  <c r="U172" i="1" s="1"/>
  <c r="AA203" i="3"/>
  <c r="V203" i="3"/>
  <c r="Y203" i="3"/>
  <c r="Z203" i="3"/>
  <c r="AD203" i="3"/>
  <c r="AC203" i="3"/>
  <c r="S204" i="3" s="1"/>
  <c r="T204" i="3" s="1"/>
  <c r="U204" i="3" s="1"/>
  <c r="AW30" i="3"/>
  <c r="AC179" i="2"/>
  <c r="V179" i="2"/>
  <c r="AA179" i="2"/>
  <c r="Z179" i="2"/>
  <c r="Y179" i="2"/>
  <c r="AB179" i="2"/>
  <c r="S180" i="2" s="1"/>
  <c r="T180" i="2" s="1"/>
  <c r="U180" i="2" s="1"/>
  <c r="V156" i="5"/>
  <c r="AI156" i="5"/>
  <c r="AF156" i="5"/>
  <c r="AH156" i="5"/>
  <c r="AC156" i="5"/>
  <c r="AB156" i="5"/>
  <c r="AJ157" i="5"/>
  <c r="Z156" i="5"/>
  <c r="Y156" i="5"/>
  <c r="AD156" i="5"/>
  <c r="AA156" i="5"/>
  <c r="AG156" i="5"/>
  <c r="V172" i="1" l="1"/>
  <c r="AD172" i="1"/>
  <c r="AA172" i="1"/>
  <c r="AC172" i="1"/>
  <c r="Z172" i="1"/>
  <c r="AB172" i="1"/>
  <c r="S173" i="1" s="1"/>
  <c r="T173" i="1" s="1"/>
  <c r="U173" i="1" s="1"/>
  <c r="Y172" i="1"/>
  <c r="AA204" i="3"/>
  <c r="Z204" i="3"/>
  <c r="Y204" i="3"/>
  <c r="V204" i="3"/>
  <c r="AD204" i="3"/>
  <c r="AC204" i="3"/>
  <c r="S205" i="3" s="1"/>
  <c r="T205" i="3" s="1"/>
  <c r="U205" i="3" s="1"/>
  <c r="S157" i="5"/>
  <c r="T157" i="5" s="1"/>
  <c r="U157" i="5" s="1"/>
  <c r="AD157" i="5" s="1"/>
  <c r="AF157" i="5"/>
  <c r="AA157" i="5"/>
  <c r="AG157" i="5"/>
  <c r="Z157" i="5"/>
  <c r="V157" i="5"/>
  <c r="AE157" i="5"/>
  <c r="AC157" i="5"/>
  <c r="AJ158" i="5"/>
  <c r="AB157" i="5"/>
  <c r="Y157" i="5"/>
  <c r="AI157" i="5"/>
  <c r="AA180" i="2"/>
  <c r="V180" i="2"/>
  <c r="AB180" i="2"/>
  <c r="Z180" i="2"/>
  <c r="AC180" i="2"/>
  <c r="AD180" i="2"/>
  <c r="Y180" i="2"/>
  <c r="AC173" i="1" l="1"/>
  <c r="AB173" i="1"/>
  <c r="Y173" i="1"/>
  <c r="AD173" i="1"/>
  <c r="Z173" i="1"/>
  <c r="V173" i="1"/>
  <c r="AA173" i="1"/>
  <c r="V205" i="3"/>
  <c r="Z205" i="3"/>
  <c r="AD205" i="3"/>
  <c r="AC205" i="3"/>
  <c r="S206" i="3" s="1"/>
  <c r="T206" i="3" s="1"/>
  <c r="U206" i="3" s="1"/>
  <c r="AA205" i="3"/>
  <c r="Y205" i="3"/>
  <c r="AH157" i="5"/>
  <c r="S158" i="5"/>
  <c r="T158" i="5" s="1"/>
  <c r="U158" i="5" s="1"/>
  <c r="AC158" i="5" s="1"/>
  <c r="S181" i="2"/>
  <c r="T181" i="2" s="1"/>
  <c r="U181" i="2" s="1"/>
  <c r="S174" i="1" l="1"/>
  <c r="T174" i="1" s="1"/>
  <c r="U174" i="1" s="1"/>
  <c r="AB174" i="1" s="1"/>
  <c r="AC174" i="1"/>
  <c r="AC206" i="3"/>
  <c r="AA206" i="3"/>
  <c r="Z206" i="3"/>
  <c r="Y206" i="3"/>
  <c r="V206" i="3"/>
  <c r="AD206" i="3"/>
  <c r="AI158" i="5"/>
  <c r="AJ159" i="5"/>
  <c r="AF158" i="5"/>
  <c r="AB158" i="5"/>
  <c r="AD158" i="5"/>
  <c r="AA158" i="5"/>
  <c r="Z158" i="5"/>
  <c r="AG158" i="5"/>
  <c r="Y158" i="5"/>
  <c r="AH158" i="5"/>
  <c r="AE158" i="5"/>
  <c r="V158" i="5"/>
  <c r="AB181" i="2"/>
  <c r="AA181" i="2"/>
  <c r="AD181" i="2"/>
  <c r="Z181" i="2"/>
  <c r="V181" i="2"/>
  <c r="AC181" i="2"/>
  <c r="Y181" i="2"/>
  <c r="V174" i="1" l="1"/>
  <c r="AA174" i="1"/>
  <c r="Z174" i="1"/>
  <c r="Y174" i="1"/>
  <c r="AD174" i="1"/>
  <c r="S175" i="1"/>
  <c r="T175" i="1" s="1"/>
  <c r="U175" i="1" s="1"/>
  <c r="V175" i="1" s="1"/>
  <c r="S207" i="3"/>
  <c r="T207" i="3" s="1"/>
  <c r="U207" i="3" s="1"/>
  <c r="S159" i="5"/>
  <c r="T159" i="5" s="1"/>
  <c r="U159" i="5" s="1"/>
  <c r="AA159" i="5" s="1"/>
  <c r="S182" i="2"/>
  <c r="T182" i="2" s="1"/>
  <c r="U182" i="2" s="1"/>
  <c r="AC175" i="1" l="1"/>
  <c r="Z175" i="1"/>
  <c r="AD175" i="1"/>
  <c r="AB175" i="1"/>
  <c r="AA175" i="1"/>
  <c r="S176" i="1"/>
  <c r="T176" i="1" s="1"/>
  <c r="U176" i="1" s="1"/>
  <c r="AB176" i="1" s="1"/>
  <c r="Y175" i="1"/>
  <c r="AA207" i="3"/>
  <c r="Y207" i="3"/>
  <c r="V207" i="3"/>
  <c r="AC207" i="3"/>
  <c r="Z207" i="3"/>
  <c r="AD207" i="3"/>
  <c r="Z159" i="5"/>
  <c r="AC159" i="5"/>
  <c r="AF159" i="5"/>
  <c r="AB159" i="5"/>
  <c r="AH159" i="5"/>
  <c r="Y159" i="5"/>
  <c r="V159" i="5"/>
  <c r="AD159" i="5"/>
  <c r="AJ160" i="5"/>
  <c r="AE159" i="5"/>
  <c r="AG159" i="5"/>
  <c r="AI159" i="5"/>
  <c r="Z182" i="2"/>
  <c r="Y182" i="2"/>
  <c r="AA182" i="2"/>
  <c r="AD182" i="2"/>
  <c r="AQ29" i="2" s="1"/>
  <c r="AB182" i="2"/>
  <c r="V182" i="2"/>
  <c r="X182" i="2" s="1"/>
  <c r="AN29" i="2" s="1"/>
  <c r="AC182" i="2"/>
  <c r="AP29" i="2" s="1"/>
  <c r="AC176" i="1" l="1"/>
  <c r="Y176" i="1"/>
  <c r="AA176" i="1"/>
  <c r="Z176" i="1"/>
  <c r="V176" i="1"/>
  <c r="AD176" i="1"/>
  <c r="S208" i="3"/>
  <c r="T208" i="3" s="1"/>
  <c r="U208" i="3" s="1"/>
  <c r="S177" i="1"/>
  <c r="T177" i="1" s="1"/>
  <c r="U177" i="1" s="1"/>
  <c r="S160" i="5"/>
  <c r="T160" i="5" s="1"/>
  <c r="U160" i="5" s="1"/>
  <c r="AH160" i="5" s="1"/>
  <c r="S183" i="2"/>
  <c r="T183" i="2" s="1"/>
  <c r="U183" i="2" s="1"/>
  <c r="AO29" i="2"/>
  <c r="V208" i="3" l="1"/>
  <c r="Z208" i="3"/>
  <c r="Y208" i="3"/>
  <c r="AD208" i="3"/>
  <c r="AC208" i="3"/>
  <c r="S209" i="3" s="1"/>
  <c r="T209" i="3" s="1"/>
  <c r="U209" i="3" s="1"/>
  <c r="AA208" i="3"/>
  <c r="V177" i="1"/>
  <c r="AA177" i="1"/>
  <c r="AC177" i="1"/>
  <c r="Y177" i="1"/>
  <c r="AB177" i="1"/>
  <c r="Z177" i="1"/>
  <c r="AD177" i="1"/>
  <c r="AF160" i="5"/>
  <c r="AC160" i="5"/>
  <c r="Z160" i="5"/>
  <c r="AD160" i="5"/>
  <c r="AB160" i="5"/>
  <c r="V160" i="5"/>
  <c r="AA160" i="5"/>
  <c r="AG160" i="5"/>
  <c r="AE160" i="5"/>
  <c r="AJ161" i="5"/>
  <c r="AI160" i="5"/>
  <c r="Y160" i="5"/>
  <c r="AU29" i="2"/>
  <c r="AW29" i="2"/>
  <c r="Z183" i="2"/>
  <c r="Y183" i="2"/>
  <c r="V183" i="2"/>
  <c r="AA183" i="2"/>
  <c r="AD183" i="2"/>
  <c r="AC183" i="2"/>
  <c r="AB183" i="2"/>
  <c r="S184" i="2" s="1"/>
  <c r="T184" i="2" s="1"/>
  <c r="U184" i="2" s="1"/>
  <c r="AD209" i="3" l="1"/>
  <c r="AC209" i="3"/>
  <c r="AA209" i="3"/>
  <c r="Y209" i="3"/>
  <c r="V209" i="3"/>
  <c r="Z209" i="3"/>
  <c r="S178" i="1"/>
  <c r="T178" i="1" s="1"/>
  <c r="U178" i="1" s="1"/>
  <c r="AA178" i="1" s="1"/>
  <c r="S161" i="5"/>
  <c r="T161" i="5" s="1"/>
  <c r="U161" i="5" s="1"/>
  <c r="AG161" i="5" s="1"/>
  <c r="Z184" i="2"/>
  <c r="AC184" i="2"/>
  <c r="AB184" i="2"/>
  <c r="V184" i="2"/>
  <c r="AD184" i="2"/>
  <c r="Y184" i="2"/>
  <c r="AA184" i="2"/>
  <c r="S210" i="3" l="1"/>
  <c r="T210" i="3" s="1"/>
  <c r="U210" i="3" s="1"/>
  <c r="Y178" i="1"/>
  <c r="AD178" i="1"/>
  <c r="AB178" i="1"/>
  <c r="V178" i="1"/>
  <c r="AC178" i="1"/>
  <c r="Z178" i="1"/>
  <c r="AJ162" i="5"/>
  <c r="Y161" i="5"/>
  <c r="AA161" i="5"/>
  <c r="AC161" i="5"/>
  <c r="AI161" i="5"/>
  <c r="AE161" i="5"/>
  <c r="Z161" i="5"/>
  <c r="AD161" i="5"/>
  <c r="AB161" i="5"/>
  <c r="V161" i="5"/>
  <c r="AH161" i="5"/>
  <c r="AF161" i="5"/>
  <c r="S185" i="2"/>
  <c r="T185" i="2" s="1"/>
  <c r="U185" i="2" s="1"/>
  <c r="AA210" i="3" l="1"/>
  <c r="Z210" i="3"/>
  <c r="Y210" i="3"/>
  <c r="AD210" i="3"/>
  <c r="V210" i="3"/>
  <c r="AC210" i="3"/>
  <c r="S211" i="3" s="1"/>
  <c r="T211" i="3" s="1"/>
  <c r="U211" i="3" s="1"/>
  <c r="S179" i="1"/>
  <c r="T179" i="1" s="1"/>
  <c r="U179" i="1" s="1"/>
  <c r="Y179" i="1" s="1"/>
  <c r="S162" i="5"/>
  <c r="T162" i="5" s="1"/>
  <c r="U162" i="5" s="1"/>
  <c r="AE162" i="5" s="1"/>
  <c r="AJ163" i="5"/>
  <c r="AG162" i="5"/>
  <c r="V162" i="5"/>
  <c r="AC162" i="5"/>
  <c r="AD162" i="5"/>
  <c r="AB162" i="5"/>
  <c r="Y162" i="5"/>
  <c r="AF162" i="5"/>
  <c r="AI162" i="5"/>
  <c r="Z162" i="5"/>
  <c r="AA162" i="5"/>
  <c r="Z185" i="2"/>
  <c r="V185" i="2"/>
  <c r="AC185" i="2"/>
  <c r="AB185" i="2"/>
  <c r="Y185" i="2"/>
  <c r="AA185" i="2"/>
  <c r="AD185" i="2"/>
  <c r="Z211" i="3" l="1"/>
  <c r="AA211" i="3"/>
  <c r="Y211" i="3"/>
  <c r="AD211" i="3"/>
  <c r="AC211" i="3"/>
  <c r="S212" i="3" s="1"/>
  <c r="T212" i="3" s="1"/>
  <c r="U212" i="3" s="1"/>
  <c r="V211" i="3"/>
  <c r="Z179" i="1"/>
  <c r="AC179" i="1"/>
  <c r="AB179" i="1"/>
  <c r="V179" i="1"/>
  <c r="AA179" i="1"/>
  <c r="AD179" i="1"/>
  <c r="AH162" i="5"/>
  <c r="S163" i="5"/>
  <c r="T163" i="5" s="1"/>
  <c r="U163" i="5" s="1"/>
  <c r="AG163" i="5" s="1"/>
  <c r="S186" i="2"/>
  <c r="T186" i="2" s="1"/>
  <c r="U186" i="2" s="1"/>
  <c r="S180" i="1" l="1"/>
  <c r="T180" i="1" s="1"/>
  <c r="U180" i="1" s="1"/>
  <c r="Y180" i="1" s="1"/>
  <c r="Y212" i="3"/>
  <c r="AA212" i="3"/>
  <c r="V212" i="3"/>
  <c r="AD212" i="3"/>
  <c r="AC212" i="3"/>
  <c r="S213" i="3" s="1"/>
  <c r="T213" i="3" s="1"/>
  <c r="U213" i="3" s="1"/>
  <c r="Z212" i="3"/>
  <c r="AB180" i="1"/>
  <c r="Z180" i="1"/>
  <c r="AA180" i="1"/>
  <c r="AH163" i="5"/>
  <c r="AD163" i="5"/>
  <c r="V163" i="5"/>
  <c r="AB163" i="5"/>
  <c r="AJ164" i="5"/>
  <c r="BB30" i="5" s="1"/>
  <c r="AC163" i="5"/>
  <c r="AF163" i="5"/>
  <c r="Y163" i="5"/>
  <c r="AA163" i="5"/>
  <c r="AI163" i="5"/>
  <c r="AE163" i="5"/>
  <c r="Z163" i="5"/>
  <c r="AA186" i="2"/>
  <c r="Y186" i="2"/>
  <c r="Z186" i="2"/>
  <c r="AB186" i="2"/>
  <c r="AD186" i="2"/>
  <c r="AC186" i="2"/>
  <c r="V186" i="2"/>
  <c r="AD180" i="1" l="1"/>
  <c r="V180" i="1"/>
  <c r="AC180" i="1"/>
  <c r="AA213" i="3"/>
  <c r="Z213" i="3"/>
  <c r="Y213" i="3"/>
  <c r="V213" i="3"/>
  <c r="AC213" i="3"/>
  <c r="AD213" i="3"/>
  <c r="S181" i="1"/>
  <c r="T181" i="1" s="1"/>
  <c r="U181" i="1" s="1"/>
  <c r="Y181" i="1" s="1"/>
  <c r="S164" i="5"/>
  <c r="T164" i="5" s="1"/>
  <c r="U164" i="5" s="1"/>
  <c r="AI164" i="5" s="1"/>
  <c r="BA30" i="5" s="1"/>
  <c r="S187" i="2"/>
  <c r="T187" i="2" s="1"/>
  <c r="U187" i="2" s="1"/>
  <c r="S214" i="3" l="1"/>
  <c r="T214" i="3" s="1"/>
  <c r="U214" i="3" s="1"/>
  <c r="AC214" i="3" s="1"/>
  <c r="AA214" i="3"/>
  <c r="Y214" i="3"/>
  <c r="V214" i="3"/>
  <c r="Z214" i="3"/>
  <c r="AD214" i="3"/>
  <c r="AA181" i="1"/>
  <c r="Z181" i="1"/>
  <c r="AC181" i="1"/>
  <c r="V181" i="1"/>
  <c r="AD181" i="1"/>
  <c r="AB181" i="1"/>
  <c r="AD164" i="5"/>
  <c r="AG164" i="5"/>
  <c r="AY30" i="5" s="1"/>
  <c r="AC164" i="5"/>
  <c r="Z164" i="5"/>
  <c r="AE164" i="5"/>
  <c r="AW30" i="5" s="1"/>
  <c r="AF164" i="5"/>
  <c r="AX30" i="5" s="1"/>
  <c r="AH164" i="5"/>
  <c r="AZ30" i="5" s="1"/>
  <c r="Y164" i="5"/>
  <c r="AA164" i="5"/>
  <c r="AJ165" i="5"/>
  <c r="AB164" i="5"/>
  <c r="V164" i="5"/>
  <c r="X164" i="5" s="1"/>
  <c r="AV30" i="5" s="1"/>
  <c r="AO31" i="3"/>
  <c r="AA187" i="2"/>
  <c r="Z187" i="2"/>
  <c r="AC187" i="2"/>
  <c r="V187" i="2"/>
  <c r="AB187" i="2"/>
  <c r="Y187" i="2"/>
  <c r="AD187" i="2"/>
  <c r="S215" i="3" l="1"/>
  <c r="T215" i="3" s="1"/>
  <c r="U215" i="3" s="1"/>
  <c r="S182" i="1"/>
  <c r="T182" i="1" s="1"/>
  <c r="U182" i="1" s="1"/>
  <c r="Z182" i="1" s="1"/>
  <c r="S165" i="5"/>
  <c r="T165" i="5" s="1"/>
  <c r="U165" i="5" s="1"/>
  <c r="AH165" i="5" s="1"/>
  <c r="S188" i="2"/>
  <c r="T188" i="2" s="1"/>
  <c r="U188" i="2" s="1"/>
  <c r="AC188" i="2" s="1"/>
  <c r="AD215" i="3" l="1"/>
  <c r="Z215" i="3"/>
  <c r="Y215" i="3"/>
  <c r="AC215" i="3"/>
  <c r="S216" i="3" s="1"/>
  <c r="T216" i="3" s="1"/>
  <c r="U216" i="3" s="1"/>
  <c r="AA215" i="3"/>
  <c r="V215" i="3"/>
  <c r="AD188" i="2"/>
  <c r="Y188" i="2"/>
  <c r="AD182" i="1"/>
  <c r="AQ29" i="1" s="1"/>
  <c r="AB182" i="1"/>
  <c r="AO29" i="1" s="1"/>
  <c r="Y182" i="1"/>
  <c r="AC182" i="1"/>
  <c r="AP29" i="1" s="1"/>
  <c r="AA182" i="1"/>
  <c r="V182" i="1"/>
  <c r="X182" i="1" s="1"/>
  <c r="AN29" i="1" s="1"/>
  <c r="AC165" i="5"/>
  <c r="AB165" i="5"/>
  <c r="AA165" i="5"/>
  <c r="AJ166" i="5"/>
  <c r="AG165" i="5"/>
  <c r="AE165" i="5"/>
  <c r="AI165" i="5"/>
  <c r="Y165" i="5"/>
  <c r="AF165" i="5"/>
  <c r="Z165" i="5"/>
  <c r="AD165" i="5"/>
  <c r="V165" i="5"/>
  <c r="Z188" i="2"/>
  <c r="V188" i="2"/>
  <c r="AA188" i="2"/>
  <c r="AB188" i="2"/>
  <c r="S189" i="2"/>
  <c r="T189" i="2" s="1"/>
  <c r="U189" i="2" s="1"/>
  <c r="AU29" i="1" l="1"/>
  <c r="S183" i="1"/>
  <c r="T183" i="1" s="1"/>
  <c r="U183" i="1" s="1"/>
  <c r="V183" i="1" s="1"/>
  <c r="AW29" i="1"/>
  <c r="AA216" i="3"/>
  <c r="Z216" i="3"/>
  <c r="V216" i="3"/>
  <c r="AC216" i="3"/>
  <c r="Y216" i="3"/>
  <c r="AD216" i="3"/>
  <c r="S166" i="5"/>
  <c r="T166" i="5" s="1"/>
  <c r="U166" i="5" s="1"/>
  <c r="AJ167" i="5" s="1"/>
  <c r="AC189" i="2"/>
  <c r="Y189" i="2"/>
  <c r="V189" i="2"/>
  <c r="AB189" i="2"/>
  <c r="AA189" i="2"/>
  <c r="AD189" i="2"/>
  <c r="Z189" i="2"/>
  <c r="AD183" i="1" l="1"/>
  <c r="AC183" i="1"/>
  <c r="Y183" i="1"/>
  <c r="Z183" i="1"/>
  <c r="AA183" i="1"/>
  <c r="AB183" i="1"/>
  <c r="S184" i="1" s="1"/>
  <c r="T184" i="1" s="1"/>
  <c r="U184" i="1" s="1"/>
  <c r="AC184" i="1" s="1"/>
  <c r="S217" i="3"/>
  <c r="T217" i="3" s="1"/>
  <c r="U217" i="3" s="1"/>
  <c r="AC217" i="3"/>
  <c r="AA217" i="3"/>
  <c r="Y217" i="3"/>
  <c r="AD217" i="3"/>
  <c r="Z217" i="3"/>
  <c r="V217" i="3"/>
  <c r="AD166" i="5"/>
  <c r="AE166" i="5"/>
  <c r="AH166" i="5"/>
  <c r="AG166" i="5"/>
  <c r="AC166" i="5"/>
  <c r="V166" i="5"/>
  <c r="AA166" i="5"/>
  <c r="Z166" i="5"/>
  <c r="AI166" i="5"/>
  <c r="AB166" i="5"/>
  <c r="Y166" i="5"/>
  <c r="AF166" i="5"/>
  <c r="S167" i="5" s="1"/>
  <c r="T167" i="5" s="1"/>
  <c r="U167" i="5" s="1"/>
  <c r="S190" i="2"/>
  <c r="T190" i="2" s="1"/>
  <c r="U190" i="2" s="1"/>
  <c r="S218" i="3" l="1"/>
  <c r="T218" i="3" s="1"/>
  <c r="U218" i="3" s="1"/>
  <c r="Y184" i="1"/>
  <c r="AB184" i="1"/>
  <c r="V184" i="1"/>
  <c r="Z184" i="1"/>
  <c r="AD184" i="1"/>
  <c r="AA184" i="1"/>
  <c r="Z167" i="5"/>
  <c r="AB167" i="5"/>
  <c r="AJ168" i="5"/>
  <c r="AA167" i="5"/>
  <c r="Y167" i="5"/>
  <c r="AD167" i="5"/>
  <c r="AH167" i="5"/>
  <c r="AC167" i="5"/>
  <c r="V167" i="5"/>
  <c r="AI167" i="5"/>
  <c r="AF167" i="5"/>
  <c r="AG167" i="5"/>
  <c r="AE167" i="5"/>
  <c r="V190" i="2"/>
  <c r="AC190" i="2"/>
  <c r="AA190" i="2"/>
  <c r="Z190" i="2"/>
  <c r="AD190" i="2"/>
  <c r="AB190" i="2"/>
  <c r="Y190" i="2"/>
  <c r="Z218" i="3" l="1"/>
  <c r="AD218" i="3"/>
  <c r="AC218" i="3"/>
  <c r="S219" i="3" s="1"/>
  <c r="T219" i="3" s="1"/>
  <c r="U219" i="3" s="1"/>
  <c r="AA218" i="3"/>
  <c r="V218" i="3"/>
  <c r="Y218" i="3"/>
  <c r="S191" i="2"/>
  <c r="T191" i="2" s="1"/>
  <c r="U191" i="2" s="1"/>
  <c r="AA191" i="2" s="1"/>
  <c r="S185" i="1"/>
  <c r="T185" i="1" s="1"/>
  <c r="U185" i="1" s="1"/>
  <c r="V185" i="1" s="1"/>
  <c r="S168" i="5"/>
  <c r="T168" i="5" s="1"/>
  <c r="U168" i="5" s="1"/>
  <c r="AH168" i="5" s="1"/>
  <c r="AB191" i="2"/>
  <c r="Y191" i="2"/>
  <c r="V191" i="2"/>
  <c r="AD191" i="2"/>
  <c r="Z191" i="2"/>
  <c r="AC219" i="3" l="1"/>
  <c r="V219" i="3"/>
  <c r="AA219" i="3"/>
  <c r="Y219" i="3"/>
  <c r="Z219" i="3"/>
  <c r="AD219" i="3"/>
  <c r="AC191" i="2"/>
  <c r="Y185" i="1"/>
  <c r="AD185" i="1"/>
  <c r="AB185" i="1"/>
  <c r="AA185" i="1"/>
  <c r="AC185" i="1"/>
  <c r="Z185" i="1"/>
  <c r="Y168" i="5"/>
  <c r="AE168" i="5"/>
  <c r="AB168" i="5"/>
  <c r="AJ169" i="5"/>
  <c r="AA168" i="5"/>
  <c r="Z168" i="5"/>
  <c r="AD168" i="5"/>
  <c r="AF168" i="5"/>
  <c r="AG168" i="5"/>
  <c r="AI168" i="5"/>
  <c r="AC168" i="5"/>
  <c r="V168" i="5"/>
  <c r="S192" i="2"/>
  <c r="T192" i="2" s="1"/>
  <c r="U192" i="2" s="1"/>
  <c r="S186" i="1" l="1"/>
  <c r="T186" i="1" s="1"/>
  <c r="U186" i="1" s="1"/>
  <c r="V186" i="1" s="1"/>
  <c r="S220" i="3"/>
  <c r="T220" i="3" s="1"/>
  <c r="U220" i="3" s="1"/>
  <c r="V220" i="3" s="1"/>
  <c r="AD220" i="3"/>
  <c r="AC220" i="3"/>
  <c r="S221" i="3" s="1"/>
  <c r="T221" i="3" s="1"/>
  <c r="U221" i="3" s="1"/>
  <c r="Z220" i="3"/>
  <c r="AA220" i="3"/>
  <c r="Y220" i="3"/>
  <c r="S169" i="5"/>
  <c r="T169" i="5" s="1"/>
  <c r="U169" i="5" s="1"/>
  <c r="AF169" i="5" s="1"/>
  <c r="AD192" i="2"/>
  <c r="AA192" i="2"/>
  <c r="AB192" i="2"/>
  <c r="Z192" i="2"/>
  <c r="AC192" i="2"/>
  <c r="Y192" i="2"/>
  <c r="V192" i="2"/>
  <c r="AC186" i="1" l="1"/>
  <c r="AB186" i="1"/>
  <c r="Y186" i="1"/>
  <c r="AA186" i="1"/>
  <c r="Z186" i="1"/>
  <c r="AD186" i="1"/>
  <c r="S187" i="1"/>
  <c r="T187" i="1" s="1"/>
  <c r="U187" i="1" s="1"/>
  <c r="AD187" i="1" s="1"/>
  <c r="V221" i="3"/>
  <c r="Z221" i="3"/>
  <c r="Y221" i="3"/>
  <c r="AD221" i="3"/>
  <c r="AC221" i="3"/>
  <c r="S222" i="3" s="1"/>
  <c r="T222" i="3" s="1"/>
  <c r="U222" i="3" s="1"/>
  <c r="AA221" i="3"/>
  <c r="AG169" i="5"/>
  <c r="AA169" i="5"/>
  <c r="AD169" i="5"/>
  <c r="AC169" i="5"/>
  <c r="V169" i="5"/>
  <c r="AE169" i="5"/>
  <c r="AJ170" i="5"/>
  <c r="Y169" i="5"/>
  <c r="AB169" i="5"/>
  <c r="AH169" i="5"/>
  <c r="AI169" i="5"/>
  <c r="Z169" i="5"/>
  <c r="S193" i="2"/>
  <c r="T193" i="2" s="1"/>
  <c r="U193" i="2" s="1"/>
  <c r="AC187" i="1" l="1"/>
  <c r="AA187" i="1"/>
  <c r="V187" i="1"/>
  <c r="AB187" i="1"/>
  <c r="Z187" i="1"/>
  <c r="Y187" i="1"/>
  <c r="S188" i="1"/>
  <c r="T188" i="1" s="1"/>
  <c r="U188" i="1" s="1"/>
  <c r="V188" i="1" s="1"/>
  <c r="AA222" i="3"/>
  <c r="Z222" i="3"/>
  <c r="Y222" i="3"/>
  <c r="V222" i="3"/>
  <c r="X222" i="3" s="1"/>
  <c r="AN31" i="3" s="1"/>
  <c r="AD222" i="3"/>
  <c r="AQ31" i="3" s="1"/>
  <c r="AC222" i="3"/>
  <c r="AP31" i="3" s="1"/>
  <c r="S170" i="5"/>
  <c r="T170" i="5" s="1"/>
  <c r="U170" i="5" s="1"/>
  <c r="AC170" i="5" s="1"/>
  <c r="Z193" i="2"/>
  <c r="Y193" i="2"/>
  <c r="AB193" i="2"/>
  <c r="V193" i="2"/>
  <c r="AD193" i="2"/>
  <c r="AA193" i="2"/>
  <c r="AC193" i="2"/>
  <c r="AA188" i="1" l="1"/>
  <c r="Y188" i="1"/>
  <c r="AC188" i="1"/>
  <c r="AB188" i="1"/>
  <c r="Z188" i="1"/>
  <c r="AD188" i="1"/>
  <c r="AW31" i="3"/>
  <c r="AU31" i="3"/>
  <c r="S189" i="1"/>
  <c r="T189" i="1" s="1"/>
  <c r="U189" i="1" s="1"/>
  <c r="Y189" i="1" s="1"/>
  <c r="Y170" i="5"/>
  <c r="AA170" i="5"/>
  <c r="Z170" i="5"/>
  <c r="AB170" i="5"/>
  <c r="AE170" i="5"/>
  <c r="AD170" i="5"/>
  <c r="AG170" i="5"/>
  <c r="AH170" i="5"/>
  <c r="AF170" i="5"/>
  <c r="AI170" i="5"/>
  <c r="AJ171" i="5"/>
  <c r="V170" i="5"/>
  <c r="S194" i="2"/>
  <c r="T194" i="2" s="1"/>
  <c r="U194" i="2" s="1"/>
  <c r="Z189" i="1" l="1"/>
  <c r="AA189" i="1"/>
  <c r="AC189" i="1"/>
  <c r="AB189" i="1"/>
  <c r="V189" i="1"/>
  <c r="AD189" i="1"/>
  <c r="S190" i="1"/>
  <c r="T190" i="1" s="1"/>
  <c r="U190" i="1" s="1"/>
  <c r="AB190" i="1" s="1"/>
  <c r="S171" i="5"/>
  <c r="T171" i="5" s="1"/>
  <c r="U171" i="5" s="1"/>
  <c r="AA171" i="5" s="1"/>
  <c r="AD194" i="2"/>
  <c r="V194" i="2"/>
  <c r="AB194" i="2"/>
  <c r="AA194" i="2"/>
  <c r="Z194" i="2"/>
  <c r="Y194" i="2"/>
  <c r="AC194" i="2"/>
  <c r="Y190" i="1" l="1"/>
  <c r="Z190" i="1"/>
  <c r="AD190" i="1"/>
  <c r="V190" i="1"/>
  <c r="AA190" i="1"/>
  <c r="AC190" i="1"/>
  <c r="S191" i="1"/>
  <c r="T191" i="1" s="1"/>
  <c r="U191" i="1" s="1"/>
  <c r="AB191" i="1" s="1"/>
  <c r="AF171" i="5"/>
  <c r="AH171" i="5"/>
  <c r="Y171" i="5"/>
  <c r="Z171" i="5"/>
  <c r="AJ172" i="5"/>
  <c r="AG171" i="5"/>
  <c r="AC171" i="5"/>
  <c r="AD171" i="5"/>
  <c r="AI171" i="5"/>
  <c r="V171" i="5"/>
  <c r="AB171" i="5"/>
  <c r="AE171" i="5"/>
  <c r="S195" i="2"/>
  <c r="T195" i="2" s="1"/>
  <c r="U195" i="2" s="1"/>
  <c r="AD191" i="1" l="1"/>
  <c r="Z191" i="1"/>
  <c r="V191" i="1"/>
  <c r="AA191" i="1"/>
  <c r="AC191" i="1"/>
  <c r="Y191" i="1"/>
  <c r="S172" i="5"/>
  <c r="T172" i="5" s="1"/>
  <c r="U172" i="5" s="1"/>
  <c r="AH172" i="5" s="1"/>
  <c r="AI172" i="5"/>
  <c r="AJ173" i="5"/>
  <c r="AG172" i="5"/>
  <c r="AC172" i="5"/>
  <c r="AB172" i="5"/>
  <c r="AE172" i="5"/>
  <c r="AF172" i="5"/>
  <c r="V172" i="5"/>
  <c r="Z172" i="5"/>
  <c r="Y172" i="5"/>
  <c r="AA172" i="5"/>
  <c r="V195" i="2"/>
  <c r="AD195" i="2"/>
  <c r="Z195" i="2"/>
  <c r="AC195" i="2"/>
  <c r="AA195" i="2"/>
  <c r="Y195" i="2"/>
  <c r="AB195" i="2"/>
  <c r="S196" i="2" l="1"/>
  <c r="T196" i="2" s="1"/>
  <c r="U196" i="2" s="1"/>
  <c r="AC196" i="2" s="1"/>
  <c r="S192" i="1"/>
  <c r="T192" i="1" s="1"/>
  <c r="U192" i="1" s="1"/>
  <c r="AA192" i="1" s="1"/>
  <c r="AD172" i="5"/>
  <c r="S173" i="5"/>
  <c r="T173" i="5" s="1"/>
  <c r="U173" i="5" s="1"/>
  <c r="AE173" i="5" s="1"/>
  <c r="Y196" i="2"/>
  <c r="V196" i="2"/>
  <c r="AD196" i="2"/>
  <c r="Z196" i="2"/>
  <c r="AB196" i="2"/>
  <c r="AA196" i="2"/>
  <c r="S197" i="2" l="1"/>
  <c r="T197" i="2" s="1"/>
  <c r="U197" i="2" s="1"/>
  <c r="Z197" i="2" s="1"/>
  <c r="Y192" i="1"/>
  <c r="AC192" i="1"/>
  <c r="V192" i="1"/>
  <c r="AD192" i="1"/>
  <c r="AB192" i="1"/>
  <c r="Z192" i="1"/>
  <c r="Z173" i="5"/>
  <c r="Y173" i="5"/>
  <c r="AI173" i="5"/>
  <c r="AB173" i="5"/>
  <c r="AA173" i="5"/>
  <c r="AG173" i="5"/>
  <c r="AC173" i="5"/>
  <c r="V173" i="5"/>
  <c r="AF173" i="5"/>
  <c r="AJ174" i="5"/>
  <c r="AH173" i="5"/>
  <c r="AD173" i="5"/>
  <c r="V197" i="2"/>
  <c r="AA197" i="2"/>
  <c r="Y197" i="2"/>
  <c r="AC197" i="2"/>
  <c r="AD197" i="2"/>
  <c r="AB197" i="2"/>
  <c r="S198" i="2" l="1"/>
  <c r="T198" i="2" s="1"/>
  <c r="U198" i="2" s="1"/>
  <c r="S193" i="1"/>
  <c r="T193" i="1" s="1"/>
  <c r="U193" i="1" s="1"/>
  <c r="AC193" i="1" s="1"/>
  <c r="S174" i="5"/>
  <c r="T174" i="5" s="1"/>
  <c r="U174" i="5" s="1"/>
  <c r="AB174" i="5" s="1"/>
  <c r="AC198" i="2"/>
  <c r="AB198" i="2"/>
  <c r="AA198" i="2"/>
  <c r="AD198" i="2"/>
  <c r="V198" i="2"/>
  <c r="Y198" i="2"/>
  <c r="Z198" i="2"/>
  <c r="Z193" i="1" l="1"/>
  <c r="AD193" i="1"/>
  <c r="AB193" i="1"/>
  <c r="AA193" i="1"/>
  <c r="V193" i="1"/>
  <c r="Y193" i="1"/>
  <c r="S194" i="1"/>
  <c r="T194" i="1" s="1"/>
  <c r="U194" i="1" s="1"/>
  <c r="AC194" i="1" s="1"/>
  <c r="AH174" i="5"/>
  <c r="AD174" i="5"/>
  <c r="AC174" i="5"/>
  <c r="AA174" i="5"/>
  <c r="AE174" i="5"/>
  <c r="AJ175" i="5"/>
  <c r="AG174" i="5"/>
  <c r="Z174" i="5"/>
  <c r="Y174" i="5"/>
  <c r="AI174" i="5"/>
  <c r="AF174" i="5"/>
  <c r="V174" i="5"/>
  <c r="S199" i="2"/>
  <c r="T199" i="2" s="1"/>
  <c r="U199" i="2" s="1"/>
  <c r="AD194" i="1" l="1"/>
  <c r="AA194" i="1"/>
  <c r="AB194" i="1"/>
  <c r="Y194" i="1"/>
  <c r="V194" i="1"/>
  <c r="Z194" i="1"/>
  <c r="S175" i="5"/>
  <c r="T175" i="5" s="1"/>
  <c r="U175" i="5" s="1"/>
  <c r="AI175" i="5" s="1"/>
  <c r="AA199" i="2"/>
  <c r="AC199" i="2"/>
  <c r="V199" i="2"/>
  <c r="Z199" i="2"/>
  <c r="AB199" i="2"/>
  <c r="AD199" i="2"/>
  <c r="Y199" i="2"/>
  <c r="S195" i="1" l="1"/>
  <c r="T195" i="1" s="1"/>
  <c r="U195" i="1" s="1"/>
  <c r="Y195" i="1" s="1"/>
  <c r="AD175" i="5"/>
  <c r="AG175" i="5"/>
  <c r="AB175" i="5"/>
  <c r="AE175" i="5"/>
  <c r="AA175" i="5"/>
  <c r="Z175" i="5"/>
  <c r="AC175" i="5"/>
  <c r="Y175" i="5"/>
  <c r="V175" i="5"/>
  <c r="AH175" i="5"/>
  <c r="AF175" i="5"/>
  <c r="AJ176" i="5"/>
  <c r="S200" i="2"/>
  <c r="T200" i="2" s="1"/>
  <c r="U200" i="2" s="1"/>
  <c r="AB200" i="2" s="1"/>
  <c r="Y200" i="2"/>
  <c r="AA200" i="2"/>
  <c r="AC200" i="2" l="1"/>
  <c r="V200" i="2"/>
  <c r="AD200" i="2"/>
  <c r="Z195" i="1"/>
  <c r="AC195" i="1"/>
  <c r="AB195" i="1"/>
  <c r="AA195" i="1"/>
  <c r="AD195" i="1"/>
  <c r="S196" i="1" s="1"/>
  <c r="T196" i="1" s="1"/>
  <c r="U196" i="1" s="1"/>
  <c r="AA196" i="1" s="1"/>
  <c r="V195" i="1"/>
  <c r="S176" i="5"/>
  <c r="T176" i="5" s="1"/>
  <c r="U176" i="5" s="1"/>
  <c r="AJ177" i="5" s="1"/>
  <c r="Z200" i="2"/>
  <c r="S201" i="2"/>
  <c r="T201" i="2" s="1"/>
  <c r="U201" i="2" s="1"/>
  <c r="AD196" i="1" l="1"/>
  <c r="AC196" i="1"/>
  <c r="Z196" i="1"/>
  <c r="AB196" i="1"/>
  <c r="Y196" i="1"/>
  <c r="V196" i="1"/>
  <c r="S197" i="1"/>
  <c r="T197" i="1" s="1"/>
  <c r="U197" i="1" s="1"/>
  <c r="Y176" i="5"/>
  <c r="AF176" i="5"/>
  <c r="AD176" i="5"/>
  <c r="AB176" i="5"/>
  <c r="AE176" i="5"/>
  <c r="AA176" i="5"/>
  <c r="AG176" i="5"/>
  <c r="AI176" i="5"/>
  <c r="Z176" i="5"/>
  <c r="AC176" i="5"/>
  <c r="V176" i="5"/>
  <c r="AH176" i="5"/>
  <c r="Y201" i="2"/>
  <c r="AD201" i="2"/>
  <c r="Z201" i="2"/>
  <c r="AB201" i="2"/>
  <c r="AA201" i="2"/>
  <c r="V201" i="2"/>
  <c r="AC201" i="2"/>
  <c r="AC197" i="1" l="1"/>
  <c r="AB197" i="1"/>
  <c r="AA197" i="1"/>
  <c r="Y197" i="1"/>
  <c r="V197" i="1"/>
  <c r="Z197" i="1"/>
  <c r="AD197" i="1"/>
  <c r="S177" i="5"/>
  <c r="T177" i="5" s="1"/>
  <c r="U177" i="5" s="1"/>
  <c r="AE177" i="5" s="1"/>
  <c r="S202" i="2"/>
  <c r="T202" i="2" s="1"/>
  <c r="U202" i="2" s="1"/>
  <c r="S198" i="1" l="1"/>
  <c r="T198" i="1" s="1"/>
  <c r="U198" i="1" s="1"/>
  <c r="V177" i="5"/>
  <c r="AB177" i="5"/>
  <c r="AA177" i="5"/>
  <c r="AD177" i="5"/>
  <c r="AI177" i="5"/>
  <c r="Y177" i="5"/>
  <c r="AC177" i="5"/>
  <c r="AH177" i="5"/>
  <c r="Z177" i="5"/>
  <c r="AJ178" i="5"/>
  <c r="AG177" i="5"/>
  <c r="AF177" i="5"/>
  <c r="Y202" i="2"/>
  <c r="Z202" i="2"/>
  <c r="AD202" i="2"/>
  <c r="AQ30" i="2" s="1"/>
  <c r="AA202" i="2"/>
  <c r="AC202" i="2"/>
  <c r="AP30" i="2" s="1"/>
  <c r="V202" i="2"/>
  <c r="X202" i="2" s="1"/>
  <c r="AN30" i="2" s="1"/>
  <c r="AB202" i="2"/>
  <c r="AB198" i="1" l="1"/>
  <c r="Y198" i="1"/>
  <c r="Z198" i="1"/>
  <c r="AA198" i="1"/>
  <c r="AC198" i="1"/>
  <c r="V198" i="1"/>
  <c r="AD198" i="1"/>
  <c r="S178" i="5"/>
  <c r="T178" i="5" s="1"/>
  <c r="U178" i="5" s="1"/>
  <c r="AI178" i="5" s="1"/>
  <c r="AO30" i="2"/>
  <c r="S203" i="2"/>
  <c r="T203" i="2" s="1"/>
  <c r="U203" i="2" s="1"/>
  <c r="S199" i="1" l="1"/>
  <c r="T199" i="1" s="1"/>
  <c r="U199" i="1" s="1"/>
  <c r="AB178" i="5"/>
  <c r="AE178" i="5"/>
  <c r="V178" i="5"/>
  <c r="AJ179" i="5"/>
  <c r="AG178" i="5"/>
  <c r="AC178" i="5"/>
  <c r="AH178" i="5"/>
  <c r="Z178" i="5"/>
  <c r="AD178" i="5"/>
  <c r="AA178" i="5"/>
  <c r="AF178" i="5"/>
  <c r="S179" i="5" s="1"/>
  <c r="T179" i="5" s="1"/>
  <c r="U179" i="5" s="1"/>
  <c r="AA179" i="5" s="1"/>
  <c r="Y178" i="5"/>
  <c r="AC203" i="2"/>
  <c r="AD203" i="2"/>
  <c r="AA203" i="2"/>
  <c r="V203" i="2"/>
  <c r="Z203" i="2"/>
  <c r="AB203" i="2"/>
  <c r="S204" i="2" s="1"/>
  <c r="T204" i="2" s="1"/>
  <c r="U204" i="2" s="1"/>
  <c r="Y203" i="2"/>
  <c r="AW30" i="2"/>
  <c r="AU30" i="2"/>
  <c r="Y199" i="1" l="1"/>
  <c r="AD199" i="1"/>
  <c r="Z199" i="1"/>
  <c r="AC199" i="1"/>
  <c r="AA199" i="1"/>
  <c r="AB199" i="1"/>
  <c r="S200" i="1" s="1"/>
  <c r="T200" i="1" s="1"/>
  <c r="U200" i="1" s="1"/>
  <c r="V199" i="1"/>
  <c r="V179" i="5"/>
  <c r="AD179" i="5"/>
  <c r="AC179" i="5"/>
  <c r="AI179" i="5"/>
  <c r="AJ180" i="5"/>
  <c r="AH179" i="5"/>
  <c r="AB179" i="5"/>
  <c r="AF179" i="5"/>
  <c r="Y179" i="5"/>
  <c r="AG179" i="5"/>
  <c r="AE179" i="5"/>
  <c r="S180" i="5" s="1"/>
  <c r="T180" i="5" s="1"/>
  <c r="U180" i="5" s="1"/>
  <c r="Z179" i="5"/>
  <c r="AD204" i="2"/>
  <c r="V204" i="2"/>
  <c r="AC204" i="2"/>
  <c r="Z204" i="2"/>
  <c r="AA204" i="2"/>
  <c r="AB204" i="2"/>
  <c r="Y204" i="2"/>
  <c r="S205" i="2" l="1"/>
  <c r="T205" i="2" s="1"/>
  <c r="U205" i="2" s="1"/>
  <c r="Z205" i="2" s="1"/>
  <c r="AA200" i="1"/>
  <c r="AD200" i="1"/>
  <c r="AB200" i="1"/>
  <c r="Z200" i="1"/>
  <c r="AC200" i="1"/>
  <c r="V200" i="1"/>
  <c r="Y200" i="1"/>
  <c r="AE180" i="5"/>
  <c r="AI180" i="5"/>
  <c r="AD180" i="5"/>
  <c r="AB180" i="5"/>
  <c r="Z180" i="5"/>
  <c r="V180" i="5"/>
  <c r="Y180" i="5"/>
  <c r="AA180" i="5"/>
  <c r="AJ181" i="5"/>
  <c r="AF180" i="5"/>
  <c r="AC180" i="5"/>
  <c r="AG180" i="5"/>
  <c r="AH180" i="5"/>
  <c r="AC205" i="2"/>
  <c r="AA205" i="2"/>
  <c r="Y205" i="2"/>
  <c r="V205" i="2"/>
  <c r="AD205" i="2"/>
  <c r="AB205" i="2" l="1"/>
  <c r="S201" i="1"/>
  <c r="T201" i="1" s="1"/>
  <c r="U201" i="1" s="1"/>
  <c r="Y201" i="1" s="1"/>
  <c r="S181" i="5"/>
  <c r="T181" i="5" s="1"/>
  <c r="U181" i="5" s="1"/>
  <c r="S206" i="2"/>
  <c r="T206" i="2" s="1"/>
  <c r="U206" i="2" s="1"/>
  <c r="AD206" i="2" s="1"/>
  <c r="AA206" i="2" l="1"/>
  <c r="AC206" i="2"/>
  <c r="AB206" i="2"/>
  <c r="S207" i="2" s="1"/>
  <c r="T207" i="2" s="1"/>
  <c r="U207" i="2" s="1"/>
  <c r="AC207" i="2" s="1"/>
  <c r="Z206" i="2"/>
  <c r="V206" i="2"/>
  <c r="Y206" i="2"/>
  <c r="AC201" i="1"/>
  <c r="AD201" i="1"/>
  <c r="Z201" i="1"/>
  <c r="V201" i="1"/>
  <c r="AB201" i="1"/>
  <c r="AA201" i="1"/>
  <c r="AF181" i="5"/>
  <c r="V181" i="5"/>
  <c r="AD181" i="5"/>
  <c r="AB181" i="5"/>
  <c r="AC181" i="5"/>
  <c r="AA181" i="5"/>
  <c r="AI181" i="5"/>
  <c r="AH181" i="5"/>
  <c r="Y181" i="5"/>
  <c r="AJ182" i="5"/>
  <c r="Z181" i="5"/>
  <c r="AE181" i="5"/>
  <c r="AG181" i="5"/>
  <c r="AB207" i="2" l="1"/>
  <c r="Y207" i="2"/>
  <c r="V207" i="2"/>
  <c r="AD207" i="2"/>
  <c r="AA207" i="2"/>
  <c r="Z207" i="2"/>
  <c r="S202" i="1"/>
  <c r="T202" i="1" s="1"/>
  <c r="U202" i="1" s="1"/>
  <c r="AA202" i="1" s="1"/>
  <c r="S182" i="5"/>
  <c r="T182" i="5" s="1"/>
  <c r="U182" i="5" s="1"/>
  <c r="AB182" i="5" s="1"/>
  <c r="S208" i="2"/>
  <c r="T208" i="2" s="1"/>
  <c r="U208" i="2" s="1"/>
  <c r="Y208" i="2" s="1"/>
  <c r="AB208" i="2" l="1"/>
  <c r="AA208" i="2"/>
  <c r="Z208" i="2"/>
  <c r="AC208" i="2"/>
  <c r="V208" i="2"/>
  <c r="AD208" i="2"/>
  <c r="Y202" i="1"/>
  <c r="AB202" i="1"/>
  <c r="AO30" i="1" s="1"/>
  <c r="V202" i="1"/>
  <c r="X202" i="1" s="1"/>
  <c r="AN30" i="1" s="1"/>
  <c r="AD202" i="1"/>
  <c r="AQ30" i="1" s="1"/>
  <c r="AC202" i="1"/>
  <c r="AP30" i="1" s="1"/>
  <c r="Z202" i="1"/>
  <c r="Y182" i="5"/>
  <c r="AJ183" i="5"/>
  <c r="AC182" i="5"/>
  <c r="AD182" i="5"/>
  <c r="Z182" i="5"/>
  <c r="AH182" i="5"/>
  <c r="AE182" i="5"/>
  <c r="AG182" i="5"/>
  <c r="V182" i="5"/>
  <c r="AI182" i="5"/>
  <c r="AA182" i="5"/>
  <c r="AF182" i="5"/>
  <c r="S209" i="2" l="1"/>
  <c r="T209" i="2" s="1"/>
  <c r="U209" i="2" s="1"/>
  <c r="S203" i="1"/>
  <c r="T203" i="1" s="1"/>
  <c r="U203" i="1" s="1"/>
  <c r="AB203" i="1" s="1"/>
  <c r="AW30" i="1"/>
  <c r="AU30" i="1"/>
  <c r="S183" i="5"/>
  <c r="T183" i="5" s="1"/>
  <c r="U183" i="5" s="1"/>
  <c r="AC183" i="5" s="1"/>
  <c r="Z209" i="2"/>
  <c r="AD209" i="2"/>
  <c r="AC209" i="2"/>
  <c r="AA209" i="2"/>
  <c r="V209" i="2"/>
  <c r="Y209" i="2"/>
  <c r="AB209" i="2"/>
  <c r="S210" i="2" s="1"/>
  <c r="T210" i="2" s="1"/>
  <c r="U210" i="2" s="1"/>
  <c r="V203" i="1" l="1"/>
  <c r="Y203" i="1"/>
  <c r="AD203" i="1"/>
  <c r="AC203" i="1"/>
  <c r="AA203" i="1"/>
  <c r="Z203" i="1"/>
  <c r="S204" i="1"/>
  <c r="T204" i="1" s="1"/>
  <c r="U204" i="1" s="1"/>
  <c r="AF183" i="5"/>
  <c r="Y183" i="5"/>
  <c r="AH183" i="5"/>
  <c r="AJ184" i="5"/>
  <c r="BB31" i="5" s="1"/>
  <c r="AD183" i="5"/>
  <c r="AA183" i="5"/>
  <c r="V183" i="5"/>
  <c r="AI183" i="5"/>
  <c r="Z183" i="5"/>
  <c r="AB183" i="5"/>
  <c r="AG183" i="5"/>
  <c r="AE183" i="5"/>
  <c r="V210" i="2"/>
  <c r="AB210" i="2"/>
  <c r="AC210" i="2"/>
  <c r="AD210" i="2"/>
  <c r="Y210" i="2"/>
  <c r="Z210" i="2"/>
  <c r="AA210" i="2"/>
  <c r="Y204" i="1" l="1"/>
  <c r="AB204" i="1"/>
  <c r="Z204" i="1"/>
  <c r="V204" i="1"/>
  <c r="AC204" i="1"/>
  <c r="AA204" i="1"/>
  <c r="AD204" i="1"/>
  <c r="S184" i="5"/>
  <c r="T184" i="5" s="1"/>
  <c r="U184" i="5" s="1"/>
  <c r="Z184" i="5" s="1"/>
  <c r="S211" i="2"/>
  <c r="T211" i="2" s="1"/>
  <c r="U211" i="2" s="1"/>
  <c r="S205" i="1" l="1"/>
  <c r="T205" i="1" s="1"/>
  <c r="U205" i="1" s="1"/>
  <c r="V184" i="5"/>
  <c r="X184" i="5" s="1"/>
  <c r="AV31" i="5" s="1"/>
  <c r="AB184" i="5"/>
  <c r="AE184" i="5"/>
  <c r="AW31" i="5" s="1"/>
  <c r="AH184" i="5"/>
  <c r="AZ31" i="5" s="1"/>
  <c r="AF184" i="5"/>
  <c r="AX31" i="5" s="1"/>
  <c r="AJ185" i="5"/>
  <c r="Y184" i="5"/>
  <c r="AI184" i="5"/>
  <c r="BA31" i="5" s="1"/>
  <c r="AD184" i="5"/>
  <c r="AC184" i="5"/>
  <c r="AA184" i="5"/>
  <c r="AG184" i="5"/>
  <c r="AY31" i="5" s="1"/>
  <c r="AC211" i="2"/>
  <c r="AD211" i="2"/>
  <c r="Y211" i="2"/>
  <c r="Z211" i="2"/>
  <c r="AB211" i="2"/>
  <c r="S212" i="2" s="1"/>
  <c r="T212" i="2" s="1"/>
  <c r="U212" i="2" s="1"/>
  <c r="AA211" i="2"/>
  <c r="V211" i="2"/>
  <c r="Y205" i="1" l="1"/>
  <c r="AA205" i="1"/>
  <c r="AD205" i="1"/>
  <c r="V205" i="1"/>
  <c r="AC205" i="1"/>
  <c r="Z205" i="1"/>
  <c r="AB205" i="1"/>
  <c r="S185" i="5"/>
  <c r="T185" i="5" s="1"/>
  <c r="U185" i="5" s="1"/>
  <c r="AJ186" i="5" s="1"/>
  <c r="AC212" i="2"/>
  <c r="AD212" i="2"/>
  <c r="V212" i="2"/>
  <c r="AB212" i="2"/>
  <c r="S213" i="2" s="1"/>
  <c r="T213" i="2" s="1"/>
  <c r="U213" i="2" s="1"/>
  <c r="Z212" i="2"/>
  <c r="Y212" i="2"/>
  <c r="AA212" i="2"/>
  <c r="S206" i="1" l="1"/>
  <c r="T206" i="1" s="1"/>
  <c r="U206" i="1" s="1"/>
  <c r="Z206" i="1" s="1"/>
  <c r="AB185" i="5"/>
  <c r="AE185" i="5"/>
  <c r="AA185" i="5"/>
  <c r="AC185" i="5"/>
  <c r="AF185" i="5"/>
  <c r="AD185" i="5"/>
  <c r="Y185" i="5"/>
  <c r="Z185" i="5"/>
  <c r="AH185" i="5"/>
  <c r="AG185" i="5"/>
  <c r="AI185" i="5"/>
  <c r="V185" i="5"/>
  <c r="AC213" i="2"/>
  <c r="Z213" i="2"/>
  <c r="AD213" i="2"/>
  <c r="AA213" i="2"/>
  <c r="V213" i="2"/>
  <c r="AB213" i="2"/>
  <c r="S214" i="2" s="1"/>
  <c r="T214" i="2" s="1"/>
  <c r="U214" i="2" s="1"/>
  <c r="Y213" i="2"/>
  <c r="AA206" i="1" l="1"/>
  <c r="V206" i="1"/>
  <c r="Y206" i="1"/>
  <c r="AB206" i="1"/>
  <c r="AD206" i="1"/>
  <c r="AC206" i="1"/>
  <c r="S207" i="1"/>
  <c r="T207" i="1" s="1"/>
  <c r="U207" i="1" s="1"/>
  <c r="AB207" i="1" s="1"/>
  <c r="S186" i="5"/>
  <c r="T186" i="5" s="1"/>
  <c r="U186" i="5" s="1"/>
  <c r="AJ187" i="5" s="1"/>
  <c r="AC214" i="2"/>
  <c r="Y214" i="2"/>
  <c r="AA214" i="2"/>
  <c r="AD214" i="2"/>
  <c r="AB214" i="2"/>
  <c r="Z214" i="2"/>
  <c r="V214" i="2"/>
  <c r="S215" i="2" l="1"/>
  <c r="T215" i="2" s="1"/>
  <c r="U215" i="2" s="1"/>
  <c r="AA207" i="1"/>
  <c r="Z207" i="1"/>
  <c r="V207" i="1"/>
  <c r="AC207" i="1"/>
  <c r="Y207" i="1"/>
  <c r="AD207" i="1"/>
  <c r="S208" i="1"/>
  <c r="T208" i="1" s="1"/>
  <c r="U208" i="1" s="1"/>
  <c r="AG186" i="5"/>
  <c r="AA186" i="5"/>
  <c r="AC186" i="5"/>
  <c r="AI186" i="5"/>
  <c r="V186" i="5"/>
  <c r="Z186" i="5"/>
  <c r="Y186" i="5"/>
  <c r="AH186" i="5"/>
  <c r="AD186" i="5"/>
  <c r="AE186" i="5"/>
  <c r="AB186" i="5"/>
  <c r="AF186" i="5"/>
  <c r="AC215" i="2"/>
  <c r="AD215" i="2"/>
  <c r="V215" i="2"/>
  <c r="Z215" i="2"/>
  <c r="AA215" i="2"/>
  <c r="AB215" i="2"/>
  <c r="Y215" i="2"/>
  <c r="S216" i="2" l="1"/>
  <c r="T216" i="2" s="1"/>
  <c r="U216" i="2" s="1"/>
  <c r="Z208" i="1"/>
  <c r="V208" i="1"/>
  <c r="AC208" i="1"/>
  <c r="Y208" i="1"/>
  <c r="AA208" i="1"/>
  <c r="AB208" i="1"/>
  <c r="AD208" i="1"/>
  <c r="S187" i="5"/>
  <c r="T187" i="5" s="1"/>
  <c r="U187" i="5" s="1"/>
  <c r="V187" i="5" s="1"/>
  <c r="AD216" i="2"/>
  <c r="V216" i="2"/>
  <c r="AC216" i="2"/>
  <c r="AA216" i="2"/>
  <c r="Z216" i="2"/>
  <c r="Y216" i="2"/>
  <c r="AB216" i="2"/>
  <c r="S217" i="2" l="1"/>
  <c r="T217" i="2" s="1"/>
  <c r="U217" i="2" s="1"/>
  <c r="Y217" i="2" s="1"/>
  <c r="S209" i="1"/>
  <c r="T209" i="1" s="1"/>
  <c r="U209" i="1" s="1"/>
  <c r="AC209" i="1" s="1"/>
  <c r="AJ188" i="5"/>
  <c r="AB187" i="5"/>
  <c r="AH187" i="5"/>
  <c r="AF187" i="5"/>
  <c r="AG187" i="5"/>
  <c r="AE187" i="5"/>
  <c r="AA187" i="5"/>
  <c r="AI187" i="5"/>
  <c r="AD187" i="5"/>
  <c r="Y187" i="5"/>
  <c r="AC187" i="5"/>
  <c r="Z187" i="5"/>
  <c r="AC217" i="2"/>
  <c r="AA217" i="2"/>
  <c r="Z217" i="2"/>
  <c r="AB217" i="2"/>
  <c r="V217" i="2"/>
  <c r="AD217" i="2"/>
  <c r="AA209" i="1" l="1"/>
  <c r="V209" i="1"/>
  <c r="AB209" i="1"/>
  <c r="Z209" i="1"/>
  <c r="AD209" i="1"/>
  <c r="Y209" i="1"/>
  <c r="S188" i="5"/>
  <c r="T188" i="5" s="1"/>
  <c r="U188" i="5" s="1"/>
  <c r="AA188" i="5" s="1"/>
  <c r="S218" i="2"/>
  <c r="T218" i="2" s="1"/>
  <c r="U218" i="2" s="1"/>
  <c r="S210" i="1" l="1"/>
  <c r="T210" i="1" s="1"/>
  <c r="U210" i="1" s="1"/>
  <c r="Z210" i="1" s="1"/>
  <c r="AB188" i="5"/>
  <c r="AE188" i="5"/>
  <c r="AJ189" i="5"/>
  <c r="AC188" i="5"/>
  <c r="AD188" i="5"/>
  <c r="Y188" i="5"/>
  <c r="AF188" i="5"/>
  <c r="AH188" i="5"/>
  <c r="AG188" i="5"/>
  <c r="Z188" i="5"/>
  <c r="V188" i="5"/>
  <c r="AI188" i="5"/>
  <c r="V218" i="2"/>
  <c r="AC218" i="2"/>
  <c r="Y218" i="2"/>
  <c r="AD218" i="2"/>
  <c r="Z218" i="2"/>
  <c r="AA218" i="2"/>
  <c r="AB218" i="2"/>
  <c r="S219" i="2" s="1"/>
  <c r="T219" i="2" s="1"/>
  <c r="U219" i="2" s="1"/>
  <c r="Y210" i="1" l="1"/>
  <c r="AC210" i="1"/>
  <c r="V210" i="1"/>
  <c r="AB210" i="1"/>
  <c r="AA210" i="1"/>
  <c r="AD210" i="1"/>
  <c r="S189" i="5"/>
  <c r="T189" i="5" s="1"/>
  <c r="U189" i="5" s="1"/>
  <c r="AE189" i="5" s="1"/>
  <c r="AB219" i="2"/>
  <c r="Z219" i="2"/>
  <c r="Y219" i="2"/>
  <c r="AC219" i="2"/>
  <c r="V219" i="2"/>
  <c r="AA219" i="2"/>
  <c r="AD219" i="2"/>
  <c r="S211" i="1" l="1"/>
  <c r="T211" i="1" s="1"/>
  <c r="U211" i="1" s="1"/>
  <c r="AF189" i="5"/>
  <c r="V189" i="5"/>
  <c r="AA189" i="5"/>
  <c r="AC189" i="5"/>
  <c r="AG189" i="5"/>
  <c r="AI189" i="5"/>
  <c r="AB189" i="5"/>
  <c r="AH189" i="5"/>
  <c r="AD189" i="5"/>
  <c r="Z189" i="5"/>
  <c r="AJ190" i="5"/>
  <c r="Y189" i="5"/>
  <c r="S220" i="2"/>
  <c r="T220" i="2" s="1"/>
  <c r="U220" i="2" s="1"/>
  <c r="V211" i="1" l="1"/>
  <c r="AC211" i="1"/>
  <c r="AD211" i="1"/>
  <c r="AB211" i="1"/>
  <c r="S212" i="1" s="1"/>
  <c r="T212" i="1" s="1"/>
  <c r="U212" i="1" s="1"/>
  <c r="AB212" i="1" s="1"/>
  <c r="Z211" i="1"/>
  <c r="Y211" i="1"/>
  <c r="AA211" i="1"/>
  <c r="S190" i="5"/>
  <c r="T190" i="5" s="1"/>
  <c r="U190" i="5" s="1"/>
  <c r="AI190" i="5" s="1"/>
  <c r="Y220" i="2"/>
  <c r="AC220" i="2"/>
  <c r="AD220" i="2"/>
  <c r="AA220" i="2"/>
  <c r="V220" i="2"/>
  <c r="AB220" i="2"/>
  <c r="Z220" i="2"/>
  <c r="S221" i="2" l="1"/>
  <c r="T221" i="2" s="1"/>
  <c r="U221" i="2" s="1"/>
  <c r="AD212" i="1"/>
  <c r="Z212" i="1"/>
  <c r="Y212" i="1"/>
  <c r="V212" i="1"/>
  <c r="AA212" i="1"/>
  <c r="AC212" i="1"/>
  <c r="S213" i="1" s="1"/>
  <c r="T213" i="1" s="1"/>
  <c r="U213" i="1" s="1"/>
  <c r="AD213" i="1" s="1"/>
  <c r="AH190" i="5"/>
  <c r="AG190" i="5"/>
  <c r="AF190" i="5"/>
  <c r="AA190" i="5"/>
  <c r="Y190" i="5"/>
  <c r="Z190" i="5"/>
  <c r="AB190" i="5"/>
  <c r="AE190" i="5"/>
  <c r="AD190" i="5"/>
  <c r="V190" i="5"/>
  <c r="AJ191" i="5"/>
  <c r="AC190" i="5"/>
  <c r="AA221" i="2"/>
  <c r="V221" i="2"/>
  <c r="Y221" i="2"/>
  <c r="AD221" i="2"/>
  <c r="AB221" i="2"/>
  <c r="Z221" i="2"/>
  <c r="AC221" i="2"/>
  <c r="AA213" i="1" l="1"/>
  <c r="AC213" i="1"/>
  <c r="Y213" i="1"/>
  <c r="V213" i="1"/>
  <c r="Z213" i="1"/>
  <c r="AB213" i="1"/>
  <c r="S214" i="1" s="1"/>
  <c r="T214" i="1" s="1"/>
  <c r="U214" i="1" s="1"/>
  <c r="S191" i="5"/>
  <c r="T191" i="5" s="1"/>
  <c r="U191" i="5" s="1"/>
  <c r="AC191" i="5" s="1"/>
  <c r="S222" i="2"/>
  <c r="T222" i="2" s="1"/>
  <c r="U222" i="2" s="1"/>
  <c r="V214" i="1" l="1"/>
  <c r="AA214" i="1"/>
  <c r="AD214" i="1"/>
  <c r="AC214" i="1"/>
  <c r="AB214" i="1"/>
  <c r="S215" i="1" s="1"/>
  <c r="T215" i="1" s="1"/>
  <c r="U215" i="1" s="1"/>
  <c r="Z214" i="1"/>
  <c r="Y214" i="1"/>
  <c r="AD191" i="5"/>
  <c r="Z191" i="5"/>
  <c r="AF191" i="5"/>
  <c r="AH191" i="5"/>
  <c r="AA191" i="5"/>
  <c r="AG191" i="5"/>
  <c r="AJ192" i="5"/>
  <c r="AE191" i="5"/>
  <c r="Y191" i="5"/>
  <c r="AB191" i="5"/>
  <c r="V191" i="5"/>
  <c r="AI191" i="5"/>
  <c r="V222" i="2"/>
  <c r="X222" i="2" s="1"/>
  <c r="AN31" i="2" s="1"/>
  <c r="AC222" i="2"/>
  <c r="AP31" i="2" s="1"/>
  <c r="AA222" i="2"/>
  <c r="Z222" i="2"/>
  <c r="AD222" i="2"/>
  <c r="AQ31" i="2" s="1"/>
  <c r="Y222" i="2"/>
  <c r="AB222" i="2"/>
  <c r="AO31" i="2" s="1"/>
  <c r="AD215" i="1" l="1"/>
  <c r="AB215" i="1"/>
  <c r="AA215" i="1"/>
  <c r="V215" i="1"/>
  <c r="AC215" i="1"/>
  <c r="Y215" i="1"/>
  <c r="Z215" i="1"/>
  <c r="S192" i="5"/>
  <c r="T192" i="5" s="1"/>
  <c r="U192" i="5" s="1"/>
  <c r="Z192" i="5" s="1"/>
  <c r="AW31" i="2"/>
  <c r="AU31" i="2"/>
  <c r="S216" i="1" l="1"/>
  <c r="T216" i="1" s="1"/>
  <c r="U216" i="1" s="1"/>
  <c r="AA192" i="5"/>
  <c r="AB192" i="5"/>
  <c r="AI192" i="5"/>
  <c r="AJ193" i="5"/>
  <c r="AD192" i="5"/>
  <c r="AC192" i="5"/>
  <c r="Y192" i="5"/>
  <c r="AF192" i="5"/>
  <c r="V192" i="5"/>
  <c r="AH192" i="5"/>
  <c r="AG192" i="5"/>
  <c r="AE192" i="5"/>
  <c r="S193" i="5" s="1"/>
  <c r="T193" i="5" s="1"/>
  <c r="U193" i="5" s="1"/>
  <c r="AI193" i="5" s="1"/>
  <c r="AC216" i="1" l="1"/>
  <c r="Y216" i="1"/>
  <c r="AD216" i="1"/>
  <c r="AA216" i="1"/>
  <c r="Z216" i="1"/>
  <c r="V216" i="1"/>
  <c r="AB216" i="1"/>
  <c r="Z193" i="5"/>
  <c r="AJ194" i="5"/>
  <c r="AF193" i="5"/>
  <c r="Y193" i="5"/>
  <c r="V193" i="5"/>
  <c r="AH193" i="5"/>
  <c r="AD193" i="5"/>
  <c r="AE193" i="5"/>
  <c r="AA193" i="5"/>
  <c r="AB193" i="5"/>
  <c r="AC193" i="5"/>
  <c r="AG193" i="5"/>
  <c r="S217" i="1" l="1"/>
  <c r="T217" i="1" s="1"/>
  <c r="U217" i="1" s="1"/>
  <c r="AA217" i="1" s="1"/>
  <c r="S194" i="5"/>
  <c r="T194" i="5" s="1"/>
  <c r="U194" i="5" s="1"/>
  <c r="AF194" i="5" s="1"/>
  <c r="Z217" i="1" l="1"/>
  <c r="AB217" i="1"/>
  <c r="AC217" i="1"/>
  <c r="V217" i="1"/>
  <c r="AD217" i="1"/>
  <c r="S218" i="1" s="1"/>
  <c r="T218" i="1" s="1"/>
  <c r="U218" i="1" s="1"/>
  <c r="Y217" i="1"/>
  <c r="AC194" i="5"/>
  <c r="V194" i="5"/>
  <c r="AJ195" i="5"/>
  <c r="AE194" i="5"/>
  <c r="AH194" i="5"/>
  <c r="AA194" i="5"/>
  <c r="Z194" i="5"/>
  <c r="AD194" i="5"/>
  <c r="Y194" i="5"/>
  <c r="AB194" i="5"/>
  <c r="AG194" i="5"/>
  <c r="AI194" i="5"/>
  <c r="V218" i="1" l="1"/>
  <c r="AB218" i="1"/>
  <c r="AD218" i="1"/>
  <c r="AA218" i="1"/>
  <c r="AC218" i="1"/>
  <c r="Y218" i="1"/>
  <c r="Z218" i="1"/>
  <c r="S195" i="5"/>
  <c r="T195" i="5" s="1"/>
  <c r="U195" i="5" s="1"/>
  <c r="S219" i="1" l="1"/>
  <c r="T219" i="1" s="1"/>
  <c r="U219" i="1" s="1"/>
  <c r="AA219" i="1" s="1"/>
  <c r="AB195" i="5"/>
  <c r="AE195" i="5"/>
  <c r="AG195" i="5"/>
  <c r="AJ196" i="5"/>
  <c r="AF195" i="5"/>
  <c r="V195" i="5"/>
  <c r="Y195" i="5"/>
  <c r="AA195" i="5"/>
  <c r="AC195" i="5"/>
  <c r="AD195" i="5"/>
  <c r="AH195" i="5"/>
  <c r="Z195" i="5"/>
  <c r="AI195" i="5"/>
  <c r="V219" i="1" l="1"/>
  <c r="Z219" i="1"/>
  <c r="Y219" i="1"/>
  <c r="AB219" i="1"/>
  <c r="AC219" i="1"/>
  <c r="AD219" i="1"/>
  <c r="S220" i="1"/>
  <c r="T220" i="1" s="1"/>
  <c r="U220" i="1" s="1"/>
  <c r="Z220" i="1" s="1"/>
  <c r="S196" i="5"/>
  <c r="T196" i="5" s="1"/>
  <c r="U196" i="5" s="1"/>
  <c r="AB220" i="1" l="1"/>
  <c r="Y220" i="1"/>
  <c r="AC220" i="1"/>
  <c r="AA220" i="1"/>
  <c r="AD220" i="1"/>
  <c r="V220" i="1"/>
  <c r="AJ197" i="5"/>
  <c r="AH196" i="5"/>
  <c r="AB196" i="5"/>
  <c r="AF196" i="5"/>
  <c r="AE196" i="5"/>
  <c r="AC196" i="5"/>
  <c r="V196" i="5"/>
  <c r="AI196" i="5"/>
  <c r="AA196" i="5"/>
  <c r="AD196" i="5"/>
  <c r="Y196" i="5"/>
  <c r="AG196" i="5"/>
  <c r="Z196" i="5"/>
  <c r="S221" i="1" l="1"/>
  <c r="T221" i="1" s="1"/>
  <c r="U221" i="1" s="1"/>
  <c r="Z221" i="1" s="1"/>
  <c r="S197" i="5"/>
  <c r="T197" i="5" s="1"/>
  <c r="U197" i="5" s="1"/>
  <c r="Y221" i="1" l="1"/>
  <c r="AB221" i="1"/>
  <c r="AA221" i="1"/>
  <c r="V221" i="1"/>
  <c r="AD221" i="1"/>
  <c r="AC221" i="1"/>
  <c r="S222" i="1" s="1"/>
  <c r="T222" i="1" s="1"/>
  <c r="U222" i="1" s="1"/>
  <c r="Z222" i="1" s="1"/>
  <c r="AI197" i="5"/>
  <c r="AG197" i="5"/>
  <c r="AA197" i="5"/>
  <c r="AJ198" i="5"/>
  <c r="AC197" i="5"/>
  <c r="Z197" i="5"/>
  <c r="AD197" i="5"/>
  <c r="AE197" i="5"/>
  <c r="AF197" i="5"/>
  <c r="AB197" i="5"/>
  <c r="Y197" i="5"/>
  <c r="V197" i="5"/>
  <c r="AH197" i="5"/>
  <c r="V222" i="1" l="1"/>
  <c r="X222" i="1" s="1"/>
  <c r="AN31" i="1" s="1"/>
  <c r="Y222" i="1"/>
  <c r="AA222" i="1"/>
  <c r="AD222" i="1"/>
  <c r="AQ31" i="1" s="1"/>
  <c r="AB222" i="1"/>
  <c r="AO31" i="1" s="1"/>
  <c r="AC222" i="1"/>
  <c r="AP31" i="1" s="1"/>
  <c r="S198" i="5"/>
  <c r="T198" i="5" s="1"/>
  <c r="U198" i="5" s="1"/>
  <c r="AE87" i="1" l="1"/>
  <c r="AF87" i="1" s="1"/>
  <c r="AE197" i="1"/>
  <c r="AF197" i="1" s="1"/>
  <c r="AE84" i="1"/>
  <c r="AF84" i="1" s="1"/>
  <c r="AE184" i="1"/>
  <c r="AF184" i="1" s="1"/>
  <c r="AE67" i="1"/>
  <c r="AF67" i="1" s="1"/>
  <c r="AE159" i="1"/>
  <c r="AF159" i="1" s="1"/>
  <c r="BK44" i="1"/>
  <c r="BL44" i="1" s="1"/>
  <c r="BM44" i="1" s="1"/>
  <c r="BN44" i="1" s="1"/>
  <c r="AE53" i="1"/>
  <c r="AF53" i="1" s="1"/>
  <c r="AE31" i="1"/>
  <c r="AF31" i="1" s="1"/>
  <c r="AE57" i="1"/>
  <c r="AF57" i="1" s="1"/>
  <c r="AE137" i="1"/>
  <c r="AF137" i="1" s="1"/>
  <c r="BK76" i="1"/>
  <c r="BL76" i="1" s="1"/>
  <c r="BM76" i="1" s="1"/>
  <c r="BN76" i="1" s="1"/>
  <c r="AE180" i="1"/>
  <c r="AF180" i="1" s="1"/>
  <c r="BK43" i="1"/>
  <c r="BL43" i="1" s="1"/>
  <c r="BM43" i="1" s="1"/>
  <c r="BN43" i="1" s="1"/>
  <c r="AE102" i="1"/>
  <c r="AF102" i="1" s="1"/>
  <c r="AE26" i="1"/>
  <c r="AF26" i="1" s="1"/>
  <c r="AE219" i="1"/>
  <c r="AF219" i="1" s="1"/>
  <c r="BK75" i="1"/>
  <c r="BL75" i="1" s="1"/>
  <c r="BM75" i="1" s="1"/>
  <c r="BN75" i="1" s="1"/>
  <c r="AE42" i="1"/>
  <c r="AF42" i="1" s="1"/>
  <c r="BK77" i="1"/>
  <c r="BL77" i="1" s="1"/>
  <c r="BM77" i="1" s="1"/>
  <c r="BN77" i="1" s="1"/>
  <c r="AE52" i="1"/>
  <c r="AF52" i="1" s="1"/>
  <c r="BK63" i="1"/>
  <c r="BL63" i="1" s="1"/>
  <c r="BM63" i="1" s="1"/>
  <c r="BN63" i="1" s="1"/>
  <c r="BK64" i="1"/>
  <c r="BL64" i="1" s="1"/>
  <c r="BM64" i="1" s="1"/>
  <c r="BN64" i="1" s="1"/>
  <c r="BK71" i="1"/>
  <c r="BL71" i="1" s="1"/>
  <c r="BM71" i="1" s="1"/>
  <c r="BN71" i="1" s="1"/>
  <c r="AE35" i="1"/>
  <c r="AF35" i="1" s="1"/>
  <c r="AE113" i="1"/>
  <c r="AF113" i="1" s="1"/>
  <c r="AE105" i="1"/>
  <c r="AF105" i="1" s="1"/>
  <c r="AE56" i="1"/>
  <c r="AF56" i="1" s="1"/>
  <c r="BK81" i="1"/>
  <c r="BL81" i="1" s="1"/>
  <c r="BM81" i="1" s="1"/>
  <c r="BN81" i="1" s="1"/>
  <c r="AE73" i="1"/>
  <c r="AF73" i="1" s="1"/>
  <c r="AE177" i="1"/>
  <c r="AF177" i="1" s="1"/>
  <c r="BK51" i="1"/>
  <c r="BL51" i="1" s="1"/>
  <c r="BM51" i="1" s="1"/>
  <c r="BN51" i="1" s="1"/>
  <c r="BK59" i="1"/>
  <c r="BL59" i="1" s="1"/>
  <c r="BM59" i="1" s="1"/>
  <c r="BN59" i="1" s="1"/>
  <c r="BK28" i="1"/>
  <c r="BL28" i="1" s="1"/>
  <c r="BM28" i="1" s="1"/>
  <c r="BN28" i="1" s="1"/>
  <c r="AE130" i="1"/>
  <c r="AF130" i="1" s="1"/>
  <c r="AE202" i="1"/>
  <c r="AF202" i="1" s="1"/>
  <c r="AE50" i="1"/>
  <c r="AF50" i="1" s="1"/>
  <c r="AE38" i="1"/>
  <c r="AF38" i="1" s="1"/>
  <c r="AE142" i="1"/>
  <c r="AF142" i="1" s="1"/>
  <c r="AE143" i="1"/>
  <c r="AF143" i="1" s="1"/>
  <c r="AE165" i="1"/>
  <c r="AF165" i="1" s="1"/>
  <c r="AE139" i="1"/>
  <c r="AF139" i="1" s="1"/>
  <c r="BK78" i="1"/>
  <c r="BL78" i="1" s="1"/>
  <c r="BM78" i="1" s="1"/>
  <c r="BN78" i="1" s="1"/>
  <c r="AE131" i="1"/>
  <c r="AF131" i="1" s="1"/>
  <c r="AE183" i="1"/>
  <c r="AF183" i="1" s="1"/>
  <c r="AE148" i="1"/>
  <c r="AF148" i="1" s="1"/>
  <c r="AE80" i="1"/>
  <c r="AF80" i="1" s="1"/>
  <c r="BK40" i="1"/>
  <c r="BL40" i="1" s="1"/>
  <c r="BM40" i="1" s="1"/>
  <c r="BN40" i="1" s="1"/>
  <c r="AE135" i="1"/>
  <c r="AF135" i="1" s="1"/>
  <c r="BK79" i="1"/>
  <c r="BL79" i="1" s="1"/>
  <c r="BM79" i="1" s="1"/>
  <c r="BN79" i="1" s="1"/>
  <c r="BK26" i="1"/>
  <c r="BL26" i="1" s="1"/>
  <c r="BM26" i="1" s="1"/>
  <c r="BN26" i="1" s="1"/>
  <c r="AE158" i="1"/>
  <c r="AF158" i="1" s="1"/>
  <c r="AE132" i="1"/>
  <c r="AF132" i="1" s="1"/>
  <c r="AE174" i="1"/>
  <c r="AF174" i="1" s="1"/>
  <c r="AE149" i="1"/>
  <c r="AF149" i="1" s="1"/>
  <c r="AE99" i="1"/>
  <c r="AF99" i="1" s="1"/>
  <c r="AE186" i="1"/>
  <c r="AF186" i="1" s="1"/>
  <c r="AE157" i="1"/>
  <c r="AF157" i="1" s="1"/>
  <c r="AE221" i="1"/>
  <c r="AF221" i="1" s="1"/>
  <c r="BK46" i="1"/>
  <c r="BL46" i="1" s="1"/>
  <c r="BM46" i="1" s="1"/>
  <c r="BN46" i="1" s="1"/>
  <c r="AE71" i="1"/>
  <c r="AF71" i="1" s="1"/>
  <c r="AW31" i="1"/>
  <c r="AE196" i="1"/>
  <c r="AF196" i="1" s="1"/>
  <c r="BK60" i="1"/>
  <c r="BL60" i="1" s="1"/>
  <c r="BM60" i="1" s="1"/>
  <c r="BN60" i="1" s="1"/>
  <c r="BK50" i="1"/>
  <c r="BL50" i="1" s="1"/>
  <c r="BM50" i="1" s="1"/>
  <c r="BN50" i="1" s="1"/>
  <c r="BK65" i="1"/>
  <c r="BL65" i="1" s="1"/>
  <c r="BM65" i="1" s="1"/>
  <c r="BN65" i="1" s="1"/>
  <c r="AE47" i="1"/>
  <c r="AF47" i="1" s="1"/>
  <c r="AE37" i="1"/>
  <c r="AF37" i="1" s="1"/>
  <c r="AE74" i="1"/>
  <c r="AF74" i="1" s="1"/>
  <c r="BK69" i="1"/>
  <c r="BL69" i="1" s="1"/>
  <c r="BM69" i="1" s="1"/>
  <c r="BN69" i="1" s="1"/>
  <c r="AE185" i="1"/>
  <c r="AF185" i="1" s="1"/>
  <c r="AE82" i="1"/>
  <c r="AF82" i="1" s="1"/>
  <c r="AE209" i="1"/>
  <c r="AF209" i="1" s="1"/>
  <c r="AE118" i="1"/>
  <c r="AF118" i="1" s="1"/>
  <c r="AE164" i="1"/>
  <c r="AF164" i="1" s="1"/>
  <c r="AE93" i="1"/>
  <c r="AF93" i="1" s="1"/>
  <c r="AE58" i="1"/>
  <c r="AF58" i="1" s="1"/>
  <c r="AE189" i="1"/>
  <c r="AF189" i="1" s="1"/>
  <c r="AE133" i="1"/>
  <c r="AF133" i="1" s="1"/>
  <c r="BK35" i="1"/>
  <c r="BL35" i="1" s="1"/>
  <c r="BM35" i="1" s="1"/>
  <c r="BN35" i="1" s="1"/>
  <c r="AE83" i="1"/>
  <c r="AF83" i="1" s="1"/>
  <c r="AE120" i="1"/>
  <c r="AF120" i="1" s="1"/>
  <c r="AE168" i="1"/>
  <c r="AF168" i="1" s="1"/>
  <c r="AE110" i="1"/>
  <c r="AF110" i="1" s="1"/>
  <c r="BK32" i="1"/>
  <c r="BL32" i="1" s="1"/>
  <c r="BM32" i="1" s="1"/>
  <c r="BN32" i="1" s="1"/>
  <c r="AE213" i="1"/>
  <c r="AF213" i="1" s="1"/>
  <c r="AE199" i="1"/>
  <c r="AF199" i="1" s="1"/>
  <c r="AE161" i="1"/>
  <c r="AF161" i="1" s="1"/>
  <c r="BK42" i="1"/>
  <c r="BL42" i="1" s="1"/>
  <c r="BM42" i="1" s="1"/>
  <c r="BN42" i="1" s="1"/>
  <c r="AE145" i="1"/>
  <c r="AF145" i="1" s="1"/>
  <c r="AE94" i="1"/>
  <c r="AF94" i="1" s="1"/>
  <c r="AE108" i="1"/>
  <c r="AF108" i="1" s="1"/>
  <c r="AE63" i="1"/>
  <c r="AF63" i="1" s="1"/>
  <c r="AE134" i="1"/>
  <c r="AF134" i="1" s="1"/>
  <c r="AE222" i="1"/>
  <c r="AF222" i="1" s="1"/>
  <c r="AE48" i="1"/>
  <c r="AF48" i="1" s="1"/>
  <c r="AE41" i="1"/>
  <c r="AF41" i="1" s="1"/>
  <c r="AE68" i="1"/>
  <c r="AF68" i="1" s="1"/>
  <c r="AE144" i="1"/>
  <c r="AF144" i="1" s="1"/>
  <c r="AE30" i="1"/>
  <c r="AF30" i="1" s="1"/>
  <c r="AE207" i="1"/>
  <c r="AF207" i="1" s="1"/>
  <c r="AE191" i="1"/>
  <c r="AF191" i="1" s="1"/>
  <c r="AE173" i="1"/>
  <c r="AF173" i="1" s="1"/>
  <c r="AE109" i="1"/>
  <c r="AF109" i="1" s="1"/>
  <c r="AE24" i="1"/>
  <c r="AF24" i="1" s="1"/>
  <c r="AE62" i="1"/>
  <c r="AF62" i="1" s="1"/>
  <c r="AE188" i="1"/>
  <c r="AF188" i="1" s="1"/>
  <c r="AE28" i="1"/>
  <c r="AF28" i="1" s="1"/>
  <c r="BK62" i="1"/>
  <c r="BL62" i="1" s="1"/>
  <c r="BM62" i="1" s="1"/>
  <c r="BN62" i="1" s="1"/>
  <c r="BK53" i="1"/>
  <c r="BL53" i="1" s="1"/>
  <c r="BM53" i="1" s="1"/>
  <c r="BN53" i="1" s="1"/>
  <c r="AE141" i="1"/>
  <c r="AF141" i="1" s="1"/>
  <c r="AE122" i="1"/>
  <c r="AF122" i="1" s="1"/>
  <c r="BK34" i="1"/>
  <c r="BL34" i="1" s="1"/>
  <c r="BM34" i="1" s="1"/>
  <c r="BN34" i="1" s="1"/>
  <c r="AE214" i="1"/>
  <c r="AF214" i="1" s="1"/>
  <c r="AE140" i="1"/>
  <c r="AF140" i="1" s="1"/>
  <c r="AE129" i="1"/>
  <c r="AF129" i="1" s="1"/>
  <c r="AE154" i="1"/>
  <c r="AF154" i="1" s="1"/>
  <c r="AE217" i="1"/>
  <c r="AF217" i="1" s="1"/>
  <c r="BK58" i="1"/>
  <c r="BL58" i="1" s="1"/>
  <c r="BM58" i="1" s="1"/>
  <c r="BN58" i="1" s="1"/>
  <c r="AE66" i="1"/>
  <c r="AF66" i="1" s="1"/>
  <c r="AE204" i="1"/>
  <c r="AF204" i="1" s="1"/>
  <c r="AE211" i="1"/>
  <c r="AF211" i="1" s="1"/>
  <c r="BK31" i="1"/>
  <c r="BL31" i="1" s="1"/>
  <c r="BM31" i="1" s="1"/>
  <c r="BN31" i="1" s="1"/>
  <c r="AE106" i="1"/>
  <c r="AF106" i="1" s="1"/>
  <c r="BK57" i="1"/>
  <c r="BL57" i="1" s="1"/>
  <c r="BM57" i="1" s="1"/>
  <c r="BN57" i="1" s="1"/>
  <c r="AE192" i="1"/>
  <c r="AF192" i="1" s="1"/>
  <c r="AE123" i="1"/>
  <c r="AF123" i="1" s="1"/>
  <c r="AE86" i="1"/>
  <c r="AF86" i="1" s="1"/>
  <c r="AE89" i="1"/>
  <c r="AF89" i="1" s="1"/>
  <c r="BK49" i="1"/>
  <c r="BL49" i="1" s="1"/>
  <c r="BM49" i="1" s="1"/>
  <c r="BN49" i="1" s="1"/>
  <c r="AE51" i="1"/>
  <c r="AF51" i="1" s="1"/>
  <c r="BK41" i="1"/>
  <c r="BL41" i="1" s="1"/>
  <c r="BM41" i="1" s="1"/>
  <c r="BN41" i="1" s="1"/>
  <c r="BK24" i="1"/>
  <c r="BL24" i="1" s="1"/>
  <c r="BM24" i="1" s="1"/>
  <c r="BN24" i="1" s="1"/>
  <c r="AE29" i="1"/>
  <c r="AF29" i="1" s="1"/>
  <c r="AE81" i="1"/>
  <c r="AF81" i="1" s="1"/>
  <c r="AE169" i="1"/>
  <c r="AF169" i="1" s="1"/>
  <c r="AE23" i="1"/>
  <c r="AF23" i="1" s="1"/>
  <c r="AE49" i="1"/>
  <c r="AF49" i="1" s="1"/>
  <c r="AE150" i="1"/>
  <c r="AF150" i="1" s="1"/>
  <c r="AE75" i="1"/>
  <c r="AF75" i="1" s="1"/>
  <c r="BK54" i="1"/>
  <c r="BL54" i="1" s="1"/>
  <c r="BM54" i="1" s="1"/>
  <c r="BN54" i="1" s="1"/>
  <c r="AE147" i="1"/>
  <c r="AF147" i="1" s="1"/>
  <c r="AE208" i="1"/>
  <c r="AF208" i="1" s="1"/>
  <c r="AE32" i="1"/>
  <c r="AF32" i="1" s="1"/>
  <c r="BK45" i="1"/>
  <c r="BL45" i="1" s="1"/>
  <c r="BM45" i="1" s="1"/>
  <c r="BN45" i="1" s="1"/>
  <c r="AE33" i="1"/>
  <c r="AF33" i="1" s="1"/>
  <c r="AE115" i="1"/>
  <c r="AF115" i="1" s="1"/>
  <c r="BK29" i="1"/>
  <c r="BL29" i="1" s="1"/>
  <c r="BM29" i="1" s="1"/>
  <c r="BN29" i="1" s="1"/>
  <c r="AU31" i="1"/>
  <c r="BK39" i="1"/>
  <c r="BL39" i="1" s="1"/>
  <c r="BM39" i="1" s="1"/>
  <c r="BN39" i="1" s="1"/>
  <c r="AE98" i="1"/>
  <c r="AF98" i="1" s="1"/>
  <c r="AE153" i="1"/>
  <c r="AF153" i="1" s="1"/>
  <c r="AE101" i="1"/>
  <c r="AF101" i="1" s="1"/>
  <c r="AE172" i="1"/>
  <c r="AF172" i="1" s="1"/>
  <c r="AE128" i="1"/>
  <c r="AF128" i="1" s="1"/>
  <c r="AE176" i="1"/>
  <c r="AF176" i="1" s="1"/>
  <c r="AE40" i="1"/>
  <c r="AF40" i="1" s="1"/>
  <c r="AE187" i="1"/>
  <c r="AF187" i="1" s="1"/>
  <c r="AE90" i="1"/>
  <c r="AF90" i="1" s="1"/>
  <c r="AE39" i="1"/>
  <c r="AF39" i="1" s="1"/>
  <c r="AE190" i="1"/>
  <c r="AF190" i="1" s="1"/>
  <c r="AE91" i="1"/>
  <c r="AF91" i="1" s="1"/>
  <c r="AE171" i="1"/>
  <c r="AF171" i="1" s="1"/>
  <c r="AE178" i="1"/>
  <c r="AF178" i="1" s="1"/>
  <c r="AE167" i="1"/>
  <c r="AF167" i="1" s="1"/>
  <c r="AE96" i="1"/>
  <c r="AF96" i="1" s="1"/>
  <c r="BK38" i="1"/>
  <c r="BL38" i="1" s="1"/>
  <c r="BM38" i="1" s="1"/>
  <c r="BN38" i="1" s="1"/>
  <c r="AE76" i="1"/>
  <c r="AF76" i="1" s="1"/>
  <c r="BK70" i="1"/>
  <c r="BL70" i="1" s="1"/>
  <c r="BM70" i="1" s="1"/>
  <c r="BN70" i="1" s="1"/>
  <c r="AE146" i="1"/>
  <c r="AF146" i="1" s="1"/>
  <c r="AE77" i="1"/>
  <c r="AF77" i="1" s="1"/>
  <c r="AE78" i="1"/>
  <c r="AF78" i="1" s="1"/>
  <c r="AE218" i="1"/>
  <c r="AF218" i="1" s="1"/>
  <c r="AE212" i="1"/>
  <c r="AF212" i="1" s="1"/>
  <c r="AE54" i="1"/>
  <c r="AF54" i="1" s="1"/>
  <c r="BK37" i="1"/>
  <c r="BL37" i="1" s="1"/>
  <c r="BM37" i="1" s="1"/>
  <c r="BN37" i="1" s="1"/>
  <c r="AE116" i="1"/>
  <c r="AF116" i="1" s="1"/>
  <c r="BK67" i="1"/>
  <c r="BL67" i="1" s="1"/>
  <c r="BM67" i="1" s="1"/>
  <c r="BN67" i="1" s="1"/>
  <c r="BK80" i="1"/>
  <c r="BL80" i="1" s="1"/>
  <c r="BM80" i="1" s="1"/>
  <c r="BN80" i="1" s="1"/>
  <c r="AE103" i="1"/>
  <c r="AF103" i="1" s="1"/>
  <c r="AE220" i="1"/>
  <c r="AF220" i="1" s="1"/>
  <c r="AE194" i="1"/>
  <c r="AF194" i="1" s="1"/>
  <c r="AE151" i="1"/>
  <c r="AF151" i="1" s="1"/>
  <c r="AE195" i="1"/>
  <c r="AF195" i="1" s="1"/>
  <c r="AE72" i="1"/>
  <c r="AF72" i="1" s="1"/>
  <c r="BK36" i="1"/>
  <c r="BL36" i="1" s="1"/>
  <c r="BM36" i="1" s="1"/>
  <c r="BN36" i="1" s="1"/>
  <c r="AE124" i="1"/>
  <c r="AF124" i="1" s="1"/>
  <c r="AE215" i="1"/>
  <c r="AF215" i="1" s="1"/>
  <c r="AE55" i="1"/>
  <c r="AF55" i="1" s="1"/>
  <c r="AE114" i="1"/>
  <c r="AF114" i="1" s="1"/>
  <c r="AE79" i="1"/>
  <c r="AF79" i="1" s="1"/>
  <c r="AE170" i="1"/>
  <c r="AF170" i="1" s="1"/>
  <c r="AE152" i="1"/>
  <c r="AF152" i="1" s="1"/>
  <c r="AE112" i="1"/>
  <c r="AF112" i="1" s="1"/>
  <c r="AE182" i="1"/>
  <c r="AF182" i="1" s="1"/>
  <c r="AE201" i="1"/>
  <c r="AF201" i="1" s="1"/>
  <c r="AE65" i="1"/>
  <c r="AF65" i="1" s="1"/>
  <c r="AE121" i="1"/>
  <c r="AF121" i="1" s="1"/>
  <c r="AE136" i="1"/>
  <c r="AF136" i="1" s="1"/>
  <c r="AE111" i="1"/>
  <c r="AF111" i="1" s="1"/>
  <c r="AE162" i="1"/>
  <c r="AF162" i="1" s="1"/>
  <c r="AE125" i="1"/>
  <c r="AF125" i="1" s="1"/>
  <c r="BK55" i="1"/>
  <c r="BL55" i="1" s="1"/>
  <c r="BM55" i="1" s="1"/>
  <c r="BN55" i="1" s="1"/>
  <c r="BK68" i="1"/>
  <c r="BL68" i="1" s="1"/>
  <c r="BM68" i="1" s="1"/>
  <c r="BN68" i="1" s="1"/>
  <c r="AE59" i="1"/>
  <c r="AF59" i="1" s="1"/>
  <c r="BK27" i="1"/>
  <c r="BL27" i="1" s="1"/>
  <c r="BM27" i="1" s="1"/>
  <c r="BN27" i="1" s="1"/>
  <c r="AE100" i="1"/>
  <c r="AF100" i="1" s="1"/>
  <c r="AE107" i="1"/>
  <c r="AF107" i="1" s="1"/>
  <c r="AE104" i="1"/>
  <c r="AF104" i="1" s="1"/>
  <c r="AE155" i="1"/>
  <c r="AF155" i="1" s="1"/>
  <c r="BK66" i="1"/>
  <c r="BL66" i="1" s="1"/>
  <c r="BM66" i="1" s="1"/>
  <c r="BN66" i="1" s="1"/>
  <c r="AE163" i="1"/>
  <c r="AF163" i="1" s="1"/>
  <c r="AE181" i="1"/>
  <c r="AF181" i="1" s="1"/>
  <c r="AE126" i="1"/>
  <c r="AF126" i="1" s="1"/>
  <c r="AE198" i="1"/>
  <c r="AF198" i="1" s="1"/>
  <c r="AE44" i="1"/>
  <c r="AF44" i="1" s="1"/>
  <c r="AE85" i="1"/>
  <c r="AF85" i="1" s="1"/>
  <c r="AE88" i="1"/>
  <c r="AF88" i="1" s="1"/>
  <c r="AE205" i="1"/>
  <c r="AF205" i="1" s="1"/>
  <c r="AE61" i="1"/>
  <c r="AF61" i="1" s="1"/>
  <c r="AE203" i="1"/>
  <c r="AF203" i="1" s="1"/>
  <c r="BK73" i="1"/>
  <c r="BL73" i="1" s="1"/>
  <c r="BM73" i="1" s="1"/>
  <c r="BN73" i="1" s="1"/>
  <c r="AE25" i="1"/>
  <c r="AF25" i="1" s="1"/>
  <c r="AE97" i="1"/>
  <c r="AF97" i="1" s="1"/>
  <c r="AE34" i="1"/>
  <c r="AF34" i="1" s="1"/>
  <c r="AE27" i="1"/>
  <c r="AF27" i="1" s="1"/>
  <c r="BK48" i="1"/>
  <c r="BL48" i="1" s="1"/>
  <c r="BM48" i="1" s="1"/>
  <c r="BN48" i="1" s="1"/>
  <c r="BK61" i="1"/>
  <c r="BL61" i="1" s="1"/>
  <c r="BM61" i="1" s="1"/>
  <c r="BN61" i="1" s="1"/>
  <c r="AE117" i="1"/>
  <c r="AF117" i="1" s="1"/>
  <c r="AE179" i="1"/>
  <c r="AF179" i="1" s="1"/>
  <c r="BK22" i="1"/>
  <c r="BL22" i="1" s="1"/>
  <c r="BM22" i="1" s="1"/>
  <c r="BN22" i="1" s="1"/>
  <c r="BK33" i="1"/>
  <c r="BL33" i="1" s="1"/>
  <c r="BM33" i="1" s="1"/>
  <c r="BN33" i="1" s="1"/>
  <c r="BK23" i="1"/>
  <c r="BL23" i="1" s="1"/>
  <c r="BM23" i="1" s="1"/>
  <c r="BN23" i="1" s="1"/>
  <c r="BK30" i="1"/>
  <c r="BL30" i="1" s="1"/>
  <c r="BM30" i="1" s="1"/>
  <c r="BN30" i="1" s="1"/>
  <c r="AE69" i="1"/>
  <c r="AF69" i="1" s="1"/>
  <c r="BK72" i="1"/>
  <c r="BL72" i="1" s="1"/>
  <c r="BM72" i="1" s="1"/>
  <c r="BN72" i="1" s="1"/>
  <c r="AE156" i="1"/>
  <c r="AF156" i="1" s="1"/>
  <c r="AE193" i="1"/>
  <c r="AF193" i="1" s="1"/>
  <c r="AE95" i="1"/>
  <c r="AF95" i="1" s="1"/>
  <c r="AE166" i="1"/>
  <c r="AF166" i="1" s="1"/>
  <c r="AE160" i="1"/>
  <c r="AF160" i="1" s="1"/>
  <c r="AE210" i="1"/>
  <c r="AF210" i="1" s="1"/>
  <c r="AE127" i="1"/>
  <c r="AF127" i="1" s="1"/>
  <c r="BK52" i="1"/>
  <c r="BL52" i="1" s="1"/>
  <c r="BM52" i="1" s="1"/>
  <c r="BN52" i="1" s="1"/>
  <c r="AE45" i="1"/>
  <c r="AF45" i="1" s="1"/>
  <c r="AE64" i="1"/>
  <c r="AF64" i="1" s="1"/>
  <c r="AE138" i="1"/>
  <c r="AF138" i="1" s="1"/>
  <c r="BK74" i="1"/>
  <c r="BL74" i="1" s="1"/>
  <c r="BM74" i="1" s="1"/>
  <c r="BN74" i="1" s="1"/>
  <c r="AE206" i="1"/>
  <c r="AF206" i="1" s="1"/>
  <c r="AE216" i="1"/>
  <c r="AF216" i="1" s="1"/>
  <c r="AE70" i="1"/>
  <c r="AF70" i="1" s="1"/>
  <c r="AE46" i="1"/>
  <c r="AF46" i="1" s="1"/>
  <c r="BK47" i="1"/>
  <c r="BL47" i="1" s="1"/>
  <c r="BM47" i="1" s="1"/>
  <c r="BN47" i="1" s="1"/>
  <c r="AE119" i="1"/>
  <c r="AF119" i="1" s="1"/>
  <c r="AE43" i="1"/>
  <c r="AF43" i="1" s="1"/>
  <c r="AE60" i="1"/>
  <c r="AF60" i="1" s="1"/>
  <c r="BK25" i="1"/>
  <c r="BL25" i="1" s="1"/>
  <c r="BM25" i="1" s="1"/>
  <c r="BN25" i="1" s="1"/>
  <c r="BK56" i="1"/>
  <c r="BL56" i="1" s="1"/>
  <c r="BM56" i="1" s="1"/>
  <c r="BN56" i="1" s="1"/>
  <c r="AE36" i="1"/>
  <c r="AF36" i="1" s="1"/>
  <c r="AE200" i="1"/>
  <c r="AF200" i="1" s="1"/>
  <c r="AE92" i="1"/>
  <c r="AF92" i="1" s="1"/>
  <c r="AE175" i="1"/>
  <c r="AF175" i="1" s="1"/>
  <c r="V198" i="5"/>
  <c r="AH198" i="5"/>
  <c r="Y198" i="5"/>
  <c r="AG198" i="5"/>
  <c r="AC198" i="5"/>
  <c r="AF198" i="5"/>
  <c r="AI198" i="5"/>
  <c r="AE198" i="5"/>
  <c r="AD198" i="5"/>
  <c r="Z198" i="5"/>
  <c r="AA198" i="5"/>
  <c r="AJ199" i="5"/>
  <c r="AB198" i="5"/>
  <c r="BN20" i="1" l="1"/>
  <c r="AF20" i="1"/>
  <c r="S199" i="5"/>
  <c r="T199" i="5" s="1"/>
  <c r="U199" i="5" s="1"/>
  <c r="AA199" i="5" s="1"/>
  <c r="V199" i="5" l="1"/>
  <c r="Z199" i="5"/>
  <c r="AH199" i="5"/>
  <c r="AF199" i="5"/>
  <c r="AG199" i="5"/>
  <c r="AC199" i="5"/>
  <c r="AI199" i="5"/>
  <c r="AJ200" i="5"/>
  <c r="AB199" i="5"/>
  <c r="AE199" i="5"/>
  <c r="AD199" i="5"/>
  <c r="Y199" i="5"/>
  <c r="S200" i="5" l="1"/>
  <c r="T200" i="5" s="1"/>
  <c r="U200" i="5" s="1"/>
  <c r="V200" i="5" s="1"/>
  <c r="Y200" i="5" l="1"/>
  <c r="AG200" i="5"/>
  <c r="AD200" i="5"/>
  <c r="AF200" i="5"/>
  <c r="AJ201" i="5"/>
  <c r="AC200" i="5"/>
  <c r="Z200" i="5"/>
  <c r="AA200" i="5"/>
  <c r="AH200" i="5"/>
  <c r="AE200" i="5"/>
  <c r="AB200" i="5"/>
  <c r="AI200" i="5"/>
  <c r="S201" i="5" l="1"/>
  <c r="T201" i="5" s="1"/>
  <c r="U201" i="5" s="1"/>
  <c r="AG201" i="5" s="1"/>
  <c r="V201" i="5" l="1"/>
  <c r="Z201" i="5"/>
  <c r="AI201" i="5"/>
  <c r="AH201" i="5"/>
  <c r="AA201" i="5"/>
  <c r="AE201" i="5"/>
  <c r="AB201" i="5"/>
  <c r="Y201" i="5"/>
  <c r="AF201" i="5"/>
  <c r="AD201" i="5"/>
  <c r="AJ202" i="5"/>
  <c r="AC201" i="5"/>
  <c r="S202" i="5" l="1"/>
  <c r="T202" i="5" s="1"/>
  <c r="U202" i="5" s="1"/>
  <c r="AG202" i="5" s="1"/>
  <c r="Y202" i="5" l="1"/>
  <c r="AC202" i="5"/>
  <c r="AA202" i="5"/>
  <c r="AJ203" i="5"/>
  <c r="AF202" i="5"/>
  <c r="AE202" i="5"/>
  <c r="AI202" i="5"/>
  <c r="V202" i="5"/>
  <c r="Z202" i="5"/>
  <c r="AH202" i="5"/>
  <c r="AD202" i="5"/>
  <c r="AB202" i="5"/>
  <c r="S203" i="5" l="1"/>
  <c r="T203" i="5" s="1"/>
  <c r="U203" i="5" s="1"/>
  <c r="V203" i="5" s="1"/>
  <c r="AA203" i="5" l="1"/>
  <c r="AC203" i="5"/>
  <c r="Z203" i="5"/>
  <c r="AD203" i="5"/>
  <c r="AE203" i="5"/>
  <c r="AJ204" i="5"/>
  <c r="BB32" i="5" s="1"/>
  <c r="Y203" i="5"/>
  <c r="AI203" i="5"/>
  <c r="AF203" i="5"/>
  <c r="AH203" i="5"/>
  <c r="AB203" i="5"/>
  <c r="AG203" i="5"/>
  <c r="S204" i="5" l="1"/>
  <c r="T204" i="5" s="1"/>
  <c r="U204" i="5" s="1"/>
  <c r="AG204" i="5" s="1"/>
  <c r="AY32" i="5" s="1"/>
  <c r="Z204" i="5" l="1"/>
  <c r="AC204" i="5"/>
  <c r="AH204" i="5"/>
  <c r="AZ32" i="5" s="1"/>
  <c r="AI204" i="5"/>
  <c r="BA32" i="5" s="1"/>
  <c r="AA204" i="5"/>
  <c r="Y204" i="5"/>
  <c r="AF204" i="5"/>
  <c r="AX32" i="5" s="1"/>
  <c r="AE204" i="5"/>
  <c r="AW32" i="5" s="1"/>
  <c r="AB204" i="5"/>
  <c r="V204" i="5"/>
  <c r="X204" i="5" s="1"/>
  <c r="AV32" i="5" s="1"/>
  <c r="AJ205" i="5"/>
  <c r="AD204" i="5"/>
  <c r="S205" i="5" l="1"/>
  <c r="T205" i="5" s="1"/>
  <c r="U205" i="5" s="1"/>
  <c r="AC205" i="5" s="1"/>
  <c r="AI205" i="5" l="1"/>
  <c r="AF205" i="5"/>
  <c r="AJ206" i="5"/>
  <c r="V205" i="5"/>
  <c r="Z205" i="5"/>
  <c r="AA205" i="5"/>
  <c r="Y205" i="5"/>
  <c r="AG205" i="5"/>
  <c r="AD205" i="5"/>
  <c r="AE205" i="5"/>
  <c r="AB205" i="5"/>
  <c r="AH205" i="5"/>
  <c r="S206" i="5" l="1"/>
  <c r="T206" i="5" s="1"/>
  <c r="U206" i="5" s="1"/>
  <c r="AH206" i="5" s="1"/>
  <c r="AC206" i="5" l="1"/>
  <c r="V206" i="5"/>
  <c r="AA206" i="5"/>
  <c r="AE206" i="5"/>
  <c r="Y206" i="5"/>
  <c r="AB206" i="5"/>
  <c r="AG206" i="5"/>
  <c r="AF206" i="5"/>
  <c r="Z206" i="5"/>
  <c r="AJ207" i="5"/>
  <c r="AI206" i="5"/>
  <c r="AD206" i="5"/>
  <c r="S207" i="5" l="1"/>
  <c r="T207" i="5" s="1"/>
  <c r="U207" i="5" s="1"/>
  <c r="AG207" i="5" s="1"/>
  <c r="AJ208" i="5" l="1"/>
  <c r="AA207" i="5"/>
  <c r="AI207" i="5"/>
  <c r="Z207" i="5"/>
  <c r="Y207" i="5"/>
  <c r="AH207" i="5"/>
  <c r="AF207" i="5"/>
  <c r="AC207" i="5"/>
  <c r="V207" i="5"/>
  <c r="AB207" i="5"/>
  <c r="AE207" i="5"/>
  <c r="S208" i="5" s="1"/>
  <c r="T208" i="5" s="1"/>
  <c r="U208" i="5" s="1"/>
  <c r="AA208" i="5" s="1"/>
  <c r="AD207" i="5"/>
  <c r="Z208" i="5" l="1"/>
  <c r="AD208" i="5"/>
  <c r="AB208" i="5"/>
  <c r="AJ209" i="5"/>
  <c r="V208" i="5"/>
  <c r="Y208" i="5"/>
  <c r="AH208" i="5"/>
  <c r="AF208" i="5"/>
  <c r="AI208" i="5"/>
  <c r="AC208" i="5"/>
  <c r="AG208" i="5"/>
  <c r="AE208" i="5"/>
  <c r="S209" i="5" l="1"/>
  <c r="T209" i="5" s="1"/>
  <c r="U209" i="5" s="1"/>
  <c r="V209" i="5" s="1"/>
  <c r="Y209" i="5" l="1"/>
  <c r="AH209" i="5"/>
  <c r="AF209" i="5"/>
  <c r="Z209" i="5"/>
  <c r="AE209" i="5"/>
  <c r="AJ210" i="5"/>
  <c r="AD209" i="5"/>
  <c r="AB209" i="5"/>
  <c r="AC209" i="5"/>
  <c r="AG209" i="5"/>
  <c r="AI209" i="5"/>
  <c r="AA209" i="5"/>
  <c r="S210" i="5" l="1"/>
  <c r="T210" i="5" s="1"/>
  <c r="U210" i="5" s="1"/>
  <c r="AJ211" i="5" s="1"/>
  <c r="AF210" i="5"/>
  <c r="AD210" i="5"/>
  <c r="AB210" i="5"/>
  <c r="AH210" i="5"/>
  <c r="AG210" i="5"/>
  <c r="AA210" i="5"/>
  <c r="AE210" i="5"/>
  <c r="V210" i="5"/>
  <c r="AC210" i="5"/>
  <c r="Z210" i="5"/>
  <c r="AI210" i="5"/>
  <c r="Y210" i="5"/>
  <c r="S211" i="5" l="1"/>
  <c r="T211" i="5" s="1"/>
  <c r="U211" i="5" s="1"/>
  <c r="Z211" i="5" l="1"/>
  <c r="V211" i="5"/>
  <c r="AA211" i="5"/>
  <c r="AD211" i="5"/>
  <c r="AH211" i="5"/>
  <c r="Y211" i="5"/>
  <c r="AB211" i="5"/>
  <c r="AE211" i="5"/>
  <c r="AG211" i="5"/>
  <c r="AI211" i="5"/>
  <c r="AJ212" i="5"/>
  <c r="AF211" i="5"/>
  <c r="AC211" i="5"/>
  <c r="S212" i="5" l="1"/>
  <c r="T212" i="5" s="1"/>
  <c r="U212" i="5" s="1"/>
  <c r="AJ213" i="5" l="1"/>
  <c r="AE212" i="5"/>
  <c r="AA212" i="5"/>
  <c r="Z212" i="5"/>
  <c r="AI212" i="5"/>
  <c r="AB212" i="5"/>
  <c r="AF212" i="5"/>
  <c r="AC212" i="5"/>
  <c r="AH212" i="5"/>
  <c r="AD212" i="5"/>
  <c r="Y212" i="5"/>
  <c r="V212" i="5"/>
  <c r="AG212" i="5"/>
  <c r="S213" i="5" l="1"/>
  <c r="T213" i="5" s="1"/>
  <c r="U213" i="5" s="1"/>
  <c r="AE213" i="5" l="1"/>
  <c r="Z213" i="5"/>
  <c r="AF213" i="5"/>
  <c r="AA213" i="5"/>
  <c r="Y213" i="5"/>
  <c r="AJ214" i="5"/>
  <c r="V213" i="5"/>
  <c r="AH213" i="5"/>
  <c r="AC213" i="5"/>
  <c r="AI213" i="5"/>
  <c r="AG213" i="5"/>
  <c r="AB213" i="5"/>
  <c r="AD213" i="5"/>
  <c r="S214" i="5" l="1"/>
  <c r="T214" i="5" s="1"/>
  <c r="U214" i="5" s="1"/>
  <c r="AF214" i="5" l="1"/>
  <c r="AB214" i="5"/>
  <c r="AE214" i="5"/>
  <c r="AH214" i="5"/>
  <c r="AG214" i="5"/>
  <c r="AA214" i="5"/>
  <c r="AC214" i="5"/>
  <c r="AD214" i="5"/>
  <c r="AJ215" i="5"/>
  <c r="V214" i="5"/>
  <c r="AI214" i="5"/>
  <c r="Y214" i="5"/>
  <c r="Z214" i="5"/>
  <c r="S215" i="5" l="1"/>
  <c r="T215" i="5" s="1"/>
  <c r="U215" i="5" s="1"/>
  <c r="Z215" i="5" l="1"/>
  <c r="AE215" i="5"/>
  <c r="AH215" i="5"/>
  <c r="Y215" i="5"/>
  <c r="AA215" i="5"/>
  <c r="V215" i="5"/>
  <c r="AC215" i="5"/>
  <c r="AJ216" i="5"/>
  <c r="AF215" i="5"/>
  <c r="AI215" i="5"/>
  <c r="AG215" i="5"/>
  <c r="AB215" i="5"/>
  <c r="AD215" i="5"/>
  <c r="S216" i="5" l="1"/>
  <c r="T216" i="5" s="1"/>
  <c r="U216" i="5" s="1"/>
  <c r="Y216" i="5" l="1"/>
  <c r="AF216" i="5"/>
  <c r="AI216" i="5"/>
  <c r="AA216" i="5"/>
  <c r="AC216" i="5"/>
  <c r="AH216" i="5"/>
  <c r="AD216" i="5"/>
  <c r="AE216" i="5"/>
  <c r="AJ217" i="5"/>
  <c r="V216" i="5"/>
  <c r="AG216" i="5"/>
  <c r="AB216" i="5"/>
  <c r="Z216" i="5"/>
  <c r="S217" i="5" l="1"/>
  <c r="T217" i="5" s="1"/>
  <c r="U217" i="5" s="1"/>
  <c r="AC217" i="5" l="1"/>
  <c r="AE217" i="5"/>
  <c r="AJ218" i="5"/>
  <c r="Z217" i="5"/>
  <c r="AB217" i="5"/>
  <c r="AH217" i="5"/>
  <c r="AD217" i="5"/>
  <c r="Y217" i="5"/>
  <c r="AG217" i="5"/>
  <c r="AA217" i="5"/>
  <c r="AF217" i="5"/>
  <c r="AI217" i="5"/>
  <c r="V217" i="5"/>
  <c r="S218" i="5" l="1"/>
  <c r="T218" i="5" s="1"/>
  <c r="U218" i="5" s="1"/>
  <c r="AH218" i="5" l="1"/>
  <c r="AA218" i="5"/>
  <c r="AG218" i="5"/>
  <c r="AC218" i="5"/>
  <c r="AI218" i="5"/>
  <c r="AJ219" i="5"/>
  <c r="V218" i="5"/>
  <c r="Y218" i="5"/>
  <c r="Z218" i="5"/>
  <c r="AB218" i="5"/>
  <c r="AE218" i="5"/>
  <c r="AF218" i="5"/>
  <c r="AD218" i="5"/>
  <c r="S219" i="5" l="1"/>
  <c r="T219" i="5" s="1"/>
  <c r="U219" i="5" s="1"/>
  <c r="AD219" i="5" s="1"/>
  <c r="AH219" i="5" l="1"/>
  <c r="V219" i="5"/>
  <c r="AF219" i="5"/>
  <c r="AI219" i="5"/>
  <c r="AB219" i="5"/>
  <c r="AJ220" i="5"/>
  <c r="Z219" i="5"/>
  <c r="AG219" i="5"/>
  <c r="AA219" i="5"/>
  <c r="AE219" i="5"/>
  <c r="AC219" i="5"/>
  <c r="Y219" i="5"/>
  <c r="S220" i="5" l="1"/>
  <c r="T220" i="5" s="1"/>
  <c r="U220" i="5" s="1"/>
  <c r="V220" i="5" s="1"/>
  <c r="Z220" i="5" l="1"/>
  <c r="AG220" i="5"/>
  <c r="AA220" i="5"/>
  <c r="AJ221" i="5"/>
  <c r="AE220" i="5"/>
  <c r="Y220" i="5"/>
  <c r="AC220" i="5"/>
  <c r="AI220" i="5"/>
  <c r="AD220" i="5"/>
  <c r="AB220" i="5"/>
  <c r="AH220" i="5"/>
  <c r="AF220" i="5"/>
  <c r="S221" i="5" l="1"/>
  <c r="T221" i="5" s="1"/>
  <c r="U221" i="5" s="1"/>
  <c r="Z221" i="5" s="1"/>
  <c r="V221" i="5" l="1"/>
  <c r="AG221" i="5"/>
  <c r="AJ222" i="5"/>
  <c r="AC221" i="5"/>
  <c r="AE221" i="5"/>
  <c r="AI221" i="5"/>
  <c r="AD221" i="5"/>
  <c r="Y221" i="5"/>
  <c r="AF221" i="5"/>
  <c r="AA221" i="5"/>
  <c r="AH221" i="5"/>
  <c r="AB221" i="5"/>
  <c r="S222" i="5" l="1"/>
  <c r="T222" i="5" s="1"/>
  <c r="U222" i="5" s="1"/>
  <c r="Z222" i="5" s="1"/>
  <c r="AF222" i="5" l="1"/>
  <c r="V222" i="5"/>
  <c r="AH222" i="5"/>
  <c r="AE222" i="5"/>
  <c r="Y222" i="5"/>
  <c r="AC222" i="5"/>
  <c r="AG222" i="5"/>
  <c r="AA222" i="5"/>
  <c r="AI222" i="5"/>
  <c r="AB222" i="5"/>
  <c r="AD222" i="5"/>
  <c r="AJ223" i="5"/>
  <c r="S223" i="5" l="1"/>
  <c r="T223" i="5" s="1"/>
  <c r="U223" i="5" s="1"/>
  <c r="AG223" i="5" s="1"/>
  <c r="AC223" i="5" l="1"/>
  <c r="Z223" i="5"/>
  <c r="AD223" i="5"/>
  <c r="AJ224" i="5"/>
  <c r="BB33" i="5" s="1"/>
  <c r="AA223" i="5"/>
  <c r="AE223" i="5"/>
  <c r="AF223" i="5"/>
  <c r="V223" i="5"/>
  <c r="AH223" i="5"/>
  <c r="Y223" i="5"/>
  <c r="AI223" i="5"/>
  <c r="AB223" i="5"/>
  <c r="S224" i="5" l="1"/>
  <c r="T224" i="5" s="1"/>
  <c r="U224" i="5" s="1"/>
  <c r="V224" i="5" s="1"/>
  <c r="X224" i="5" s="1"/>
  <c r="AV33" i="5" s="1"/>
  <c r="AB224" i="5" l="1"/>
  <c r="AH224" i="5"/>
  <c r="AZ33" i="5" s="1"/>
  <c r="AF224" i="5"/>
  <c r="AX33" i="5" s="1"/>
  <c r="AD224" i="5"/>
  <c r="AE224" i="5"/>
  <c r="AW33" i="5" s="1"/>
  <c r="AA224" i="5"/>
  <c r="AC224" i="5"/>
  <c r="Y224" i="5"/>
  <c r="Z224" i="5"/>
  <c r="AI224" i="5"/>
  <c r="BA33" i="5" s="1"/>
  <c r="AG224" i="5"/>
  <c r="AY33" i="5" s="1"/>
  <c r="AK200" i="5" l="1"/>
  <c r="AL200" i="5" s="1"/>
  <c r="BX56" i="5"/>
  <c r="BY56" i="5" s="1"/>
  <c r="BZ56" i="5" s="1"/>
  <c r="CA56" i="5" s="1"/>
  <c r="AK217" i="5"/>
  <c r="AL217" i="5" s="1"/>
  <c r="AK92" i="5"/>
  <c r="AL92" i="5" s="1"/>
  <c r="BX44" i="5"/>
  <c r="BY44" i="5" s="1"/>
  <c r="BZ44" i="5" s="1"/>
  <c r="CA44" i="5" s="1"/>
  <c r="AK133" i="5"/>
  <c r="AL133" i="5" s="1"/>
  <c r="AK143" i="5"/>
  <c r="AL143" i="5" s="1"/>
  <c r="AK39" i="5"/>
  <c r="AL39" i="5" s="1"/>
  <c r="AK145" i="5"/>
  <c r="AL145" i="5" s="1"/>
  <c r="AK107" i="5"/>
  <c r="AL107" i="5" s="1"/>
  <c r="AK66" i="5"/>
  <c r="AL66" i="5" s="1"/>
  <c r="BX76" i="5"/>
  <c r="BY76" i="5" s="1"/>
  <c r="BZ76" i="5" s="1"/>
  <c r="CA76" i="5" s="1"/>
  <c r="AK96" i="5"/>
  <c r="AL96" i="5" s="1"/>
  <c r="BX55" i="5"/>
  <c r="BY55" i="5" s="1"/>
  <c r="BZ55" i="5" s="1"/>
  <c r="CA55" i="5" s="1"/>
  <c r="AK97" i="5"/>
  <c r="AL97" i="5" s="1"/>
  <c r="AK58" i="5"/>
  <c r="AL58" i="5" s="1"/>
  <c r="AK156" i="5"/>
  <c r="AL156" i="5" s="1"/>
  <c r="BX31" i="5"/>
  <c r="BY31" i="5" s="1"/>
  <c r="BZ31" i="5" s="1"/>
  <c r="CA31" i="5" s="1"/>
  <c r="BX74" i="5"/>
  <c r="BY74" i="5" s="1"/>
  <c r="BZ74" i="5" s="1"/>
  <c r="CA74" i="5" s="1"/>
  <c r="BX53" i="5"/>
  <c r="BY53" i="5" s="1"/>
  <c r="BZ53" i="5" s="1"/>
  <c r="CA53" i="5" s="1"/>
  <c r="AK31" i="5"/>
  <c r="AL31" i="5" s="1"/>
  <c r="AK74" i="5"/>
  <c r="AL74" i="5" s="1"/>
  <c r="BX50" i="5"/>
  <c r="BY50" i="5" s="1"/>
  <c r="BZ50" i="5" s="1"/>
  <c r="CA50" i="5" s="1"/>
  <c r="BX70" i="5"/>
  <c r="BY70" i="5" s="1"/>
  <c r="BZ70" i="5" s="1"/>
  <c r="CA70" i="5" s="1"/>
  <c r="AK88" i="5"/>
  <c r="AL88" i="5" s="1"/>
  <c r="AK142" i="5"/>
  <c r="AL142" i="5" s="1"/>
  <c r="AK118" i="5"/>
  <c r="AL118" i="5" s="1"/>
  <c r="AK139" i="5"/>
  <c r="AL139" i="5" s="1"/>
  <c r="BX26" i="5"/>
  <c r="BY26" i="5" s="1"/>
  <c r="BZ26" i="5" s="1"/>
  <c r="CA26" i="5" s="1"/>
  <c r="AK131" i="5"/>
  <c r="AL131" i="5" s="1"/>
  <c r="AK63" i="5"/>
  <c r="AL63" i="5" s="1"/>
  <c r="AK176" i="5"/>
  <c r="AL176" i="5" s="1"/>
  <c r="BX78" i="5"/>
  <c r="BY78" i="5" s="1"/>
  <c r="BZ78" i="5" s="1"/>
  <c r="CA78" i="5" s="1"/>
  <c r="AK83" i="5"/>
  <c r="AL83" i="5" s="1"/>
  <c r="AK26" i="5"/>
  <c r="AL26" i="5" s="1"/>
  <c r="BX77" i="5"/>
  <c r="BY77" i="5" s="1"/>
  <c r="BZ77" i="5" s="1"/>
  <c r="CA77" i="5" s="1"/>
  <c r="AK138" i="5"/>
  <c r="AL138" i="5" s="1"/>
  <c r="AK179" i="5"/>
  <c r="AL179" i="5" s="1"/>
  <c r="BX62" i="5"/>
  <c r="BY62" i="5" s="1"/>
  <c r="BZ62" i="5" s="1"/>
  <c r="CA62" i="5" s="1"/>
  <c r="BX73" i="5"/>
  <c r="BY73" i="5" s="1"/>
  <c r="BZ73" i="5" s="1"/>
  <c r="CA73" i="5" s="1"/>
  <c r="AK190" i="5"/>
  <c r="AL190" i="5" s="1"/>
  <c r="AK121" i="5"/>
  <c r="AL121" i="5" s="1"/>
  <c r="AK60" i="5"/>
  <c r="AL60" i="5" s="1"/>
  <c r="AK67" i="5"/>
  <c r="AL67" i="5" s="1"/>
  <c r="AK161" i="5"/>
  <c r="AL161" i="5" s="1"/>
  <c r="BX51" i="5"/>
  <c r="BY51" i="5" s="1"/>
  <c r="BZ51" i="5" s="1"/>
  <c r="CA51" i="5" s="1"/>
  <c r="AK81" i="5"/>
  <c r="AL81" i="5" s="1"/>
  <c r="AK100" i="5"/>
  <c r="AL100" i="5" s="1"/>
  <c r="AK175" i="5"/>
  <c r="AL175" i="5" s="1"/>
  <c r="AK132" i="5"/>
  <c r="AL132" i="5" s="1"/>
  <c r="AK34" i="5"/>
  <c r="AL34" i="5" s="1"/>
  <c r="BX83" i="5"/>
  <c r="BY83" i="5" s="1"/>
  <c r="BZ83" i="5" s="1"/>
  <c r="CA83" i="5" s="1"/>
  <c r="AK165" i="5"/>
  <c r="AL165" i="5" s="1"/>
  <c r="BX65" i="5"/>
  <c r="BY65" i="5" s="1"/>
  <c r="BZ65" i="5" s="1"/>
  <c r="CA65" i="5" s="1"/>
  <c r="BX39" i="5"/>
  <c r="BY39" i="5" s="1"/>
  <c r="BZ39" i="5" s="1"/>
  <c r="CA39" i="5" s="1"/>
  <c r="AK113" i="5"/>
  <c r="AL113" i="5" s="1"/>
  <c r="AK173" i="5"/>
  <c r="AL173" i="5" s="1"/>
  <c r="AK50" i="5"/>
  <c r="AL50" i="5" s="1"/>
  <c r="BX69" i="5"/>
  <c r="BY69" i="5" s="1"/>
  <c r="BZ69" i="5" s="1"/>
  <c r="CA69" i="5" s="1"/>
  <c r="AK80" i="5"/>
  <c r="AL80" i="5" s="1"/>
  <c r="AK147" i="5"/>
  <c r="AL147" i="5" s="1"/>
  <c r="AK95" i="5"/>
  <c r="AL95" i="5" s="1"/>
  <c r="AK125" i="5"/>
  <c r="AL125" i="5" s="1"/>
  <c r="BX27" i="5"/>
  <c r="BY27" i="5" s="1"/>
  <c r="BZ27" i="5" s="1"/>
  <c r="CA27" i="5" s="1"/>
  <c r="AK155" i="5"/>
  <c r="AL155" i="5" s="1"/>
  <c r="AK115" i="5"/>
  <c r="AL115" i="5" s="1"/>
  <c r="AK57" i="5"/>
  <c r="AL57" i="5" s="1"/>
  <c r="BX35" i="5"/>
  <c r="BY35" i="5" s="1"/>
  <c r="BZ35" i="5" s="1"/>
  <c r="CA35" i="5" s="1"/>
  <c r="AK72" i="5"/>
  <c r="AL72" i="5" s="1"/>
  <c r="AK196" i="5"/>
  <c r="AL196" i="5" s="1"/>
  <c r="AK180" i="5"/>
  <c r="AL180" i="5" s="1"/>
  <c r="BX82" i="5"/>
  <c r="BY82" i="5" s="1"/>
  <c r="BZ82" i="5" s="1"/>
  <c r="CA82" i="5" s="1"/>
  <c r="BX68" i="5"/>
  <c r="BY68" i="5" s="1"/>
  <c r="BZ68" i="5" s="1"/>
  <c r="CA68" i="5" s="1"/>
  <c r="AK110" i="5"/>
  <c r="AL110" i="5" s="1"/>
  <c r="AK199" i="5"/>
  <c r="AL199" i="5" s="1"/>
  <c r="AK62" i="5"/>
  <c r="AL62" i="5" s="1"/>
  <c r="AK65" i="5"/>
  <c r="AL65" i="5" s="1"/>
  <c r="AK191" i="5"/>
  <c r="AL191" i="5" s="1"/>
  <c r="AK193" i="5"/>
  <c r="AL193" i="5" s="1"/>
  <c r="AK218" i="5"/>
  <c r="AL218" i="5" s="1"/>
  <c r="AK47" i="5"/>
  <c r="AL47" i="5" s="1"/>
  <c r="BX60" i="5"/>
  <c r="BY60" i="5" s="1"/>
  <c r="BZ60" i="5" s="1"/>
  <c r="CA60" i="5" s="1"/>
  <c r="AK114" i="5"/>
  <c r="AL114" i="5" s="1"/>
  <c r="AK198" i="5"/>
  <c r="AL198" i="5" s="1"/>
  <c r="AK130" i="5"/>
  <c r="AL130" i="5" s="1"/>
  <c r="AK30" i="5"/>
  <c r="AL30" i="5" s="1"/>
  <c r="AK116" i="5"/>
  <c r="AL116" i="5" s="1"/>
  <c r="AK162" i="5"/>
  <c r="AL162" i="5" s="1"/>
  <c r="AK102" i="5"/>
  <c r="AL102" i="5" s="1"/>
  <c r="AK220" i="5"/>
  <c r="AL220" i="5" s="1"/>
  <c r="AK43" i="5"/>
  <c r="AL43" i="5" s="1"/>
  <c r="AK78" i="5"/>
  <c r="AL78" i="5" s="1"/>
  <c r="AK136" i="5"/>
  <c r="AL136" i="5" s="1"/>
  <c r="AK154" i="5"/>
  <c r="AL154" i="5" s="1"/>
  <c r="BX81" i="5"/>
  <c r="BY81" i="5" s="1"/>
  <c r="BZ81" i="5" s="1"/>
  <c r="CA81" i="5" s="1"/>
  <c r="BX43" i="5"/>
  <c r="BY43" i="5" s="1"/>
  <c r="BZ43" i="5" s="1"/>
  <c r="CA43" i="5" s="1"/>
  <c r="AK25" i="5"/>
  <c r="AL25" i="5" s="1"/>
  <c r="AK27" i="5"/>
  <c r="AL27" i="5" s="1"/>
  <c r="AK188" i="5"/>
  <c r="AL188" i="5" s="1"/>
  <c r="AK187" i="5"/>
  <c r="AL187" i="5" s="1"/>
  <c r="BX71" i="5"/>
  <c r="BY71" i="5" s="1"/>
  <c r="BZ71" i="5" s="1"/>
  <c r="CA71" i="5" s="1"/>
  <c r="AK69" i="5"/>
  <c r="AL69" i="5" s="1"/>
  <c r="AK141" i="5"/>
  <c r="AL141" i="5" s="1"/>
  <c r="BX42" i="5"/>
  <c r="BY42" i="5" s="1"/>
  <c r="BZ42" i="5" s="1"/>
  <c r="CA42" i="5" s="1"/>
  <c r="AK82" i="5"/>
  <c r="AL82" i="5" s="1"/>
  <c r="BX79" i="5"/>
  <c r="BY79" i="5" s="1"/>
  <c r="BZ79" i="5" s="1"/>
  <c r="CA79" i="5" s="1"/>
  <c r="BX52" i="5"/>
  <c r="BY52" i="5" s="1"/>
  <c r="BZ52" i="5" s="1"/>
  <c r="CA52" i="5" s="1"/>
  <c r="BX49" i="5"/>
  <c r="BY49" i="5" s="1"/>
  <c r="BZ49" i="5" s="1"/>
  <c r="CA49" i="5" s="1"/>
  <c r="BX64" i="5"/>
  <c r="BY64" i="5" s="1"/>
  <c r="BZ64" i="5" s="1"/>
  <c r="CA64" i="5" s="1"/>
  <c r="AK59" i="5"/>
  <c r="AL59" i="5" s="1"/>
  <c r="AK111" i="5"/>
  <c r="AL111" i="5" s="1"/>
  <c r="AK104" i="5"/>
  <c r="AL104" i="5" s="1"/>
  <c r="AK215" i="5"/>
  <c r="AL215" i="5" s="1"/>
  <c r="AK76" i="5"/>
  <c r="AL76" i="5" s="1"/>
  <c r="AK195" i="5"/>
  <c r="AL195" i="5" s="1"/>
  <c r="AK168" i="5"/>
  <c r="AL168" i="5" s="1"/>
  <c r="AK206" i="5"/>
  <c r="AL206" i="5" s="1"/>
  <c r="AK122" i="5"/>
  <c r="AL122" i="5" s="1"/>
  <c r="AK89" i="5"/>
  <c r="AL89" i="5" s="1"/>
  <c r="BX57" i="5"/>
  <c r="BY57" i="5" s="1"/>
  <c r="BZ57" i="5" s="1"/>
  <c r="CA57" i="5" s="1"/>
  <c r="BX28" i="5"/>
  <c r="BY28" i="5" s="1"/>
  <c r="BZ28" i="5" s="1"/>
  <c r="CA28" i="5" s="1"/>
  <c r="BX46" i="5"/>
  <c r="BY46" i="5" s="1"/>
  <c r="BZ46" i="5" s="1"/>
  <c r="CA46" i="5" s="1"/>
  <c r="AK73" i="5"/>
  <c r="AL73" i="5" s="1"/>
  <c r="BX40" i="5"/>
  <c r="BY40" i="5" s="1"/>
  <c r="BZ40" i="5" s="1"/>
  <c r="CA40" i="5" s="1"/>
  <c r="AK135" i="5"/>
  <c r="AL135" i="5" s="1"/>
  <c r="AK112" i="5"/>
  <c r="AL112" i="5" s="1"/>
  <c r="AK85" i="5"/>
  <c r="AL85" i="5" s="1"/>
  <c r="AK126" i="5"/>
  <c r="AL126" i="5" s="1"/>
  <c r="AK29" i="5"/>
  <c r="AL29" i="5" s="1"/>
  <c r="AK201" i="5"/>
  <c r="AL201" i="5" s="1"/>
  <c r="AK64" i="5"/>
  <c r="AL64" i="5" s="1"/>
  <c r="AK41" i="5"/>
  <c r="AL41" i="5" s="1"/>
  <c r="AK40" i="5"/>
  <c r="AL40" i="5" s="1"/>
  <c r="AK120" i="5"/>
  <c r="AL120" i="5" s="1"/>
  <c r="AK93" i="5"/>
  <c r="AL93" i="5" s="1"/>
  <c r="AK117" i="5"/>
  <c r="AL117" i="5" s="1"/>
  <c r="AK174" i="5"/>
  <c r="AL174" i="5" s="1"/>
  <c r="AK211" i="5"/>
  <c r="AL211" i="5" s="1"/>
  <c r="AK149" i="5"/>
  <c r="AL149" i="5" s="1"/>
  <c r="BX54" i="5"/>
  <c r="BY54" i="5" s="1"/>
  <c r="BZ54" i="5" s="1"/>
  <c r="CA54" i="5" s="1"/>
  <c r="AK186" i="5"/>
  <c r="AL186" i="5" s="1"/>
  <c r="AK84" i="5"/>
  <c r="AL84" i="5" s="1"/>
  <c r="BX33" i="5"/>
  <c r="BY33" i="5" s="1"/>
  <c r="BZ33" i="5" s="1"/>
  <c r="CA33" i="5" s="1"/>
  <c r="AK183" i="5"/>
  <c r="AL183" i="5" s="1"/>
  <c r="AK172" i="5"/>
  <c r="AL172" i="5" s="1"/>
  <c r="BX25" i="5"/>
  <c r="BY25" i="5" s="1"/>
  <c r="BZ25" i="5" s="1"/>
  <c r="CA25" i="5" s="1"/>
  <c r="AK203" i="5"/>
  <c r="AL203" i="5" s="1"/>
  <c r="BX67" i="5"/>
  <c r="BY67" i="5" s="1"/>
  <c r="BZ67" i="5" s="1"/>
  <c r="CA67" i="5" s="1"/>
  <c r="AK182" i="5"/>
  <c r="AL182" i="5" s="1"/>
  <c r="AK192" i="5"/>
  <c r="AL192" i="5" s="1"/>
  <c r="BX48" i="5"/>
  <c r="BY48" i="5" s="1"/>
  <c r="BZ48" i="5" s="1"/>
  <c r="CA48" i="5" s="1"/>
  <c r="AK189" i="5"/>
  <c r="AL189" i="5" s="1"/>
  <c r="BX58" i="5"/>
  <c r="BY58" i="5" s="1"/>
  <c r="BZ58" i="5" s="1"/>
  <c r="CA58" i="5" s="1"/>
  <c r="BX38" i="5"/>
  <c r="BY38" i="5" s="1"/>
  <c r="BZ38" i="5" s="1"/>
  <c r="CA38" i="5" s="1"/>
  <c r="AK98" i="5"/>
  <c r="AL98" i="5" s="1"/>
  <c r="AK101" i="5"/>
  <c r="AL101" i="5" s="1"/>
  <c r="AK212" i="5"/>
  <c r="AL212" i="5" s="1"/>
  <c r="AK166" i="5"/>
  <c r="AL166" i="5" s="1"/>
  <c r="AK52" i="5"/>
  <c r="AL52" i="5" s="1"/>
  <c r="BX61" i="5"/>
  <c r="BY61" i="5" s="1"/>
  <c r="BZ61" i="5" s="1"/>
  <c r="CA61" i="5" s="1"/>
  <c r="AK42" i="5"/>
  <c r="AL42" i="5" s="1"/>
  <c r="AK32" i="5"/>
  <c r="AL32" i="5" s="1"/>
  <c r="AK169" i="5"/>
  <c r="AL169" i="5" s="1"/>
  <c r="AK44" i="5"/>
  <c r="AL44" i="5" s="1"/>
  <c r="AK61" i="5"/>
  <c r="AL61" i="5" s="1"/>
  <c r="AK86" i="5"/>
  <c r="AL86" i="5" s="1"/>
  <c r="BX66" i="5"/>
  <c r="BY66" i="5" s="1"/>
  <c r="BZ66" i="5" s="1"/>
  <c r="CA66" i="5" s="1"/>
  <c r="AK79" i="5"/>
  <c r="AL79" i="5" s="1"/>
  <c r="BX41" i="5"/>
  <c r="BY41" i="5" s="1"/>
  <c r="BZ41" i="5" s="1"/>
  <c r="CA41" i="5" s="1"/>
  <c r="AK224" i="5"/>
  <c r="AL224" i="5" s="1"/>
  <c r="AK204" i="5"/>
  <c r="AL204" i="5" s="1"/>
  <c r="AK134" i="5"/>
  <c r="AL134" i="5" s="1"/>
  <c r="AK123" i="5"/>
  <c r="AL123" i="5" s="1"/>
  <c r="BX63" i="5"/>
  <c r="BY63" i="5" s="1"/>
  <c r="BZ63" i="5" s="1"/>
  <c r="CA63" i="5" s="1"/>
  <c r="AK219" i="5"/>
  <c r="AL219" i="5" s="1"/>
  <c r="AK221" i="5"/>
  <c r="AL221" i="5" s="1"/>
  <c r="AK70" i="5"/>
  <c r="AL70" i="5" s="1"/>
  <c r="AK36" i="5"/>
  <c r="AL36" i="5" s="1"/>
  <c r="AK209" i="5"/>
  <c r="AL209" i="5" s="1"/>
  <c r="AK35" i="5"/>
  <c r="AL35" i="5" s="1"/>
  <c r="BX30" i="5"/>
  <c r="BY30" i="5" s="1"/>
  <c r="BZ30" i="5" s="1"/>
  <c r="CA30" i="5" s="1"/>
  <c r="AK49" i="5"/>
  <c r="AL49" i="5" s="1"/>
  <c r="BX72" i="5"/>
  <c r="BY72" i="5" s="1"/>
  <c r="BZ72" i="5" s="1"/>
  <c r="CA72" i="5" s="1"/>
  <c r="AK194" i="5"/>
  <c r="AL194" i="5" s="1"/>
  <c r="AK46" i="5"/>
  <c r="AL46" i="5" s="1"/>
  <c r="AK137" i="5"/>
  <c r="AL137" i="5" s="1"/>
  <c r="AK164" i="5"/>
  <c r="AL164" i="5" s="1"/>
  <c r="AK37" i="5"/>
  <c r="AL37" i="5" s="1"/>
  <c r="AK140" i="5"/>
  <c r="AL140" i="5" s="1"/>
  <c r="AK163" i="5"/>
  <c r="AL163" i="5" s="1"/>
  <c r="AK38" i="5"/>
  <c r="AL38" i="5" s="1"/>
  <c r="AK109" i="5"/>
  <c r="AL109" i="5" s="1"/>
  <c r="AK208" i="5"/>
  <c r="AL208" i="5" s="1"/>
  <c r="AK159" i="5"/>
  <c r="AL159" i="5" s="1"/>
  <c r="AK207" i="5"/>
  <c r="AL207" i="5" s="1"/>
  <c r="AK71" i="5"/>
  <c r="AL71" i="5" s="1"/>
  <c r="AK55" i="5"/>
  <c r="AL55" i="5" s="1"/>
  <c r="AK91" i="5"/>
  <c r="AL91" i="5" s="1"/>
  <c r="AK184" i="5"/>
  <c r="AL184" i="5" s="1"/>
  <c r="AK45" i="5"/>
  <c r="AL45" i="5" s="1"/>
  <c r="AK213" i="5"/>
  <c r="AL213" i="5" s="1"/>
  <c r="BX32" i="5"/>
  <c r="BY32" i="5" s="1"/>
  <c r="BZ32" i="5" s="1"/>
  <c r="CA32" i="5" s="1"/>
  <c r="AK53" i="5"/>
  <c r="AL53" i="5" s="1"/>
  <c r="AK77" i="5"/>
  <c r="AL77" i="5" s="1"/>
  <c r="AK146" i="5"/>
  <c r="AL146" i="5" s="1"/>
  <c r="AK151" i="5"/>
  <c r="AL151" i="5" s="1"/>
  <c r="BX37" i="5"/>
  <c r="BY37" i="5" s="1"/>
  <c r="BZ37" i="5" s="1"/>
  <c r="CA37" i="5" s="1"/>
  <c r="AK54" i="5"/>
  <c r="AL54" i="5" s="1"/>
  <c r="AK48" i="5"/>
  <c r="AL48" i="5" s="1"/>
  <c r="BX45" i="5"/>
  <c r="BY45" i="5" s="1"/>
  <c r="BZ45" i="5" s="1"/>
  <c r="CA45" i="5" s="1"/>
  <c r="AK157" i="5"/>
  <c r="AL157" i="5" s="1"/>
  <c r="AK108" i="5"/>
  <c r="AL108" i="5" s="1"/>
  <c r="AK148" i="5"/>
  <c r="AL148" i="5" s="1"/>
  <c r="AK178" i="5"/>
  <c r="AL178" i="5" s="1"/>
  <c r="AK90" i="5"/>
  <c r="AL90" i="5" s="1"/>
  <c r="BX29" i="5"/>
  <c r="BY29" i="5" s="1"/>
  <c r="BZ29" i="5" s="1"/>
  <c r="CA29" i="5" s="1"/>
  <c r="AK216" i="5"/>
  <c r="AL216" i="5" s="1"/>
  <c r="AK129" i="5"/>
  <c r="AL129" i="5" s="1"/>
  <c r="AK119" i="5"/>
  <c r="AL119" i="5" s="1"/>
  <c r="AK87" i="5"/>
  <c r="AL87" i="5" s="1"/>
  <c r="BX24" i="5"/>
  <c r="BY24" i="5" s="1"/>
  <c r="BZ24" i="5" s="1"/>
  <c r="CA24" i="5" s="1"/>
  <c r="AK106" i="5"/>
  <c r="AL106" i="5" s="1"/>
  <c r="AK105" i="5"/>
  <c r="AL105" i="5" s="1"/>
  <c r="AK185" i="5"/>
  <c r="AL185" i="5" s="1"/>
  <c r="AK103" i="5"/>
  <c r="AL103" i="5" s="1"/>
  <c r="AK68" i="5"/>
  <c r="AL68" i="5" s="1"/>
  <c r="AK75" i="5"/>
  <c r="AL75" i="5" s="1"/>
  <c r="AK167" i="5"/>
  <c r="AL167" i="5" s="1"/>
  <c r="AK144" i="5"/>
  <c r="AL144" i="5" s="1"/>
  <c r="AK127" i="5"/>
  <c r="AL127" i="5" s="1"/>
  <c r="BX47" i="5"/>
  <c r="BY47" i="5" s="1"/>
  <c r="BZ47" i="5" s="1"/>
  <c r="CA47" i="5" s="1"/>
  <c r="AK128" i="5"/>
  <c r="AL128" i="5" s="1"/>
  <c r="BX75" i="5"/>
  <c r="BY75" i="5" s="1"/>
  <c r="BZ75" i="5" s="1"/>
  <c r="CA75" i="5" s="1"/>
  <c r="AK28" i="5"/>
  <c r="AL28" i="5" s="1"/>
  <c r="AK51" i="5"/>
  <c r="AL51" i="5" s="1"/>
  <c r="AK214" i="5"/>
  <c r="AL214" i="5" s="1"/>
  <c r="AK153" i="5"/>
  <c r="AL153" i="5" s="1"/>
  <c r="AK205" i="5"/>
  <c r="AL205" i="5" s="1"/>
  <c r="AK181" i="5"/>
  <c r="AL181" i="5" s="1"/>
  <c r="AK94" i="5"/>
  <c r="AL94" i="5" s="1"/>
  <c r="AK202" i="5"/>
  <c r="AL202" i="5" s="1"/>
  <c r="BX59" i="5"/>
  <c r="BY59" i="5" s="1"/>
  <c r="BZ59" i="5" s="1"/>
  <c r="CA59" i="5" s="1"/>
  <c r="AK177" i="5"/>
  <c r="AL177" i="5" s="1"/>
  <c r="AK223" i="5"/>
  <c r="AL223" i="5" s="1"/>
  <c r="AK33" i="5"/>
  <c r="AL33" i="5" s="1"/>
  <c r="AK197" i="5"/>
  <c r="AL197" i="5" s="1"/>
  <c r="AK160" i="5"/>
  <c r="AL160" i="5" s="1"/>
  <c r="AK152" i="5"/>
  <c r="AL152" i="5" s="1"/>
  <c r="AK222" i="5"/>
  <c r="AL222" i="5" s="1"/>
  <c r="BX80" i="5"/>
  <c r="BY80" i="5" s="1"/>
  <c r="BZ80" i="5" s="1"/>
  <c r="CA80" i="5" s="1"/>
  <c r="AK210" i="5"/>
  <c r="AL210" i="5" s="1"/>
  <c r="BX34" i="5"/>
  <c r="BY34" i="5" s="1"/>
  <c r="BZ34" i="5" s="1"/>
  <c r="CA34" i="5" s="1"/>
  <c r="AK150" i="5"/>
  <c r="AL150" i="5" s="1"/>
  <c r="BX36" i="5"/>
  <c r="BY36" i="5" s="1"/>
  <c r="BZ36" i="5" s="1"/>
  <c r="CA36" i="5" s="1"/>
  <c r="AK56" i="5"/>
  <c r="AL56" i="5" s="1"/>
  <c r="AK124" i="5"/>
  <c r="AL124" i="5" s="1"/>
  <c r="AK171" i="5"/>
  <c r="AL171" i="5" s="1"/>
  <c r="AK158" i="5"/>
  <c r="AL158" i="5" s="1"/>
  <c r="AK99" i="5"/>
  <c r="AL99" i="5" s="1"/>
  <c r="AK170" i="5"/>
  <c r="AL170" i="5" s="1"/>
  <c r="CA22" i="5" l="1"/>
  <c r="AL22" i="5"/>
  <c r="J10" i="4" l="1"/>
  <c r="AA20" i="4"/>
  <c r="S10" i="4"/>
  <c r="M20" i="4"/>
  <c r="P19" i="4"/>
  <c r="R15" i="4"/>
  <c r="J15" i="4"/>
  <c r="J5" i="4"/>
  <c r="O14" i="4"/>
  <c r="M12" i="4"/>
  <c r="M9" i="4"/>
  <c r="U11" i="4"/>
  <c r="P23" i="4"/>
  <c r="P6" i="4"/>
  <c r="H10" i="4"/>
  <c r="I13" i="4"/>
  <c r="T5" i="4"/>
  <c r="W21" i="4"/>
  <c r="K13" i="4"/>
  <c r="R10" i="4"/>
  <c r="S6" i="4"/>
  <c r="AA15" i="4"/>
  <c r="AA5" i="4"/>
  <c r="Z23" i="4"/>
  <c r="Q6" i="4"/>
  <c r="R17" i="4"/>
  <c r="K8" i="4"/>
  <c r="H9" i="4"/>
  <c r="J23" i="4"/>
  <c r="AB15" i="4"/>
  <c r="L17" i="4"/>
  <c r="W8" i="4"/>
  <c r="N23" i="4"/>
  <c r="J20" i="4"/>
  <c r="K5" i="4"/>
  <c r="AB23" i="4"/>
  <c r="O16" i="4"/>
  <c r="M10" i="4"/>
  <c r="R11" i="4"/>
  <c r="X23" i="4"/>
  <c r="V6" i="4"/>
  <c r="O11" i="4"/>
  <c r="W17" i="4"/>
  <c r="AB21" i="4"/>
  <c r="L23" i="4"/>
  <c r="AB17" i="4"/>
  <c r="I5" i="4"/>
  <c r="K16" i="4"/>
  <c r="I20" i="4"/>
  <c r="K24" i="4"/>
  <c r="P8" i="4"/>
  <c r="L12" i="4"/>
  <c r="AB24" i="4"/>
  <c r="Y19" i="4"/>
  <c r="Q16" i="4"/>
  <c r="U15" i="4"/>
  <c r="M22" i="4"/>
  <c r="I18" i="4"/>
  <c r="T10" i="4"/>
  <c r="T7" i="4"/>
  <c r="N21" i="4"/>
  <c r="J25" i="4"/>
  <c r="I14" i="4"/>
  <c r="W9" i="4"/>
  <c r="Q25" i="4"/>
  <c r="M24" i="4"/>
  <c r="N20" i="4"/>
  <c r="AB22" i="4"/>
  <c r="V23" i="4"/>
  <c r="U21" i="4"/>
  <c r="K19" i="4"/>
  <c r="X17" i="4"/>
  <c r="Q17" i="4"/>
  <c r="S13" i="4"/>
  <c r="S24" i="4"/>
  <c r="N15" i="4"/>
  <c r="Y18" i="4"/>
  <c r="AA10" i="4"/>
  <c r="M23" i="4"/>
  <c r="M21" i="4"/>
  <c r="L21" i="4"/>
  <c r="R5" i="4"/>
  <c r="Y7" i="4"/>
  <c r="L13" i="4"/>
  <c r="AA22" i="4"/>
  <c r="Z20" i="4"/>
  <c r="Y11" i="4"/>
  <c r="T22" i="4"/>
  <c r="N19" i="4"/>
  <c r="W7" i="4"/>
  <c r="Z8" i="4"/>
  <c r="Q23" i="4"/>
  <c r="K18" i="4"/>
  <c r="S7" i="4"/>
  <c r="J8" i="4"/>
  <c r="P10" i="4"/>
  <c r="Q18" i="4"/>
  <c r="P18" i="4"/>
  <c r="I11" i="4"/>
  <c r="AA7" i="4"/>
  <c r="AB12" i="4"/>
  <c r="N13" i="4"/>
  <c r="W19" i="4"/>
  <c r="S22" i="4"/>
  <c r="U20" i="4"/>
  <c r="W22" i="4"/>
  <c r="Q7" i="4"/>
  <c r="L10" i="4"/>
  <c r="X22" i="4"/>
  <c r="L19" i="4"/>
  <c r="Z13" i="4"/>
  <c r="N10" i="4"/>
  <c r="H13" i="4"/>
  <c r="K11" i="4"/>
  <c r="H21" i="4"/>
  <c r="X6" i="4"/>
  <c r="S14" i="4"/>
  <c r="Y14" i="4"/>
  <c r="Z17" i="4"/>
  <c r="O18" i="4"/>
  <c r="Y10" i="4"/>
  <c r="R25" i="4"/>
  <c r="W5" i="4"/>
  <c r="J22" i="4"/>
  <c r="Z24" i="4"/>
  <c r="P15" i="4"/>
  <c r="N17" i="4"/>
  <c r="H18" i="4"/>
  <c r="O17" i="4"/>
  <c r="X21" i="4"/>
  <c r="L14" i="4"/>
  <c r="K12" i="4"/>
  <c r="Y24" i="4"/>
  <c r="T8" i="4"/>
  <c r="K10" i="4"/>
  <c r="S23" i="4"/>
  <c r="R9" i="4"/>
  <c r="AB14" i="4"/>
  <c r="H19" i="4"/>
  <c r="P20" i="4"/>
  <c r="AB20" i="4"/>
  <c r="H15" i="4"/>
  <c r="Y6" i="4"/>
  <c r="V25" i="4"/>
  <c r="V13" i="4"/>
  <c r="Y13" i="4"/>
  <c r="V17" i="4"/>
  <c r="J12" i="4"/>
  <c r="V8" i="4"/>
  <c r="H8" i="4"/>
  <c r="AA25" i="4"/>
  <c r="N14" i="4"/>
  <c r="X12" i="4"/>
  <c r="I25" i="4"/>
  <c r="L8" i="4"/>
  <c r="J11" i="4"/>
  <c r="O23" i="4"/>
  <c r="S15" i="4"/>
  <c r="J9" i="4"/>
  <c r="Q13" i="4"/>
  <c r="J17" i="4"/>
  <c r="M7" i="4"/>
  <c r="V15" i="4"/>
  <c r="P5" i="4"/>
  <c r="R23" i="4"/>
  <c r="V9" i="4"/>
  <c r="O20" i="4"/>
  <c r="N25" i="4"/>
  <c r="K9" i="4"/>
  <c r="V22" i="4"/>
  <c r="H6" i="4"/>
  <c r="Z5" i="4"/>
  <c r="AB8" i="4"/>
  <c r="Z7" i="4"/>
  <c r="U6" i="4"/>
  <c r="AB18" i="4"/>
  <c r="N6" i="4"/>
  <c r="L18" i="4"/>
  <c r="Q14" i="4"/>
  <c r="L6" i="4"/>
  <c r="Q20" i="4"/>
  <c r="K15" i="4"/>
  <c r="U24" i="4"/>
  <c r="H24" i="4"/>
  <c r="L11" i="4"/>
  <c r="J18" i="4"/>
  <c r="AA18" i="4"/>
  <c r="H12" i="4"/>
  <c r="I19" i="4"/>
  <c r="S19" i="4"/>
  <c r="AA24" i="4"/>
  <c r="S20" i="4"/>
  <c r="H23" i="4"/>
  <c r="T25" i="4"/>
  <c r="J19" i="4"/>
  <c r="W25" i="4"/>
  <c r="X20" i="4"/>
  <c r="AA16" i="4"/>
  <c r="P16" i="4"/>
  <c r="V14" i="4"/>
  <c r="O22" i="4"/>
  <c r="P12" i="4"/>
  <c r="V21" i="4"/>
  <c r="X7" i="4"/>
  <c r="M15" i="4"/>
  <c r="W15" i="4"/>
  <c r="K6" i="4"/>
  <c r="P7" i="4"/>
  <c r="H16" i="4"/>
  <c r="T17" i="4"/>
  <c r="W14" i="4"/>
  <c r="M8" i="4"/>
  <c r="R7" i="4"/>
  <c r="V10" i="4"/>
  <c r="R24" i="4"/>
  <c r="W24" i="4"/>
  <c r="V18" i="4"/>
  <c r="AB9" i="4"/>
  <c r="J6" i="4"/>
  <c r="M6" i="4"/>
  <c r="M19" i="4"/>
  <c r="Z15" i="4"/>
  <c r="N7" i="4"/>
  <c r="O10" i="4"/>
  <c r="T16" i="4"/>
  <c r="L24" i="4"/>
  <c r="K17" i="4"/>
  <c r="AA17" i="4"/>
  <c r="AB5" i="4"/>
  <c r="P22" i="4"/>
  <c r="Z10" i="4"/>
  <c r="AA23" i="4"/>
  <c r="AA11" i="4"/>
  <c r="J13" i="4"/>
  <c r="I17" i="4"/>
  <c r="M17" i="4"/>
  <c r="J24" i="4"/>
  <c r="T14" i="4"/>
  <c r="J16" i="4"/>
  <c r="U22" i="4"/>
  <c r="M25" i="4"/>
  <c r="O8" i="4"/>
  <c r="AA9" i="4"/>
  <c r="L25" i="4"/>
  <c r="S12" i="4"/>
  <c r="U9" i="4"/>
  <c r="R8" i="4"/>
  <c r="V24" i="4"/>
  <c r="W6" i="4"/>
  <c r="X14" i="4"/>
  <c r="T20" i="4"/>
  <c r="AB11" i="4"/>
  <c r="N9" i="4"/>
  <c r="Q12" i="4"/>
  <c r="S25" i="4"/>
  <c r="M11" i="4"/>
  <c r="R14" i="4"/>
  <c r="U10" i="4"/>
  <c r="P14" i="4"/>
  <c r="Q8" i="4"/>
  <c r="S17" i="4"/>
  <c r="X18" i="4"/>
  <c r="P21" i="4"/>
  <c r="J21" i="4"/>
  <c r="AA8" i="4"/>
  <c r="U16" i="4"/>
  <c r="N24" i="4"/>
  <c r="Z14" i="4"/>
  <c r="X8" i="4"/>
  <c r="O6" i="4"/>
  <c r="R13" i="4"/>
  <c r="T21" i="4"/>
  <c r="AB7" i="4"/>
  <c r="R12" i="4"/>
  <c r="Q11" i="4"/>
  <c r="U12" i="4"/>
  <c r="AB16" i="4"/>
  <c r="U18" i="4"/>
  <c r="H17" i="4"/>
  <c r="Q19" i="4"/>
  <c r="T23" i="4"/>
  <c r="X10" i="4"/>
  <c r="Z19" i="4"/>
  <c r="T15" i="4"/>
  <c r="I23" i="4"/>
  <c r="Z22" i="4"/>
  <c r="K20" i="4"/>
  <c r="AA21" i="4"/>
  <c r="O9" i="4"/>
  <c r="K7" i="4"/>
  <c r="U13" i="4"/>
  <c r="Z18" i="4"/>
  <c r="Y16" i="4"/>
  <c r="Q10" i="4"/>
  <c r="X24" i="4"/>
  <c r="V16" i="4"/>
  <c r="I21" i="4"/>
  <c r="I24" i="4"/>
  <c r="N5" i="4"/>
  <c r="N18" i="4"/>
  <c r="J7" i="4"/>
  <c r="W12" i="4"/>
  <c r="L5" i="4"/>
  <c r="AA12" i="4"/>
  <c r="T6" i="4"/>
  <c r="M5" i="4"/>
  <c r="R19" i="4"/>
  <c r="U7" i="4"/>
  <c r="Y8" i="4"/>
  <c r="P17" i="4"/>
  <c r="T13" i="4"/>
  <c r="X5" i="4"/>
  <c r="Z9" i="4"/>
  <c r="AA6" i="4"/>
  <c r="I15" i="4"/>
  <c r="N22" i="4"/>
  <c r="V19" i="4"/>
  <c r="H25" i="4"/>
  <c r="L15" i="4"/>
  <c r="P13" i="4"/>
  <c r="Z16" i="4"/>
  <c r="U25" i="4"/>
  <c r="L22" i="4"/>
  <c r="L7" i="4"/>
  <c r="V7" i="4"/>
  <c r="S9" i="4"/>
  <c r="AB25" i="4"/>
  <c r="Y20" i="4"/>
  <c r="W13" i="4"/>
  <c r="R6" i="4"/>
  <c r="O5" i="4"/>
  <c r="R18" i="4"/>
  <c r="P24" i="4"/>
  <c r="P25" i="4"/>
  <c r="R16" i="4"/>
  <c r="AB10" i="4"/>
  <c r="X13" i="4"/>
  <c r="Y9" i="4"/>
  <c r="I7" i="4"/>
  <c r="X19" i="4"/>
  <c r="V12" i="4"/>
  <c r="H5" i="4"/>
  <c r="J14" i="4"/>
  <c r="N12" i="4"/>
  <c r="W11" i="4"/>
  <c r="I9" i="4"/>
  <c r="I8" i="4"/>
  <c r="K23" i="4"/>
  <c r="K14" i="4"/>
  <c r="T19" i="4"/>
  <c r="Y15" i="4"/>
  <c r="I22" i="4"/>
  <c r="T9" i="4"/>
  <c r="W23" i="4"/>
  <c r="Q24" i="4"/>
  <c r="V11" i="4"/>
  <c r="K25" i="4"/>
  <c r="Y22" i="4"/>
  <c r="H11" i="4"/>
  <c r="U23" i="4"/>
  <c r="Y21" i="4"/>
  <c r="Z12" i="4"/>
  <c r="O12" i="4"/>
  <c r="S21" i="4"/>
  <c r="Y25" i="4"/>
  <c r="K22" i="4"/>
  <c r="X11" i="4"/>
  <c r="Q5" i="4"/>
  <c r="U17" i="4"/>
  <c r="Q21" i="4"/>
  <c r="U8" i="4"/>
  <c r="AA19" i="4"/>
  <c r="X16" i="4"/>
  <c r="H22" i="4"/>
  <c r="U5" i="4"/>
  <c r="S5" i="4"/>
  <c r="AB13" i="4"/>
  <c r="W10" i="4"/>
  <c r="R22" i="4"/>
  <c r="O19" i="4"/>
  <c r="M18" i="4"/>
  <c r="M14" i="4"/>
  <c r="T11" i="4"/>
  <c r="Z6" i="4"/>
  <c r="Z25" i="4"/>
  <c r="Z21" i="4"/>
  <c r="W16" i="4"/>
  <c r="L16" i="4"/>
  <c r="L9" i="4"/>
  <c r="V20" i="4"/>
  <c r="L20" i="4"/>
  <c r="I10" i="4"/>
  <c r="X25" i="4"/>
  <c r="R21" i="4"/>
  <c r="AB6" i="4"/>
  <c r="R20" i="4"/>
  <c r="O21" i="4"/>
  <c r="K21" i="4"/>
  <c r="AA13" i="4"/>
  <c r="S8" i="4"/>
  <c r="P9" i="4"/>
  <c r="Y23" i="4"/>
  <c r="AB19" i="4"/>
  <c r="T12" i="4"/>
  <c r="T24" i="4"/>
  <c r="Q22" i="4"/>
  <c r="H20" i="4"/>
  <c r="S18" i="4"/>
  <c r="O24" i="4"/>
  <c r="W18" i="4"/>
  <c r="U19" i="4"/>
  <c r="H7" i="4"/>
  <c r="U14" i="4"/>
  <c r="Z11" i="4"/>
  <c r="M16" i="4"/>
  <c r="N11" i="4"/>
  <c r="I16" i="4"/>
  <c r="O13" i="4"/>
  <c r="S16" i="4"/>
  <c r="N8" i="4"/>
  <c r="V5" i="4"/>
  <c r="X15" i="4"/>
  <c r="O25" i="4"/>
  <c r="Y5" i="4"/>
  <c r="I6" i="4"/>
  <c r="O15" i="4"/>
  <c r="H14" i="4"/>
  <c r="T18" i="4"/>
  <c r="I12" i="4"/>
  <c r="Y17" i="4"/>
  <c r="Q9" i="4"/>
  <c r="W20" i="4"/>
  <c r="Y12" i="4"/>
  <c r="P11" i="4"/>
  <c r="O7" i="4"/>
  <c r="N16" i="4"/>
  <c r="AA14" i="4"/>
  <c r="M13" i="4"/>
  <c r="Q15" i="4"/>
  <c r="S11" i="4"/>
  <c r="X9" i="4"/>
</calcChain>
</file>

<file path=xl/sharedStrings.xml><?xml version="1.0" encoding="utf-8"?>
<sst xmlns="http://schemas.openxmlformats.org/spreadsheetml/2006/main" count="529" uniqueCount="83">
  <si>
    <t>x1(C1)</t>
  </si>
  <si>
    <t>x2(C1)</t>
  </si>
  <si>
    <t>o(C1)</t>
  </si>
  <si>
    <t>x1(C2)</t>
  </si>
  <si>
    <t>x2(C2)</t>
  </si>
  <si>
    <t>o(C2)</t>
  </si>
  <si>
    <t>Пр.доли C1: d(C1,C2)</t>
  </si>
  <si>
    <t>Скор обучения v</t>
  </si>
  <si>
    <t>Кол-во эпох N</t>
  </si>
  <si>
    <t>Кол.набл.в парт. n</t>
  </si>
  <si>
    <t>Парамтеры исходных данных</t>
  </si>
  <si>
    <t>Случайные величины</t>
  </si>
  <si>
    <t>Обучающая выборка</t>
  </si>
  <si>
    <t>Два класса</t>
  </si>
  <si>
    <t>Обучение перцептрона</t>
  </si>
  <si>
    <t>№ объек</t>
  </si>
  <si>
    <t>Исх N(0;1) [0;1]</t>
  </si>
  <si>
    <t>d</t>
  </si>
  <si>
    <t>C1</t>
  </si>
  <si>
    <t>C2</t>
  </si>
  <si>
    <t>y</t>
  </si>
  <si>
    <t>e</t>
  </si>
  <si>
    <t>Ej</t>
  </si>
  <si>
    <t>w0</t>
  </si>
  <si>
    <t>w1</t>
  </si>
  <si>
    <t>w2</t>
  </si>
  <si>
    <t>r1</t>
  </si>
  <si>
    <t>r2</t>
  </si>
  <si>
    <t>o</t>
  </si>
  <si>
    <t>x0</t>
  </si>
  <si>
    <t>x1</t>
  </si>
  <si>
    <t>x2</t>
  </si>
  <si>
    <t>Выход</t>
  </si>
  <si>
    <t>s(wx)</t>
  </si>
  <si>
    <t>Прогноз</t>
  </si>
  <si>
    <t>Ош</t>
  </si>
  <si>
    <t>К-во</t>
  </si>
  <si>
    <t>dw0</t>
  </si>
  <si>
    <t>dw1</t>
  </si>
  <si>
    <t>dw2</t>
  </si>
  <si>
    <t>Исх N(0;1)            [0;1]</t>
  </si>
  <si>
    <t>Погн</t>
  </si>
  <si>
    <t>Ошибка</t>
  </si>
  <si>
    <t>Ошибки</t>
  </si>
  <si>
    <t>Всего ош</t>
  </si>
  <si>
    <t>пргн last</t>
  </si>
  <si>
    <t>Кл-во ош</t>
  </si>
  <si>
    <t>Обучение поиск решением</t>
  </si>
  <si>
    <t>L</t>
  </si>
  <si>
    <t>y Прог</t>
  </si>
  <si>
    <t>N эпохи</t>
  </si>
  <si>
    <t>к ошибок</t>
  </si>
  <si>
    <t>Данные для графиков</t>
  </si>
  <si>
    <t>Исх N(0;1)                   [0;1]</t>
  </si>
  <si>
    <t>Тестовая выборка</t>
  </si>
  <si>
    <t>Анализ ошибок</t>
  </si>
  <si>
    <t>Поиском решения</t>
  </si>
  <si>
    <t>П/реш</t>
  </si>
  <si>
    <t>НЕВД</t>
  </si>
  <si>
    <t>Эпоха</t>
  </si>
  <si>
    <t>N</t>
  </si>
  <si>
    <t>w2\w1</t>
  </si>
  <si>
    <t>x3(C1)</t>
  </si>
  <si>
    <t>x4(C2)</t>
  </si>
  <si>
    <t>x5(C2)</t>
  </si>
  <si>
    <t>x3(C2)</t>
  </si>
  <si>
    <t>w3</t>
  </si>
  <si>
    <t>w4</t>
  </si>
  <si>
    <t>w5</t>
  </si>
  <si>
    <t>№ эпохи</t>
  </si>
  <si>
    <t>кол-в.ош</t>
  </si>
  <si>
    <t>r3</t>
  </si>
  <si>
    <t>r4</t>
  </si>
  <si>
    <t>r5</t>
  </si>
  <si>
    <t>x3</t>
  </si>
  <si>
    <t>x4</t>
  </si>
  <si>
    <t>x5</t>
  </si>
  <si>
    <t>dw3</t>
  </si>
  <si>
    <t>dw4</t>
  </si>
  <si>
    <t>dw5</t>
  </si>
  <si>
    <t>Парметры линии разделения выборки</t>
  </si>
  <si>
    <t>Два класса тестовых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</si>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</sst>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sz val="11"/>
      <color rgb="FFFF0000"/>
      <name val="Calibri"/>
      <family val="2"/>
      <scheme val="minor"/>
    </font>
    <font>
      <sz val="11"/>
      <color rgb="FFFF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0" xfId="0"/>
    <xf numFmtId="0" fontId="0" fillId="4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2" borderId="0" xfId="0" applyFill="1" applyAlignment="1">
      <alignment horizontal="left"/>
    </xf>
    <xf numFmtId="0" fontId="0" fillId="0" borderId="0" xfId="0"/>
    <xf numFmtId="0" fontId="0" fillId="4" borderId="0" xfId="0" applyFill="1" applyAlignment="1">
      <alignment horizontal="center"/>
    </xf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0" fillId="4" borderId="0" xfId="0" applyFill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1" fontId="0" fillId="0" borderId="0" xfId="0" applyNumberForma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3" borderId="0" xfId="0" applyFill="1"/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4" fillId="0" borderId="0" xfId="0" applyFont="1"/>
    <xf numFmtId="0" fontId="0" fillId="0" borderId="2" xfId="0" applyBorder="1" applyAlignment="1">
      <alignment horizontal="center"/>
    </xf>
    <xf numFmtId="165" fontId="0" fillId="0" borderId="0" xfId="0" applyNumberFormat="1" applyBorder="1" applyAlignment="1">
      <alignment horizontal="center"/>
    </xf>
    <xf numFmtId="0" fontId="2" fillId="0" borderId="0" xfId="0" applyFont="1" applyBorder="1"/>
    <xf numFmtId="0" fontId="1" fillId="0" borderId="0" xfId="0" applyFont="1" applyBorder="1"/>
    <xf numFmtId="165" fontId="1" fillId="0" borderId="0" xfId="0" applyNumberFormat="1" applyFont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0" fontId="0" fillId="5" borderId="0" xfId="0" applyFill="1" applyAlignment="1">
      <alignment horizontal="center"/>
    </xf>
    <xf numFmtId="0" fontId="0" fillId="0" borderId="5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1" fillId="0" borderId="0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Сходимость</a:t>
            </a:r>
            <a:r>
              <a:rPr lang="ru-RU" baseline="0"/>
              <a:t> параметров обучения</a:t>
            </a:r>
          </a:p>
        </c:rich>
      </c:tx>
      <c:layout>
        <c:manualLayout>
          <c:xMode val="edge"/>
          <c:yMode val="edge"/>
          <c:x val="0.16057633420822398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 переменные'!$AM$21:$AM$31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xVal>
          <c:yVal>
            <c:numRef>
              <c:f>'2 переменные'!$AO$21:$AO$31</c:f>
              <c:numCache>
                <c:formatCode>General</c:formatCode>
                <c:ptCount val="11"/>
                <c:pt idx="0">
                  <c:v>0.1</c:v>
                </c:pt>
                <c:pt idx="1">
                  <c:v>-0.600823999755</c:v>
                </c:pt>
                <c:pt idx="2">
                  <c:v>-0.600823999755</c:v>
                </c:pt>
                <c:pt idx="3">
                  <c:v>-0.600823999755</c:v>
                </c:pt>
                <c:pt idx="4">
                  <c:v>-0.600823999755</c:v>
                </c:pt>
                <c:pt idx="5">
                  <c:v>-0.600823999755</c:v>
                </c:pt>
                <c:pt idx="6">
                  <c:v>-0.600823999755</c:v>
                </c:pt>
                <c:pt idx="7">
                  <c:v>-0.600823999755</c:v>
                </c:pt>
                <c:pt idx="8">
                  <c:v>-0.600823999755</c:v>
                </c:pt>
                <c:pt idx="9">
                  <c:v>-0.600823999755</c:v>
                </c:pt>
                <c:pt idx="10">
                  <c:v>-0.600823999755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FBE-43F2-A47B-BA4C73F36C66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 переменные'!$AM$21:$AM$31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xVal>
          <c:yVal>
            <c:numRef>
              <c:f>'2 переменные'!$AP$21:$AP$31</c:f>
              <c:numCache>
                <c:formatCode>General</c:formatCode>
                <c:ptCount val="11"/>
                <c:pt idx="0">
                  <c:v>0.1</c:v>
                </c:pt>
                <c:pt idx="1">
                  <c:v>-10.143660466611575</c:v>
                </c:pt>
                <c:pt idx="2">
                  <c:v>-11.934914502824579</c:v>
                </c:pt>
                <c:pt idx="3">
                  <c:v>-11.934914502824579</c:v>
                </c:pt>
                <c:pt idx="4">
                  <c:v>-11.934914502824579</c:v>
                </c:pt>
                <c:pt idx="5">
                  <c:v>-11.934914502824579</c:v>
                </c:pt>
                <c:pt idx="6">
                  <c:v>-11.934914502824579</c:v>
                </c:pt>
                <c:pt idx="7">
                  <c:v>-11.934914502824579</c:v>
                </c:pt>
                <c:pt idx="8">
                  <c:v>-11.934914502824579</c:v>
                </c:pt>
                <c:pt idx="9">
                  <c:v>-11.934914502824579</c:v>
                </c:pt>
                <c:pt idx="10">
                  <c:v>-11.934914502824579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FBE-43F2-A47B-BA4C73F36C66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'2 переменные'!$AM$21:$AM$31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xVal>
          <c:yVal>
            <c:numRef>
              <c:f>'2 переменные'!$AQ$21:$AQ$31</c:f>
              <c:numCache>
                <c:formatCode>General</c:formatCode>
                <c:ptCount val="11"/>
                <c:pt idx="0">
                  <c:v>0.1</c:v>
                </c:pt>
                <c:pt idx="1">
                  <c:v>4.5867160440106778</c:v>
                </c:pt>
                <c:pt idx="2">
                  <c:v>12.332992966090206</c:v>
                </c:pt>
                <c:pt idx="3">
                  <c:v>12.332992966090206</c:v>
                </c:pt>
                <c:pt idx="4">
                  <c:v>12.332992966090206</c:v>
                </c:pt>
                <c:pt idx="5">
                  <c:v>12.332992966090206</c:v>
                </c:pt>
                <c:pt idx="6">
                  <c:v>12.332992966090206</c:v>
                </c:pt>
                <c:pt idx="7">
                  <c:v>12.332992966090206</c:v>
                </c:pt>
                <c:pt idx="8">
                  <c:v>12.332992966090206</c:v>
                </c:pt>
                <c:pt idx="9">
                  <c:v>12.332992966090206</c:v>
                </c:pt>
                <c:pt idx="10">
                  <c:v>12.332992966090206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FBE-43F2-A47B-BA4C73F36C66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'2 переменные'!$AM$21:$AM$31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xVal>
          <c:yVal>
            <c:numRef>
              <c:f>'2 переменные'!$AN$21:$AN$31</c:f>
              <c:numCache>
                <c:formatCode>General</c:formatCode>
                <c:ptCount val="11"/>
                <c:pt idx="1">
                  <c:v>3</c:v>
                </c:pt>
                <c:pt idx="2">
                  <c:v>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FBE-43F2-A47B-BA4C73F36C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5299696"/>
        <c:axId val="1195309776"/>
      </c:scatterChart>
      <c:valAx>
        <c:axId val="1195299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95309776"/>
        <c:crosses val="autoZero"/>
        <c:crossBetween val="midCat"/>
      </c:valAx>
      <c:valAx>
        <c:axId val="1195309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952996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Обучающая выборка</a:t>
            </a:r>
            <a:r>
              <a:rPr lang="ru-RU" baseline="0"/>
              <a:t> и линии классификации</a:t>
            </a:r>
          </a:p>
        </c:rich>
      </c:tx>
      <c:layout>
        <c:manualLayout>
          <c:xMode val="edge"/>
          <c:yMode val="edge"/>
          <c:x val="0.27882418767421513"/>
          <c:y val="2.72506040959282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Класс1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 переменные'!$N$23:$N$222</c:f>
              <c:numCache>
                <c:formatCode>General</c:formatCode>
                <c:ptCount val="200"/>
                <c:pt idx="0">
                  <c:v>7.6538009390827337</c:v>
                </c:pt>
                <c:pt idx="1">
                  <c:v>5.2693147722937805</c:v>
                </c:pt>
                <c:pt idx="2">
                  <c:v>-100</c:v>
                </c:pt>
                <c:pt idx="3">
                  <c:v>-100</c:v>
                </c:pt>
                <c:pt idx="4">
                  <c:v>-100</c:v>
                </c:pt>
                <c:pt idx="5">
                  <c:v>5.3960834789692491</c:v>
                </c:pt>
                <c:pt idx="6">
                  <c:v>8.6735296874302819</c:v>
                </c:pt>
                <c:pt idx="7">
                  <c:v>-100</c:v>
                </c:pt>
                <c:pt idx="8">
                  <c:v>5.8661123940921698</c:v>
                </c:pt>
                <c:pt idx="9">
                  <c:v>6.2643309490894357</c:v>
                </c:pt>
                <c:pt idx="10">
                  <c:v>6.6534679044734206</c:v>
                </c:pt>
                <c:pt idx="11">
                  <c:v>5.5733656128385984</c:v>
                </c:pt>
                <c:pt idx="12">
                  <c:v>6.0621395658205852</c:v>
                </c:pt>
                <c:pt idx="13">
                  <c:v>7.8682092946521411</c:v>
                </c:pt>
                <c:pt idx="14">
                  <c:v>4.3128671214139729</c:v>
                </c:pt>
                <c:pt idx="15">
                  <c:v>-100</c:v>
                </c:pt>
                <c:pt idx="16">
                  <c:v>-100</c:v>
                </c:pt>
                <c:pt idx="17">
                  <c:v>6.2451319131988088</c:v>
                </c:pt>
                <c:pt idx="18">
                  <c:v>-100</c:v>
                </c:pt>
                <c:pt idx="19">
                  <c:v>-100</c:v>
                </c:pt>
                <c:pt idx="20">
                  <c:v>5.8269653075079439</c:v>
                </c:pt>
                <c:pt idx="21">
                  <c:v>-100</c:v>
                </c:pt>
                <c:pt idx="22">
                  <c:v>6.4345392363731655</c:v>
                </c:pt>
                <c:pt idx="23">
                  <c:v>8.0345856418716508</c:v>
                </c:pt>
                <c:pt idx="24">
                  <c:v>6.8846135448742336</c:v>
                </c:pt>
                <c:pt idx="25">
                  <c:v>10.622069571104644</c:v>
                </c:pt>
                <c:pt idx="26">
                  <c:v>-100</c:v>
                </c:pt>
                <c:pt idx="27">
                  <c:v>-100</c:v>
                </c:pt>
                <c:pt idx="28">
                  <c:v>4.5046903041497766</c:v>
                </c:pt>
                <c:pt idx="29">
                  <c:v>-100</c:v>
                </c:pt>
                <c:pt idx="30">
                  <c:v>2.5035227064197509</c:v>
                </c:pt>
                <c:pt idx="31">
                  <c:v>9.785795363077197</c:v>
                </c:pt>
                <c:pt idx="32">
                  <c:v>5.0805400961958949</c:v>
                </c:pt>
                <c:pt idx="33">
                  <c:v>7.3560732913385003</c:v>
                </c:pt>
                <c:pt idx="34">
                  <c:v>5.4595301136253918</c:v>
                </c:pt>
                <c:pt idx="35">
                  <c:v>7.4683566745376693</c:v>
                </c:pt>
                <c:pt idx="36">
                  <c:v>8.3822956866212248</c:v>
                </c:pt>
                <c:pt idx="37">
                  <c:v>-100</c:v>
                </c:pt>
                <c:pt idx="38">
                  <c:v>5.5260023091705648</c:v>
                </c:pt>
                <c:pt idx="39">
                  <c:v>-100</c:v>
                </c:pt>
                <c:pt idx="40">
                  <c:v>4.8199419481158463</c:v>
                </c:pt>
                <c:pt idx="41">
                  <c:v>-100</c:v>
                </c:pt>
                <c:pt idx="42">
                  <c:v>6.8619152822782548</c:v>
                </c:pt>
                <c:pt idx="43">
                  <c:v>8.2361771577052973</c:v>
                </c:pt>
                <c:pt idx="44">
                  <c:v>5.7248714757969106</c:v>
                </c:pt>
                <c:pt idx="45">
                  <c:v>3.8698896052474119</c:v>
                </c:pt>
                <c:pt idx="46">
                  <c:v>5.3455733297394943</c:v>
                </c:pt>
                <c:pt idx="47">
                  <c:v>-100</c:v>
                </c:pt>
                <c:pt idx="48">
                  <c:v>-100</c:v>
                </c:pt>
                <c:pt idx="49">
                  <c:v>6.1414367960118366</c:v>
                </c:pt>
                <c:pt idx="50">
                  <c:v>-100</c:v>
                </c:pt>
                <c:pt idx="51">
                  <c:v>7.2996857524294052</c:v>
                </c:pt>
                <c:pt idx="52">
                  <c:v>7.3946582070749809</c:v>
                </c:pt>
                <c:pt idx="53">
                  <c:v>-100</c:v>
                </c:pt>
                <c:pt idx="54">
                  <c:v>-100</c:v>
                </c:pt>
                <c:pt idx="55">
                  <c:v>7.7436204341209907</c:v>
                </c:pt>
                <c:pt idx="56">
                  <c:v>8.6546879496294746</c:v>
                </c:pt>
                <c:pt idx="57">
                  <c:v>-100</c:v>
                </c:pt>
                <c:pt idx="58">
                  <c:v>6.0983446796010146</c:v>
                </c:pt>
                <c:pt idx="59">
                  <c:v>5.8657714858229832</c:v>
                </c:pt>
                <c:pt idx="60">
                  <c:v>-100</c:v>
                </c:pt>
                <c:pt idx="61">
                  <c:v>7.6973290247224186</c:v>
                </c:pt>
                <c:pt idx="62">
                  <c:v>5.638580709141146</c:v>
                </c:pt>
                <c:pt idx="63">
                  <c:v>7.2002683784278982</c:v>
                </c:pt>
                <c:pt idx="64">
                  <c:v>7.9296678440653849</c:v>
                </c:pt>
                <c:pt idx="65">
                  <c:v>7.2682058239377483</c:v>
                </c:pt>
                <c:pt idx="66">
                  <c:v>-100</c:v>
                </c:pt>
                <c:pt idx="67">
                  <c:v>5.445361113687329</c:v>
                </c:pt>
                <c:pt idx="68">
                  <c:v>4.2589839470977484</c:v>
                </c:pt>
                <c:pt idx="69">
                  <c:v>4.2068643174817391</c:v>
                </c:pt>
                <c:pt idx="70">
                  <c:v>3.1634031088562096</c:v>
                </c:pt>
                <c:pt idx="71">
                  <c:v>5.5948002202636982</c:v>
                </c:pt>
                <c:pt idx="72">
                  <c:v>-100</c:v>
                </c:pt>
                <c:pt idx="73">
                  <c:v>-100</c:v>
                </c:pt>
                <c:pt idx="74">
                  <c:v>7.9569896750622044</c:v>
                </c:pt>
                <c:pt idx="75">
                  <c:v>-100</c:v>
                </c:pt>
                <c:pt idx="76">
                  <c:v>6.4019890525941099</c:v>
                </c:pt>
                <c:pt idx="77">
                  <c:v>3.6682685877366241</c:v>
                </c:pt>
                <c:pt idx="78">
                  <c:v>6.9377919569031974</c:v>
                </c:pt>
                <c:pt idx="79">
                  <c:v>5.9906570021076089</c:v>
                </c:pt>
                <c:pt idx="80">
                  <c:v>5.8998213381900468</c:v>
                </c:pt>
                <c:pt idx="81">
                  <c:v>6.5933336525674022</c:v>
                </c:pt>
                <c:pt idx="82">
                  <c:v>8.1062583275039799</c:v>
                </c:pt>
                <c:pt idx="83">
                  <c:v>-100</c:v>
                </c:pt>
                <c:pt idx="84">
                  <c:v>-100</c:v>
                </c:pt>
                <c:pt idx="85">
                  <c:v>7.5639388305108284</c:v>
                </c:pt>
                <c:pt idx="86">
                  <c:v>-100</c:v>
                </c:pt>
                <c:pt idx="87">
                  <c:v>8.3055847701260141</c:v>
                </c:pt>
                <c:pt idx="88">
                  <c:v>-100</c:v>
                </c:pt>
                <c:pt idx="89">
                  <c:v>5.8941766839637086</c:v>
                </c:pt>
                <c:pt idx="90">
                  <c:v>3.8436331125917995</c:v>
                </c:pt>
                <c:pt idx="91">
                  <c:v>5.6831397144987079</c:v>
                </c:pt>
                <c:pt idx="92">
                  <c:v>7.2822797629161347</c:v>
                </c:pt>
                <c:pt idx="93">
                  <c:v>5.4063992320762662</c:v>
                </c:pt>
                <c:pt idx="94">
                  <c:v>-100</c:v>
                </c:pt>
                <c:pt idx="95">
                  <c:v>-100</c:v>
                </c:pt>
                <c:pt idx="96">
                  <c:v>7.366861071279776</c:v>
                </c:pt>
                <c:pt idx="97">
                  <c:v>7.0848348717028813</c:v>
                </c:pt>
                <c:pt idx="98">
                  <c:v>4.7353573617880773</c:v>
                </c:pt>
                <c:pt idx="99">
                  <c:v>-100</c:v>
                </c:pt>
                <c:pt idx="100">
                  <c:v>4.1026447260344803</c:v>
                </c:pt>
                <c:pt idx="101">
                  <c:v>-100</c:v>
                </c:pt>
                <c:pt idx="102">
                  <c:v>-100</c:v>
                </c:pt>
                <c:pt idx="103">
                  <c:v>-100</c:v>
                </c:pt>
                <c:pt idx="104">
                  <c:v>-100</c:v>
                </c:pt>
                <c:pt idx="105">
                  <c:v>8.2320272551207765</c:v>
                </c:pt>
                <c:pt idx="106">
                  <c:v>4.4574777868315758</c:v>
                </c:pt>
                <c:pt idx="107">
                  <c:v>5.4788930477223587</c:v>
                </c:pt>
                <c:pt idx="108">
                  <c:v>4.7062687081269159</c:v>
                </c:pt>
                <c:pt idx="109">
                  <c:v>3.8091292621931756</c:v>
                </c:pt>
                <c:pt idx="110">
                  <c:v>5.3101024799234668</c:v>
                </c:pt>
                <c:pt idx="111">
                  <c:v>6.774441170572719</c:v>
                </c:pt>
                <c:pt idx="112">
                  <c:v>-100</c:v>
                </c:pt>
                <c:pt idx="113">
                  <c:v>-100</c:v>
                </c:pt>
                <c:pt idx="114">
                  <c:v>6.2562753522478411</c:v>
                </c:pt>
                <c:pt idx="115">
                  <c:v>-100</c:v>
                </c:pt>
                <c:pt idx="116">
                  <c:v>6.7244915532086456</c:v>
                </c:pt>
                <c:pt idx="117">
                  <c:v>5.6099739162066236</c:v>
                </c:pt>
                <c:pt idx="118">
                  <c:v>7.8887195161934853</c:v>
                </c:pt>
                <c:pt idx="119">
                  <c:v>6.1287379629846406</c:v>
                </c:pt>
                <c:pt idx="120">
                  <c:v>5.9966786222085275</c:v>
                </c:pt>
                <c:pt idx="121">
                  <c:v>6.3289773186159852</c:v>
                </c:pt>
                <c:pt idx="122">
                  <c:v>5.2706784053705267</c:v>
                </c:pt>
                <c:pt idx="123">
                  <c:v>3.4472616903799818</c:v>
                </c:pt>
                <c:pt idx="124">
                  <c:v>-100</c:v>
                </c:pt>
                <c:pt idx="125">
                  <c:v>6.372090741793631</c:v>
                </c:pt>
                <c:pt idx="126">
                  <c:v>6.5602835792590106</c:v>
                </c:pt>
                <c:pt idx="127">
                  <c:v>-100</c:v>
                </c:pt>
                <c:pt idx="128">
                  <c:v>5.770590880455357</c:v>
                </c:pt>
                <c:pt idx="129">
                  <c:v>6.9272795259485722</c:v>
                </c:pt>
                <c:pt idx="130">
                  <c:v>4.9213195446651756</c:v>
                </c:pt>
                <c:pt idx="131">
                  <c:v>5.7530078808792382</c:v>
                </c:pt>
                <c:pt idx="132">
                  <c:v>-100</c:v>
                </c:pt>
                <c:pt idx="133">
                  <c:v>6.452312357868637</c:v>
                </c:pt>
                <c:pt idx="134">
                  <c:v>4.2904065112171867</c:v>
                </c:pt>
                <c:pt idx="135">
                  <c:v>6.7814789595529437</c:v>
                </c:pt>
                <c:pt idx="136">
                  <c:v>6.6881930174506028</c:v>
                </c:pt>
                <c:pt idx="137">
                  <c:v>6.010936127178014</c:v>
                </c:pt>
                <c:pt idx="138">
                  <c:v>-100</c:v>
                </c:pt>
                <c:pt idx="139">
                  <c:v>-100</c:v>
                </c:pt>
                <c:pt idx="140">
                  <c:v>7.366861071279776</c:v>
                </c:pt>
                <c:pt idx="141">
                  <c:v>7.3817036928458943</c:v>
                </c:pt>
                <c:pt idx="142">
                  <c:v>5.8799339298327933</c:v>
                </c:pt>
                <c:pt idx="143">
                  <c:v>-100</c:v>
                </c:pt>
                <c:pt idx="144">
                  <c:v>4.2339468570973029</c:v>
                </c:pt>
                <c:pt idx="145">
                  <c:v>8.1586991976044168</c:v>
                </c:pt>
                <c:pt idx="146">
                  <c:v>5.8546460755766478</c:v>
                </c:pt>
                <c:pt idx="147">
                  <c:v>-100</c:v>
                </c:pt>
                <c:pt idx="148">
                  <c:v>-100</c:v>
                </c:pt>
                <c:pt idx="149">
                  <c:v>7.0415591893009584</c:v>
                </c:pt>
                <c:pt idx="150">
                  <c:v>-100</c:v>
                </c:pt>
                <c:pt idx="151">
                  <c:v>5.7627336004434335</c:v>
                </c:pt>
                <c:pt idx="152">
                  <c:v>7.4136474532614933</c:v>
                </c:pt>
                <c:pt idx="153">
                  <c:v>6.6799227139587041</c:v>
                </c:pt>
                <c:pt idx="154">
                  <c:v>6.9448215509731055</c:v>
                </c:pt>
                <c:pt idx="155">
                  <c:v>7.6844105680987269</c:v>
                </c:pt>
                <c:pt idx="156">
                  <c:v>6.5230114881553103</c:v>
                </c:pt>
                <c:pt idx="157">
                  <c:v>6.5018079772011488</c:v>
                </c:pt>
                <c:pt idx="158">
                  <c:v>-100</c:v>
                </c:pt>
                <c:pt idx="159">
                  <c:v>5.0174819002887769</c:v>
                </c:pt>
                <c:pt idx="160">
                  <c:v>6.5948202092989021</c:v>
                </c:pt>
                <c:pt idx="161">
                  <c:v>4.8999996659845131</c:v>
                </c:pt>
                <c:pt idx="162">
                  <c:v>-100</c:v>
                </c:pt>
                <c:pt idx="163">
                  <c:v>6.4908939956409917</c:v>
                </c:pt>
                <c:pt idx="164">
                  <c:v>4.0654463891236325</c:v>
                </c:pt>
                <c:pt idx="165">
                  <c:v>9.0445821147267491</c:v>
                </c:pt>
                <c:pt idx="166">
                  <c:v>6.3853074931528599</c:v>
                </c:pt>
                <c:pt idx="167">
                  <c:v>-100</c:v>
                </c:pt>
                <c:pt idx="168">
                  <c:v>7.1878629231900506</c:v>
                </c:pt>
                <c:pt idx="169">
                  <c:v>-100</c:v>
                </c:pt>
                <c:pt idx="170">
                  <c:v>6.255944277871035</c:v>
                </c:pt>
                <c:pt idx="171">
                  <c:v>6.8752697081308103</c:v>
                </c:pt>
                <c:pt idx="172">
                  <c:v>-100</c:v>
                </c:pt>
                <c:pt idx="173">
                  <c:v>6.1520328150516947</c:v>
                </c:pt>
                <c:pt idx="174">
                  <c:v>-100</c:v>
                </c:pt>
                <c:pt idx="175">
                  <c:v>6.0402853789872557</c:v>
                </c:pt>
                <c:pt idx="176">
                  <c:v>6.256827689203206</c:v>
                </c:pt>
                <c:pt idx="177">
                  <c:v>-100</c:v>
                </c:pt>
                <c:pt idx="178">
                  <c:v>6.4036591753167116</c:v>
                </c:pt>
                <c:pt idx="179">
                  <c:v>-100</c:v>
                </c:pt>
                <c:pt idx="180">
                  <c:v>4.4655153548704725</c:v>
                </c:pt>
                <c:pt idx="181">
                  <c:v>5.4607904908321441</c:v>
                </c:pt>
                <c:pt idx="182">
                  <c:v>4.4809775116565556</c:v>
                </c:pt>
                <c:pt idx="183">
                  <c:v>10.419832296338019</c:v>
                </c:pt>
                <c:pt idx="184">
                  <c:v>7.5675511469785546</c:v>
                </c:pt>
                <c:pt idx="185">
                  <c:v>-100</c:v>
                </c:pt>
                <c:pt idx="186">
                  <c:v>-100</c:v>
                </c:pt>
                <c:pt idx="187">
                  <c:v>7.1704225150534473</c:v>
                </c:pt>
                <c:pt idx="188">
                  <c:v>8.6348890463036447</c:v>
                </c:pt>
                <c:pt idx="189">
                  <c:v>7.7545622783762251</c:v>
                </c:pt>
                <c:pt idx="190">
                  <c:v>-100</c:v>
                </c:pt>
                <c:pt idx="191">
                  <c:v>-100</c:v>
                </c:pt>
                <c:pt idx="192">
                  <c:v>8.1540248207596093</c:v>
                </c:pt>
                <c:pt idx="193">
                  <c:v>5.1285688265816667</c:v>
                </c:pt>
                <c:pt idx="194">
                  <c:v>4.4186011322878098</c:v>
                </c:pt>
                <c:pt idx="195">
                  <c:v>7.404905122935336</c:v>
                </c:pt>
                <c:pt idx="196">
                  <c:v>-100</c:v>
                </c:pt>
                <c:pt idx="197">
                  <c:v>6.0058143082299003</c:v>
                </c:pt>
                <c:pt idx="198">
                  <c:v>6.2356438460338062</c:v>
                </c:pt>
                <c:pt idx="199">
                  <c:v>5.6937291776103125</c:v>
                </c:pt>
              </c:numCache>
            </c:numRef>
          </c:xVal>
          <c:yVal>
            <c:numRef>
              <c:f>'2 переменные'!$O$23:$O$222</c:f>
              <c:numCache>
                <c:formatCode>General</c:formatCode>
                <c:ptCount val="200"/>
                <c:pt idx="0">
                  <c:v>15.768475407131049</c:v>
                </c:pt>
                <c:pt idx="1">
                  <c:v>14.068995237810423</c:v>
                </c:pt>
                <c:pt idx="2">
                  <c:v>-100</c:v>
                </c:pt>
                <c:pt idx="3">
                  <c:v>-100</c:v>
                </c:pt>
                <c:pt idx="4">
                  <c:v>-100</c:v>
                </c:pt>
                <c:pt idx="5">
                  <c:v>14.341757910765002</c:v>
                </c:pt>
                <c:pt idx="6">
                  <c:v>13.771946128640437</c:v>
                </c:pt>
                <c:pt idx="7">
                  <c:v>-100</c:v>
                </c:pt>
                <c:pt idx="8">
                  <c:v>15.867486313580834</c:v>
                </c:pt>
                <c:pt idx="9">
                  <c:v>12.882972091346538</c:v>
                </c:pt>
                <c:pt idx="10">
                  <c:v>16.579853477615504</c:v>
                </c:pt>
                <c:pt idx="11">
                  <c:v>13.957495288037558</c:v>
                </c:pt>
                <c:pt idx="12">
                  <c:v>16.909262648645193</c:v>
                </c:pt>
                <c:pt idx="13">
                  <c:v>15.029002757731929</c:v>
                </c:pt>
                <c:pt idx="14">
                  <c:v>13.114943778707302</c:v>
                </c:pt>
                <c:pt idx="15">
                  <c:v>-100</c:v>
                </c:pt>
                <c:pt idx="16">
                  <c:v>-100</c:v>
                </c:pt>
                <c:pt idx="17">
                  <c:v>13.352910862455971</c:v>
                </c:pt>
                <c:pt idx="18">
                  <c:v>-100</c:v>
                </c:pt>
                <c:pt idx="19">
                  <c:v>-100</c:v>
                </c:pt>
                <c:pt idx="20">
                  <c:v>15.347096396595928</c:v>
                </c:pt>
                <c:pt idx="21">
                  <c:v>-100</c:v>
                </c:pt>
                <c:pt idx="22">
                  <c:v>14.685990035576049</c:v>
                </c:pt>
                <c:pt idx="23">
                  <c:v>16.535935314244728</c:v>
                </c:pt>
                <c:pt idx="24">
                  <c:v>16.265139419766228</c:v>
                </c:pt>
                <c:pt idx="25">
                  <c:v>12.768571143321459</c:v>
                </c:pt>
                <c:pt idx="26">
                  <c:v>-100</c:v>
                </c:pt>
                <c:pt idx="27">
                  <c:v>-100</c:v>
                </c:pt>
                <c:pt idx="28">
                  <c:v>14.086043929233874</c:v>
                </c:pt>
                <c:pt idx="29">
                  <c:v>-100</c:v>
                </c:pt>
                <c:pt idx="30">
                  <c:v>14.544005019424008</c:v>
                </c:pt>
                <c:pt idx="31">
                  <c:v>12.842967817143155</c:v>
                </c:pt>
                <c:pt idx="32">
                  <c:v>15.769111332171647</c:v>
                </c:pt>
                <c:pt idx="33">
                  <c:v>14.488943417004201</c:v>
                </c:pt>
                <c:pt idx="34">
                  <c:v>15.230820453090324</c:v>
                </c:pt>
                <c:pt idx="35">
                  <c:v>15.532797981324945</c:v>
                </c:pt>
                <c:pt idx="36">
                  <c:v>15.554352234440673</c:v>
                </c:pt>
                <c:pt idx="37">
                  <c:v>-100</c:v>
                </c:pt>
                <c:pt idx="38">
                  <c:v>14.816988954957143</c:v>
                </c:pt>
                <c:pt idx="39">
                  <c:v>-100</c:v>
                </c:pt>
                <c:pt idx="40">
                  <c:v>17.112896336129829</c:v>
                </c:pt>
                <c:pt idx="41">
                  <c:v>-100</c:v>
                </c:pt>
                <c:pt idx="42">
                  <c:v>14.038084036094766</c:v>
                </c:pt>
                <c:pt idx="43">
                  <c:v>17.802875005178503</c:v>
                </c:pt>
                <c:pt idx="44">
                  <c:v>16.386211024789329</c:v>
                </c:pt>
                <c:pt idx="45">
                  <c:v>14.652931767357341</c:v>
                </c:pt>
                <c:pt idx="46">
                  <c:v>14.897125343964854</c:v>
                </c:pt>
                <c:pt idx="47">
                  <c:v>-100</c:v>
                </c:pt>
                <c:pt idx="48">
                  <c:v>-100</c:v>
                </c:pt>
                <c:pt idx="49">
                  <c:v>12.344618930946805</c:v>
                </c:pt>
                <c:pt idx="50">
                  <c:v>-100</c:v>
                </c:pt>
                <c:pt idx="51">
                  <c:v>14.778341757902252</c:v>
                </c:pt>
                <c:pt idx="52">
                  <c:v>14.440267288703387</c:v>
                </c:pt>
                <c:pt idx="53">
                  <c:v>-100</c:v>
                </c:pt>
                <c:pt idx="54">
                  <c:v>-100</c:v>
                </c:pt>
                <c:pt idx="55">
                  <c:v>15.548061821281356</c:v>
                </c:pt>
                <c:pt idx="56">
                  <c:v>12.881674017552328</c:v>
                </c:pt>
                <c:pt idx="57">
                  <c:v>-100</c:v>
                </c:pt>
                <c:pt idx="58">
                  <c:v>16.032567864970261</c:v>
                </c:pt>
                <c:pt idx="59">
                  <c:v>14.451782776680812</c:v>
                </c:pt>
                <c:pt idx="60">
                  <c:v>-100</c:v>
                </c:pt>
                <c:pt idx="61">
                  <c:v>14.219601299615931</c:v>
                </c:pt>
                <c:pt idx="62">
                  <c:v>14.263037602260066</c:v>
                </c:pt>
                <c:pt idx="63">
                  <c:v>17.065588757851952</c:v>
                </c:pt>
                <c:pt idx="64">
                  <c:v>12.149934085528312</c:v>
                </c:pt>
                <c:pt idx="65">
                  <c:v>16.589339905798443</c:v>
                </c:pt>
                <c:pt idx="66">
                  <c:v>-100</c:v>
                </c:pt>
                <c:pt idx="67">
                  <c:v>15.596038104241099</c:v>
                </c:pt>
                <c:pt idx="68">
                  <c:v>15.406447215075643</c:v>
                </c:pt>
                <c:pt idx="69">
                  <c:v>15.642857265864086</c:v>
                </c:pt>
                <c:pt idx="70">
                  <c:v>16.019065930731998</c:v>
                </c:pt>
                <c:pt idx="71">
                  <c:v>14.175443844863901</c:v>
                </c:pt>
                <c:pt idx="72">
                  <c:v>-100</c:v>
                </c:pt>
                <c:pt idx="73">
                  <c:v>-100</c:v>
                </c:pt>
                <c:pt idx="74">
                  <c:v>14.94550317753013</c:v>
                </c:pt>
                <c:pt idx="75">
                  <c:v>-100</c:v>
                </c:pt>
                <c:pt idx="76">
                  <c:v>16.656072699491695</c:v>
                </c:pt>
                <c:pt idx="77">
                  <c:v>14.564131719162516</c:v>
                </c:pt>
                <c:pt idx="78">
                  <c:v>15.770002938414136</c:v>
                </c:pt>
                <c:pt idx="79">
                  <c:v>15.407825598990959</c:v>
                </c:pt>
                <c:pt idx="80">
                  <c:v>13.581414463770589</c:v>
                </c:pt>
                <c:pt idx="81">
                  <c:v>13.977585930170672</c:v>
                </c:pt>
                <c:pt idx="82">
                  <c:v>14.395405071664097</c:v>
                </c:pt>
                <c:pt idx="83">
                  <c:v>-100</c:v>
                </c:pt>
                <c:pt idx="84">
                  <c:v>-100</c:v>
                </c:pt>
                <c:pt idx="85">
                  <c:v>11.194014186872916</c:v>
                </c:pt>
                <c:pt idx="86">
                  <c:v>-100</c:v>
                </c:pt>
                <c:pt idx="87">
                  <c:v>15.920431990156796</c:v>
                </c:pt>
                <c:pt idx="88">
                  <c:v>-100</c:v>
                </c:pt>
                <c:pt idx="89">
                  <c:v>15.828014708548055</c:v>
                </c:pt>
                <c:pt idx="90">
                  <c:v>14.248298236563942</c:v>
                </c:pt>
                <c:pt idx="91">
                  <c:v>15.294183499661234</c:v>
                </c:pt>
                <c:pt idx="92">
                  <c:v>19.093225915905833</c:v>
                </c:pt>
                <c:pt idx="93">
                  <c:v>16.973471409960815</c:v>
                </c:pt>
                <c:pt idx="94">
                  <c:v>-100</c:v>
                </c:pt>
                <c:pt idx="95">
                  <c:v>-100</c:v>
                </c:pt>
                <c:pt idx="96">
                  <c:v>16.338959171901607</c:v>
                </c:pt>
                <c:pt idx="97">
                  <c:v>13.749613359044595</c:v>
                </c:pt>
                <c:pt idx="98">
                  <c:v>12.36713198856962</c:v>
                </c:pt>
                <c:pt idx="99">
                  <c:v>-100</c:v>
                </c:pt>
                <c:pt idx="100">
                  <c:v>15.100880316122183</c:v>
                </c:pt>
                <c:pt idx="101">
                  <c:v>-100</c:v>
                </c:pt>
                <c:pt idx="102">
                  <c:v>-100</c:v>
                </c:pt>
                <c:pt idx="103">
                  <c:v>-100</c:v>
                </c:pt>
                <c:pt idx="104">
                  <c:v>-100</c:v>
                </c:pt>
                <c:pt idx="105">
                  <c:v>14.858830528053593</c:v>
                </c:pt>
                <c:pt idx="106">
                  <c:v>10.446113891703812</c:v>
                </c:pt>
                <c:pt idx="107">
                  <c:v>14.938991501792254</c:v>
                </c:pt>
                <c:pt idx="108">
                  <c:v>15.483384311095604</c:v>
                </c:pt>
                <c:pt idx="109">
                  <c:v>16.20463475791388</c:v>
                </c:pt>
                <c:pt idx="110">
                  <c:v>12.521812559784731</c:v>
                </c:pt>
                <c:pt idx="111">
                  <c:v>12.787366989624491</c:v>
                </c:pt>
                <c:pt idx="112">
                  <c:v>-100</c:v>
                </c:pt>
                <c:pt idx="113">
                  <c:v>-100</c:v>
                </c:pt>
                <c:pt idx="114">
                  <c:v>15.35823491869877</c:v>
                </c:pt>
                <c:pt idx="115">
                  <c:v>-100</c:v>
                </c:pt>
                <c:pt idx="116">
                  <c:v>12.635557914984449</c:v>
                </c:pt>
                <c:pt idx="117">
                  <c:v>15.363128919140072</c:v>
                </c:pt>
                <c:pt idx="118">
                  <c:v>12.582369669063105</c:v>
                </c:pt>
                <c:pt idx="119">
                  <c:v>12.044606542206196</c:v>
                </c:pt>
                <c:pt idx="120">
                  <c:v>16.593804492939135</c:v>
                </c:pt>
                <c:pt idx="121">
                  <c:v>13.765437730866688</c:v>
                </c:pt>
                <c:pt idx="122">
                  <c:v>14.1570675779691</c:v>
                </c:pt>
                <c:pt idx="123">
                  <c:v>15.139617657190561</c:v>
                </c:pt>
                <c:pt idx="124">
                  <c:v>-100</c:v>
                </c:pt>
                <c:pt idx="125">
                  <c:v>15.341309150930075</c:v>
                </c:pt>
                <c:pt idx="126">
                  <c:v>13.632059009529542</c:v>
                </c:pt>
                <c:pt idx="127">
                  <c:v>-100</c:v>
                </c:pt>
                <c:pt idx="128">
                  <c:v>16.018357890480612</c:v>
                </c:pt>
                <c:pt idx="129">
                  <c:v>14.11470972552268</c:v>
                </c:pt>
                <c:pt idx="130">
                  <c:v>15.671001865856731</c:v>
                </c:pt>
                <c:pt idx="131">
                  <c:v>15.161352198333262</c:v>
                </c:pt>
                <c:pt idx="132">
                  <c:v>-100</c:v>
                </c:pt>
                <c:pt idx="133">
                  <c:v>18.120431057925707</c:v>
                </c:pt>
                <c:pt idx="134">
                  <c:v>15.232384041978804</c:v>
                </c:pt>
                <c:pt idx="135">
                  <c:v>15.736118623235475</c:v>
                </c:pt>
                <c:pt idx="136">
                  <c:v>13.638788669881848</c:v>
                </c:pt>
                <c:pt idx="137">
                  <c:v>15.364038554185258</c:v>
                </c:pt>
                <c:pt idx="138">
                  <c:v>-100</c:v>
                </c:pt>
                <c:pt idx="139">
                  <c:v>-100</c:v>
                </c:pt>
                <c:pt idx="140">
                  <c:v>13.77432265263236</c:v>
                </c:pt>
                <c:pt idx="141">
                  <c:v>15.062988689798519</c:v>
                </c:pt>
                <c:pt idx="142">
                  <c:v>13.989180089287139</c:v>
                </c:pt>
                <c:pt idx="143">
                  <c:v>-100</c:v>
                </c:pt>
                <c:pt idx="144">
                  <c:v>12.927316390053793</c:v>
                </c:pt>
                <c:pt idx="145">
                  <c:v>15.96565806121416</c:v>
                </c:pt>
                <c:pt idx="146">
                  <c:v>16.386388034852175</c:v>
                </c:pt>
                <c:pt idx="147">
                  <c:v>-100</c:v>
                </c:pt>
                <c:pt idx="148">
                  <c:v>-100</c:v>
                </c:pt>
                <c:pt idx="149">
                  <c:v>15.37612276893868</c:v>
                </c:pt>
                <c:pt idx="150">
                  <c:v>-100</c:v>
                </c:pt>
                <c:pt idx="151">
                  <c:v>16.736313983351462</c:v>
                </c:pt>
                <c:pt idx="152">
                  <c:v>17.625825606762156</c:v>
                </c:pt>
                <c:pt idx="153">
                  <c:v>11.446889451470241</c:v>
                </c:pt>
                <c:pt idx="154">
                  <c:v>16.750065042863358</c:v>
                </c:pt>
                <c:pt idx="155">
                  <c:v>17.129836854737096</c:v>
                </c:pt>
                <c:pt idx="156">
                  <c:v>12.271572778345348</c:v>
                </c:pt>
                <c:pt idx="157">
                  <c:v>14.793507258934861</c:v>
                </c:pt>
                <c:pt idx="158">
                  <c:v>-100</c:v>
                </c:pt>
                <c:pt idx="159">
                  <c:v>16.162293295288094</c:v>
                </c:pt>
                <c:pt idx="160">
                  <c:v>18.466531622289025</c:v>
                </c:pt>
                <c:pt idx="161">
                  <c:v>15.067846632634426</c:v>
                </c:pt>
                <c:pt idx="162">
                  <c:v>-100</c:v>
                </c:pt>
                <c:pt idx="163">
                  <c:v>15.264065565264259</c:v>
                </c:pt>
                <c:pt idx="164">
                  <c:v>15.407710870246522</c:v>
                </c:pt>
                <c:pt idx="165">
                  <c:v>13.541331518428164</c:v>
                </c:pt>
                <c:pt idx="166">
                  <c:v>16.272288659526762</c:v>
                </c:pt>
                <c:pt idx="167">
                  <c:v>-100</c:v>
                </c:pt>
                <c:pt idx="168">
                  <c:v>12.945738548446371</c:v>
                </c:pt>
                <c:pt idx="169">
                  <c:v>-100</c:v>
                </c:pt>
                <c:pt idx="170">
                  <c:v>13.43829199406655</c:v>
                </c:pt>
                <c:pt idx="171">
                  <c:v>15.245020593687592</c:v>
                </c:pt>
                <c:pt idx="172">
                  <c:v>-100</c:v>
                </c:pt>
                <c:pt idx="173">
                  <c:v>16.848639980084283</c:v>
                </c:pt>
                <c:pt idx="174">
                  <c:v>-100</c:v>
                </c:pt>
                <c:pt idx="175">
                  <c:v>13.963644748739421</c:v>
                </c:pt>
                <c:pt idx="176">
                  <c:v>12.559128903404144</c:v>
                </c:pt>
                <c:pt idx="177">
                  <c:v>-100</c:v>
                </c:pt>
                <c:pt idx="178">
                  <c:v>13.177916747547124</c:v>
                </c:pt>
                <c:pt idx="179">
                  <c:v>-100</c:v>
                </c:pt>
                <c:pt idx="180">
                  <c:v>15.549841755802206</c:v>
                </c:pt>
                <c:pt idx="181">
                  <c:v>10.520589236664549</c:v>
                </c:pt>
                <c:pt idx="182">
                  <c:v>12.902220296699067</c:v>
                </c:pt>
                <c:pt idx="183">
                  <c:v>13.92486643311946</c:v>
                </c:pt>
                <c:pt idx="184">
                  <c:v>15.951074398814058</c:v>
                </c:pt>
                <c:pt idx="185">
                  <c:v>-100</c:v>
                </c:pt>
                <c:pt idx="186">
                  <c:v>-100</c:v>
                </c:pt>
                <c:pt idx="187">
                  <c:v>17.534947329310945</c:v>
                </c:pt>
                <c:pt idx="188">
                  <c:v>15.302183371112672</c:v>
                </c:pt>
                <c:pt idx="189">
                  <c:v>12.916413881368079</c:v>
                </c:pt>
                <c:pt idx="190">
                  <c:v>-100</c:v>
                </c:pt>
                <c:pt idx="191">
                  <c:v>-100</c:v>
                </c:pt>
                <c:pt idx="192">
                  <c:v>13.663550410895644</c:v>
                </c:pt>
                <c:pt idx="193">
                  <c:v>16.585698087653576</c:v>
                </c:pt>
                <c:pt idx="194">
                  <c:v>16.575834693596054</c:v>
                </c:pt>
                <c:pt idx="195">
                  <c:v>17.14607588902123</c:v>
                </c:pt>
                <c:pt idx="196">
                  <c:v>-100</c:v>
                </c:pt>
                <c:pt idx="197">
                  <c:v>13.518153034087611</c:v>
                </c:pt>
                <c:pt idx="198">
                  <c:v>15.457324496287598</c:v>
                </c:pt>
                <c:pt idx="199">
                  <c:v>14.919336828888003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47E-409F-9846-AEC3FACD35D4}"/>
            </c:ext>
          </c:extLst>
        </c:ser>
        <c:ser>
          <c:idx val="1"/>
          <c:order val="1"/>
          <c:tx>
            <c:v>Класс2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 переменные'!$P$23:$P$222</c:f>
              <c:numCache>
                <c:formatCode>General</c:formatCode>
                <c:ptCount val="200"/>
                <c:pt idx="0">
                  <c:v>-100</c:v>
                </c:pt>
                <c:pt idx="1">
                  <c:v>-100</c:v>
                </c:pt>
                <c:pt idx="2">
                  <c:v>11.109572178294119</c:v>
                </c:pt>
                <c:pt idx="3">
                  <c:v>8.7744655264502374</c:v>
                </c:pt>
                <c:pt idx="4">
                  <c:v>11.453424682085888</c:v>
                </c:pt>
                <c:pt idx="5">
                  <c:v>-100</c:v>
                </c:pt>
                <c:pt idx="6">
                  <c:v>-100</c:v>
                </c:pt>
                <c:pt idx="7">
                  <c:v>10.763365437356535</c:v>
                </c:pt>
                <c:pt idx="8">
                  <c:v>-100</c:v>
                </c:pt>
                <c:pt idx="9">
                  <c:v>-100</c:v>
                </c:pt>
                <c:pt idx="10">
                  <c:v>-100</c:v>
                </c:pt>
                <c:pt idx="11">
                  <c:v>-100</c:v>
                </c:pt>
                <c:pt idx="12">
                  <c:v>-100</c:v>
                </c:pt>
                <c:pt idx="13">
                  <c:v>-100</c:v>
                </c:pt>
                <c:pt idx="14">
                  <c:v>-100</c:v>
                </c:pt>
                <c:pt idx="15">
                  <c:v>11.787650147890304</c:v>
                </c:pt>
                <c:pt idx="16">
                  <c:v>12.834612155865397</c:v>
                </c:pt>
                <c:pt idx="17">
                  <c:v>-100</c:v>
                </c:pt>
                <c:pt idx="18">
                  <c:v>8.9031061521537325</c:v>
                </c:pt>
                <c:pt idx="19">
                  <c:v>9.5929779641794379</c:v>
                </c:pt>
                <c:pt idx="20">
                  <c:v>-100</c:v>
                </c:pt>
                <c:pt idx="21">
                  <c:v>11.217479863394129</c:v>
                </c:pt>
                <c:pt idx="22">
                  <c:v>-100</c:v>
                </c:pt>
                <c:pt idx="23">
                  <c:v>-100</c:v>
                </c:pt>
                <c:pt idx="24">
                  <c:v>-100</c:v>
                </c:pt>
                <c:pt idx="25">
                  <c:v>-100</c:v>
                </c:pt>
                <c:pt idx="26">
                  <c:v>10.590511290592593</c:v>
                </c:pt>
                <c:pt idx="27">
                  <c:v>9.718351905619361</c:v>
                </c:pt>
                <c:pt idx="28">
                  <c:v>-100</c:v>
                </c:pt>
                <c:pt idx="29">
                  <c:v>12.288011018927905</c:v>
                </c:pt>
                <c:pt idx="30">
                  <c:v>-100</c:v>
                </c:pt>
                <c:pt idx="31">
                  <c:v>-100</c:v>
                </c:pt>
                <c:pt idx="32">
                  <c:v>-100</c:v>
                </c:pt>
                <c:pt idx="33">
                  <c:v>-100</c:v>
                </c:pt>
                <c:pt idx="34">
                  <c:v>-100</c:v>
                </c:pt>
                <c:pt idx="35">
                  <c:v>-100</c:v>
                </c:pt>
                <c:pt idx="36">
                  <c:v>-100</c:v>
                </c:pt>
                <c:pt idx="37">
                  <c:v>10.195440225904052</c:v>
                </c:pt>
                <c:pt idx="38">
                  <c:v>-100</c:v>
                </c:pt>
                <c:pt idx="39">
                  <c:v>8.5111369957255594</c:v>
                </c:pt>
                <c:pt idx="40">
                  <c:v>-100</c:v>
                </c:pt>
                <c:pt idx="41">
                  <c:v>10.319751362123291</c:v>
                </c:pt>
                <c:pt idx="42">
                  <c:v>-100</c:v>
                </c:pt>
                <c:pt idx="43">
                  <c:v>-100</c:v>
                </c:pt>
                <c:pt idx="44">
                  <c:v>-100</c:v>
                </c:pt>
                <c:pt idx="45">
                  <c:v>-100</c:v>
                </c:pt>
                <c:pt idx="46">
                  <c:v>-100</c:v>
                </c:pt>
                <c:pt idx="47">
                  <c:v>9.4273657227564325</c:v>
                </c:pt>
                <c:pt idx="48">
                  <c:v>9.9314649493667879</c:v>
                </c:pt>
                <c:pt idx="49">
                  <c:v>-100</c:v>
                </c:pt>
                <c:pt idx="50">
                  <c:v>8.6964852829326524</c:v>
                </c:pt>
                <c:pt idx="51">
                  <c:v>-100</c:v>
                </c:pt>
                <c:pt idx="52">
                  <c:v>-100</c:v>
                </c:pt>
                <c:pt idx="53">
                  <c:v>10.258028331022089</c:v>
                </c:pt>
                <c:pt idx="54">
                  <c:v>9.1176403889288178</c:v>
                </c:pt>
                <c:pt idx="55">
                  <c:v>-100</c:v>
                </c:pt>
                <c:pt idx="56">
                  <c:v>-100</c:v>
                </c:pt>
                <c:pt idx="57">
                  <c:v>13.026432020598435</c:v>
                </c:pt>
                <c:pt idx="58">
                  <c:v>-100</c:v>
                </c:pt>
                <c:pt idx="59">
                  <c:v>-100</c:v>
                </c:pt>
                <c:pt idx="60">
                  <c:v>8.0982083316894879</c:v>
                </c:pt>
                <c:pt idx="61">
                  <c:v>-100</c:v>
                </c:pt>
                <c:pt idx="62">
                  <c:v>-100</c:v>
                </c:pt>
                <c:pt idx="63">
                  <c:v>-100</c:v>
                </c:pt>
                <c:pt idx="64">
                  <c:v>-100</c:v>
                </c:pt>
                <c:pt idx="65">
                  <c:v>-100</c:v>
                </c:pt>
                <c:pt idx="66">
                  <c:v>11.459296886900168</c:v>
                </c:pt>
                <c:pt idx="67">
                  <c:v>-100</c:v>
                </c:pt>
                <c:pt idx="68">
                  <c:v>-100</c:v>
                </c:pt>
                <c:pt idx="69">
                  <c:v>-100</c:v>
                </c:pt>
                <c:pt idx="70">
                  <c:v>-100</c:v>
                </c:pt>
                <c:pt idx="71">
                  <c:v>-100</c:v>
                </c:pt>
                <c:pt idx="72">
                  <c:v>11.74422961134529</c:v>
                </c:pt>
                <c:pt idx="73">
                  <c:v>11.481827945638649</c:v>
                </c:pt>
                <c:pt idx="74">
                  <c:v>-100</c:v>
                </c:pt>
                <c:pt idx="75">
                  <c:v>7.2181149821618522</c:v>
                </c:pt>
                <c:pt idx="76">
                  <c:v>-100</c:v>
                </c:pt>
                <c:pt idx="77">
                  <c:v>-100</c:v>
                </c:pt>
                <c:pt idx="78">
                  <c:v>-100</c:v>
                </c:pt>
                <c:pt idx="79">
                  <c:v>-100</c:v>
                </c:pt>
                <c:pt idx="80">
                  <c:v>-100</c:v>
                </c:pt>
                <c:pt idx="81">
                  <c:v>-100</c:v>
                </c:pt>
                <c:pt idx="82">
                  <c:v>-100</c:v>
                </c:pt>
                <c:pt idx="83">
                  <c:v>12.779000254783126</c:v>
                </c:pt>
                <c:pt idx="84">
                  <c:v>10.793513266843247</c:v>
                </c:pt>
                <c:pt idx="85">
                  <c:v>-100</c:v>
                </c:pt>
                <c:pt idx="86">
                  <c:v>13.406170678188589</c:v>
                </c:pt>
                <c:pt idx="87">
                  <c:v>-100</c:v>
                </c:pt>
                <c:pt idx="88">
                  <c:v>10.695012231826302</c:v>
                </c:pt>
                <c:pt idx="89">
                  <c:v>-100</c:v>
                </c:pt>
                <c:pt idx="90">
                  <c:v>-100</c:v>
                </c:pt>
                <c:pt idx="91">
                  <c:v>-100</c:v>
                </c:pt>
                <c:pt idx="92">
                  <c:v>-100</c:v>
                </c:pt>
                <c:pt idx="93">
                  <c:v>-100</c:v>
                </c:pt>
                <c:pt idx="94">
                  <c:v>12.662763142721015</c:v>
                </c:pt>
                <c:pt idx="95">
                  <c:v>10.027879508243126</c:v>
                </c:pt>
                <c:pt idx="96">
                  <c:v>-100</c:v>
                </c:pt>
                <c:pt idx="97">
                  <c:v>-100</c:v>
                </c:pt>
                <c:pt idx="98">
                  <c:v>-100</c:v>
                </c:pt>
                <c:pt idx="99">
                  <c:v>8.997024354581491</c:v>
                </c:pt>
                <c:pt idx="100">
                  <c:v>-100</c:v>
                </c:pt>
                <c:pt idx="101">
                  <c:v>11.605383171943176</c:v>
                </c:pt>
                <c:pt idx="102">
                  <c:v>12.830896456993086</c:v>
                </c:pt>
                <c:pt idx="103">
                  <c:v>10.138862325502981</c:v>
                </c:pt>
                <c:pt idx="104">
                  <c:v>14.118068922442955</c:v>
                </c:pt>
                <c:pt idx="105">
                  <c:v>-100</c:v>
                </c:pt>
                <c:pt idx="106">
                  <c:v>-100</c:v>
                </c:pt>
                <c:pt idx="107">
                  <c:v>-100</c:v>
                </c:pt>
                <c:pt idx="108">
                  <c:v>-100</c:v>
                </c:pt>
                <c:pt idx="109">
                  <c:v>-100</c:v>
                </c:pt>
                <c:pt idx="110">
                  <c:v>-100</c:v>
                </c:pt>
                <c:pt idx="111">
                  <c:v>-100</c:v>
                </c:pt>
                <c:pt idx="112">
                  <c:v>10.77328289304954</c:v>
                </c:pt>
                <c:pt idx="113">
                  <c:v>11.725537833481525</c:v>
                </c:pt>
                <c:pt idx="114">
                  <c:v>-100</c:v>
                </c:pt>
                <c:pt idx="115">
                  <c:v>9.5532339922059748</c:v>
                </c:pt>
                <c:pt idx="116">
                  <c:v>-100</c:v>
                </c:pt>
                <c:pt idx="117">
                  <c:v>-100</c:v>
                </c:pt>
                <c:pt idx="118">
                  <c:v>-100</c:v>
                </c:pt>
                <c:pt idx="119">
                  <c:v>-100</c:v>
                </c:pt>
                <c:pt idx="120">
                  <c:v>-100</c:v>
                </c:pt>
                <c:pt idx="121">
                  <c:v>-100</c:v>
                </c:pt>
                <c:pt idx="122">
                  <c:v>-100</c:v>
                </c:pt>
                <c:pt idx="123">
                  <c:v>-100</c:v>
                </c:pt>
                <c:pt idx="124">
                  <c:v>11.711270291303862</c:v>
                </c:pt>
                <c:pt idx="125">
                  <c:v>-100</c:v>
                </c:pt>
                <c:pt idx="126">
                  <c:v>-100</c:v>
                </c:pt>
                <c:pt idx="127">
                  <c:v>8.8260445348540237</c:v>
                </c:pt>
                <c:pt idx="128">
                  <c:v>-100</c:v>
                </c:pt>
                <c:pt idx="129">
                  <c:v>-100</c:v>
                </c:pt>
                <c:pt idx="130">
                  <c:v>-100</c:v>
                </c:pt>
                <c:pt idx="131">
                  <c:v>-100</c:v>
                </c:pt>
                <c:pt idx="132">
                  <c:v>10.513132479486712</c:v>
                </c:pt>
                <c:pt idx="133">
                  <c:v>-100</c:v>
                </c:pt>
                <c:pt idx="134">
                  <c:v>-100</c:v>
                </c:pt>
                <c:pt idx="135">
                  <c:v>-100</c:v>
                </c:pt>
                <c:pt idx="136">
                  <c:v>-100</c:v>
                </c:pt>
                <c:pt idx="137">
                  <c:v>-100</c:v>
                </c:pt>
                <c:pt idx="138">
                  <c:v>11.959136653827629</c:v>
                </c:pt>
                <c:pt idx="139">
                  <c:v>14.299520257174207</c:v>
                </c:pt>
                <c:pt idx="140">
                  <c:v>-100</c:v>
                </c:pt>
                <c:pt idx="141">
                  <c:v>-100</c:v>
                </c:pt>
                <c:pt idx="142">
                  <c:v>-100</c:v>
                </c:pt>
                <c:pt idx="143">
                  <c:v>11.339877538276129</c:v>
                </c:pt>
                <c:pt idx="144">
                  <c:v>-100</c:v>
                </c:pt>
                <c:pt idx="145">
                  <c:v>-100</c:v>
                </c:pt>
                <c:pt idx="146">
                  <c:v>-100</c:v>
                </c:pt>
                <c:pt idx="147">
                  <c:v>9.524744221251531</c:v>
                </c:pt>
                <c:pt idx="148">
                  <c:v>8.729815348981294</c:v>
                </c:pt>
                <c:pt idx="149">
                  <c:v>-100</c:v>
                </c:pt>
                <c:pt idx="150">
                  <c:v>11.452137369560836</c:v>
                </c:pt>
                <c:pt idx="151">
                  <c:v>-100</c:v>
                </c:pt>
                <c:pt idx="152">
                  <c:v>-100</c:v>
                </c:pt>
                <c:pt idx="153">
                  <c:v>-100</c:v>
                </c:pt>
                <c:pt idx="154">
                  <c:v>-100</c:v>
                </c:pt>
                <c:pt idx="155">
                  <c:v>-100</c:v>
                </c:pt>
                <c:pt idx="156">
                  <c:v>-100</c:v>
                </c:pt>
                <c:pt idx="157">
                  <c:v>-100</c:v>
                </c:pt>
                <c:pt idx="158">
                  <c:v>10.231921633014023</c:v>
                </c:pt>
                <c:pt idx="159">
                  <c:v>-100</c:v>
                </c:pt>
                <c:pt idx="160">
                  <c:v>-100</c:v>
                </c:pt>
                <c:pt idx="161">
                  <c:v>-100</c:v>
                </c:pt>
                <c:pt idx="162">
                  <c:v>10.663216642307523</c:v>
                </c:pt>
                <c:pt idx="163">
                  <c:v>-100</c:v>
                </c:pt>
                <c:pt idx="164">
                  <c:v>-100</c:v>
                </c:pt>
                <c:pt idx="165">
                  <c:v>-100</c:v>
                </c:pt>
                <c:pt idx="166">
                  <c:v>-100</c:v>
                </c:pt>
                <c:pt idx="167">
                  <c:v>10.821098829480094</c:v>
                </c:pt>
                <c:pt idx="168">
                  <c:v>-100</c:v>
                </c:pt>
                <c:pt idx="169">
                  <c:v>12.754592809308129</c:v>
                </c:pt>
                <c:pt idx="170">
                  <c:v>-100</c:v>
                </c:pt>
                <c:pt idx="171">
                  <c:v>-100</c:v>
                </c:pt>
                <c:pt idx="172">
                  <c:v>11.49751462114393</c:v>
                </c:pt>
                <c:pt idx="173">
                  <c:v>-100</c:v>
                </c:pt>
                <c:pt idx="174">
                  <c:v>7.8143075169644494</c:v>
                </c:pt>
                <c:pt idx="175">
                  <c:v>-100</c:v>
                </c:pt>
                <c:pt idx="176">
                  <c:v>-100</c:v>
                </c:pt>
                <c:pt idx="177">
                  <c:v>9.079828415592953</c:v>
                </c:pt>
                <c:pt idx="178">
                  <c:v>-100</c:v>
                </c:pt>
                <c:pt idx="179">
                  <c:v>11.597902341397591</c:v>
                </c:pt>
                <c:pt idx="180">
                  <c:v>-100</c:v>
                </c:pt>
                <c:pt idx="181">
                  <c:v>-100</c:v>
                </c:pt>
                <c:pt idx="182">
                  <c:v>-100</c:v>
                </c:pt>
                <c:pt idx="183">
                  <c:v>-100</c:v>
                </c:pt>
                <c:pt idx="184">
                  <c:v>-100</c:v>
                </c:pt>
                <c:pt idx="185">
                  <c:v>11.445985045541104</c:v>
                </c:pt>
                <c:pt idx="186">
                  <c:v>10.840995531867307</c:v>
                </c:pt>
                <c:pt idx="187">
                  <c:v>-100</c:v>
                </c:pt>
                <c:pt idx="188">
                  <c:v>-100</c:v>
                </c:pt>
                <c:pt idx="189">
                  <c:v>-100</c:v>
                </c:pt>
                <c:pt idx="190">
                  <c:v>9.5303177695599981</c:v>
                </c:pt>
                <c:pt idx="191">
                  <c:v>8.1358102156212642</c:v>
                </c:pt>
                <c:pt idx="192">
                  <c:v>-100</c:v>
                </c:pt>
                <c:pt idx="193">
                  <c:v>-100</c:v>
                </c:pt>
                <c:pt idx="194">
                  <c:v>-100</c:v>
                </c:pt>
                <c:pt idx="195">
                  <c:v>-100</c:v>
                </c:pt>
                <c:pt idx="196">
                  <c:v>11.45542877022489</c:v>
                </c:pt>
                <c:pt idx="197">
                  <c:v>-100</c:v>
                </c:pt>
                <c:pt idx="198">
                  <c:v>-100</c:v>
                </c:pt>
                <c:pt idx="199">
                  <c:v>-100</c:v>
                </c:pt>
              </c:numCache>
            </c:numRef>
          </c:xVal>
          <c:yVal>
            <c:numRef>
              <c:f>'2 переменные'!$Q$23:$Q$222</c:f>
              <c:numCache>
                <c:formatCode>General</c:formatCode>
                <c:ptCount val="200"/>
                <c:pt idx="0">
                  <c:v>-100</c:v>
                </c:pt>
                <c:pt idx="1">
                  <c:v>-100</c:v>
                </c:pt>
                <c:pt idx="2">
                  <c:v>2.4032450875795073</c:v>
                </c:pt>
                <c:pt idx="3">
                  <c:v>2.5393892005290293</c:v>
                </c:pt>
                <c:pt idx="4">
                  <c:v>2.7113411986754143</c:v>
                </c:pt>
                <c:pt idx="5">
                  <c:v>-100</c:v>
                </c:pt>
                <c:pt idx="6">
                  <c:v>-100</c:v>
                </c:pt>
                <c:pt idx="7">
                  <c:v>-0.3972446092212687</c:v>
                </c:pt>
                <c:pt idx="8">
                  <c:v>-100</c:v>
                </c:pt>
                <c:pt idx="9">
                  <c:v>-100</c:v>
                </c:pt>
                <c:pt idx="10">
                  <c:v>-100</c:v>
                </c:pt>
                <c:pt idx="11">
                  <c:v>-100</c:v>
                </c:pt>
                <c:pt idx="12">
                  <c:v>-100</c:v>
                </c:pt>
                <c:pt idx="13">
                  <c:v>-100</c:v>
                </c:pt>
                <c:pt idx="14">
                  <c:v>-100</c:v>
                </c:pt>
                <c:pt idx="15">
                  <c:v>-3.0519136484365994E-2</c:v>
                </c:pt>
                <c:pt idx="16">
                  <c:v>3.0163415806110754</c:v>
                </c:pt>
                <c:pt idx="17">
                  <c:v>-100</c:v>
                </c:pt>
                <c:pt idx="18">
                  <c:v>5.5364546094553964</c:v>
                </c:pt>
                <c:pt idx="19">
                  <c:v>2.1846388238251757</c:v>
                </c:pt>
                <c:pt idx="20">
                  <c:v>-100</c:v>
                </c:pt>
                <c:pt idx="21">
                  <c:v>2.319310251246038</c:v>
                </c:pt>
                <c:pt idx="22">
                  <c:v>-100</c:v>
                </c:pt>
                <c:pt idx="23">
                  <c:v>-100</c:v>
                </c:pt>
                <c:pt idx="24">
                  <c:v>-100</c:v>
                </c:pt>
                <c:pt idx="25">
                  <c:v>-100</c:v>
                </c:pt>
                <c:pt idx="26">
                  <c:v>5.4828364980119257</c:v>
                </c:pt>
                <c:pt idx="27">
                  <c:v>2.5791002173018516</c:v>
                </c:pt>
                <c:pt idx="28">
                  <c:v>-100</c:v>
                </c:pt>
                <c:pt idx="29">
                  <c:v>-0.21716091531663162</c:v>
                </c:pt>
                <c:pt idx="30">
                  <c:v>-100</c:v>
                </c:pt>
                <c:pt idx="31">
                  <c:v>-100</c:v>
                </c:pt>
                <c:pt idx="32">
                  <c:v>-100</c:v>
                </c:pt>
                <c:pt idx="33">
                  <c:v>-100</c:v>
                </c:pt>
                <c:pt idx="34">
                  <c:v>-100</c:v>
                </c:pt>
                <c:pt idx="35">
                  <c:v>-100</c:v>
                </c:pt>
                <c:pt idx="36">
                  <c:v>-100</c:v>
                </c:pt>
                <c:pt idx="37">
                  <c:v>2.1630449286049336</c:v>
                </c:pt>
                <c:pt idx="38">
                  <c:v>-100</c:v>
                </c:pt>
                <c:pt idx="39">
                  <c:v>3.4106711532851861</c:v>
                </c:pt>
                <c:pt idx="40">
                  <c:v>-100</c:v>
                </c:pt>
                <c:pt idx="41">
                  <c:v>1.877002025838207</c:v>
                </c:pt>
                <c:pt idx="42">
                  <c:v>-100</c:v>
                </c:pt>
                <c:pt idx="43">
                  <c:v>-100</c:v>
                </c:pt>
                <c:pt idx="44">
                  <c:v>-100</c:v>
                </c:pt>
                <c:pt idx="45">
                  <c:v>-100</c:v>
                </c:pt>
                <c:pt idx="46">
                  <c:v>-100</c:v>
                </c:pt>
                <c:pt idx="47">
                  <c:v>1.4119670701880878</c:v>
                </c:pt>
                <c:pt idx="48">
                  <c:v>4.2561121093384475</c:v>
                </c:pt>
                <c:pt idx="49">
                  <c:v>-100</c:v>
                </c:pt>
                <c:pt idx="50">
                  <c:v>1.8315300280532691</c:v>
                </c:pt>
                <c:pt idx="51">
                  <c:v>-100</c:v>
                </c:pt>
                <c:pt idx="52">
                  <c:v>-100</c:v>
                </c:pt>
                <c:pt idx="53">
                  <c:v>1.102299407961596</c:v>
                </c:pt>
                <c:pt idx="54">
                  <c:v>3.2558105460714191</c:v>
                </c:pt>
                <c:pt idx="55">
                  <c:v>-100</c:v>
                </c:pt>
                <c:pt idx="56">
                  <c:v>-100</c:v>
                </c:pt>
                <c:pt idx="57">
                  <c:v>3.2468302538966523</c:v>
                </c:pt>
                <c:pt idx="58">
                  <c:v>-100</c:v>
                </c:pt>
                <c:pt idx="59">
                  <c:v>-100</c:v>
                </c:pt>
                <c:pt idx="60">
                  <c:v>1.093438578389154</c:v>
                </c:pt>
                <c:pt idx="61">
                  <c:v>-100</c:v>
                </c:pt>
                <c:pt idx="62">
                  <c:v>-100</c:v>
                </c:pt>
                <c:pt idx="63">
                  <c:v>-100</c:v>
                </c:pt>
                <c:pt idx="64">
                  <c:v>-100</c:v>
                </c:pt>
                <c:pt idx="65">
                  <c:v>-100</c:v>
                </c:pt>
                <c:pt idx="66">
                  <c:v>3.2173724239233685</c:v>
                </c:pt>
                <c:pt idx="67">
                  <c:v>-100</c:v>
                </c:pt>
                <c:pt idx="68">
                  <c:v>-100</c:v>
                </c:pt>
                <c:pt idx="69">
                  <c:v>-100</c:v>
                </c:pt>
                <c:pt idx="70">
                  <c:v>-100</c:v>
                </c:pt>
                <c:pt idx="71">
                  <c:v>-100</c:v>
                </c:pt>
                <c:pt idx="72">
                  <c:v>2.5059973434791849</c:v>
                </c:pt>
                <c:pt idx="73">
                  <c:v>4.7554575482562882</c:v>
                </c:pt>
                <c:pt idx="74">
                  <c:v>-100</c:v>
                </c:pt>
                <c:pt idx="75">
                  <c:v>-0.75211444852744735</c:v>
                </c:pt>
                <c:pt idx="76">
                  <c:v>-100</c:v>
                </c:pt>
                <c:pt idx="77">
                  <c:v>-100</c:v>
                </c:pt>
                <c:pt idx="78">
                  <c:v>-100</c:v>
                </c:pt>
                <c:pt idx="79">
                  <c:v>-100</c:v>
                </c:pt>
                <c:pt idx="80">
                  <c:v>-100</c:v>
                </c:pt>
                <c:pt idx="81">
                  <c:v>-100</c:v>
                </c:pt>
                <c:pt idx="82">
                  <c:v>-100</c:v>
                </c:pt>
                <c:pt idx="83">
                  <c:v>0.22508963849007713</c:v>
                </c:pt>
                <c:pt idx="84">
                  <c:v>3.1800547785971238</c:v>
                </c:pt>
                <c:pt idx="85">
                  <c:v>-100</c:v>
                </c:pt>
                <c:pt idx="86">
                  <c:v>2.8057001769117496</c:v>
                </c:pt>
                <c:pt idx="87">
                  <c:v>-100</c:v>
                </c:pt>
                <c:pt idx="88">
                  <c:v>1.4928164758615108</c:v>
                </c:pt>
                <c:pt idx="89">
                  <c:v>-100</c:v>
                </c:pt>
                <c:pt idx="90">
                  <c:v>-100</c:v>
                </c:pt>
                <c:pt idx="91">
                  <c:v>-100</c:v>
                </c:pt>
                <c:pt idx="92">
                  <c:v>-100</c:v>
                </c:pt>
                <c:pt idx="93">
                  <c:v>-100</c:v>
                </c:pt>
                <c:pt idx="94">
                  <c:v>1.4500735806296845</c:v>
                </c:pt>
                <c:pt idx="95">
                  <c:v>2.2092295826037405</c:v>
                </c:pt>
                <c:pt idx="96">
                  <c:v>-100</c:v>
                </c:pt>
                <c:pt idx="97">
                  <c:v>-100</c:v>
                </c:pt>
                <c:pt idx="98">
                  <c:v>-100</c:v>
                </c:pt>
                <c:pt idx="99">
                  <c:v>-1.9322978550951846</c:v>
                </c:pt>
                <c:pt idx="100">
                  <c:v>-100</c:v>
                </c:pt>
                <c:pt idx="101">
                  <c:v>1.4490746261102436</c:v>
                </c:pt>
                <c:pt idx="102">
                  <c:v>3.154539214500562</c:v>
                </c:pt>
                <c:pt idx="103">
                  <c:v>0.3851571674051768</c:v>
                </c:pt>
                <c:pt idx="104">
                  <c:v>2.443580193464475</c:v>
                </c:pt>
                <c:pt idx="105">
                  <c:v>-100</c:v>
                </c:pt>
                <c:pt idx="106">
                  <c:v>-100</c:v>
                </c:pt>
                <c:pt idx="107">
                  <c:v>-100</c:v>
                </c:pt>
                <c:pt idx="108">
                  <c:v>-100</c:v>
                </c:pt>
                <c:pt idx="109">
                  <c:v>-100</c:v>
                </c:pt>
                <c:pt idx="110">
                  <c:v>-100</c:v>
                </c:pt>
                <c:pt idx="111">
                  <c:v>-100</c:v>
                </c:pt>
                <c:pt idx="112">
                  <c:v>4.4093620311208683</c:v>
                </c:pt>
                <c:pt idx="113">
                  <c:v>1.5308097028009031</c:v>
                </c:pt>
                <c:pt idx="114">
                  <c:v>-100</c:v>
                </c:pt>
                <c:pt idx="115">
                  <c:v>1.2483197826033217</c:v>
                </c:pt>
                <c:pt idx="116">
                  <c:v>-100</c:v>
                </c:pt>
                <c:pt idx="117">
                  <c:v>-100</c:v>
                </c:pt>
                <c:pt idx="118">
                  <c:v>-100</c:v>
                </c:pt>
                <c:pt idx="119">
                  <c:v>-100</c:v>
                </c:pt>
                <c:pt idx="120">
                  <c:v>-100</c:v>
                </c:pt>
                <c:pt idx="121">
                  <c:v>-100</c:v>
                </c:pt>
                <c:pt idx="122">
                  <c:v>-100</c:v>
                </c:pt>
                <c:pt idx="123">
                  <c:v>-100</c:v>
                </c:pt>
                <c:pt idx="124">
                  <c:v>-0.26838565531352421</c:v>
                </c:pt>
                <c:pt idx="125">
                  <c:v>-100</c:v>
                </c:pt>
                <c:pt idx="126">
                  <c:v>-100</c:v>
                </c:pt>
                <c:pt idx="127">
                  <c:v>1.9782033276077016</c:v>
                </c:pt>
                <c:pt idx="128">
                  <c:v>-100</c:v>
                </c:pt>
                <c:pt idx="129">
                  <c:v>-100</c:v>
                </c:pt>
                <c:pt idx="130">
                  <c:v>-100</c:v>
                </c:pt>
                <c:pt idx="131">
                  <c:v>-100</c:v>
                </c:pt>
                <c:pt idx="132">
                  <c:v>3.948953161760778</c:v>
                </c:pt>
                <c:pt idx="133">
                  <c:v>-100</c:v>
                </c:pt>
                <c:pt idx="134">
                  <c:v>-100</c:v>
                </c:pt>
                <c:pt idx="135">
                  <c:v>-100</c:v>
                </c:pt>
                <c:pt idx="136">
                  <c:v>-100</c:v>
                </c:pt>
                <c:pt idx="137">
                  <c:v>-100</c:v>
                </c:pt>
                <c:pt idx="138">
                  <c:v>3.0577333126166066</c:v>
                </c:pt>
                <c:pt idx="139">
                  <c:v>2.6618095321114708</c:v>
                </c:pt>
                <c:pt idx="140">
                  <c:v>-100</c:v>
                </c:pt>
                <c:pt idx="141">
                  <c:v>-100</c:v>
                </c:pt>
                <c:pt idx="142">
                  <c:v>-100</c:v>
                </c:pt>
                <c:pt idx="143">
                  <c:v>1.9644733671405008</c:v>
                </c:pt>
                <c:pt idx="144">
                  <c:v>-100</c:v>
                </c:pt>
                <c:pt idx="145">
                  <c:v>-100</c:v>
                </c:pt>
                <c:pt idx="146">
                  <c:v>-100</c:v>
                </c:pt>
                <c:pt idx="147">
                  <c:v>-0.84039319224545395</c:v>
                </c:pt>
                <c:pt idx="148">
                  <c:v>4.7092378793567997</c:v>
                </c:pt>
                <c:pt idx="149">
                  <c:v>-100</c:v>
                </c:pt>
                <c:pt idx="150">
                  <c:v>0.46592212537695632</c:v>
                </c:pt>
                <c:pt idx="151">
                  <c:v>-100</c:v>
                </c:pt>
                <c:pt idx="152">
                  <c:v>-100</c:v>
                </c:pt>
                <c:pt idx="153">
                  <c:v>-100</c:v>
                </c:pt>
                <c:pt idx="154">
                  <c:v>-100</c:v>
                </c:pt>
                <c:pt idx="155">
                  <c:v>-100</c:v>
                </c:pt>
                <c:pt idx="156">
                  <c:v>-100</c:v>
                </c:pt>
                <c:pt idx="157">
                  <c:v>-100</c:v>
                </c:pt>
                <c:pt idx="158">
                  <c:v>2.4188267183827437</c:v>
                </c:pt>
                <c:pt idx="159">
                  <c:v>-100</c:v>
                </c:pt>
                <c:pt idx="160">
                  <c:v>-100</c:v>
                </c:pt>
                <c:pt idx="161">
                  <c:v>-100</c:v>
                </c:pt>
                <c:pt idx="162">
                  <c:v>1.9764010900726281</c:v>
                </c:pt>
                <c:pt idx="163">
                  <c:v>-100</c:v>
                </c:pt>
                <c:pt idx="164">
                  <c:v>-100</c:v>
                </c:pt>
                <c:pt idx="165">
                  <c:v>-100</c:v>
                </c:pt>
                <c:pt idx="166">
                  <c:v>-100</c:v>
                </c:pt>
                <c:pt idx="167">
                  <c:v>1.4680547619796191</c:v>
                </c:pt>
                <c:pt idx="168">
                  <c:v>-100</c:v>
                </c:pt>
                <c:pt idx="169">
                  <c:v>1.4734697133850005</c:v>
                </c:pt>
                <c:pt idx="170">
                  <c:v>-100</c:v>
                </c:pt>
                <c:pt idx="171">
                  <c:v>-100</c:v>
                </c:pt>
                <c:pt idx="172">
                  <c:v>0.16387947269885617</c:v>
                </c:pt>
                <c:pt idx="173">
                  <c:v>-100</c:v>
                </c:pt>
                <c:pt idx="174">
                  <c:v>2.1343574264466416</c:v>
                </c:pt>
                <c:pt idx="175">
                  <c:v>-100</c:v>
                </c:pt>
                <c:pt idx="176">
                  <c:v>-100</c:v>
                </c:pt>
                <c:pt idx="177">
                  <c:v>4.21090993225876</c:v>
                </c:pt>
                <c:pt idx="178">
                  <c:v>-100</c:v>
                </c:pt>
                <c:pt idx="179">
                  <c:v>3.9717499218044292</c:v>
                </c:pt>
                <c:pt idx="180">
                  <c:v>-100</c:v>
                </c:pt>
                <c:pt idx="181">
                  <c:v>-100</c:v>
                </c:pt>
                <c:pt idx="182">
                  <c:v>-100</c:v>
                </c:pt>
                <c:pt idx="183">
                  <c:v>-100</c:v>
                </c:pt>
                <c:pt idx="184">
                  <c:v>-100</c:v>
                </c:pt>
                <c:pt idx="185">
                  <c:v>1.6634770420827634</c:v>
                </c:pt>
                <c:pt idx="186">
                  <c:v>3.5215901198437978</c:v>
                </c:pt>
                <c:pt idx="187">
                  <c:v>-100</c:v>
                </c:pt>
                <c:pt idx="188">
                  <c:v>-100</c:v>
                </c:pt>
                <c:pt idx="189">
                  <c:v>-100</c:v>
                </c:pt>
                <c:pt idx="190">
                  <c:v>0.55945722359725791</c:v>
                </c:pt>
                <c:pt idx="191">
                  <c:v>4.2454758183314532</c:v>
                </c:pt>
                <c:pt idx="192">
                  <c:v>-100</c:v>
                </c:pt>
                <c:pt idx="193">
                  <c:v>-100</c:v>
                </c:pt>
                <c:pt idx="194">
                  <c:v>-100</c:v>
                </c:pt>
                <c:pt idx="195">
                  <c:v>-100</c:v>
                </c:pt>
                <c:pt idx="196">
                  <c:v>0.49452312013356492</c:v>
                </c:pt>
                <c:pt idx="197">
                  <c:v>-100</c:v>
                </c:pt>
                <c:pt idx="198">
                  <c:v>-100</c:v>
                </c:pt>
                <c:pt idx="199">
                  <c:v>-100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47E-409F-9846-AEC3FACD35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6323856"/>
        <c:axId val="1196319536"/>
      </c:scatterChart>
      <c:scatterChart>
        <c:scatterStyle val="smoothMarker"/>
        <c:varyColors val="0"/>
        <c:ser>
          <c:idx val="2"/>
          <c:order val="2"/>
          <c:tx>
            <c:v>Эпоха 0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('2 переменные'!$AT$21,'2 переменные'!$AV$21)</c:f>
              <c:numCache>
                <c:formatCode>General</c:formatCode>
                <c:ptCount val="2"/>
                <c:pt idx="0">
                  <c:v>-5</c:v>
                </c:pt>
                <c:pt idx="1">
                  <c:v>15</c:v>
                </c:pt>
              </c:numCache>
            </c:numRef>
          </c:xVal>
          <c:yVal>
            <c:numRef>
              <c:f>('2 переменные'!$AU$21,'2 переменные'!$AW$21)</c:f>
              <c:numCache>
                <c:formatCode>General</c:formatCode>
                <c:ptCount val="2"/>
                <c:pt idx="0">
                  <c:v>4</c:v>
                </c:pt>
                <c:pt idx="1">
                  <c:v>-16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247E-409F-9846-AEC3FACD35D4}"/>
            </c:ext>
          </c:extLst>
        </c:ser>
        <c:ser>
          <c:idx val="3"/>
          <c:order val="3"/>
          <c:tx>
            <c:v>Эпоха1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('2 переменные'!$AT$22,'2 переменные'!$AV$22)</c:f>
              <c:numCache>
                <c:formatCode>General</c:formatCode>
                <c:ptCount val="2"/>
                <c:pt idx="0">
                  <c:v>-5</c:v>
                </c:pt>
                <c:pt idx="1">
                  <c:v>15</c:v>
                </c:pt>
              </c:numCache>
            </c:numRef>
          </c:xVal>
          <c:yVal>
            <c:numRef>
              <c:f>('2 переменные'!$AU$22,'2 переменные'!$AW$22)</c:f>
              <c:numCache>
                <c:formatCode>General</c:formatCode>
                <c:ptCount val="2"/>
                <c:pt idx="0">
                  <c:v>-10.926658169464437</c:v>
                </c:pt>
                <c:pt idx="1">
                  <c:v>33.30394328604595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247E-409F-9846-AEC3FACD35D4}"/>
            </c:ext>
          </c:extLst>
        </c:ser>
        <c:ser>
          <c:idx val="4"/>
          <c:order val="4"/>
          <c:tx>
            <c:v>Эпоха5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('2 переменные'!$AT$26,'2 переменные'!$AV$26)</c:f>
              <c:numCache>
                <c:formatCode>General</c:formatCode>
                <c:ptCount val="2"/>
                <c:pt idx="0">
                  <c:v>-5</c:v>
                </c:pt>
                <c:pt idx="1">
                  <c:v>15</c:v>
                </c:pt>
              </c:numCache>
            </c:numRef>
          </c:xVal>
          <c:yVal>
            <c:numRef>
              <c:f>('2 переменные'!$AU$26,'2 переменные'!$AW$26)</c:f>
              <c:numCache>
                <c:formatCode>General</c:formatCode>
                <c:ptCount val="2"/>
                <c:pt idx="0">
                  <c:v>-4.7898955814531208</c:v>
                </c:pt>
                <c:pt idx="1">
                  <c:v>14.564553959935331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247E-409F-9846-AEC3FACD35D4}"/>
            </c:ext>
          </c:extLst>
        </c:ser>
        <c:ser>
          <c:idx val="5"/>
          <c:order val="5"/>
          <c:tx>
            <c:v>Эпоха10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('2 переменные'!$AT$31,'2 переменные'!$AV$31)</c:f>
              <c:numCache>
                <c:formatCode>General</c:formatCode>
                <c:ptCount val="2"/>
                <c:pt idx="0">
                  <c:v>-5</c:v>
                </c:pt>
                <c:pt idx="1">
                  <c:v>15</c:v>
                </c:pt>
              </c:numCache>
            </c:numRef>
          </c:xVal>
          <c:yVal>
            <c:numRef>
              <c:f>('2 переменные'!$AU$31,'2 переменные'!$AW$31)</c:f>
              <c:numCache>
                <c:formatCode>General</c:formatCode>
                <c:ptCount val="2"/>
                <c:pt idx="0">
                  <c:v>-4.7898955814531208</c:v>
                </c:pt>
                <c:pt idx="1">
                  <c:v>14.564553959935331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247E-409F-9846-AEC3FACD35D4}"/>
            </c:ext>
          </c:extLst>
        </c:ser>
        <c:ser>
          <c:idx val="6"/>
          <c:order val="6"/>
          <c:tx>
            <c:v>Поиск решений</c:v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yVal>
            <c:numRef>
              <c:f>('2 переменные'!$AU$34,'2 переменные'!$AW$34)</c:f>
              <c:numCache>
                <c:formatCode>General</c:formatCode>
                <c:ptCount val="2"/>
                <c:pt idx="0">
                  <c:v>-98.616747921923661</c:v>
                </c:pt>
                <c:pt idx="1">
                  <c:v>73.943408991796929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247E-409F-9846-AEC3FACD35D4}"/>
            </c:ext>
          </c:extLst>
        </c:ser>
        <c:ser>
          <c:idx val="7"/>
          <c:order val="7"/>
          <c:tx>
            <c:v>НЕВД</c:v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yVal>
            <c:numRef>
              <c:f>('2 переменные'!$AU$35,'2 переменные'!$AW$35)</c:f>
              <c:numCache>
                <c:formatCode>General</c:formatCode>
                <c:ptCount val="2"/>
                <c:pt idx="0">
                  <c:v>0</c:v>
                </c:pt>
                <c:pt idx="1">
                  <c:v>8.6599642580486941E-2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247E-409F-9846-AEC3FACD35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6323856"/>
        <c:axId val="1196319536"/>
      </c:scatterChart>
      <c:valAx>
        <c:axId val="1196323856"/>
        <c:scaling>
          <c:orientation val="minMax"/>
          <c:min val="-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96319536"/>
        <c:crosses val="autoZero"/>
        <c:crossBetween val="midCat"/>
      </c:valAx>
      <c:valAx>
        <c:axId val="1196319536"/>
        <c:scaling>
          <c:orientation val="minMax"/>
          <c:max val="20"/>
          <c:min val="-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963238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Сходимость</a:t>
            </a:r>
            <a:r>
              <a:rPr lang="ru-RU" baseline="0"/>
              <a:t> параметров обучения</a:t>
            </a:r>
          </a:p>
        </c:rich>
      </c:tx>
      <c:layout>
        <c:manualLayout>
          <c:xMode val="edge"/>
          <c:yMode val="edge"/>
          <c:x val="0.16057633420822398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'20 с.в.'!$AM$21:$AM$31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xVal>
          <c:yVal>
            <c:numRef>
              <c:f>'20 с.в.'!$AO$21:$AO$31</c:f>
              <c:numCache>
                <c:formatCode>General</c:formatCode>
                <c:ptCount val="11"/>
                <c:pt idx="0">
                  <c:v>1</c:v>
                </c:pt>
                <c:pt idx="1">
                  <c:v>0.29917600024500002</c:v>
                </c:pt>
                <c:pt idx="2">
                  <c:v>0.29917600024500002</c:v>
                </c:pt>
                <c:pt idx="3">
                  <c:v>0.29917600024500002</c:v>
                </c:pt>
                <c:pt idx="4">
                  <c:v>0.29917600024500002</c:v>
                </c:pt>
                <c:pt idx="5">
                  <c:v>0.29917600024500002</c:v>
                </c:pt>
                <c:pt idx="6">
                  <c:v>0.29917600024500002</c:v>
                </c:pt>
                <c:pt idx="7">
                  <c:v>0.29917600024500002</c:v>
                </c:pt>
                <c:pt idx="8">
                  <c:v>0.29917600024500002</c:v>
                </c:pt>
                <c:pt idx="9">
                  <c:v>0.29917600024500002</c:v>
                </c:pt>
                <c:pt idx="10">
                  <c:v>0.29917600024500002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811-4C2D-B4D5-3C968FF2C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'20 с.в.'!$AM$21:$AM$31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xVal>
          <c:yVal>
            <c:numRef>
              <c:f>'20 с.в.'!$AP$21:$AP$31</c:f>
              <c:numCache>
                <c:formatCode>General</c:formatCode>
                <c:ptCount val="11"/>
                <c:pt idx="0">
                  <c:v>2</c:v>
                </c:pt>
                <c:pt idx="1">
                  <c:v>-6.8617067882421532</c:v>
                </c:pt>
                <c:pt idx="2">
                  <c:v>-6.8617067882421532</c:v>
                </c:pt>
                <c:pt idx="3">
                  <c:v>-6.8617067882421532</c:v>
                </c:pt>
                <c:pt idx="4">
                  <c:v>-6.8617067882421532</c:v>
                </c:pt>
                <c:pt idx="5">
                  <c:v>-6.8617067882421532</c:v>
                </c:pt>
                <c:pt idx="6">
                  <c:v>-6.8617067882421532</c:v>
                </c:pt>
                <c:pt idx="7">
                  <c:v>-6.8617067882421532</c:v>
                </c:pt>
                <c:pt idx="8">
                  <c:v>-6.8617067882421532</c:v>
                </c:pt>
                <c:pt idx="9">
                  <c:v>-6.8617067882421532</c:v>
                </c:pt>
                <c:pt idx="10">
                  <c:v>-6.8617067882421532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811-4C2D-B4D5-3C968FF2CC6D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'20 с.в.'!$AM$21:$AM$31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xVal>
          <c:yVal>
            <c:numRef>
              <c:f>'20 с.в.'!$AQ$21:$AQ$31</c:f>
              <c:numCache>
                <c:formatCode>General</c:formatCode>
                <c:ptCount val="11"/>
                <c:pt idx="0">
                  <c:v>3</c:v>
                </c:pt>
                <c:pt idx="1">
                  <c:v>11.068570336494654</c:v>
                </c:pt>
                <c:pt idx="2">
                  <c:v>11.068570336494654</c:v>
                </c:pt>
                <c:pt idx="3">
                  <c:v>11.068570336494654</c:v>
                </c:pt>
                <c:pt idx="4">
                  <c:v>11.068570336494654</c:v>
                </c:pt>
                <c:pt idx="5">
                  <c:v>11.068570336494654</c:v>
                </c:pt>
                <c:pt idx="6">
                  <c:v>11.068570336494654</c:v>
                </c:pt>
                <c:pt idx="7">
                  <c:v>11.068570336494654</c:v>
                </c:pt>
                <c:pt idx="8">
                  <c:v>11.068570336494654</c:v>
                </c:pt>
                <c:pt idx="9">
                  <c:v>11.068570336494654</c:v>
                </c:pt>
                <c:pt idx="10">
                  <c:v>11.068570336494654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811-4C2D-B4D5-3C968FF2CC6D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'20 с.в.'!$AM$21:$AM$31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xVal>
          <c:yVal>
            <c:numRef>
              <c:f>'20 с.в.'!$AN$21:$AN$31</c:f>
              <c:numCache>
                <c:formatCode>General</c:formatCode>
                <c:ptCount val="11"/>
                <c:pt idx="1">
                  <c:v>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811-4C2D-B4D5-3C968FF2C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5299696"/>
        <c:axId val="1195309776"/>
      </c:scatterChart>
      <c:valAx>
        <c:axId val="1195299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95309776"/>
        <c:crosses val="autoZero"/>
        <c:crossBetween val="midCat"/>
      </c:valAx>
      <c:valAx>
        <c:axId val="1195309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952996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Обучающая выборка</a:t>
            </a:r>
            <a:r>
              <a:rPr lang="ru-RU" baseline="0"/>
              <a:t> и линии классификации</a:t>
            </a:r>
          </a:p>
        </c:rich>
      </c:tx>
      <c:layout>
        <c:manualLayout>
          <c:xMode val="edge"/>
          <c:yMode val="edge"/>
          <c:x val="0.27882418767421513"/>
          <c:y val="2.72506040959282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Класс1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'20 с.в.'!$N$23:$N$42</c:f>
              <c:numCache>
                <c:formatCode>General</c:formatCode>
                <c:ptCount val="20"/>
                <c:pt idx="0">
                  <c:v>4.3149584625268673</c:v>
                </c:pt>
                <c:pt idx="1">
                  <c:v>4.2336649521823988</c:v>
                </c:pt>
                <c:pt idx="2">
                  <c:v>4.0760342132531742</c:v>
                </c:pt>
                <c:pt idx="3">
                  <c:v>6.9682999690312606</c:v>
                </c:pt>
                <c:pt idx="4">
                  <c:v>8.3649028089644606</c:v>
                </c:pt>
                <c:pt idx="5">
                  <c:v>-100</c:v>
                </c:pt>
                <c:pt idx="6">
                  <c:v>-100</c:v>
                </c:pt>
                <c:pt idx="7">
                  <c:v>-100</c:v>
                </c:pt>
                <c:pt idx="8">
                  <c:v>4.1553347214085523</c:v>
                </c:pt>
                <c:pt idx="9">
                  <c:v>8.4627041466514576</c:v>
                </c:pt>
                <c:pt idx="10">
                  <c:v>-100</c:v>
                </c:pt>
                <c:pt idx="11">
                  <c:v>9.6231558949622329</c:v>
                </c:pt>
                <c:pt idx="12">
                  <c:v>8.0162683783311302</c:v>
                </c:pt>
                <c:pt idx="13">
                  <c:v>-100</c:v>
                </c:pt>
                <c:pt idx="14">
                  <c:v>7.0021023351067502</c:v>
                </c:pt>
                <c:pt idx="15">
                  <c:v>9.3873260438242312</c:v>
                </c:pt>
                <c:pt idx="16">
                  <c:v>8.350479766806572</c:v>
                </c:pt>
                <c:pt idx="17">
                  <c:v>-100</c:v>
                </c:pt>
                <c:pt idx="18">
                  <c:v>5.9362821331723659</c:v>
                </c:pt>
                <c:pt idx="19">
                  <c:v>6.5710893880029841</c:v>
                </c:pt>
              </c:numCache>
            </c:numRef>
          </c:xVal>
          <c:yVal>
            <c:numRef>
              <c:f>'20 с.в.'!$O$23:$O$42</c:f>
              <c:numCache>
                <c:formatCode>General</c:formatCode>
                <c:ptCount val="20"/>
                <c:pt idx="0">
                  <c:v>13.587304965306437</c:v>
                </c:pt>
                <c:pt idx="1">
                  <c:v>12.70627015712763</c:v>
                </c:pt>
                <c:pt idx="2">
                  <c:v>14.469759131952143</c:v>
                </c:pt>
                <c:pt idx="3">
                  <c:v>17.914758476754205</c:v>
                </c:pt>
                <c:pt idx="4">
                  <c:v>12.719454128845591</c:v>
                </c:pt>
                <c:pt idx="5">
                  <c:v>-100</c:v>
                </c:pt>
                <c:pt idx="6">
                  <c:v>-100</c:v>
                </c:pt>
                <c:pt idx="7">
                  <c:v>-100</c:v>
                </c:pt>
                <c:pt idx="8">
                  <c:v>14.321993426062503</c:v>
                </c:pt>
                <c:pt idx="9">
                  <c:v>15.454310408273011</c:v>
                </c:pt>
                <c:pt idx="10">
                  <c:v>-100</c:v>
                </c:pt>
                <c:pt idx="11">
                  <c:v>17.200031178548244</c:v>
                </c:pt>
                <c:pt idx="12">
                  <c:v>15.747450545221799</c:v>
                </c:pt>
                <c:pt idx="13">
                  <c:v>-100</c:v>
                </c:pt>
                <c:pt idx="14">
                  <c:v>14.953006437416358</c:v>
                </c:pt>
                <c:pt idx="15">
                  <c:v>15.442270446035302</c:v>
                </c:pt>
                <c:pt idx="16">
                  <c:v>12.305807835685576</c:v>
                </c:pt>
                <c:pt idx="17">
                  <c:v>-100</c:v>
                </c:pt>
                <c:pt idx="18">
                  <c:v>13.657099377494115</c:v>
                </c:pt>
                <c:pt idx="19">
                  <c:v>13.611866750508497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E4D-4142-A829-3602A6E4C794}"/>
            </c:ext>
          </c:extLst>
        </c:ser>
        <c:ser>
          <c:idx val="1"/>
          <c:order val="1"/>
          <c:tx>
            <c:v>Класс2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'20 с.в.'!$P$23:$P$42</c:f>
              <c:numCache>
                <c:formatCode>General</c:formatCode>
                <c:ptCount val="20"/>
                <c:pt idx="0">
                  <c:v>-100</c:v>
                </c:pt>
                <c:pt idx="1">
                  <c:v>-100</c:v>
                </c:pt>
                <c:pt idx="2">
                  <c:v>-100</c:v>
                </c:pt>
                <c:pt idx="3">
                  <c:v>-100</c:v>
                </c:pt>
                <c:pt idx="4">
                  <c:v>-100</c:v>
                </c:pt>
                <c:pt idx="5">
                  <c:v>9.3848699915294151</c:v>
                </c:pt>
                <c:pt idx="6">
                  <c:v>9.2116945315592211</c:v>
                </c:pt>
                <c:pt idx="7">
                  <c:v>10.461114754974387</c:v>
                </c:pt>
                <c:pt idx="8">
                  <c:v>-100</c:v>
                </c:pt>
                <c:pt idx="9">
                  <c:v>-100</c:v>
                </c:pt>
                <c:pt idx="10">
                  <c:v>11.722530671423003</c:v>
                </c:pt>
                <c:pt idx="11">
                  <c:v>-100</c:v>
                </c:pt>
                <c:pt idx="12">
                  <c:v>-100</c:v>
                </c:pt>
                <c:pt idx="13">
                  <c:v>11.270939377934512</c:v>
                </c:pt>
                <c:pt idx="14">
                  <c:v>-100</c:v>
                </c:pt>
                <c:pt idx="15">
                  <c:v>-100</c:v>
                </c:pt>
                <c:pt idx="16">
                  <c:v>-100</c:v>
                </c:pt>
                <c:pt idx="17">
                  <c:v>8.8378960488846694</c:v>
                </c:pt>
                <c:pt idx="18">
                  <c:v>-100</c:v>
                </c:pt>
                <c:pt idx="19">
                  <c:v>-100</c:v>
                </c:pt>
              </c:numCache>
            </c:numRef>
          </c:xVal>
          <c:yVal>
            <c:numRef>
              <c:f>'20 с.в.'!$Q$23:$Q$42</c:f>
              <c:numCache>
                <c:formatCode>General</c:formatCode>
                <c:ptCount val="20"/>
                <c:pt idx="0">
                  <c:v>-100</c:v>
                </c:pt>
                <c:pt idx="1">
                  <c:v>-100</c:v>
                </c:pt>
                <c:pt idx="2">
                  <c:v>-100</c:v>
                </c:pt>
                <c:pt idx="3">
                  <c:v>-100</c:v>
                </c:pt>
                <c:pt idx="4">
                  <c:v>-100</c:v>
                </c:pt>
                <c:pt idx="5">
                  <c:v>1.4060742683734069</c:v>
                </c:pt>
                <c:pt idx="6">
                  <c:v>2.6230439176570473</c:v>
                </c:pt>
                <c:pt idx="7">
                  <c:v>0.59971612058074264</c:v>
                </c:pt>
                <c:pt idx="8">
                  <c:v>-100</c:v>
                </c:pt>
                <c:pt idx="9">
                  <c:v>-100</c:v>
                </c:pt>
                <c:pt idx="10">
                  <c:v>2.5352595019486603</c:v>
                </c:pt>
                <c:pt idx="11">
                  <c:v>-100</c:v>
                </c:pt>
                <c:pt idx="12">
                  <c:v>-100</c:v>
                </c:pt>
                <c:pt idx="13">
                  <c:v>3.0215464426123679</c:v>
                </c:pt>
                <c:pt idx="14">
                  <c:v>-100</c:v>
                </c:pt>
                <c:pt idx="15">
                  <c:v>-100</c:v>
                </c:pt>
                <c:pt idx="16">
                  <c:v>-100</c:v>
                </c:pt>
                <c:pt idx="17">
                  <c:v>3.2008000774008516</c:v>
                </c:pt>
                <c:pt idx="18">
                  <c:v>-100</c:v>
                </c:pt>
                <c:pt idx="19">
                  <c:v>-100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E4D-4142-A829-3602A6E4C7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6323856"/>
        <c:axId val="1196319536"/>
      </c:scatterChart>
      <c:scatterChart>
        <c:scatterStyle val="smoothMarker"/>
        <c:varyColors val="0"/>
        <c:ser>
          <c:idx val="2"/>
          <c:order val="2"/>
          <c:tx>
            <c:v>Эпоха 0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('20 с.в.'!$AT$21,'20 с.в.'!$AV$21)</c:f>
              <c:numCache>
                <c:formatCode>General</c:formatCode>
                <c:ptCount val="2"/>
                <c:pt idx="0">
                  <c:v>-5</c:v>
                </c:pt>
                <c:pt idx="1">
                  <c:v>15</c:v>
                </c:pt>
              </c:numCache>
            </c:numRef>
          </c:xVal>
          <c:yVal>
            <c:numRef>
              <c:f>('20 с.в.'!$AU$21,'20 с.в.'!$AW$21)</c:f>
              <c:numCache>
                <c:formatCode>General</c:formatCode>
                <c:ptCount val="2"/>
                <c:pt idx="0">
                  <c:v>2.9999999999999996</c:v>
                </c:pt>
                <c:pt idx="1">
                  <c:v>-10.333333333333334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E4D-4142-A829-3602A6E4C794}"/>
            </c:ext>
          </c:extLst>
        </c:ser>
        <c:ser>
          <c:idx val="3"/>
          <c:order val="3"/>
          <c:tx>
            <c:v>Эпоха1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('20 с.в.'!$AT$22,'20 с.в.'!$AV$22)</c:f>
              <c:numCache>
                <c:formatCode>General</c:formatCode>
                <c:ptCount val="2"/>
                <c:pt idx="0">
                  <c:v>-5</c:v>
                </c:pt>
                <c:pt idx="1">
                  <c:v>15</c:v>
                </c:pt>
              </c:numCache>
            </c:numRef>
          </c:xVal>
          <c:yVal>
            <c:numRef>
              <c:f>('20 с.в.'!$AU$22,'20 с.в.'!$AW$22)</c:f>
              <c:numCache>
                <c:formatCode>General</c:formatCode>
                <c:ptCount val="2"/>
                <c:pt idx="0">
                  <c:v>-3.1266648617978436</c:v>
                </c:pt>
                <c:pt idx="1">
                  <c:v>9.2718772798518838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E4D-4142-A829-3602A6E4C794}"/>
            </c:ext>
          </c:extLst>
        </c:ser>
        <c:ser>
          <c:idx val="4"/>
          <c:order val="4"/>
          <c:tx>
            <c:v>Эпоха5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('20 с.в.'!$AT$26,'20 с.в.'!$AV$26)</c:f>
              <c:numCache>
                <c:formatCode>General</c:formatCode>
                <c:ptCount val="2"/>
                <c:pt idx="0">
                  <c:v>-5</c:v>
                </c:pt>
                <c:pt idx="1">
                  <c:v>15</c:v>
                </c:pt>
              </c:numCache>
            </c:numRef>
          </c:xVal>
          <c:yVal>
            <c:numRef>
              <c:f>('20 с.в.'!$AU$26,'20 с.в.'!$AW$26)</c:f>
              <c:numCache>
                <c:formatCode>General</c:formatCode>
                <c:ptCount val="2"/>
                <c:pt idx="0">
                  <c:v>-3.1266648617978436</c:v>
                </c:pt>
                <c:pt idx="1">
                  <c:v>9.2718772798518838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0E4D-4142-A829-3602A6E4C794}"/>
            </c:ext>
          </c:extLst>
        </c:ser>
        <c:ser>
          <c:idx val="5"/>
          <c:order val="5"/>
          <c:tx>
            <c:v>Эпоха10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('20 с.в.'!$AT$31,'20 с.в.'!$AV$31)</c:f>
              <c:numCache>
                <c:formatCode>General</c:formatCode>
                <c:ptCount val="2"/>
                <c:pt idx="0">
                  <c:v>-5</c:v>
                </c:pt>
                <c:pt idx="1">
                  <c:v>15</c:v>
                </c:pt>
              </c:numCache>
            </c:numRef>
          </c:xVal>
          <c:yVal>
            <c:numRef>
              <c:f>('20 с.в.'!$AU$31,'20 с.в.'!$AW$31)</c:f>
              <c:numCache>
                <c:formatCode>General</c:formatCode>
                <c:ptCount val="2"/>
                <c:pt idx="0">
                  <c:v>-3.1266648617978436</c:v>
                </c:pt>
                <c:pt idx="1">
                  <c:v>9.2718772798518838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0E4D-4142-A829-3602A6E4C794}"/>
            </c:ext>
          </c:extLst>
        </c:ser>
        <c:ser>
          <c:idx val="6"/>
          <c:order val="6"/>
          <c:tx>
            <c:v>Поиск решений</c:v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('20 с.в.'!$AT$34,'20 с.в.'!$AV$34)</c:f>
              <c:numCache>
                <c:formatCode>General</c:formatCode>
                <c:ptCount val="2"/>
                <c:pt idx="0">
                  <c:v>0</c:v>
                </c:pt>
                <c:pt idx="1">
                  <c:v>15</c:v>
                </c:pt>
              </c:numCache>
            </c:numRef>
          </c:xVal>
          <c:yVal>
            <c:numRef>
              <c:f>('20 с.в.'!$AU$34,'20 с.в.'!$AW$34)</c:f>
              <c:numCache>
                <c:formatCode>General</c:formatCode>
                <c:ptCount val="2"/>
                <c:pt idx="0">
                  <c:v>0.81714118904514177</c:v>
                </c:pt>
                <c:pt idx="1">
                  <c:v>-34.057091061103193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0E4D-4142-A829-3602A6E4C794}"/>
            </c:ext>
          </c:extLst>
        </c:ser>
        <c:ser>
          <c:idx val="7"/>
          <c:order val="7"/>
          <c:tx>
            <c:v>НЕВД</c:v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('20 с.в.'!$AT$35,'20 с.в.'!$AV$35)</c:f>
              <c:numCache>
                <c:formatCode>General</c:formatCode>
                <c:ptCount val="2"/>
                <c:pt idx="0">
                  <c:v>0</c:v>
                </c:pt>
                <c:pt idx="1">
                  <c:v>0.91863018018688791</c:v>
                </c:pt>
              </c:numCache>
            </c:numRef>
          </c:xVal>
          <c:yVal>
            <c:numRef>
              <c:f>('20 с.в.'!$AU$35,'20 с.в.'!$AW$35)</c:f>
              <c:numCache>
                <c:formatCode>General</c:formatCode>
                <c:ptCount val="2"/>
                <c:pt idx="0">
                  <c:v>0</c:v>
                </c:pt>
                <c:pt idx="1">
                  <c:v>0.39511845318816186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0E4D-4142-A829-3602A6E4C7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6323856"/>
        <c:axId val="1196319536"/>
      </c:scatterChart>
      <c:valAx>
        <c:axId val="1196323856"/>
        <c:scaling>
          <c:orientation val="minMax"/>
          <c:min val="-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96319536"/>
        <c:crosses val="autoZero"/>
        <c:crossBetween val="midCat"/>
      </c:valAx>
      <c:valAx>
        <c:axId val="1196319536"/>
        <c:scaling>
          <c:orientation val="minMax"/>
          <c:max val="20"/>
          <c:min val="-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963238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Сходимость</a:t>
            </a:r>
            <a:r>
              <a:rPr lang="ru-RU" baseline="0"/>
              <a:t> параметров обучения</a:t>
            </a:r>
          </a:p>
        </c:rich>
      </c:tx>
      <c:layout>
        <c:manualLayout>
          <c:xMode val="edge"/>
          <c:yMode val="edge"/>
          <c:x val="0.16057633420822398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 без х0'!$AM$21:$AM$31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xVal>
          <c:yVal>
            <c:numRef>
              <c:f>' без х0'!$AO$21:$AO$31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B18-4729-A454-90CF99C5ADFB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 без х0'!$AM$21:$AM$31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xVal>
          <c:yVal>
            <c:numRef>
              <c:f>' без х0'!$AP$21:$AP$31</c:f>
              <c:numCache>
                <c:formatCode>General</c:formatCode>
                <c:ptCount val="11"/>
                <c:pt idx="0">
                  <c:v>70</c:v>
                </c:pt>
                <c:pt idx="1">
                  <c:v>27.32749567811409</c:v>
                </c:pt>
                <c:pt idx="2">
                  <c:v>30.351522126598855</c:v>
                </c:pt>
                <c:pt idx="3">
                  <c:v>30.351522126598855</c:v>
                </c:pt>
                <c:pt idx="4">
                  <c:v>30.351522126598855</c:v>
                </c:pt>
                <c:pt idx="5">
                  <c:v>30.351522126598855</c:v>
                </c:pt>
                <c:pt idx="6">
                  <c:v>30.351522126598855</c:v>
                </c:pt>
                <c:pt idx="7">
                  <c:v>30.351522126598855</c:v>
                </c:pt>
                <c:pt idx="8">
                  <c:v>30.351522126598855</c:v>
                </c:pt>
                <c:pt idx="9">
                  <c:v>30.351522126598855</c:v>
                </c:pt>
                <c:pt idx="10">
                  <c:v>30.351522126598855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B18-4729-A454-90CF99C5ADFB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 без х0'!$AM$21:$AM$31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xVal>
          <c:yVal>
            <c:numRef>
              <c:f>' без х0'!$AQ$21:$AQ$31</c:f>
              <c:numCache>
                <c:formatCode>General</c:formatCode>
                <c:ptCount val="11"/>
                <c:pt idx="0">
                  <c:v>0</c:v>
                </c:pt>
                <c:pt idx="1">
                  <c:v>-9.3815386535522194</c:v>
                </c:pt>
                <c:pt idx="2">
                  <c:v>1.1303935806952303</c:v>
                </c:pt>
                <c:pt idx="3">
                  <c:v>1.1303935806952303</c:v>
                </c:pt>
                <c:pt idx="4">
                  <c:v>1.1303935806952303</c:v>
                </c:pt>
                <c:pt idx="5">
                  <c:v>1.1303935806952303</c:v>
                </c:pt>
                <c:pt idx="6">
                  <c:v>1.1303935806952303</c:v>
                </c:pt>
                <c:pt idx="7">
                  <c:v>1.1303935806952303</c:v>
                </c:pt>
                <c:pt idx="8">
                  <c:v>1.1303935806952303</c:v>
                </c:pt>
                <c:pt idx="9">
                  <c:v>1.1303935806952303</c:v>
                </c:pt>
                <c:pt idx="10">
                  <c:v>1.1303935806952303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B18-4729-A454-90CF99C5ADFB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 без х0'!$AM$21:$AM$31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xVal>
          <c:yVal>
            <c:numRef>
              <c:f>' без х0'!$AN$21:$AN$31</c:f>
              <c:numCache>
                <c:formatCode>General</c:formatCode>
                <c:ptCount val="11"/>
                <c:pt idx="1">
                  <c:v>6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B18-4729-A454-90CF99C5AD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5299696"/>
        <c:axId val="1195309776"/>
      </c:scatterChart>
      <c:valAx>
        <c:axId val="1195299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95309776"/>
        <c:crosses val="autoZero"/>
        <c:crossBetween val="midCat"/>
      </c:valAx>
      <c:valAx>
        <c:axId val="1195309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952996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Обучающая выборка</a:t>
            </a:r>
            <a:r>
              <a:rPr lang="ru-RU" baseline="0"/>
              <a:t> и линии классификации</a:t>
            </a:r>
          </a:p>
        </c:rich>
      </c:tx>
      <c:layout>
        <c:manualLayout>
          <c:xMode val="edge"/>
          <c:yMode val="edge"/>
          <c:x val="0.27882418767421513"/>
          <c:y val="2.72506040959282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Класс1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 без х0'!$N$23:$N$42</c:f>
              <c:numCache>
                <c:formatCode>General</c:formatCode>
                <c:ptCount val="20"/>
                <c:pt idx="0">
                  <c:v>4.3149584625268673</c:v>
                </c:pt>
                <c:pt idx="1">
                  <c:v>4.2336649521823988</c:v>
                </c:pt>
                <c:pt idx="2">
                  <c:v>4.0760342132531742</c:v>
                </c:pt>
                <c:pt idx="3">
                  <c:v>6.9682999690312606</c:v>
                </c:pt>
                <c:pt idx="4">
                  <c:v>8.3649028089644606</c:v>
                </c:pt>
                <c:pt idx="5">
                  <c:v>-100</c:v>
                </c:pt>
                <c:pt idx="6">
                  <c:v>-100</c:v>
                </c:pt>
                <c:pt idx="7">
                  <c:v>-100</c:v>
                </c:pt>
                <c:pt idx="8">
                  <c:v>4.1553347214085523</c:v>
                </c:pt>
                <c:pt idx="9">
                  <c:v>8.4627041466514576</c:v>
                </c:pt>
                <c:pt idx="10">
                  <c:v>-100</c:v>
                </c:pt>
                <c:pt idx="11">
                  <c:v>9.6231558949622329</c:v>
                </c:pt>
                <c:pt idx="12">
                  <c:v>8.0162683783311302</c:v>
                </c:pt>
                <c:pt idx="13">
                  <c:v>-100</c:v>
                </c:pt>
                <c:pt idx="14">
                  <c:v>7.0021023351067502</c:v>
                </c:pt>
                <c:pt idx="15">
                  <c:v>9.3873260438242312</c:v>
                </c:pt>
                <c:pt idx="16">
                  <c:v>8.350479766806572</c:v>
                </c:pt>
                <c:pt idx="17">
                  <c:v>-100</c:v>
                </c:pt>
                <c:pt idx="18">
                  <c:v>5.9362821331723659</c:v>
                </c:pt>
                <c:pt idx="19">
                  <c:v>6.5710893880029841</c:v>
                </c:pt>
              </c:numCache>
            </c:numRef>
          </c:xVal>
          <c:yVal>
            <c:numRef>
              <c:f>' без х0'!$O$23:$O$42</c:f>
              <c:numCache>
                <c:formatCode>General</c:formatCode>
                <c:ptCount val="20"/>
                <c:pt idx="0">
                  <c:v>13.587304965306437</c:v>
                </c:pt>
                <c:pt idx="1">
                  <c:v>12.70627015712763</c:v>
                </c:pt>
                <c:pt idx="2">
                  <c:v>14.469759131952143</c:v>
                </c:pt>
                <c:pt idx="3">
                  <c:v>17.914758476754205</c:v>
                </c:pt>
                <c:pt idx="4">
                  <c:v>12.719454128845591</c:v>
                </c:pt>
                <c:pt idx="5">
                  <c:v>-100</c:v>
                </c:pt>
                <c:pt idx="6">
                  <c:v>-100</c:v>
                </c:pt>
                <c:pt idx="7">
                  <c:v>-100</c:v>
                </c:pt>
                <c:pt idx="8">
                  <c:v>14.321993426062503</c:v>
                </c:pt>
                <c:pt idx="9">
                  <c:v>15.454310408273011</c:v>
                </c:pt>
                <c:pt idx="10">
                  <c:v>-100</c:v>
                </c:pt>
                <c:pt idx="11">
                  <c:v>17.200031178548244</c:v>
                </c:pt>
                <c:pt idx="12">
                  <c:v>15.747450545221799</c:v>
                </c:pt>
                <c:pt idx="13">
                  <c:v>-100</c:v>
                </c:pt>
                <c:pt idx="14">
                  <c:v>14.953006437416358</c:v>
                </c:pt>
                <c:pt idx="15">
                  <c:v>15.442270446035302</c:v>
                </c:pt>
                <c:pt idx="16">
                  <c:v>12.305807835685576</c:v>
                </c:pt>
                <c:pt idx="17">
                  <c:v>-100</c:v>
                </c:pt>
                <c:pt idx="18">
                  <c:v>13.657099377494115</c:v>
                </c:pt>
                <c:pt idx="19">
                  <c:v>13.611866750508497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1ED-4D1E-8C0C-C0491794541B}"/>
            </c:ext>
          </c:extLst>
        </c:ser>
        <c:ser>
          <c:idx val="1"/>
          <c:order val="1"/>
          <c:tx>
            <c:v>Класс2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 без х0'!$P$23:$P$42</c:f>
              <c:numCache>
                <c:formatCode>General</c:formatCode>
                <c:ptCount val="20"/>
                <c:pt idx="0">
                  <c:v>-100</c:v>
                </c:pt>
                <c:pt idx="1">
                  <c:v>-100</c:v>
                </c:pt>
                <c:pt idx="2">
                  <c:v>-100</c:v>
                </c:pt>
                <c:pt idx="3">
                  <c:v>-100</c:v>
                </c:pt>
                <c:pt idx="4">
                  <c:v>-100</c:v>
                </c:pt>
                <c:pt idx="5">
                  <c:v>9.3848699915294151</c:v>
                </c:pt>
                <c:pt idx="6">
                  <c:v>9.2116945315592211</c:v>
                </c:pt>
                <c:pt idx="7">
                  <c:v>10.461114754974387</c:v>
                </c:pt>
                <c:pt idx="8">
                  <c:v>-100</c:v>
                </c:pt>
                <c:pt idx="9">
                  <c:v>-100</c:v>
                </c:pt>
                <c:pt idx="10">
                  <c:v>11.722530671423003</c:v>
                </c:pt>
                <c:pt idx="11">
                  <c:v>-100</c:v>
                </c:pt>
                <c:pt idx="12">
                  <c:v>-100</c:v>
                </c:pt>
                <c:pt idx="13">
                  <c:v>11.270939377934512</c:v>
                </c:pt>
                <c:pt idx="14">
                  <c:v>-100</c:v>
                </c:pt>
                <c:pt idx="15">
                  <c:v>-100</c:v>
                </c:pt>
                <c:pt idx="16">
                  <c:v>-100</c:v>
                </c:pt>
                <c:pt idx="17">
                  <c:v>8.8378960488846694</c:v>
                </c:pt>
                <c:pt idx="18">
                  <c:v>-100</c:v>
                </c:pt>
                <c:pt idx="19">
                  <c:v>-100</c:v>
                </c:pt>
              </c:numCache>
            </c:numRef>
          </c:xVal>
          <c:yVal>
            <c:numRef>
              <c:f>' без х0'!$Q$23:$Q$42</c:f>
              <c:numCache>
                <c:formatCode>General</c:formatCode>
                <c:ptCount val="20"/>
                <c:pt idx="0">
                  <c:v>-100</c:v>
                </c:pt>
                <c:pt idx="1">
                  <c:v>-100</c:v>
                </c:pt>
                <c:pt idx="2">
                  <c:v>-100</c:v>
                </c:pt>
                <c:pt idx="3">
                  <c:v>-100</c:v>
                </c:pt>
                <c:pt idx="4">
                  <c:v>-100</c:v>
                </c:pt>
                <c:pt idx="5">
                  <c:v>1.4060742683734069</c:v>
                </c:pt>
                <c:pt idx="6">
                  <c:v>2.6230439176570473</c:v>
                </c:pt>
                <c:pt idx="7">
                  <c:v>0.59971612058074264</c:v>
                </c:pt>
                <c:pt idx="8">
                  <c:v>-100</c:v>
                </c:pt>
                <c:pt idx="9">
                  <c:v>-100</c:v>
                </c:pt>
                <c:pt idx="10">
                  <c:v>2.5352595019486603</c:v>
                </c:pt>
                <c:pt idx="11">
                  <c:v>-100</c:v>
                </c:pt>
                <c:pt idx="12">
                  <c:v>-100</c:v>
                </c:pt>
                <c:pt idx="13">
                  <c:v>3.0215464426123679</c:v>
                </c:pt>
                <c:pt idx="14">
                  <c:v>-100</c:v>
                </c:pt>
                <c:pt idx="15">
                  <c:v>-100</c:v>
                </c:pt>
                <c:pt idx="16">
                  <c:v>-100</c:v>
                </c:pt>
                <c:pt idx="17">
                  <c:v>3.2008000774008516</c:v>
                </c:pt>
                <c:pt idx="18">
                  <c:v>-100</c:v>
                </c:pt>
                <c:pt idx="19">
                  <c:v>-100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1ED-4D1E-8C0C-C049179454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6323856"/>
        <c:axId val="1196319536"/>
      </c:scatterChart>
      <c:scatterChart>
        <c:scatterStyle val="smoothMarker"/>
        <c:varyColors val="0"/>
        <c:ser>
          <c:idx val="2"/>
          <c:order val="2"/>
          <c:tx>
            <c:v>Эпоха 0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(' без х0'!$AT$21,' без х0'!$AV$21)</c:f>
              <c:numCache>
                <c:formatCode>General</c:formatCode>
                <c:ptCount val="2"/>
                <c:pt idx="0">
                  <c:v>-5</c:v>
                </c:pt>
                <c:pt idx="1">
                  <c:v>15</c:v>
                </c:pt>
              </c:numCache>
            </c:numRef>
          </c:xVal>
          <c:yVal>
            <c:numRef>
              <c:f>('20 с.в.'!$AU$21,'20 с.в.'!$AW$21)</c:f>
              <c:numCache>
                <c:formatCode>General</c:formatCode>
                <c:ptCount val="2"/>
                <c:pt idx="0">
                  <c:v>2.9999999999999996</c:v>
                </c:pt>
                <c:pt idx="1">
                  <c:v>-10.333333333333334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1ED-4D1E-8C0C-C0491794541B}"/>
            </c:ext>
          </c:extLst>
        </c:ser>
        <c:ser>
          <c:idx val="3"/>
          <c:order val="3"/>
          <c:tx>
            <c:v>Эпоха1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(' без х0'!$AT$22,' без х0'!$AV$22)</c:f>
              <c:numCache>
                <c:formatCode>General</c:formatCode>
                <c:ptCount val="2"/>
                <c:pt idx="0">
                  <c:v>-5</c:v>
                </c:pt>
                <c:pt idx="1">
                  <c:v>15</c:v>
                </c:pt>
              </c:numCache>
            </c:numRef>
          </c:xVal>
          <c:yVal>
            <c:numRef>
              <c:f>(' без х0'!$AU$22,' без х0'!$AW$22)</c:f>
              <c:numCache>
                <c:formatCode>General</c:formatCode>
                <c:ptCount val="2"/>
                <c:pt idx="0">
                  <c:v>-14.56450625386851</c:v>
                </c:pt>
                <c:pt idx="1">
                  <c:v>43.693518761605532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1ED-4D1E-8C0C-C0491794541B}"/>
            </c:ext>
          </c:extLst>
        </c:ser>
        <c:ser>
          <c:idx val="4"/>
          <c:order val="4"/>
          <c:tx>
            <c:v>Эпоха5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(' без х0'!$AT$26,' без х0'!$AV$26)</c:f>
              <c:numCache>
                <c:formatCode>General</c:formatCode>
                <c:ptCount val="2"/>
                <c:pt idx="0">
                  <c:v>-5</c:v>
                </c:pt>
                <c:pt idx="1">
                  <c:v>15</c:v>
                </c:pt>
              </c:numCache>
            </c:numRef>
          </c:xVal>
          <c:yVal>
            <c:numRef>
              <c:f>(' без х0'!$AU$26,' без х0'!$AW$26)</c:f>
              <c:numCache>
                <c:formatCode>General</c:formatCode>
                <c:ptCount val="2"/>
                <c:pt idx="0">
                  <c:v>134.2520102950852</c:v>
                </c:pt>
                <c:pt idx="1">
                  <c:v>-402.7560308852556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C1ED-4D1E-8C0C-C0491794541B}"/>
            </c:ext>
          </c:extLst>
        </c:ser>
        <c:ser>
          <c:idx val="5"/>
          <c:order val="5"/>
          <c:tx>
            <c:v>Эпоха10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(' без х0'!$AT$31,' без х0'!$AV$31)</c:f>
              <c:numCache>
                <c:formatCode>General</c:formatCode>
                <c:ptCount val="2"/>
                <c:pt idx="0">
                  <c:v>-5</c:v>
                </c:pt>
                <c:pt idx="1">
                  <c:v>15</c:v>
                </c:pt>
              </c:numCache>
            </c:numRef>
          </c:xVal>
          <c:yVal>
            <c:numRef>
              <c:f>(' без х0'!$AU$31,' без х0'!$AW$31)</c:f>
              <c:numCache>
                <c:formatCode>General</c:formatCode>
                <c:ptCount val="2"/>
                <c:pt idx="0">
                  <c:v>134.2520102950852</c:v>
                </c:pt>
                <c:pt idx="1">
                  <c:v>-402.7560308852556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C1ED-4D1E-8C0C-C0491794541B}"/>
            </c:ext>
          </c:extLst>
        </c:ser>
        <c:ser>
          <c:idx val="6"/>
          <c:order val="6"/>
          <c:tx>
            <c:v>Поиск решений</c:v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(' без х0'!$AT$34,' без х0'!$AV$34)</c:f>
              <c:numCache>
                <c:formatCode>General</c:formatCode>
                <c:ptCount val="2"/>
                <c:pt idx="0">
                  <c:v>0</c:v>
                </c:pt>
                <c:pt idx="1">
                  <c:v>15</c:v>
                </c:pt>
              </c:numCache>
            </c:numRef>
          </c:xVal>
          <c:yVal>
            <c:numRef>
              <c:f>(' без х0'!$AU$34,' без х0'!$AW$34)</c:f>
              <c:numCache>
                <c:formatCode>General</c:formatCode>
                <c:ptCount val="2"/>
                <c:pt idx="0">
                  <c:v>0.81714118904514177</c:v>
                </c:pt>
                <c:pt idx="1">
                  <c:v>-34.057091061103193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C1ED-4D1E-8C0C-C0491794541B}"/>
            </c:ext>
          </c:extLst>
        </c:ser>
        <c:ser>
          <c:idx val="7"/>
          <c:order val="7"/>
          <c:tx>
            <c:v>НЕВД</c:v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(' без х0'!$AT$35,' без х0'!$AV$35)</c:f>
              <c:numCache>
                <c:formatCode>General</c:formatCode>
                <c:ptCount val="2"/>
                <c:pt idx="0">
                  <c:v>0</c:v>
                </c:pt>
                <c:pt idx="1">
                  <c:v>0.91863018018688791</c:v>
                </c:pt>
              </c:numCache>
            </c:numRef>
          </c:xVal>
          <c:yVal>
            <c:numRef>
              <c:f>(' без х0'!$AU$35,' без х0'!$AW$35)</c:f>
              <c:numCache>
                <c:formatCode>General</c:formatCode>
                <c:ptCount val="2"/>
                <c:pt idx="0">
                  <c:v>0</c:v>
                </c:pt>
                <c:pt idx="1">
                  <c:v>0.39511845318816186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C1ED-4D1E-8C0C-C049179454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6323856"/>
        <c:axId val="1196319536"/>
      </c:scatterChart>
      <c:valAx>
        <c:axId val="1196323856"/>
        <c:scaling>
          <c:orientation val="minMax"/>
          <c:min val="-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96319536"/>
        <c:crosses val="autoZero"/>
        <c:crossBetween val="midCat"/>
      </c:valAx>
      <c:valAx>
        <c:axId val="1196319536"/>
        <c:scaling>
          <c:orientation val="minMax"/>
          <c:max val="20"/>
          <c:min val="-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963238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3DChart>
        <c:wireframe val="0"/>
        <c:ser>
          <c:idx val="0"/>
          <c:order val="0"/>
          <c:spPr>
            <a:solidFill>
              <a:schemeClr val="accent1"/>
            </a:solidFill>
            <a:ln/>
            <a:effectLst/>
            <a:sp3d/>
          </c:spPr>
          <c:val>
            <c:numRef>
              <c:f>'3D без х0'!$H$5:$AB$5</c:f>
              <c:numCache>
                <c:formatCode>0</c:formatCode>
                <c:ptCount val="21"/>
                <c:pt idx="0">
                  <c:v>12</c:v>
                </c:pt>
                <c:pt idx="1">
                  <c:v>12</c:v>
                </c:pt>
                <c:pt idx="2">
                  <c:v>12</c:v>
                </c:pt>
                <c:pt idx="3">
                  <c:v>12</c:v>
                </c:pt>
                <c:pt idx="4">
                  <c:v>12</c:v>
                </c:pt>
                <c:pt idx="5">
                  <c:v>12</c:v>
                </c:pt>
                <c:pt idx="6">
                  <c:v>12</c:v>
                </c:pt>
                <c:pt idx="7">
                  <c:v>12</c:v>
                </c:pt>
                <c:pt idx="8">
                  <c:v>12</c:v>
                </c:pt>
                <c:pt idx="9">
                  <c:v>12</c:v>
                </c:pt>
                <c:pt idx="10">
                  <c:v>12</c:v>
                </c:pt>
                <c:pt idx="11">
                  <c:v>12</c:v>
                </c:pt>
                <c:pt idx="12">
                  <c:v>12</c:v>
                </c:pt>
                <c:pt idx="13">
                  <c:v>12</c:v>
                </c:pt>
                <c:pt idx="14">
                  <c:v>12</c:v>
                </c:pt>
                <c:pt idx="15">
                  <c:v>12</c:v>
                </c:pt>
                <c:pt idx="16">
                  <c:v>12</c:v>
                </c:pt>
                <c:pt idx="17">
                  <c:v>12</c:v>
                </c:pt>
                <c:pt idx="18">
                  <c:v>12</c:v>
                </c:pt>
                <c:pt idx="19">
                  <c:v>12</c:v>
                </c:pt>
                <c:pt idx="20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DE-4E88-887C-061554A4E8A1}"/>
            </c:ext>
          </c:extLst>
        </c:ser>
        <c:ser>
          <c:idx val="1"/>
          <c:order val="1"/>
          <c:spPr>
            <a:solidFill>
              <a:schemeClr val="accent2"/>
            </a:solidFill>
            <a:ln/>
            <a:effectLst/>
            <a:sp3d/>
          </c:spPr>
          <c:val>
            <c:numRef>
              <c:f>'3D без х0'!$H$6:$AB$6</c:f>
              <c:numCache>
                <c:formatCode>0</c:formatCode>
                <c:ptCount val="21"/>
                <c:pt idx="0">
                  <c:v>12</c:v>
                </c:pt>
                <c:pt idx="1">
                  <c:v>12</c:v>
                </c:pt>
                <c:pt idx="2">
                  <c:v>12</c:v>
                </c:pt>
                <c:pt idx="3">
                  <c:v>12</c:v>
                </c:pt>
                <c:pt idx="4">
                  <c:v>12</c:v>
                </c:pt>
                <c:pt idx="5">
                  <c:v>12</c:v>
                </c:pt>
                <c:pt idx="6">
                  <c:v>12</c:v>
                </c:pt>
                <c:pt idx="7">
                  <c:v>12</c:v>
                </c:pt>
                <c:pt idx="8">
                  <c:v>12</c:v>
                </c:pt>
                <c:pt idx="9">
                  <c:v>12</c:v>
                </c:pt>
                <c:pt idx="10">
                  <c:v>12</c:v>
                </c:pt>
                <c:pt idx="11">
                  <c:v>12</c:v>
                </c:pt>
                <c:pt idx="12">
                  <c:v>12</c:v>
                </c:pt>
                <c:pt idx="13">
                  <c:v>12</c:v>
                </c:pt>
                <c:pt idx="14">
                  <c:v>12</c:v>
                </c:pt>
                <c:pt idx="15">
                  <c:v>12</c:v>
                </c:pt>
                <c:pt idx="16">
                  <c:v>12</c:v>
                </c:pt>
                <c:pt idx="17">
                  <c:v>12</c:v>
                </c:pt>
                <c:pt idx="18">
                  <c:v>12</c:v>
                </c:pt>
                <c:pt idx="19">
                  <c:v>12</c:v>
                </c:pt>
                <c:pt idx="20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FDE-4E88-887C-061554A4E8A1}"/>
            </c:ext>
          </c:extLst>
        </c:ser>
        <c:ser>
          <c:idx val="2"/>
          <c:order val="2"/>
          <c:spPr>
            <a:solidFill>
              <a:schemeClr val="accent3"/>
            </a:solidFill>
            <a:ln/>
            <a:effectLst/>
            <a:sp3d/>
          </c:spPr>
          <c:val>
            <c:numRef>
              <c:f>'3D без х0'!$H$7:$AB$7</c:f>
              <c:numCache>
                <c:formatCode>0</c:formatCode>
                <c:ptCount val="21"/>
                <c:pt idx="0">
                  <c:v>12</c:v>
                </c:pt>
                <c:pt idx="1">
                  <c:v>12</c:v>
                </c:pt>
                <c:pt idx="2">
                  <c:v>12</c:v>
                </c:pt>
                <c:pt idx="3">
                  <c:v>12</c:v>
                </c:pt>
                <c:pt idx="4">
                  <c:v>12</c:v>
                </c:pt>
                <c:pt idx="5">
                  <c:v>12</c:v>
                </c:pt>
                <c:pt idx="6">
                  <c:v>12</c:v>
                </c:pt>
                <c:pt idx="7">
                  <c:v>12</c:v>
                </c:pt>
                <c:pt idx="8">
                  <c:v>12</c:v>
                </c:pt>
                <c:pt idx="9">
                  <c:v>12</c:v>
                </c:pt>
                <c:pt idx="10">
                  <c:v>12</c:v>
                </c:pt>
                <c:pt idx="11">
                  <c:v>12</c:v>
                </c:pt>
                <c:pt idx="12">
                  <c:v>12</c:v>
                </c:pt>
                <c:pt idx="13">
                  <c:v>12</c:v>
                </c:pt>
                <c:pt idx="14">
                  <c:v>12</c:v>
                </c:pt>
                <c:pt idx="15">
                  <c:v>12</c:v>
                </c:pt>
                <c:pt idx="16">
                  <c:v>12</c:v>
                </c:pt>
                <c:pt idx="17">
                  <c:v>12</c:v>
                </c:pt>
                <c:pt idx="18">
                  <c:v>12</c:v>
                </c:pt>
                <c:pt idx="19">
                  <c:v>12</c:v>
                </c:pt>
                <c:pt idx="20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FDE-4E88-887C-061554A4E8A1}"/>
            </c:ext>
          </c:extLst>
        </c:ser>
        <c:ser>
          <c:idx val="3"/>
          <c:order val="3"/>
          <c:spPr>
            <a:solidFill>
              <a:schemeClr val="accent4"/>
            </a:solidFill>
            <a:ln/>
            <a:effectLst/>
            <a:sp3d/>
          </c:spPr>
          <c:val>
            <c:numRef>
              <c:f>'3D без х0'!$H$8:$AB$8</c:f>
              <c:numCache>
                <c:formatCode>0</c:formatCode>
                <c:ptCount val="21"/>
                <c:pt idx="0">
                  <c:v>12</c:v>
                </c:pt>
                <c:pt idx="1">
                  <c:v>12</c:v>
                </c:pt>
                <c:pt idx="2">
                  <c:v>12</c:v>
                </c:pt>
                <c:pt idx="3">
                  <c:v>12</c:v>
                </c:pt>
                <c:pt idx="4">
                  <c:v>12</c:v>
                </c:pt>
                <c:pt idx="5">
                  <c:v>12</c:v>
                </c:pt>
                <c:pt idx="6">
                  <c:v>12</c:v>
                </c:pt>
                <c:pt idx="7">
                  <c:v>12</c:v>
                </c:pt>
                <c:pt idx="8">
                  <c:v>12</c:v>
                </c:pt>
                <c:pt idx="9">
                  <c:v>12</c:v>
                </c:pt>
                <c:pt idx="10">
                  <c:v>12</c:v>
                </c:pt>
                <c:pt idx="11">
                  <c:v>12</c:v>
                </c:pt>
                <c:pt idx="12">
                  <c:v>12</c:v>
                </c:pt>
                <c:pt idx="13">
                  <c:v>12</c:v>
                </c:pt>
                <c:pt idx="14">
                  <c:v>12</c:v>
                </c:pt>
                <c:pt idx="15">
                  <c:v>12</c:v>
                </c:pt>
                <c:pt idx="16">
                  <c:v>12</c:v>
                </c:pt>
                <c:pt idx="17">
                  <c:v>12</c:v>
                </c:pt>
                <c:pt idx="18">
                  <c:v>12</c:v>
                </c:pt>
                <c:pt idx="19">
                  <c:v>12</c:v>
                </c:pt>
                <c:pt idx="20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FDE-4E88-887C-061554A4E8A1}"/>
            </c:ext>
          </c:extLst>
        </c:ser>
        <c:ser>
          <c:idx val="4"/>
          <c:order val="4"/>
          <c:spPr>
            <a:solidFill>
              <a:schemeClr val="accent5"/>
            </a:solidFill>
            <a:ln/>
            <a:effectLst/>
            <a:sp3d/>
          </c:spPr>
          <c:val>
            <c:numRef>
              <c:f>'3D без х0'!$H$9:$AB$9</c:f>
              <c:numCache>
                <c:formatCode>0</c:formatCode>
                <c:ptCount val="21"/>
                <c:pt idx="0">
                  <c:v>12</c:v>
                </c:pt>
                <c:pt idx="1">
                  <c:v>12</c:v>
                </c:pt>
                <c:pt idx="2">
                  <c:v>12</c:v>
                </c:pt>
                <c:pt idx="3">
                  <c:v>12</c:v>
                </c:pt>
                <c:pt idx="4">
                  <c:v>12</c:v>
                </c:pt>
                <c:pt idx="5">
                  <c:v>12</c:v>
                </c:pt>
                <c:pt idx="6">
                  <c:v>12</c:v>
                </c:pt>
                <c:pt idx="7">
                  <c:v>12</c:v>
                </c:pt>
                <c:pt idx="8">
                  <c:v>12</c:v>
                </c:pt>
                <c:pt idx="9">
                  <c:v>12</c:v>
                </c:pt>
                <c:pt idx="10">
                  <c:v>12</c:v>
                </c:pt>
                <c:pt idx="11">
                  <c:v>12</c:v>
                </c:pt>
                <c:pt idx="12">
                  <c:v>12</c:v>
                </c:pt>
                <c:pt idx="13">
                  <c:v>12</c:v>
                </c:pt>
                <c:pt idx="14">
                  <c:v>12</c:v>
                </c:pt>
                <c:pt idx="15">
                  <c:v>12</c:v>
                </c:pt>
                <c:pt idx="16">
                  <c:v>12</c:v>
                </c:pt>
                <c:pt idx="17">
                  <c:v>12</c:v>
                </c:pt>
                <c:pt idx="18">
                  <c:v>12</c:v>
                </c:pt>
                <c:pt idx="19">
                  <c:v>12</c:v>
                </c:pt>
                <c:pt idx="20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FDE-4E88-887C-061554A4E8A1}"/>
            </c:ext>
          </c:extLst>
        </c:ser>
        <c:ser>
          <c:idx val="5"/>
          <c:order val="5"/>
          <c:spPr>
            <a:solidFill>
              <a:schemeClr val="accent6"/>
            </a:solidFill>
            <a:ln/>
            <a:effectLst/>
            <a:sp3d/>
          </c:spPr>
          <c:val>
            <c:numRef>
              <c:f>'3D без х0'!$H$10:$AB$10</c:f>
              <c:numCache>
                <c:formatCode>0</c:formatCode>
                <c:ptCount val="21"/>
                <c:pt idx="0">
                  <c:v>12</c:v>
                </c:pt>
                <c:pt idx="1">
                  <c:v>12</c:v>
                </c:pt>
                <c:pt idx="2">
                  <c:v>12</c:v>
                </c:pt>
                <c:pt idx="3">
                  <c:v>12</c:v>
                </c:pt>
                <c:pt idx="4">
                  <c:v>12</c:v>
                </c:pt>
                <c:pt idx="5">
                  <c:v>12</c:v>
                </c:pt>
                <c:pt idx="6">
                  <c:v>12</c:v>
                </c:pt>
                <c:pt idx="7">
                  <c:v>12</c:v>
                </c:pt>
                <c:pt idx="8">
                  <c:v>12</c:v>
                </c:pt>
                <c:pt idx="9">
                  <c:v>12</c:v>
                </c:pt>
                <c:pt idx="10">
                  <c:v>12</c:v>
                </c:pt>
                <c:pt idx="11">
                  <c:v>12</c:v>
                </c:pt>
                <c:pt idx="12">
                  <c:v>12</c:v>
                </c:pt>
                <c:pt idx="13">
                  <c:v>12</c:v>
                </c:pt>
                <c:pt idx="14">
                  <c:v>12</c:v>
                </c:pt>
                <c:pt idx="15">
                  <c:v>12</c:v>
                </c:pt>
                <c:pt idx="16">
                  <c:v>12</c:v>
                </c:pt>
                <c:pt idx="17">
                  <c:v>12</c:v>
                </c:pt>
                <c:pt idx="18">
                  <c:v>12</c:v>
                </c:pt>
                <c:pt idx="19">
                  <c:v>12</c:v>
                </c:pt>
                <c:pt idx="20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FDE-4E88-887C-061554A4E8A1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/>
            <a:effectLst/>
            <a:sp3d/>
          </c:spPr>
          <c:val>
            <c:numRef>
              <c:f>'3D без х0'!$H$11:$AB$11</c:f>
              <c:numCache>
                <c:formatCode>0</c:formatCode>
                <c:ptCount val="21"/>
                <c:pt idx="0">
                  <c:v>12</c:v>
                </c:pt>
                <c:pt idx="1">
                  <c:v>12</c:v>
                </c:pt>
                <c:pt idx="2">
                  <c:v>12</c:v>
                </c:pt>
                <c:pt idx="3">
                  <c:v>12</c:v>
                </c:pt>
                <c:pt idx="4">
                  <c:v>12</c:v>
                </c:pt>
                <c:pt idx="5">
                  <c:v>12</c:v>
                </c:pt>
                <c:pt idx="6">
                  <c:v>12</c:v>
                </c:pt>
                <c:pt idx="7">
                  <c:v>12</c:v>
                </c:pt>
                <c:pt idx="8">
                  <c:v>12</c:v>
                </c:pt>
                <c:pt idx="9">
                  <c:v>12</c:v>
                </c:pt>
                <c:pt idx="10">
                  <c:v>12</c:v>
                </c:pt>
                <c:pt idx="11">
                  <c:v>12</c:v>
                </c:pt>
                <c:pt idx="12">
                  <c:v>12</c:v>
                </c:pt>
                <c:pt idx="13">
                  <c:v>12</c:v>
                </c:pt>
                <c:pt idx="14">
                  <c:v>12</c:v>
                </c:pt>
                <c:pt idx="15">
                  <c:v>12</c:v>
                </c:pt>
                <c:pt idx="16">
                  <c:v>12</c:v>
                </c:pt>
                <c:pt idx="17">
                  <c:v>12</c:v>
                </c:pt>
                <c:pt idx="18">
                  <c:v>12</c:v>
                </c:pt>
                <c:pt idx="19">
                  <c:v>12</c:v>
                </c:pt>
                <c:pt idx="20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FDE-4E88-887C-061554A4E8A1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/>
            <a:effectLst/>
            <a:sp3d/>
          </c:spPr>
          <c:val>
            <c:numRef>
              <c:f>'3D без х0'!$H$12:$AB$12</c:f>
              <c:numCache>
                <c:formatCode>0</c:formatCode>
                <c:ptCount val="21"/>
                <c:pt idx="0">
                  <c:v>12</c:v>
                </c:pt>
                <c:pt idx="1">
                  <c:v>12</c:v>
                </c:pt>
                <c:pt idx="2">
                  <c:v>12</c:v>
                </c:pt>
                <c:pt idx="3">
                  <c:v>12</c:v>
                </c:pt>
                <c:pt idx="4">
                  <c:v>12</c:v>
                </c:pt>
                <c:pt idx="5">
                  <c:v>12</c:v>
                </c:pt>
                <c:pt idx="6">
                  <c:v>12</c:v>
                </c:pt>
                <c:pt idx="7">
                  <c:v>12</c:v>
                </c:pt>
                <c:pt idx="8">
                  <c:v>12</c:v>
                </c:pt>
                <c:pt idx="9">
                  <c:v>12</c:v>
                </c:pt>
                <c:pt idx="10">
                  <c:v>12</c:v>
                </c:pt>
                <c:pt idx="11">
                  <c:v>12</c:v>
                </c:pt>
                <c:pt idx="12">
                  <c:v>12</c:v>
                </c:pt>
                <c:pt idx="13">
                  <c:v>12</c:v>
                </c:pt>
                <c:pt idx="14">
                  <c:v>12</c:v>
                </c:pt>
                <c:pt idx="15">
                  <c:v>12</c:v>
                </c:pt>
                <c:pt idx="16">
                  <c:v>12</c:v>
                </c:pt>
                <c:pt idx="17">
                  <c:v>12</c:v>
                </c:pt>
                <c:pt idx="18">
                  <c:v>12</c:v>
                </c:pt>
                <c:pt idx="19">
                  <c:v>12</c:v>
                </c:pt>
                <c:pt idx="20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FDE-4E88-887C-061554A4E8A1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/>
            <a:effectLst/>
            <a:sp3d/>
          </c:spPr>
          <c:val>
            <c:numRef>
              <c:f>'3D без х0'!$H$13:$AB$13</c:f>
              <c:numCache>
                <c:formatCode>0</c:formatCode>
                <c:ptCount val="21"/>
                <c:pt idx="0">
                  <c:v>12</c:v>
                </c:pt>
                <c:pt idx="1">
                  <c:v>12</c:v>
                </c:pt>
                <c:pt idx="2">
                  <c:v>12</c:v>
                </c:pt>
                <c:pt idx="3">
                  <c:v>12</c:v>
                </c:pt>
                <c:pt idx="4">
                  <c:v>12</c:v>
                </c:pt>
                <c:pt idx="5">
                  <c:v>12</c:v>
                </c:pt>
                <c:pt idx="6">
                  <c:v>12</c:v>
                </c:pt>
                <c:pt idx="7">
                  <c:v>12</c:v>
                </c:pt>
                <c:pt idx="8">
                  <c:v>12</c:v>
                </c:pt>
                <c:pt idx="9">
                  <c:v>12</c:v>
                </c:pt>
                <c:pt idx="10">
                  <c:v>12</c:v>
                </c:pt>
                <c:pt idx="11">
                  <c:v>12</c:v>
                </c:pt>
                <c:pt idx="12">
                  <c:v>12</c:v>
                </c:pt>
                <c:pt idx="13">
                  <c:v>12</c:v>
                </c:pt>
                <c:pt idx="14">
                  <c:v>12</c:v>
                </c:pt>
                <c:pt idx="15">
                  <c:v>12</c:v>
                </c:pt>
                <c:pt idx="16">
                  <c:v>12</c:v>
                </c:pt>
                <c:pt idx="17">
                  <c:v>12</c:v>
                </c:pt>
                <c:pt idx="18">
                  <c:v>12</c:v>
                </c:pt>
                <c:pt idx="19">
                  <c:v>12</c:v>
                </c:pt>
                <c:pt idx="20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FDE-4E88-887C-061554A4E8A1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/>
            <a:effectLst/>
            <a:sp3d/>
          </c:spPr>
          <c:val>
            <c:numRef>
              <c:f>'3D без х0'!$H$14:$AB$14</c:f>
              <c:numCache>
                <c:formatCode>0</c:formatCode>
                <c:ptCount val="21"/>
                <c:pt idx="0">
                  <c:v>12</c:v>
                </c:pt>
                <c:pt idx="1">
                  <c:v>12</c:v>
                </c:pt>
                <c:pt idx="2">
                  <c:v>12</c:v>
                </c:pt>
                <c:pt idx="3">
                  <c:v>12</c:v>
                </c:pt>
                <c:pt idx="4">
                  <c:v>12</c:v>
                </c:pt>
                <c:pt idx="5">
                  <c:v>12</c:v>
                </c:pt>
                <c:pt idx="6">
                  <c:v>12</c:v>
                </c:pt>
                <c:pt idx="7">
                  <c:v>12</c:v>
                </c:pt>
                <c:pt idx="8">
                  <c:v>12</c:v>
                </c:pt>
                <c:pt idx="9">
                  <c:v>12</c:v>
                </c:pt>
                <c:pt idx="10">
                  <c:v>12</c:v>
                </c:pt>
                <c:pt idx="11">
                  <c:v>12</c:v>
                </c:pt>
                <c:pt idx="12">
                  <c:v>12</c:v>
                </c:pt>
                <c:pt idx="13">
                  <c:v>12</c:v>
                </c:pt>
                <c:pt idx="14">
                  <c:v>12</c:v>
                </c:pt>
                <c:pt idx="15">
                  <c:v>12</c:v>
                </c:pt>
                <c:pt idx="16">
                  <c:v>12</c:v>
                </c:pt>
                <c:pt idx="17">
                  <c:v>12</c:v>
                </c:pt>
                <c:pt idx="18">
                  <c:v>12</c:v>
                </c:pt>
                <c:pt idx="19">
                  <c:v>12</c:v>
                </c:pt>
                <c:pt idx="20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FDE-4E88-887C-061554A4E8A1}"/>
            </c:ext>
          </c:extLst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/>
            <a:effectLst/>
            <a:sp3d/>
          </c:spPr>
          <c:val>
            <c:numRef>
              <c:f>'3D без х0'!$H$15:$AB$15</c:f>
              <c:numCache>
                <c:formatCode>0</c:formatCode>
                <c:ptCount val="21"/>
                <c:pt idx="0">
                  <c:v>12</c:v>
                </c:pt>
                <c:pt idx="1">
                  <c:v>12</c:v>
                </c:pt>
                <c:pt idx="2">
                  <c:v>12</c:v>
                </c:pt>
                <c:pt idx="3">
                  <c:v>12</c:v>
                </c:pt>
                <c:pt idx="4">
                  <c:v>12</c:v>
                </c:pt>
                <c:pt idx="5">
                  <c:v>12</c:v>
                </c:pt>
                <c:pt idx="6">
                  <c:v>12</c:v>
                </c:pt>
                <c:pt idx="7">
                  <c:v>12</c:v>
                </c:pt>
                <c:pt idx="8">
                  <c:v>12</c:v>
                </c:pt>
                <c:pt idx="9">
                  <c:v>12</c:v>
                </c:pt>
                <c:pt idx="10">
                  <c:v>12</c:v>
                </c:pt>
                <c:pt idx="11">
                  <c:v>12</c:v>
                </c:pt>
                <c:pt idx="12">
                  <c:v>12</c:v>
                </c:pt>
                <c:pt idx="13">
                  <c:v>12</c:v>
                </c:pt>
                <c:pt idx="14">
                  <c:v>12</c:v>
                </c:pt>
                <c:pt idx="15">
                  <c:v>12</c:v>
                </c:pt>
                <c:pt idx="16">
                  <c:v>12</c:v>
                </c:pt>
                <c:pt idx="17">
                  <c:v>12</c:v>
                </c:pt>
                <c:pt idx="18">
                  <c:v>12</c:v>
                </c:pt>
                <c:pt idx="19">
                  <c:v>12</c:v>
                </c:pt>
                <c:pt idx="20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FDE-4E88-887C-061554A4E8A1}"/>
            </c:ext>
          </c:extLst>
        </c:ser>
        <c:ser>
          <c:idx val="11"/>
          <c:order val="11"/>
          <c:spPr>
            <a:solidFill>
              <a:schemeClr val="accent6">
                <a:lumMod val="60000"/>
              </a:schemeClr>
            </a:solidFill>
            <a:ln/>
            <a:effectLst/>
            <a:sp3d/>
          </c:spPr>
          <c:val>
            <c:numRef>
              <c:f>'3D без х0'!$H$16:$AB$16</c:f>
              <c:numCache>
                <c:formatCode>0</c:formatCode>
                <c:ptCount val="21"/>
                <c:pt idx="0">
                  <c:v>12</c:v>
                </c:pt>
                <c:pt idx="1">
                  <c:v>12</c:v>
                </c:pt>
                <c:pt idx="2">
                  <c:v>12</c:v>
                </c:pt>
                <c:pt idx="3">
                  <c:v>12</c:v>
                </c:pt>
                <c:pt idx="4">
                  <c:v>12</c:v>
                </c:pt>
                <c:pt idx="5">
                  <c:v>12</c:v>
                </c:pt>
                <c:pt idx="6">
                  <c:v>12</c:v>
                </c:pt>
                <c:pt idx="7">
                  <c:v>12</c:v>
                </c:pt>
                <c:pt idx="8">
                  <c:v>12</c:v>
                </c:pt>
                <c:pt idx="9">
                  <c:v>12</c:v>
                </c:pt>
                <c:pt idx="10">
                  <c:v>12</c:v>
                </c:pt>
                <c:pt idx="11">
                  <c:v>12</c:v>
                </c:pt>
                <c:pt idx="12">
                  <c:v>12</c:v>
                </c:pt>
                <c:pt idx="13">
                  <c:v>12</c:v>
                </c:pt>
                <c:pt idx="14">
                  <c:v>12</c:v>
                </c:pt>
                <c:pt idx="15">
                  <c:v>12</c:v>
                </c:pt>
                <c:pt idx="16">
                  <c:v>12</c:v>
                </c:pt>
                <c:pt idx="17">
                  <c:v>12</c:v>
                </c:pt>
                <c:pt idx="18">
                  <c:v>12</c:v>
                </c:pt>
                <c:pt idx="19">
                  <c:v>12</c:v>
                </c:pt>
                <c:pt idx="20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DFDE-4E88-887C-061554A4E8A1}"/>
            </c:ext>
          </c:extLst>
        </c:ser>
        <c:ser>
          <c:idx val="12"/>
          <c:order val="12"/>
          <c:spPr>
            <a:solidFill>
              <a:schemeClr val="accent1">
                <a:lumMod val="80000"/>
                <a:lumOff val="20000"/>
              </a:schemeClr>
            </a:solidFill>
            <a:ln/>
            <a:effectLst/>
            <a:sp3d/>
          </c:spPr>
          <c:val>
            <c:numRef>
              <c:f>'3D без х0'!$H$17:$AB$17</c:f>
              <c:numCache>
                <c:formatCode>0</c:formatCode>
                <c:ptCount val="21"/>
                <c:pt idx="0">
                  <c:v>12</c:v>
                </c:pt>
                <c:pt idx="1">
                  <c:v>12</c:v>
                </c:pt>
                <c:pt idx="2">
                  <c:v>12</c:v>
                </c:pt>
                <c:pt idx="3">
                  <c:v>12</c:v>
                </c:pt>
                <c:pt idx="4">
                  <c:v>12</c:v>
                </c:pt>
                <c:pt idx="5">
                  <c:v>12</c:v>
                </c:pt>
                <c:pt idx="6">
                  <c:v>12</c:v>
                </c:pt>
                <c:pt idx="7">
                  <c:v>12</c:v>
                </c:pt>
                <c:pt idx="8">
                  <c:v>12</c:v>
                </c:pt>
                <c:pt idx="9">
                  <c:v>12</c:v>
                </c:pt>
                <c:pt idx="10">
                  <c:v>12</c:v>
                </c:pt>
                <c:pt idx="11">
                  <c:v>12</c:v>
                </c:pt>
                <c:pt idx="12">
                  <c:v>12</c:v>
                </c:pt>
                <c:pt idx="13">
                  <c:v>12</c:v>
                </c:pt>
                <c:pt idx="14">
                  <c:v>12</c:v>
                </c:pt>
                <c:pt idx="15">
                  <c:v>12</c:v>
                </c:pt>
                <c:pt idx="16">
                  <c:v>12</c:v>
                </c:pt>
                <c:pt idx="17">
                  <c:v>12</c:v>
                </c:pt>
                <c:pt idx="18">
                  <c:v>12</c:v>
                </c:pt>
                <c:pt idx="19">
                  <c:v>12</c:v>
                </c:pt>
                <c:pt idx="20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FDE-4E88-887C-061554A4E8A1}"/>
            </c:ext>
          </c:extLst>
        </c:ser>
        <c:ser>
          <c:idx val="13"/>
          <c:order val="13"/>
          <c:spPr>
            <a:solidFill>
              <a:schemeClr val="accent2">
                <a:lumMod val="80000"/>
                <a:lumOff val="20000"/>
              </a:schemeClr>
            </a:solidFill>
            <a:ln/>
            <a:effectLst/>
            <a:sp3d/>
          </c:spPr>
          <c:val>
            <c:numRef>
              <c:f>'3D без х0'!$H$18:$AB$18</c:f>
              <c:numCache>
                <c:formatCode>0</c:formatCode>
                <c:ptCount val="21"/>
                <c:pt idx="0">
                  <c:v>12</c:v>
                </c:pt>
                <c:pt idx="1">
                  <c:v>12</c:v>
                </c:pt>
                <c:pt idx="2">
                  <c:v>12</c:v>
                </c:pt>
                <c:pt idx="3">
                  <c:v>12</c:v>
                </c:pt>
                <c:pt idx="4">
                  <c:v>12</c:v>
                </c:pt>
                <c:pt idx="5">
                  <c:v>12</c:v>
                </c:pt>
                <c:pt idx="6">
                  <c:v>12</c:v>
                </c:pt>
                <c:pt idx="7">
                  <c:v>12</c:v>
                </c:pt>
                <c:pt idx="8">
                  <c:v>12</c:v>
                </c:pt>
                <c:pt idx="9">
                  <c:v>12</c:v>
                </c:pt>
                <c:pt idx="10">
                  <c:v>12</c:v>
                </c:pt>
                <c:pt idx="11">
                  <c:v>12</c:v>
                </c:pt>
                <c:pt idx="12">
                  <c:v>12</c:v>
                </c:pt>
                <c:pt idx="13">
                  <c:v>12</c:v>
                </c:pt>
                <c:pt idx="14">
                  <c:v>12</c:v>
                </c:pt>
                <c:pt idx="15">
                  <c:v>12</c:v>
                </c:pt>
                <c:pt idx="16">
                  <c:v>12</c:v>
                </c:pt>
                <c:pt idx="17">
                  <c:v>12</c:v>
                </c:pt>
                <c:pt idx="18">
                  <c:v>12</c:v>
                </c:pt>
                <c:pt idx="19">
                  <c:v>12</c:v>
                </c:pt>
                <c:pt idx="20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DFDE-4E88-887C-061554A4E8A1}"/>
            </c:ext>
          </c:extLst>
        </c:ser>
        <c:ser>
          <c:idx val="14"/>
          <c:order val="14"/>
          <c:spPr>
            <a:solidFill>
              <a:schemeClr val="accent3">
                <a:lumMod val="80000"/>
                <a:lumOff val="20000"/>
              </a:schemeClr>
            </a:solidFill>
            <a:ln/>
            <a:effectLst/>
            <a:sp3d/>
          </c:spPr>
          <c:val>
            <c:numRef>
              <c:f>'3D без х0'!$H$19:$AB$19</c:f>
              <c:numCache>
                <c:formatCode>0</c:formatCode>
                <c:ptCount val="21"/>
                <c:pt idx="0">
                  <c:v>12</c:v>
                </c:pt>
                <c:pt idx="1">
                  <c:v>12</c:v>
                </c:pt>
                <c:pt idx="2">
                  <c:v>12</c:v>
                </c:pt>
                <c:pt idx="3">
                  <c:v>12</c:v>
                </c:pt>
                <c:pt idx="4">
                  <c:v>12</c:v>
                </c:pt>
                <c:pt idx="5">
                  <c:v>12</c:v>
                </c:pt>
                <c:pt idx="6">
                  <c:v>12</c:v>
                </c:pt>
                <c:pt idx="7">
                  <c:v>12</c:v>
                </c:pt>
                <c:pt idx="8">
                  <c:v>12</c:v>
                </c:pt>
                <c:pt idx="9">
                  <c:v>12</c:v>
                </c:pt>
                <c:pt idx="10">
                  <c:v>12</c:v>
                </c:pt>
                <c:pt idx="11">
                  <c:v>12</c:v>
                </c:pt>
                <c:pt idx="12">
                  <c:v>12</c:v>
                </c:pt>
                <c:pt idx="13">
                  <c:v>12</c:v>
                </c:pt>
                <c:pt idx="14">
                  <c:v>12</c:v>
                </c:pt>
                <c:pt idx="15">
                  <c:v>12</c:v>
                </c:pt>
                <c:pt idx="16">
                  <c:v>12</c:v>
                </c:pt>
                <c:pt idx="17">
                  <c:v>12</c:v>
                </c:pt>
                <c:pt idx="18">
                  <c:v>12</c:v>
                </c:pt>
                <c:pt idx="19">
                  <c:v>12</c:v>
                </c:pt>
                <c:pt idx="20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DFDE-4E88-887C-061554A4E8A1}"/>
            </c:ext>
          </c:extLst>
        </c:ser>
        <c:ser>
          <c:idx val="15"/>
          <c:order val="15"/>
          <c:spPr>
            <a:solidFill>
              <a:schemeClr val="accent4">
                <a:lumMod val="80000"/>
                <a:lumOff val="20000"/>
              </a:schemeClr>
            </a:solidFill>
            <a:ln/>
            <a:effectLst/>
            <a:sp3d/>
          </c:spPr>
          <c:val>
            <c:numRef>
              <c:f>'3D без х0'!$H$20:$AB$20</c:f>
              <c:numCache>
                <c:formatCode>0</c:formatCode>
                <c:ptCount val="21"/>
                <c:pt idx="0">
                  <c:v>12</c:v>
                </c:pt>
                <c:pt idx="1">
                  <c:v>12</c:v>
                </c:pt>
                <c:pt idx="2">
                  <c:v>12</c:v>
                </c:pt>
                <c:pt idx="3">
                  <c:v>12</c:v>
                </c:pt>
                <c:pt idx="4">
                  <c:v>12</c:v>
                </c:pt>
                <c:pt idx="5">
                  <c:v>12</c:v>
                </c:pt>
                <c:pt idx="6">
                  <c:v>12</c:v>
                </c:pt>
                <c:pt idx="7">
                  <c:v>12</c:v>
                </c:pt>
                <c:pt idx="8">
                  <c:v>12</c:v>
                </c:pt>
                <c:pt idx="9">
                  <c:v>12</c:v>
                </c:pt>
                <c:pt idx="10">
                  <c:v>12</c:v>
                </c:pt>
                <c:pt idx="11">
                  <c:v>12</c:v>
                </c:pt>
                <c:pt idx="12">
                  <c:v>12</c:v>
                </c:pt>
                <c:pt idx="13">
                  <c:v>12</c:v>
                </c:pt>
                <c:pt idx="14">
                  <c:v>12</c:v>
                </c:pt>
                <c:pt idx="15">
                  <c:v>12</c:v>
                </c:pt>
                <c:pt idx="16">
                  <c:v>12</c:v>
                </c:pt>
                <c:pt idx="17">
                  <c:v>12</c:v>
                </c:pt>
                <c:pt idx="18">
                  <c:v>12</c:v>
                </c:pt>
                <c:pt idx="19">
                  <c:v>12</c:v>
                </c:pt>
                <c:pt idx="20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DFDE-4E88-887C-061554A4E8A1}"/>
            </c:ext>
          </c:extLst>
        </c:ser>
        <c:ser>
          <c:idx val="16"/>
          <c:order val="16"/>
          <c:spPr>
            <a:solidFill>
              <a:schemeClr val="accent5">
                <a:lumMod val="80000"/>
                <a:lumOff val="20000"/>
              </a:schemeClr>
            </a:solidFill>
            <a:ln/>
            <a:effectLst/>
            <a:sp3d/>
          </c:spPr>
          <c:val>
            <c:numRef>
              <c:f>'3D без х0'!$H$21:$AB$21</c:f>
              <c:numCache>
                <c:formatCode>0</c:formatCode>
                <c:ptCount val="21"/>
                <c:pt idx="0">
                  <c:v>12</c:v>
                </c:pt>
                <c:pt idx="1">
                  <c:v>12</c:v>
                </c:pt>
                <c:pt idx="2">
                  <c:v>12</c:v>
                </c:pt>
                <c:pt idx="3">
                  <c:v>12</c:v>
                </c:pt>
                <c:pt idx="4">
                  <c:v>12</c:v>
                </c:pt>
                <c:pt idx="5">
                  <c:v>12</c:v>
                </c:pt>
                <c:pt idx="6">
                  <c:v>12</c:v>
                </c:pt>
                <c:pt idx="7">
                  <c:v>12</c:v>
                </c:pt>
                <c:pt idx="8">
                  <c:v>12</c:v>
                </c:pt>
                <c:pt idx="9">
                  <c:v>12</c:v>
                </c:pt>
                <c:pt idx="10">
                  <c:v>12</c:v>
                </c:pt>
                <c:pt idx="11">
                  <c:v>12</c:v>
                </c:pt>
                <c:pt idx="12">
                  <c:v>12</c:v>
                </c:pt>
                <c:pt idx="13">
                  <c:v>12</c:v>
                </c:pt>
                <c:pt idx="14">
                  <c:v>12</c:v>
                </c:pt>
                <c:pt idx="15">
                  <c:v>12</c:v>
                </c:pt>
                <c:pt idx="16">
                  <c:v>12</c:v>
                </c:pt>
                <c:pt idx="17">
                  <c:v>12</c:v>
                </c:pt>
                <c:pt idx="18">
                  <c:v>12</c:v>
                </c:pt>
                <c:pt idx="19">
                  <c:v>12</c:v>
                </c:pt>
                <c:pt idx="20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DFDE-4E88-887C-061554A4E8A1}"/>
            </c:ext>
          </c:extLst>
        </c:ser>
        <c:ser>
          <c:idx val="17"/>
          <c:order val="17"/>
          <c:spPr>
            <a:solidFill>
              <a:schemeClr val="accent6">
                <a:lumMod val="80000"/>
                <a:lumOff val="20000"/>
              </a:schemeClr>
            </a:solidFill>
            <a:ln/>
            <a:effectLst/>
            <a:sp3d/>
          </c:spPr>
          <c:val>
            <c:numRef>
              <c:f>'3D без х0'!$H$22:$AB$22</c:f>
              <c:numCache>
                <c:formatCode>0</c:formatCode>
                <c:ptCount val="21"/>
                <c:pt idx="0">
                  <c:v>12</c:v>
                </c:pt>
                <c:pt idx="1">
                  <c:v>12</c:v>
                </c:pt>
                <c:pt idx="2">
                  <c:v>12</c:v>
                </c:pt>
                <c:pt idx="3">
                  <c:v>12</c:v>
                </c:pt>
                <c:pt idx="4">
                  <c:v>12</c:v>
                </c:pt>
                <c:pt idx="5">
                  <c:v>12</c:v>
                </c:pt>
                <c:pt idx="6">
                  <c:v>12</c:v>
                </c:pt>
                <c:pt idx="7">
                  <c:v>12</c:v>
                </c:pt>
                <c:pt idx="8">
                  <c:v>12</c:v>
                </c:pt>
                <c:pt idx="9">
                  <c:v>12</c:v>
                </c:pt>
                <c:pt idx="10">
                  <c:v>12</c:v>
                </c:pt>
                <c:pt idx="11">
                  <c:v>12</c:v>
                </c:pt>
                <c:pt idx="12">
                  <c:v>12</c:v>
                </c:pt>
                <c:pt idx="13">
                  <c:v>12</c:v>
                </c:pt>
                <c:pt idx="14">
                  <c:v>12</c:v>
                </c:pt>
                <c:pt idx="15">
                  <c:v>12</c:v>
                </c:pt>
                <c:pt idx="16">
                  <c:v>12</c:v>
                </c:pt>
                <c:pt idx="17">
                  <c:v>12</c:v>
                </c:pt>
                <c:pt idx="18">
                  <c:v>12</c:v>
                </c:pt>
                <c:pt idx="19">
                  <c:v>12</c:v>
                </c:pt>
                <c:pt idx="20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DFDE-4E88-887C-061554A4E8A1}"/>
            </c:ext>
          </c:extLst>
        </c:ser>
        <c:ser>
          <c:idx val="18"/>
          <c:order val="18"/>
          <c:spPr>
            <a:solidFill>
              <a:schemeClr val="accent1">
                <a:lumMod val="80000"/>
              </a:schemeClr>
            </a:solidFill>
            <a:ln/>
            <a:effectLst/>
            <a:sp3d/>
          </c:spPr>
          <c:val>
            <c:numRef>
              <c:f>'3D без х0'!$H$23:$AB$23</c:f>
              <c:numCache>
                <c:formatCode>0</c:formatCode>
                <c:ptCount val="21"/>
                <c:pt idx="0">
                  <c:v>12</c:v>
                </c:pt>
                <c:pt idx="1">
                  <c:v>12</c:v>
                </c:pt>
                <c:pt idx="2">
                  <c:v>12</c:v>
                </c:pt>
                <c:pt idx="3">
                  <c:v>12</c:v>
                </c:pt>
                <c:pt idx="4">
                  <c:v>12</c:v>
                </c:pt>
                <c:pt idx="5">
                  <c:v>12</c:v>
                </c:pt>
                <c:pt idx="6">
                  <c:v>12</c:v>
                </c:pt>
                <c:pt idx="7">
                  <c:v>12</c:v>
                </c:pt>
                <c:pt idx="8">
                  <c:v>12</c:v>
                </c:pt>
                <c:pt idx="9">
                  <c:v>12</c:v>
                </c:pt>
                <c:pt idx="10">
                  <c:v>12</c:v>
                </c:pt>
                <c:pt idx="11">
                  <c:v>12</c:v>
                </c:pt>
                <c:pt idx="12">
                  <c:v>12</c:v>
                </c:pt>
                <c:pt idx="13">
                  <c:v>12</c:v>
                </c:pt>
                <c:pt idx="14">
                  <c:v>12</c:v>
                </c:pt>
                <c:pt idx="15">
                  <c:v>12</c:v>
                </c:pt>
                <c:pt idx="16">
                  <c:v>12</c:v>
                </c:pt>
                <c:pt idx="17">
                  <c:v>12</c:v>
                </c:pt>
                <c:pt idx="18">
                  <c:v>12</c:v>
                </c:pt>
                <c:pt idx="19">
                  <c:v>12</c:v>
                </c:pt>
                <c:pt idx="20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DFDE-4E88-887C-061554A4E8A1}"/>
            </c:ext>
          </c:extLst>
        </c:ser>
        <c:ser>
          <c:idx val="19"/>
          <c:order val="19"/>
          <c:spPr>
            <a:solidFill>
              <a:schemeClr val="accent2">
                <a:lumMod val="80000"/>
              </a:schemeClr>
            </a:solidFill>
            <a:ln/>
            <a:effectLst/>
            <a:sp3d/>
          </c:spPr>
          <c:val>
            <c:numRef>
              <c:f>'3D без х0'!$H$24:$AB$24</c:f>
              <c:numCache>
                <c:formatCode>0</c:formatCode>
                <c:ptCount val="21"/>
                <c:pt idx="0">
                  <c:v>12</c:v>
                </c:pt>
                <c:pt idx="1">
                  <c:v>12</c:v>
                </c:pt>
                <c:pt idx="2">
                  <c:v>12</c:v>
                </c:pt>
                <c:pt idx="3">
                  <c:v>12</c:v>
                </c:pt>
                <c:pt idx="4">
                  <c:v>12</c:v>
                </c:pt>
                <c:pt idx="5">
                  <c:v>12</c:v>
                </c:pt>
                <c:pt idx="6">
                  <c:v>12</c:v>
                </c:pt>
                <c:pt idx="7">
                  <c:v>12</c:v>
                </c:pt>
                <c:pt idx="8">
                  <c:v>12</c:v>
                </c:pt>
                <c:pt idx="9">
                  <c:v>12</c:v>
                </c:pt>
                <c:pt idx="10">
                  <c:v>12</c:v>
                </c:pt>
                <c:pt idx="11">
                  <c:v>12</c:v>
                </c:pt>
                <c:pt idx="12">
                  <c:v>12</c:v>
                </c:pt>
                <c:pt idx="13">
                  <c:v>12</c:v>
                </c:pt>
                <c:pt idx="14">
                  <c:v>12</c:v>
                </c:pt>
                <c:pt idx="15">
                  <c:v>12</c:v>
                </c:pt>
                <c:pt idx="16">
                  <c:v>12</c:v>
                </c:pt>
                <c:pt idx="17">
                  <c:v>12</c:v>
                </c:pt>
                <c:pt idx="18">
                  <c:v>12</c:v>
                </c:pt>
                <c:pt idx="19">
                  <c:v>12</c:v>
                </c:pt>
                <c:pt idx="20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DFDE-4E88-887C-061554A4E8A1}"/>
            </c:ext>
          </c:extLst>
        </c:ser>
        <c:ser>
          <c:idx val="20"/>
          <c:order val="20"/>
          <c:spPr>
            <a:solidFill>
              <a:schemeClr val="accent3">
                <a:lumMod val="80000"/>
              </a:schemeClr>
            </a:solidFill>
            <a:ln/>
            <a:effectLst/>
            <a:sp3d/>
          </c:spPr>
          <c:val>
            <c:numRef>
              <c:f>'3D без х0'!$H$25:$AB$25</c:f>
              <c:numCache>
                <c:formatCode>0</c:formatCode>
                <c:ptCount val="21"/>
                <c:pt idx="0">
                  <c:v>12</c:v>
                </c:pt>
                <c:pt idx="1">
                  <c:v>12</c:v>
                </c:pt>
                <c:pt idx="2">
                  <c:v>12</c:v>
                </c:pt>
                <c:pt idx="3">
                  <c:v>12</c:v>
                </c:pt>
                <c:pt idx="4">
                  <c:v>12</c:v>
                </c:pt>
                <c:pt idx="5">
                  <c:v>12</c:v>
                </c:pt>
                <c:pt idx="6">
                  <c:v>12</c:v>
                </c:pt>
                <c:pt idx="7">
                  <c:v>12</c:v>
                </c:pt>
                <c:pt idx="8">
                  <c:v>12</c:v>
                </c:pt>
                <c:pt idx="9">
                  <c:v>12</c:v>
                </c:pt>
                <c:pt idx="10">
                  <c:v>12</c:v>
                </c:pt>
                <c:pt idx="11">
                  <c:v>12</c:v>
                </c:pt>
                <c:pt idx="12">
                  <c:v>12</c:v>
                </c:pt>
                <c:pt idx="13">
                  <c:v>12</c:v>
                </c:pt>
                <c:pt idx="14">
                  <c:v>12</c:v>
                </c:pt>
                <c:pt idx="15">
                  <c:v>12</c:v>
                </c:pt>
                <c:pt idx="16">
                  <c:v>12</c:v>
                </c:pt>
                <c:pt idx="17">
                  <c:v>12</c:v>
                </c:pt>
                <c:pt idx="18">
                  <c:v>12</c:v>
                </c:pt>
                <c:pt idx="19">
                  <c:v>12</c:v>
                </c:pt>
                <c:pt idx="20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DFDE-4E88-887C-061554A4E8A1}"/>
            </c:ext>
          </c:extLst>
        </c:ser>
        <c:bandFmts>
          <c:bandFmt>
            <c:idx val="0"/>
            <c:spPr>
              <a:solidFill>
                <a:schemeClr val="accent1"/>
              </a:solidFill>
              <a:ln/>
              <a:effectLst/>
              <a:sp3d/>
            </c:spPr>
          </c:bandFmt>
          <c:bandFmt>
            <c:idx val="1"/>
            <c:spPr>
              <a:solidFill>
                <a:schemeClr val="accent2"/>
              </a:solidFill>
              <a:ln/>
              <a:effectLst/>
              <a:sp3d/>
            </c:spPr>
          </c:bandFmt>
          <c:bandFmt>
            <c:idx val="2"/>
            <c:spPr>
              <a:solidFill>
                <a:schemeClr val="accent3"/>
              </a:solidFill>
              <a:ln/>
              <a:effectLst/>
              <a:sp3d/>
            </c:spPr>
          </c:bandFmt>
          <c:bandFmt>
            <c:idx val="3"/>
            <c:spPr>
              <a:solidFill>
                <a:schemeClr val="accent4"/>
              </a:solidFill>
              <a:ln/>
              <a:effectLst/>
              <a:sp3d/>
            </c:spPr>
          </c:bandFmt>
          <c:bandFmt>
            <c:idx val="4"/>
            <c:spPr>
              <a:solidFill>
                <a:schemeClr val="accent5"/>
              </a:solidFill>
              <a:ln/>
              <a:effectLst/>
              <a:sp3d/>
            </c:spPr>
          </c:bandFmt>
          <c:bandFmt>
            <c:idx val="5"/>
            <c:spPr>
              <a:solidFill>
                <a:schemeClr val="accent6"/>
              </a:solidFill>
              <a:ln/>
              <a:effectLst/>
              <a:sp3d/>
            </c:spPr>
          </c:bandFmt>
          <c:bandFmt>
            <c:idx val="6"/>
            <c:spPr>
              <a:solidFill>
                <a:schemeClr val="accent1">
                  <a:lumMod val="60000"/>
                </a:schemeClr>
              </a:solidFill>
              <a:ln/>
              <a:effectLst/>
              <a:sp3d/>
            </c:spPr>
          </c:bandFmt>
          <c:bandFmt>
            <c:idx val="7"/>
            <c:spPr>
              <a:solidFill>
                <a:schemeClr val="accent2">
                  <a:lumMod val="60000"/>
                </a:schemeClr>
              </a:solidFill>
              <a:ln/>
              <a:effectLst/>
              <a:sp3d/>
            </c:spPr>
          </c:bandFmt>
          <c:bandFmt>
            <c:idx val="8"/>
            <c:spPr>
              <a:solidFill>
                <a:schemeClr val="accent3">
                  <a:lumMod val="60000"/>
                </a:schemeClr>
              </a:solidFill>
              <a:ln/>
              <a:effectLst/>
              <a:sp3d/>
            </c:spPr>
          </c:bandFmt>
          <c:bandFmt>
            <c:idx val="9"/>
            <c:spPr>
              <a:solidFill>
                <a:schemeClr val="accent4">
                  <a:lumMod val="60000"/>
                </a:schemeClr>
              </a:solidFill>
              <a:ln/>
              <a:effectLst/>
              <a:sp3d/>
            </c:spPr>
          </c:bandFmt>
          <c:bandFmt>
            <c:idx val="10"/>
            <c:spPr>
              <a:solidFill>
                <a:schemeClr val="accent5">
                  <a:lumMod val="60000"/>
                </a:schemeClr>
              </a:solidFill>
              <a:ln/>
              <a:effectLst/>
              <a:sp3d/>
            </c:spPr>
          </c:bandFmt>
          <c:bandFmt>
            <c:idx val="11"/>
            <c:spPr>
              <a:solidFill>
                <a:schemeClr val="accent6">
                  <a:lumMod val="60000"/>
                </a:schemeClr>
              </a:solidFill>
              <a:ln/>
              <a:effectLst/>
              <a:sp3d/>
            </c:spPr>
          </c:bandFmt>
          <c:bandFmt>
            <c:idx val="12"/>
            <c:spPr>
              <a:solidFill>
                <a:schemeClr val="accent1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3"/>
            <c:spPr>
              <a:solidFill>
                <a:schemeClr val="accent2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4"/>
            <c:spPr>
              <a:solidFill>
                <a:schemeClr val="accent3">
                  <a:lumMod val="80000"/>
                  <a:lumOff val="20000"/>
                </a:schemeClr>
              </a:solidFill>
              <a:ln/>
              <a:effectLst/>
              <a:sp3d/>
            </c:spPr>
          </c:bandFmt>
        </c:bandFmts>
        <c:axId val="1195255056"/>
        <c:axId val="1195256976"/>
        <c:axId val="1221618432"/>
      </c:surface3DChart>
      <c:catAx>
        <c:axId val="1195255056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95256976"/>
        <c:crosses val="autoZero"/>
        <c:auto val="1"/>
        <c:lblAlgn val="ctr"/>
        <c:lblOffset val="100"/>
        <c:noMultiLvlLbl val="0"/>
      </c:catAx>
      <c:valAx>
        <c:axId val="1195256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95255056"/>
        <c:crosses val="autoZero"/>
        <c:crossBetween val="midCat"/>
      </c:valAx>
      <c:serAx>
        <c:axId val="1221618432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95256976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Ошбика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'5 переменных'!$AU$23:$AU$33</c:f>
              <c:strCach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 </c:v>
                </c:pt>
              </c:strCache>
            </c:strRef>
          </c:xVal>
          <c:yVal>
            <c:numRef>
              <c:f>'5 переменных'!$AV$23:$AV$33</c:f>
              <c:numCache>
                <c:formatCode>General</c:formatCode>
                <c:ptCount val="11"/>
                <c:pt idx="1">
                  <c:v>7</c:v>
                </c:pt>
                <c:pt idx="2">
                  <c:v>6</c:v>
                </c:pt>
                <c:pt idx="3">
                  <c:v>4</c:v>
                </c:pt>
                <c:pt idx="4">
                  <c:v>7</c:v>
                </c:pt>
                <c:pt idx="5">
                  <c:v>4</c:v>
                </c:pt>
                <c:pt idx="6">
                  <c:v>3</c:v>
                </c:pt>
                <c:pt idx="7">
                  <c:v>2</c:v>
                </c:pt>
                <c:pt idx="8">
                  <c:v>0</c:v>
                </c:pt>
                <c:pt idx="9">
                  <c:v>5</c:v>
                </c:pt>
                <c:pt idx="10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E69-4E27-8E43-1D223FF2BE8C}"/>
            </c:ext>
          </c:extLst>
        </c:ser>
        <c:ser>
          <c:idx val="1"/>
          <c:order val="1"/>
          <c:tx>
            <c:v>w0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'5 переменных'!$AU$23:$AU$33</c:f>
              <c:strCach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 </c:v>
                </c:pt>
              </c:strCache>
            </c:strRef>
          </c:xVal>
          <c:yVal>
            <c:numRef>
              <c:f>'5 переменных'!$AW$23:$AW$33</c:f>
              <c:numCache>
                <c:formatCode>General</c:formatCode>
                <c:ptCount val="11"/>
                <c:pt idx="0">
                  <c:v>1</c:v>
                </c:pt>
                <c:pt idx="1">
                  <c:v>-6.4826027367548429</c:v>
                </c:pt>
                <c:pt idx="2">
                  <c:v>-9.1480536241874493</c:v>
                </c:pt>
                <c:pt idx="3">
                  <c:v>-18.637534119933299</c:v>
                </c:pt>
                <c:pt idx="4">
                  <c:v>-20.255485426517865</c:v>
                </c:pt>
                <c:pt idx="5">
                  <c:v>-24.092384371314957</c:v>
                </c:pt>
                <c:pt idx="6">
                  <c:v>-32.974538513127492</c:v>
                </c:pt>
                <c:pt idx="7">
                  <c:v>-36.708241470714505</c:v>
                </c:pt>
                <c:pt idx="8">
                  <c:v>-36.708241470714505</c:v>
                </c:pt>
                <c:pt idx="9">
                  <c:v>-33.074504361024509</c:v>
                </c:pt>
                <c:pt idx="10">
                  <c:v>-34.450337120847443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E69-4E27-8E43-1D223FF2BE8C}"/>
            </c:ext>
          </c:extLst>
        </c:ser>
        <c:ser>
          <c:idx val="2"/>
          <c:order val="2"/>
          <c:tx>
            <c:v>w1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strRef>
              <c:f>'5 переменных'!$AU$23:$AU$33</c:f>
              <c:strCach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 </c:v>
                </c:pt>
              </c:strCache>
            </c:strRef>
          </c:xVal>
          <c:yVal>
            <c:numRef>
              <c:f>'5 переменных'!$AX$23:$AX$33</c:f>
              <c:numCache>
                <c:formatCode>General</c:formatCode>
                <c:ptCount val="11"/>
                <c:pt idx="0">
                  <c:v>0.1</c:v>
                </c:pt>
                <c:pt idx="1">
                  <c:v>-7.3826027367548424</c:v>
                </c:pt>
                <c:pt idx="2">
                  <c:v>-10.048053624187448</c:v>
                </c:pt>
                <c:pt idx="3">
                  <c:v>-19.537534119933298</c:v>
                </c:pt>
                <c:pt idx="4">
                  <c:v>-21.15548542651786</c:v>
                </c:pt>
                <c:pt idx="5">
                  <c:v>-24.992384371314955</c:v>
                </c:pt>
                <c:pt idx="6">
                  <c:v>-33.87453851312749</c:v>
                </c:pt>
                <c:pt idx="7">
                  <c:v>-37.608241470714503</c:v>
                </c:pt>
                <c:pt idx="8">
                  <c:v>-37.608241470714503</c:v>
                </c:pt>
                <c:pt idx="9">
                  <c:v>-33.974504361024508</c:v>
                </c:pt>
                <c:pt idx="10">
                  <c:v>-35.350337120847435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E69-4E27-8E43-1D223FF2BE8C}"/>
            </c:ext>
          </c:extLst>
        </c:ser>
        <c:ser>
          <c:idx val="3"/>
          <c:order val="3"/>
          <c:tx>
            <c:v>w2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strRef>
              <c:f>'5 переменных'!$AU$23:$AU$33</c:f>
              <c:strCach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 </c:v>
                </c:pt>
              </c:strCache>
            </c:strRef>
          </c:xVal>
          <c:yVal>
            <c:numRef>
              <c:f>'5 переменных'!$AY$23:$AY$33</c:f>
              <c:numCache>
                <c:formatCode>General</c:formatCode>
                <c:ptCount val="11"/>
                <c:pt idx="0">
                  <c:v>5</c:v>
                </c:pt>
                <c:pt idx="1">
                  <c:v>-1.2140815074233879</c:v>
                </c:pt>
                <c:pt idx="2">
                  <c:v>0.99488011749287786</c:v>
                </c:pt>
                <c:pt idx="3">
                  <c:v>-14.569462737591317</c:v>
                </c:pt>
                <c:pt idx="4">
                  <c:v>-5.8639666990694819</c:v>
                </c:pt>
                <c:pt idx="5">
                  <c:v>-3.0911468230862571</c:v>
                </c:pt>
                <c:pt idx="6">
                  <c:v>-4.3211942314098879</c:v>
                </c:pt>
                <c:pt idx="7">
                  <c:v>-3.1076165830993174</c:v>
                </c:pt>
                <c:pt idx="8">
                  <c:v>-3.1076165830993174</c:v>
                </c:pt>
                <c:pt idx="9">
                  <c:v>10.300125424753556</c:v>
                </c:pt>
                <c:pt idx="10">
                  <c:v>3.5739311772021196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E69-4E27-8E43-1D223FF2BE8C}"/>
            </c:ext>
          </c:extLst>
        </c:ser>
        <c:ser>
          <c:idx val="4"/>
          <c:order val="4"/>
          <c:tx>
            <c:v>w3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strRef>
              <c:f>'5 переменных'!$AU$23:$AU$33</c:f>
              <c:strCach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 </c:v>
                </c:pt>
              </c:strCache>
            </c:strRef>
          </c:xVal>
          <c:yVal>
            <c:numRef>
              <c:f>'5 переменных'!$AZ$23:$AZ$33</c:f>
              <c:numCache>
                <c:formatCode>General</c:formatCode>
                <c:ptCount val="11"/>
                <c:pt idx="0">
                  <c:v>1</c:v>
                </c:pt>
                <c:pt idx="1">
                  <c:v>-10.202694977743869</c:v>
                </c:pt>
                <c:pt idx="2">
                  <c:v>-7.5092949973443996</c:v>
                </c:pt>
                <c:pt idx="3">
                  <c:v>-8.3060553346395452</c:v>
                </c:pt>
                <c:pt idx="4">
                  <c:v>-8.5562784252156003</c:v>
                </c:pt>
                <c:pt idx="5">
                  <c:v>-6.5461764403444036</c:v>
                </c:pt>
                <c:pt idx="6">
                  <c:v>-14.021613405363379</c:v>
                </c:pt>
                <c:pt idx="7">
                  <c:v>-12.327870393676504</c:v>
                </c:pt>
                <c:pt idx="8">
                  <c:v>-12.327870393676504</c:v>
                </c:pt>
                <c:pt idx="9">
                  <c:v>-13.946620646004078</c:v>
                </c:pt>
                <c:pt idx="10">
                  <c:v>-16.988871170549164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E69-4E27-8E43-1D223FF2BE8C}"/>
            </c:ext>
          </c:extLst>
        </c:ser>
        <c:ser>
          <c:idx val="5"/>
          <c:order val="5"/>
          <c:tx>
            <c:v>w4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strRef>
              <c:f>'5 переменных'!$AU$23:$AU$33</c:f>
              <c:strCach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 </c:v>
                </c:pt>
              </c:strCache>
            </c:strRef>
          </c:xVal>
          <c:yVal>
            <c:numRef>
              <c:f>'5 переменных'!$BA$23:$BA$33</c:f>
              <c:numCache>
                <c:formatCode>General</c:formatCode>
                <c:ptCount val="11"/>
                <c:pt idx="0">
                  <c:v>0.1</c:v>
                </c:pt>
                <c:pt idx="1">
                  <c:v>3.9578569378220445</c:v>
                </c:pt>
                <c:pt idx="2">
                  <c:v>8.7290020923442011</c:v>
                </c:pt>
                <c:pt idx="3">
                  <c:v>-4.8343772598873436</c:v>
                </c:pt>
                <c:pt idx="4">
                  <c:v>10.511728675202397</c:v>
                </c:pt>
                <c:pt idx="5">
                  <c:v>16.232429272575764</c:v>
                </c:pt>
                <c:pt idx="6">
                  <c:v>6.9432744267455462</c:v>
                </c:pt>
                <c:pt idx="7">
                  <c:v>6.9640817044301606</c:v>
                </c:pt>
                <c:pt idx="8">
                  <c:v>6.9640817044301606</c:v>
                </c:pt>
                <c:pt idx="9">
                  <c:v>13.947503293353527</c:v>
                </c:pt>
                <c:pt idx="10">
                  <c:v>-2.2811773369307797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E69-4E27-8E43-1D223FF2BE8C}"/>
            </c:ext>
          </c:extLst>
        </c:ser>
        <c:ser>
          <c:idx val="6"/>
          <c:order val="6"/>
          <c:tx>
            <c:v>w5</c:v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strRef>
              <c:f>'5 переменных'!$AU$23:$AU$33</c:f>
              <c:strCach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 </c:v>
                </c:pt>
              </c:strCache>
            </c:strRef>
          </c:xVal>
          <c:yVal>
            <c:numRef>
              <c:f>'5 переменных'!$BB$23:$BB$33</c:f>
              <c:numCache>
                <c:formatCode>General</c:formatCode>
                <c:ptCount val="11"/>
                <c:pt idx="0">
                  <c:v>7</c:v>
                </c:pt>
                <c:pt idx="1">
                  <c:v>17.953437740746857</c:v>
                </c:pt>
                <c:pt idx="2">
                  <c:v>33.5388862104776</c:v>
                </c:pt>
                <c:pt idx="3">
                  <c:v>30.509730321861767</c:v>
                </c:pt>
                <c:pt idx="4">
                  <c:v>36.450888755086609</c:v>
                </c:pt>
                <c:pt idx="5">
                  <c:v>36.265780346159218</c:v>
                </c:pt>
                <c:pt idx="6">
                  <c:v>37.989743302096969</c:v>
                </c:pt>
                <c:pt idx="7">
                  <c:v>38.783121034917976</c:v>
                </c:pt>
                <c:pt idx="8">
                  <c:v>38.783121034917976</c:v>
                </c:pt>
                <c:pt idx="9">
                  <c:v>39.947071103541937</c:v>
                </c:pt>
                <c:pt idx="10">
                  <c:v>44.110253187856188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E69-4E27-8E43-1D223FF2BE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5724528"/>
        <c:axId val="1365741328"/>
      </c:scatterChart>
      <c:valAx>
        <c:axId val="1365724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65741328"/>
        <c:crosses val="autoZero"/>
        <c:crossBetween val="midCat"/>
      </c:valAx>
      <c:valAx>
        <c:axId val="1365741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657245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Сходимость</a:t>
            </a:r>
            <a:r>
              <a:rPr lang="ru-RU" baseline="0"/>
              <a:t> параметров обучения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7.4233814523184602E-2"/>
          <c:y val="0.17171296296296296"/>
          <c:w val="0.69931680635086391"/>
          <c:h val="0.70791666666666653"/>
        </c:manualLayout>
      </c:layout>
      <c:scatterChart>
        <c:scatterStyle val="lineMarker"/>
        <c:varyColors val="0"/>
        <c:ser>
          <c:idx val="0"/>
          <c:order val="0"/>
          <c:tx>
            <c:v>Ошибка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Совм.классы!$AP$19:$AP$29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xVal>
          <c:yVal>
            <c:numRef>
              <c:f>Совм.классы!$AQ$19:$AQ$29</c:f>
              <c:numCache>
                <c:formatCode>General</c:formatCode>
                <c:ptCount val="11"/>
                <c:pt idx="1">
                  <c:v>9</c:v>
                </c:pt>
                <c:pt idx="2">
                  <c:v>11</c:v>
                </c:pt>
                <c:pt idx="3">
                  <c:v>9</c:v>
                </c:pt>
                <c:pt idx="4">
                  <c:v>9</c:v>
                </c:pt>
                <c:pt idx="5">
                  <c:v>9</c:v>
                </c:pt>
                <c:pt idx="6">
                  <c:v>10</c:v>
                </c:pt>
                <c:pt idx="7">
                  <c:v>10</c:v>
                </c:pt>
                <c:pt idx="8">
                  <c:v>12</c:v>
                </c:pt>
                <c:pt idx="9">
                  <c:v>16</c:v>
                </c:pt>
                <c:pt idx="10">
                  <c:v>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012-4024-9EB2-769F396EAC79}"/>
            </c:ext>
          </c:extLst>
        </c:ser>
        <c:ser>
          <c:idx val="1"/>
          <c:order val="1"/>
          <c:tx>
            <c:v>w0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Совм.классы!$AP$19:$AP$29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xVal>
          <c:yVal>
            <c:numRef>
              <c:f>Совм.классы!$AR$19:$AR$29</c:f>
              <c:numCache>
                <c:formatCode>General</c:formatCode>
                <c:ptCount val="11"/>
                <c:pt idx="0">
                  <c:v>0.1</c:v>
                </c:pt>
                <c:pt idx="1">
                  <c:v>0.80082399975499996</c:v>
                </c:pt>
                <c:pt idx="2">
                  <c:v>9.9999999999999978E-2</c:v>
                </c:pt>
                <c:pt idx="3">
                  <c:v>-0.600823999755</c:v>
                </c:pt>
                <c:pt idx="4">
                  <c:v>-0.600823999755</c:v>
                </c:pt>
                <c:pt idx="5">
                  <c:v>-0.600823999755</c:v>
                </c:pt>
                <c:pt idx="6">
                  <c:v>-0.600823999755</c:v>
                </c:pt>
                <c:pt idx="7">
                  <c:v>-0.600823999755</c:v>
                </c:pt>
                <c:pt idx="8">
                  <c:v>0.80082399975499996</c:v>
                </c:pt>
                <c:pt idx="9">
                  <c:v>0.80082399975499996</c:v>
                </c:pt>
                <c:pt idx="10">
                  <c:v>9.9999999999999978E-2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012-4024-9EB2-769F396EAC79}"/>
            </c:ext>
          </c:extLst>
        </c:ser>
        <c:ser>
          <c:idx val="2"/>
          <c:order val="2"/>
          <c:tx>
            <c:v>w1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Совм.классы!$AP$19:$AP$29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xVal>
          <c:yVal>
            <c:numRef>
              <c:f>Совм.классы!$AS$19:$AS$29</c:f>
              <c:numCache>
                <c:formatCode>General</c:formatCode>
                <c:ptCount val="11"/>
                <c:pt idx="0">
                  <c:v>0.1</c:v>
                </c:pt>
                <c:pt idx="1">
                  <c:v>0.68660136835997321</c:v>
                </c:pt>
                <c:pt idx="2">
                  <c:v>2.3944085443466099</c:v>
                </c:pt>
                <c:pt idx="3">
                  <c:v>5.6897635700093225</c:v>
                </c:pt>
                <c:pt idx="4">
                  <c:v>1.7693496282738965</c:v>
                </c:pt>
                <c:pt idx="5">
                  <c:v>-1.117030552604759</c:v>
                </c:pt>
                <c:pt idx="6">
                  <c:v>0.81450067146182814</c:v>
                </c:pt>
                <c:pt idx="7">
                  <c:v>-3.3156752382018064</c:v>
                </c:pt>
                <c:pt idx="8">
                  <c:v>3.4403234390469613</c:v>
                </c:pt>
                <c:pt idx="9">
                  <c:v>1.2906428926302977</c:v>
                </c:pt>
                <c:pt idx="10">
                  <c:v>-7.664299879039655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012-4024-9EB2-769F396EAC79}"/>
            </c:ext>
          </c:extLst>
        </c:ser>
        <c:ser>
          <c:idx val="3"/>
          <c:order val="3"/>
          <c:tx>
            <c:v>w2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Совм.классы!$AP$19:$AP$29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xVal>
          <c:yVal>
            <c:numRef>
              <c:f>Совм.классы!$AT$19:$AT$29</c:f>
              <c:numCache>
                <c:formatCode>General</c:formatCode>
                <c:ptCount val="11"/>
                <c:pt idx="0">
                  <c:v>0.1</c:v>
                </c:pt>
                <c:pt idx="1">
                  <c:v>8.1453505136989097</c:v>
                </c:pt>
                <c:pt idx="2">
                  <c:v>-0.18392722406500361</c:v>
                </c:pt>
                <c:pt idx="3">
                  <c:v>-6.0667703511899038</c:v>
                </c:pt>
                <c:pt idx="4">
                  <c:v>-9.0755654745713894</c:v>
                </c:pt>
                <c:pt idx="5">
                  <c:v>-8.7214955245237125</c:v>
                </c:pt>
                <c:pt idx="6">
                  <c:v>-6.4519293364035875</c:v>
                </c:pt>
                <c:pt idx="7">
                  <c:v>-11.916805332055796</c:v>
                </c:pt>
                <c:pt idx="8">
                  <c:v>5.4583635458366331</c:v>
                </c:pt>
                <c:pt idx="9">
                  <c:v>6.3402487218235049</c:v>
                </c:pt>
                <c:pt idx="10">
                  <c:v>-5.1385276955065695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012-4024-9EB2-769F396EAC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0447504"/>
        <c:axId val="1940198704"/>
      </c:scatterChart>
      <c:valAx>
        <c:axId val="19504475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40198704"/>
        <c:crosses val="autoZero"/>
        <c:crossBetween val="midCat"/>
      </c:valAx>
      <c:valAx>
        <c:axId val="1940198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504475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8964522620693989"/>
          <c:y val="0.37689945791951884"/>
          <c:w val="0.17828063471610506"/>
          <c:h val="0.3391983539745974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Обучающая выборка</a:t>
            </a:r>
            <a:r>
              <a:rPr lang="ru-RU" baseline="0"/>
              <a:t> и линии классификации</a:t>
            </a:r>
          </a:p>
        </c:rich>
      </c:tx>
      <c:layout>
        <c:manualLayout>
          <c:xMode val="edge"/>
          <c:yMode val="edge"/>
          <c:x val="0.2111470266390465"/>
          <c:y val="3.114354753820372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Класс1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Совм.классы!$N$20:$N$219</c:f>
              <c:numCache>
                <c:formatCode>General</c:formatCode>
                <c:ptCount val="200"/>
                <c:pt idx="0">
                  <c:v>6.2721685613165983</c:v>
                </c:pt>
                <c:pt idx="1">
                  <c:v>4.1178938151523248</c:v>
                </c:pt>
                <c:pt idx="2">
                  <c:v>-100</c:v>
                </c:pt>
                <c:pt idx="3">
                  <c:v>-100</c:v>
                </c:pt>
                <c:pt idx="4">
                  <c:v>7.3594102588195751</c:v>
                </c:pt>
                <c:pt idx="5">
                  <c:v>5.6824333132293852</c:v>
                </c:pt>
                <c:pt idx="6">
                  <c:v>-100</c:v>
                </c:pt>
                <c:pt idx="7">
                  <c:v>-100</c:v>
                </c:pt>
                <c:pt idx="8">
                  <c:v>-100</c:v>
                </c:pt>
                <c:pt idx="9">
                  <c:v>-100</c:v>
                </c:pt>
                <c:pt idx="10">
                  <c:v>5.9701107229608716</c:v>
                </c:pt>
                <c:pt idx="11">
                  <c:v>-100</c:v>
                </c:pt>
                <c:pt idx="12">
                  <c:v>-100</c:v>
                </c:pt>
                <c:pt idx="13">
                  <c:v>-100</c:v>
                </c:pt>
                <c:pt idx="14">
                  <c:v>-100</c:v>
                </c:pt>
                <c:pt idx="15">
                  <c:v>4.8849538106425348</c:v>
                </c:pt>
                <c:pt idx="16">
                  <c:v>4.5842694392559338</c:v>
                </c:pt>
                <c:pt idx="17">
                  <c:v>-100</c:v>
                </c:pt>
                <c:pt idx="18">
                  <c:v>-100</c:v>
                </c:pt>
                <c:pt idx="19">
                  <c:v>7.1609328089063817</c:v>
                </c:pt>
                <c:pt idx="20">
                  <c:v>5.8734796184671385</c:v>
                </c:pt>
                <c:pt idx="21">
                  <c:v>-100</c:v>
                </c:pt>
                <c:pt idx="22">
                  <c:v>-100</c:v>
                </c:pt>
                <c:pt idx="23">
                  <c:v>8.4974636782519717</c:v>
                </c:pt>
                <c:pt idx="24">
                  <c:v>6.559942670989825</c:v>
                </c:pt>
                <c:pt idx="25">
                  <c:v>-100</c:v>
                </c:pt>
                <c:pt idx="26">
                  <c:v>6.8244792929682152</c:v>
                </c:pt>
                <c:pt idx="27">
                  <c:v>4.1257412612718669</c:v>
                </c:pt>
                <c:pt idx="28">
                  <c:v>-100</c:v>
                </c:pt>
                <c:pt idx="29">
                  <c:v>6.9057465795996684</c:v>
                </c:pt>
                <c:pt idx="30">
                  <c:v>5.5552138864864826</c:v>
                </c:pt>
                <c:pt idx="31">
                  <c:v>-100</c:v>
                </c:pt>
                <c:pt idx="32">
                  <c:v>-100</c:v>
                </c:pt>
                <c:pt idx="33">
                  <c:v>7.0981434060576607</c:v>
                </c:pt>
                <c:pt idx="34">
                  <c:v>7.261277846755771</c:v>
                </c:pt>
                <c:pt idx="35">
                  <c:v>-100</c:v>
                </c:pt>
                <c:pt idx="36">
                  <c:v>-100</c:v>
                </c:pt>
                <c:pt idx="37">
                  <c:v>-100</c:v>
                </c:pt>
                <c:pt idx="38">
                  <c:v>-100</c:v>
                </c:pt>
                <c:pt idx="39">
                  <c:v>7.5499255338687874</c:v>
                </c:pt>
                <c:pt idx="40">
                  <c:v>7.3441447798811001</c:v>
                </c:pt>
                <c:pt idx="41">
                  <c:v>6.1186844470077668</c:v>
                </c:pt>
                <c:pt idx="42">
                  <c:v>-100</c:v>
                </c:pt>
                <c:pt idx="43">
                  <c:v>-100</c:v>
                </c:pt>
                <c:pt idx="44">
                  <c:v>-100</c:v>
                </c:pt>
                <c:pt idx="45">
                  <c:v>-100</c:v>
                </c:pt>
                <c:pt idx="46">
                  <c:v>-100</c:v>
                </c:pt>
                <c:pt idx="47">
                  <c:v>-100</c:v>
                </c:pt>
                <c:pt idx="48">
                  <c:v>8.0706071896609792</c:v>
                </c:pt>
                <c:pt idx="49">
                  <c:v>-100</c:v>
                </c:pt>
                <c:pt idx="50">
                  <c:v>-100</c:v>
                </c:pt>
                <c:pt idx="51">
                  <c:v>6.7664675228342945</c:v>
                </c:pt>
                <c:pt idx="52">
                  <c:v>-100</c:v>
                </c:pt>
                <c:pt idx="53">
                  <c:v>-100</c:v>
                </c:pt>
                <c:pt idx="54">
                  <c:v>7.3748035783589954</c:v>
                </c:pt>
                <c:pt idx="55">
                  <c:v>-100</c:v>
                </c:pt>
                <c:pt idx="56">
                  <c:v>-100</c:v>
                </c:pt>
                <c:pt idx="57">
                  <c:v>8.0419971187623283</c:v>
                </c:pt>
                <c:pt idx="58">
                  <c:v>-100</c:v>
                </c:pt>
                <c:pt idx="59">
                  <c:v>-100</c:v>
                </c:pt>
                <c:pt idx="60">
                  <c:v>3.5769576190206798</c:v>
                </c:pt>
                <c:pt idx="61">
                  <c:v>6.9286529929176988</c:v>
                </c:pt>
                <c:pt idx="62">
                  <c:v>8.8497137033171533</c:v>
                </c:pt>
                <c:pt idx="63">
                  <c:v>-100</c:v>
                </c:pt>
                <c:pt idx="64">
                  <c:v>7.0648753481348381</c:v>
                </c:pt>
                <c:pt idx="65">
                  <c:v>3.1934817076836666</c:v>
                </c:pt>
                <c:pt idx="66">
                  <c:v>5.9027534771014638</c:v>
                </c:pt>
                <c:pt idx="67">
                  <c:v>4.9041528465331616</c:v>
                </c:pt>
                <c:pt idx="68">
                  <c:v>7.0375207374967497</c:v>
                </c:pt>
                <c:pt idx="69">
                  <c:v>-100</c:v>
                </c:pt>
                <c:pt idx="70">
                  <c:v>5.8604382381886921</c:v>
                </c:pt>
                <c:pt idx="71">
                  <c:v>7.0432538967545106</c:v>
                </c:pt>
                <c:pt idx="72">
                  <c:v>-100</c:v>
                </c:pt>
                <c:pt idx="73">
                  <c:v>-100</c:v>
                </c:pt>
                <c:pt idx="74">
                  <c:v>6.6394906654367754</c:v>
                </c:pt>
                <c:pt idx="75">
                  <c:v>5.5482432957708578</c:v>
                </c:pt>
                <c:pt idx="76">
                  <c:v>7.6247253972780786</c:v>
                </c:pt>
                <c:pt idx="77">
                  <c:v>-100</c:v>
                </c:pt>
                <c:pt idx="78">
                  <c:v>6.1487220712836352</c:v>
                </c:pt>
                <c:pt idx="79">
                  <c:v>-100</c:v>
                </c:pt>
                <c:pt idx="80">
                  <c:v>5.2234494982316937</c:v>
                </c:pt>
                <c:pt idx="81">
                  <c:v>3.5982316062035666</c:v>
                </c:pt>
                <c:pt idx="82">
                  <c:v>-100</c:v>
                </c:pt>
                <c:pt idx="83">
                  <c:v>-100</c:v>
                </c:pt>
                <c:pt idx="84">
                  <c:v>6.0044785378482333</c:v>
                </c:pt>
                <c:pt idx="85">
                  <c:v>-100</c:v>
                </c:pt>
                <c:pt idx="86">
                  <c:v>-100</c:v>
                </c:pt>
                <c:pt idx="87">
                  <c:v>-100</c:v>
                </c:pt>
                <c:pt idx="88">
                  <c:v>-100</c:v>
                </c:pt>
                <c:pt idx="89">
                  <c:v>7.9350830408028461</c:v>
                </c:pt>
                <c:pt idx="90">
                  <c:v>5.8781228546527409</c:v>
                </c:pt>
                <c:pt idx="91">
                  <c:v>-100</c:v>
                </c:pt>
                <c:pt idx="92">
                  <c:v>-100</c:v>
                </c:pt>
                <c:pt idx="93">
                  <c:v>-100</c:v>
                </c:pt>
                <c:pt idx="94">
                  <c:v>-100</c:v>
                </c:pt>
                <c:pt idx="95">
                  <c:v>5.7670113436288997</c:v>
                </c:pt>
                <c:pt idx="96">
                  <c:v>-100</c:v>
                </c:pt>
                <c:pt idx="97">
                  <c:v>3.6326502295348937</c:v>
                </c:pt>
                <c:pt idx="98">
                  <c:v>-100</c:v>
                </c:pt>
                <c:pt idx="99">
                  <c:v>-100</c:v>
                </c:pt>
                <c:pt idx="100">
                  <c:v>-100</c:v>
                </c:pt>
                <c:pt idx="101">
                  <c:v>6.74654569585371</c:v>
                </c:pt>
                <c:pt idx="102">
                  <c:v>6.1373508137277897</c:v>
                </c:pt>
                <c:pt idx="103">
                  <c:v>7.0386926096720783</c:v>
                </c:pt>
                <c:pt idx="104">
                  <c:v>8.8138658876265445</c:v>
                </c:pt>
                <c:pt idx="105">
                  <c:v>-100</c:v>
                </c:pt>
                <c:pt idx="106">
                  <c:v>7.6175925473381767</c:v>
                </c:pt>
                <c:pt idx="107">
                  <c:v>-100</c:v>
                </c:pt>
                <c:pt idx="108">
                  <c:v>6.645377889008496</c:v>
                </c:pt>
                <c:pt idx="109">
                  <c:v>5.7117874819848176</c:v>
                </c:pt>
                <c:pt idx="110">
                  <c:v>4.5599272776503685</c:v>
                </c:pt>
                <c:pt idx="111">
                  <c:v>-100</c:v>
                </c:pt>
                <c:pt idx="112">
                  <c:v>-100</c:v>
                </c:pt>
                <c:pt idx="113">
                  <c:v>-100</c:v>
                </c:pt>
                <c:pt idx="114">
                  <c:v>6.3417105702665131</c:v>
                </c:pt>
                <c:pt idx="115">
                  <c:v>-100</c:v>
                </c:pt>
                <c:pt idx="116">
                  <c:v>5.4025361513528427</c:v>
                </c:pt>
                <c:pt idx="117">
                  <c:v>-100</c:v>
                </c:pt>
                <c:pt idx="118">
                  <c:v>-100</c:v>
                </c:pt>
                <c:pt idx="119">
                  <c:v>-100</c:v>
                </c:pt>
                <c:pt idx="120">
                  <c:v>5.4035670710707189</c:v>
                </c:pt>
                <c:pt idx="121">
                  <c:v>6.2388431390215571</c:v>
                </c:pt>
                <c:pt idx="122">
                  <c:v>5.6790143966451403</c:v>
                </c:pt>
                <c:pt idx="123">
                  <c:v>9.4980163364577788</c:v>
                </c:pt>
                <c:pt idx="124">
                  <c:v>5.7301162183997807</c:v>
                </c:pt>
                <c:pt idx="125">
                  <c:v>6.4593632587053698</c:v>
                </c:pt>
                <c:pt idx="126">
                  <c:v>-100</c:v>
                </c:pt>
                <c:pt idx="127">
                  <c:v>-100</c:v>
                </c:pt>
                <c:pt idx="128">
                  <c:v>-100</c:v>
                </c:pt>
                <c:pt idx="129">
                  <c:v>-100</c:v>
                </c:pt>
                <c:pt idx="130">
                  <c:v>-100</c:v>
                </c:pt>
                <c:pt idx="131">
                  <c:v>5.6912608706228394</c:v>
                </c:pt>
                <c:pt idx="132">
                  <c:v>-100</c:v>
                </c:pt>
                <c:pt idx="133">
                  <c:v>5.2177360067586935</c:v>
                </c:pt>
                <c:pt idx="134">
                  <c:v>-100</c:v>
                </c:pt>
                <c:pt idx="135">
                  <c:v>-100</c:v>
                </c:pt>
                <c:pt idx="136">
                  <c:v>7.0788689769921174</c:v>
                </c:pt>
                <c:pt idx="137">
                  <c:v>-100</c:v>
                </c:pt>
                <c:pt idx="138">
                  <c:v>7.0225961668274612</c:v>
                </c:pt>
                <c:pt idx="139">
                  <c:v>-100</c:v>
                </c:pt>
                <c:pt idx="140">
                  <c:v>6.2480001318097536</c:v>
                </c:pt>
                <c:pt idx="141">
                  <c:v>-100</c:v>
                </c:pt>
                <c:pt idx="142">
                  <c:v>7.5013461055097146</c:v>
                </c:pt>
                <c:pt idx="143">
                  <c:v>7.6997776639251327</c:v>
                </c:pt>
                <c:pt idx="144">
                  <c:v>-100</c:v>
                </c:pt>
                <c:pt idx="145">
                  <c:v>3.2426905051550836</c:v>
                </c:pt>
                <c:pt idx="146">
                  <c:v>-100</c:v>
                </c:pt>
                <c:pt idx="147">
                  <c:v>4.5546169757649642</c:v>
                </c:pt>
                <c:pt idx="148">
                  <c:v>-100</c:v>
                </c:pt>
                <c:pt idx="149">
                  <c:v>-100</c:v>
                </c:pt>
                <c:pt idx="150">
                  <c:v>-100</c:v>
                </c:pt>
                <c:pt idx="151">
                  <c:v>5.4835264500155825</c:v>
                </c:pt>
                <c:pt idx="152">
                  <c:v>7.4178793049491834</c:v>
                </c:pt>
                <c:pt idx="153">
                  <c:v>-100</c:v>
                </c:pt>
                <c:pt idx="154">
                  <c:v>-100</c:v>
                </c:pt>
                <c:pt idx="155">
                  <c:v>6.0266195465426566</c:v>
                </c:pt>
                <c:pt idx="156">
                  <c:v>7.9104589742823759</c:v>
                </c:pt>
                <c:pt idx="157">
                  <c:v>-100</c:v>
                </c:pt>
                <c:pt idx="158">
                  <c:v>-100</c:v>
                </c:pt>
                <c:pt idx="159">
                  <c:v>6.4340934332519222</c:v>
                </c:pt>
                <c:pt idx="160">
                  <c:v>-100</c:v>
                </c:pt>
                <c:pt idx="161">
                  <c:v>4.9152323652817227</c:v>
                </c:pt>
                <c:pt idx="162">
                  <c:v>-100</c:v>
                </c:pt>
                <c:pt idx="163">
                  <c:v>-100</c:v>
                </c:pt>
                <c:pt idx="164">
                  <c:v>-100</c:v>
                </c:pt>
                <c:pt idx="165">
                  <c:v>8.7130225992298822</c:v>
                </c:pt>
                <c:pt idx="166">
                  <c:v>-100</c:v>
                </c:pt>
                <c:pt idx="167">
                  <c:v>5.5211886188503714</c:v>
                </c:pt>
                <c:pt idx="168">
                  <c:v>-100</c:v>
                </c:pt>
                <c:pt idx="169">
                  <c:v>-100</c:v>
                </c:pt>
                <c:pt idx="170">
                  <c:v>5.4875255662502695</c:v>
                </c:pt>
                <c:pt idx="171">
                  <c:v>-100</c:v>
                </c:pt>
                <c:pt idx="172">
                  <c:v>4.3659734182321497</c:v>
                </c:pt>
                <c:pt idx="173">
                  <c:v>5.8761986897103133</c:v>
                </c:pt>
                <c:pt idx="174">
                  <c:v>-100</c:v>
                </c:pt>
                <c:pt idx="175">
                  <c:v>4.9038217721563555</c:v>
                </c:pt>
                <c:pt idx="176">
                  <c:v>-100</c:v>
                </c:pt>
                <c:pt idx="177">
                  <c:v>4.3847659865710549</c:v>
                </c:pt>
                <c:pt idx="178">
                  <c:v>-100</c:v>
                </c:pt>
                <c:pt idx="179">
                  <c:v>6.7756343495148714</c:v>
                </c:pt>
                <c:pt idx="180">
                  <c:v>-100</c:v>
                </c:pt>
                <c:pt idx="181">
                  <c:v>-100</c:v>
                </c:pt>
                <c:pt idx="182">
                  <c:v>-100</c:v>
                </c:pt>
                <c:pt idx="183">
                  <c:v>5.4717421689797607</c:v>
                </c:pt>
                <c:pt idx="184">
                  <c:v>7.5608509883033888</c:v>
                </c:pt>
                <c:pt idx="185">
                  <c:v>-100</c:v>
                </c:pt>
                <c:pt idx="186">
                  <c:v>5.9732411787019588</c:v>
                </c:pt>
                <c:pt idx="187">
                  <c:v>2.5816169237764734</c:v>
                </c:pt>
                <c:pt idx="188">
                  <c:v>-100</c:v>
                </c:pt>
                <c:pt idx="189">
                  <c:v>3.7265048984132325</c:v>
                </c:pt>
                <c:pt idx="190">
                  <c:v>5.3206542464476154</c:v>
                </c:pt>
                <c:pt idx="191">
                  <c:v>-100</c:v>
                </c:pt>
                <c:pt idx="192">
                  <c:v>-100</c:v>
                </c:pt>
                <c:pt idx="193">
                  <c:v>-100</c:v>
                </c:pt>
                <c:pt idx="194">
                  <c:v>-100</c:v>
                </c:pt>
                <c:pt idx="195">
                  <c:v>-100</c:v>
                </c:pt>
                <c:pt idx="196">
                  <c:v>5.0766425968491395</c:v>
                </c:pt>
                <c:pt idx="197">
                  <c:v>-100</c:v>
                </c:pt>
                <c:pt idx="198">
                  <c:v>-100</c:v>
                </c:pt>
                <c:pt idx="199">
                  <c:v>-100</c:v>
                </c:pt>
              </c:numCache>
            </c:numRef>
          </c:xVal>
          <c:yVal>
            <c:numRef>
              <c:f>Совм.классы!$O$20:$O$219</c:f>
              <c:numCache>
                <c:formatCode>General</c:formatCode>
                <c:ptCount val="200"/>
                <c:pt idx="0">
                  <c:v>14.187621481594958</c:v>
                </c:pt>
                <c:pt idx="1">
                  <c:v>16.959481059067681</c:v>
                </c:pt>
                <c:pt idx="2">
                  <c:v>-100</c:v>
                </c:pt>
                <c:pt idx="3">
                  <c:v>-100</c:v>
                </c:pt>
                <c:pt idx="4">
                  <c:v>13.440275162363282</c:v>
                </c:pt>
                <c:pt idx="5">
                  <c:v>12.364791522183111</c:v>
                </c:pt>
                <c:pt idx="6">
                  <c:v>-100</c:v>
                </c:pt>
                <c:pt idx="7">
                  <c:v>-100</c:v>
                </c:pt>
                <c:pt idx="8">
                  <c:v>-100</c:v>
                </c:pt>
                <c:pt idx="9">
                  <c:v>-100</c:v>
                </c:pt>
                <c:pt idx="10">
                  <c:v>14.740096111452914</c:v>
                </c:pt>
                <c:pt idx="11">
                  <c:v>-100</c:v>
                </c:pt>
                <c:pt idx="12">
                  <c:v>-100</c:v>
                </c:pt>
                <c:pt idx="13">
                  <c:v>-100</c:v>
                </c:pt>
                <c:pt idx="14">
                  <c:v>-100</c:v>
                </c:pt>
                <c:pt idx="15">
                  <c:v>14.927287530877559</c:v>
                </c:pt>
                <c:pt idx="16">
                  <c:v>14.329252477621306</c:v>
                </c:pt>
                <c:pt idx="17">
                  <c:v>-100</c:v>
                </c:pt>
                <c:pt idx="18">
                  <c:v>-100</c:v>
                </c:pt>
                <c:pt idx="19">
                  <c:v>15.920297593627616</c:v>
                </c:pt>
                <c:pt idx="20">
                  <c:v>15.173233179310843</c:v>
                </c:pt>
                <c:pt idx="21">
                  <c:v>-100</c:v>
                </c:pt>
                <c:pt idx="22">
                  <c:v>-100</c:v>
                </c:pt>
                <c:pt idx="23">
                  <c:v>13.022488800511125</c:v>
                </c:pt>
                <c:pt idx="24">
                  <c:v>13.485999483967918</c:v>
                </c:pt>
                <c:pt idx="25">
                  <c:v>-100</c:v>
                </c:pt>
                <c:pt idx="26">
                  <c:v>15.641759147881629</c:v>
                </c:pt>
                <c:pt idx="27">
                  <c:v>15.04511067345101</c:v>
                </c:pt>
                <c:pt idx="28">
                  <c:v>-100</c:v>
                </c:pt>
                <c:pt idx="29">
                  <c:v>13.065377683146085</c:v>
                </c:pt>
                <c:pt idx="30">
                  <c:v>14.72348994518658</c:v>
                </c:pt>
                <c:pt idx="31">
                  <c:v>-100</c:v>
                </c:pt>
                <c:pt idx="32">
                  <c:v>-100</c:v>
                </c:pt>
                <c:pt idx="33">
                  <c:v>15.028783134135454</c:v>
                </c:pt>
                <c:pt idx="34">
                  <c:v>16.999701678903431</c:v>
                </c:pt>
                <c:pt idx="35">
                  <c:v>-100</c:v>
                </c:pt>
                <c:pt idx="36">
                  <c:v>-100</c:v>
                </c:pt>
                <c:pt idx="37">
                  <c:v>-100</c:v>
                </c:pt>
                <c:pt idx="38">
                  <c:v>-100</c:v>
                </c:pt>
                <c:pt idx="39">
                  <c:v>16.259796338239575</c:v>
                </c:pt>
                <c:pt idx="40">
                  <c:v>13.46537125571801</c:v>
                </c:pt>
                <c:pt idx="41">
                  <c:v>17.421372428245835</c:v>
                </c:pt>
                <c:pt idx="42">
                  <c:v>-100</c:v>
                </c:pt>
                <c:pt idx="43">
                  <c:v>-100</c:v>
                </c:pt>
                <c:pt idx="44">
                  <c:v>-100</c:v>
                </c:pt>
                <c:pt idx="45">
                  <c:v>-100</c:v>
                </c:pt>
                <c:pt idx="46">
                  <c:v>-100</c:v>
                </c:pt>
                <c:pt idx="47">
                  <c:v>-100</c:v>
                </c:pt>
                <c:pt idx="48">
                  <c:v>17.253501329384509</c:v>
                </c:pt>
                <c:pt idx="49">
                  <c:v>-100</c:v>
                </c:pt>
                <c:pt idx="50">
                  <c:v>-100</c:v>
                </c:pt>
                <c:pt idx="51">
                  <c:v>17.952376393073298</c:v>
                </c:pt>
                <c:pt idx="52">
                  <c:v>-100</c:v>
                </c:pt>
                <c:pt idx="53">
                  <c:v>-100</c:v>
                </c:pt>
                <c:pt idx="54">
                  <c:v>14.463501498434116</c:v>
                </c:pt>
                <c:pt idx="55">
                  <c:v>-100</c:v>
                </c:pt>
                <c:pt idx="56">
                  <c:v>-100</c:v>
                </c:pt>
                <c:pt idx="57">
                  <c:v>17.781279777511209</c:v>
                </c:pt>
                <c:pt idx="58">
                  <c:v>-100</c:v>
                </c:pt>
                <c:pt idx="59">
                  <c:v>-100</c:v>
                </c:pt>
                <c:pt idx="60">
                  <c:v>15.037056715591479</c:v>
                </c:pt>
                <c:pt idx="61">
                  <c:v>14.542382427181265</c:v>
                </c:pt>
                <c:pt idx="62">
                  <c:v>16.147847307381337</c:v>
                </c:pt>
                <c:pt idx="63">
                  <c:v>-100</c:v>
                </c:pt>
                <c:pt idx="64">
                  <c:v>12.456541738092049</c:v>
                </c:pt>
                <c:pt idx="65">
                  <c:v>15.136070900005389</c:v>
                </c:pt>
                <c:pt idx="66">
                  <c:v>15.143052963595458</c:v>
                </c:pt>
                <c:pt idx="67">
                  <c:v>16.439356657177044</c:v>
                </c:pt>
                <c:pt idx="68">
                  <c:v>13.742051095804104</c:v>
                </c:pt>
                <c:pt idx="69">
                  <c:v>-100</c:v>
                </c:pt>
                <c:pt idx="70">
                  <c:v>15.119684357335551</c:v>
                </c:pt>
                <c:pt idx="71">
                  <c:v>14.998783206447042</c:v>
                </c:pt>
                <c:pt idx="72">
                  <c:v>-100</c:v>
                </c:pt>
                <c:pt idx="73">
                  <c:v>-100</c:v>
                </c:pt>
                <c:pt idx="74">
                  <c:v>13.784418782142904</c:v>
                </c:pt>
                <c:pt idx="75">
                  <c:v>14.302596073342226</c:v>
                </c:pt>
                <c:pt idx="76">
                  <c:v>15.122008433901447</c:v>
                </c:pt>
                <c:pt idx="77">
                  <c:v>-100</c:v>
                </c:pt>
                <c:pt idx="78">
                  <c:v>16.596449809989473</c:v>
                </c:pt>
                <c:pt idx="79">
                  <c:v>-100</c:v>
                </c:pt>
                <c:pt idx="80">
                  <c:v>13.128852180497306</c:v>
                </c:pt>
                <c:pt idx="81">
                  <c:v>15.661797342588715</c:v>
                </c:pt>
                <c:pt idx="82">
                  <c:v>-100</c:v>
                </c:pt>
                <c:pt idx="83">
                  <c:v>-100</c:v>
                </c:pt>
                <c:pt idx="84">
                  <c:v>14.201797037461276</c:v>
                </c:pt>
                <c:pt idx="85">
                  <c:v>-100</c:v>
                </c:pt>
                <c:pt idx="86">
                  <c:v>-100</c:v>
                </c:pt>
                <c:pt idx="87">
                  <c:v>-100</c:v>
                </c:pt>
                <c:pt idx="88">
                  <c:v>-100</c:v>
                </c:pt>
                <c:pt idx="89">
                  <c:v>15.784160465477774</c:v>
                </c:pt>
                <c:pt idx="90">
                  <c:v>15.529728167920222</c:v>
                </c:pt>
                <c:pt idx="91">
                  <c:v>-100</c:v>
                </c:pt>
                <c:pt idx="92">
                  <c:v>-100</c:v>
                </c:pt>
                <c:pt idx="93">
                  <c:v>-100</c:v>
                </c:pt>
                <c:pt idx="94">
                  <c:v>-100</c:v>
                </c:pt>
                <c:pt idx="95">
                  <c:v>14.183999331234851</c:v>
                </c:pt>
                <c:pt idx="96">
                  <c:v>-100</c:v>
                </c:pt>
                <c:pt idx="97">
                  <c:v>15.719702578888514</c:v>
                </c:pt>
                <c:pt idx="98">
                  <c:v>-100</c:v>
                </c:pt>
                <c:pt idx="99">
                  <c:v>-100</c:v>
                </c:pt>
                <c:pt idx="100">
                  <c:v>-100</c:v>
                </c:pt>
                <c:pt idx="101">
                  <c:v>12.852703370599752</c:v>
                </c:pt>
                <c:pt idx="102">
                  <c:v>15.738380418482981</c:v>
                </c:pt>
                <c:pt idx="103">
                  <c:v>12.911077355769683</c:v>
                </c:pt>
                <c:pt idx="104">
                  <c:v>13.999023815559919</c:v>
                </c:pt>
                <c:pt idx="105">
                  <c:v>-100</c:v>
                </c:pt>
                <c:pt idx="106">
                  <c:v>14.157590413247345</c:v>
                </c:pt>
                <c:pt idx="107">
                  <c:v>-100</c:v>
                </c:pt>
                <c:pt idx="108">
                  <c:v>16.260927235863317</c:v>
                </c:pt>
                <c:pt idx="109">
                  <c:v>14.780349510929934</c:v>
                </c:pt>
                <c:pt idx="110">
                  <c:v>14.719895657521553</c:v>
                </c:pt>
                <c:pt idx="111">
                  <c:v>-100</c:v>
                </c:pt>
                <c:pt idx="112">
                  <c:v>-100</c:v>
                </c:pt>
                <c:pt idx="113">
                  <c:v>-100</c:v>
                </c:pt>
                <c:pt idx="114">
                  <c:v>14.286189862887626</c:v>
                </c:pt>
                <c:pt idx="115">
                  <c:v>-100</c:v>
                </c:pt>
                <c:pt idx="116">
                  <c:v>17.28240641705457</c:v>
                </c:pt>
                <c:pt idx="117">
                  <c:v>-100</c:v>
                </c:pt>
                <c:pt idx="118">
                  <c:v>-100</c:v>
                </c:pt>
                <c:pt idx="119">
                  <c:v>-100</c:v>
                </c:pt>
                <c:pt idx="120">
                  <c:v>14.162817127047516</c:v>
                </c:pt>
                <c:pt idx="121">
                  <c:v>14.433127882835251</c:v>
                </c:pt>
                <c:pt idx="122">
                  <c:v>17.888823224583035</c:v>
                </c:pt>
                <c:pt idx="123">
                  <c:v>14.526117169184117</c:v>
                </c:pt>
                <c:pt idx="124">
                  <c:v>14.004907761167512</c:v>
                </c:pt>
                <c:pt idx="125">
                  <c:v>15.211401793603221</c:v>
                </c:pt>
                <c:pt idx="126">
                  <c:v>-100</c:v>
                </c:pt>
                <c:pt idx="127">
                  <c:v>-100</c:v>
                </c:pt>
                <c:pt idx="128">
                  <c:v>-100</c:v>
                </c:pt>
                <c:pt idx="129">
                  <c:v>-100</c:v>
                </c:pt>
                <c:pt idx="130">
                  <c:v>-100</c:v>
                </c:pt>
                <c:pt idx="131">
                  <c:v>15.013121021537636</c:v>
                </c:pt>
                <c:pt idx="132">
                  <c:v>-100</c:v>
                </c:pt>
                <c:pt idx="133">
                  <c:v>12.480746225204289</c:v>
                </c:pt>
                <c:pt idx="134">
                  <c:v>-100</c:v>
                </c:pt>
                <c:pt idx="135">
                  <c:v>-100</c:v>
                </c:pt>
                <c:pt idx="136">
                  <c:v>14.68248753090659</c:v>
                </c:pt>
                <c:pt idx="137">
                  <c:v>-100</c:v>
                </c:pt>
                <c:pt idx="138">
                  <c:v>16.030001219058999</c:v>
                </c:pt>
                <c:pt idx="139">
                  <c:v>-100</c:v>
                </c:pt>
                <c:pt idx="140">
                  <c:v>16.032282682091246</c:v>
                </c:pt>
                <c:pt idx="141">
                  <c:v>-100</c:v>
                </c:pt>
                <c:pt idx="142">
                  <c:v>14.91016672424332</c:v>
                </c:pt>
                <c:pt idx="143">
                  <c:v>16.249165900576383</c:v>
                </c:pt>
                <c:pt idx="144">
                  <c:v>-100</c:v>
                </c:pt>
                <c:pt idx="145">
                  <c:v>14.173234497042463</c:v>
                </c:pt>
                <c:pt idx="146">
                  <c:v>-100</c:v>
                </c:pt>
                <c:pt idx="147">
                  <c:v>13.119598487767369</c:v>
                </c:pt>
                <c:pt idx="148">
                  <c:v>-100</c:v>
                </c:pt>
                <c:pt idx="149">
                  <c:v>-100</c:v>
                </c:pt>
                <c:pt idx="150">
                  <c:v>-100</c:v>
                </c:pt>
                <c:pt idx="151">
                  <c:v>14.143424691273408</c:v>
                </c:pt>
                <c:pt idx="152">
                  <c:v>14.380562450097997</c:v>
                </c:pt>
                <c:pt idx="153">
                  <c:v>-100</c:v>
                </c:pt>
                <c:pt idx="154">
                  <c:v>-100</c:v>
                </c:pt>
                <c:pt idx="155">
                  <c:v>12.959637116343995</c:v>
                </c:pt>
                <c:pt idx="156">
                  <c:v>13.116238574537407</c:v>
                </c:pt>
                <c:pt idx="157">
                  <c:v>-100</c:v>
                </c:pt>
                <c:pt idx="158">
                  <c:v>-100</c:v>
                </c:pt>
                <c:pt idx="159">
                  <c:v>14.97451971598052</c:v>
                </c:pt>
                <c:pt idx="160">
                  <c:v>-100</c:v>
                </c:pt>
                <c:pt idx="161">
                  <c:v>15.47045110363336</c:v>
                </c:pt>
                <c:pt idx="162">
                  <c:v>-100</c:v>
                </c:pt>
                <c:pt idx="163">
                  <c:v>-100</c:v>
                </c:pt>
                <c:pt idx="164">
                  <c:v>-100</c:v>
                </c:pt>
                <c:pt idx="165">
                  <c:v>14.008682336859515</c:v>
                </c:pt>
                <c:pt idx="166">
                  <c:v>-100</c:v>
                </c:pt>
                <c:pt idx="167">
                  <c:v>11.137266071909899</c:v>
                </c:pt>
                <c:pt idx="168">
                  <c:v>-100</c:v>
                </c:pt>
                <c:pt idx="169">
                  <c:v>-100</c:v>
                </c:pt>
                <c:pt idx="170">
                  <c:v>14.922649211638147</c:v>
                </c:pt>
                <c:pt idx="171">
                  <c:v>-100</c:v>
                </c:pt>
                <c:pt idx="172">
                  <c:v>15.48513474393933</c:v>
                </c:pt>
                <c:pt idx="173">
                  <c:v>16.408448733425512</c:v>
                </c:pt>
                <c:pt idx="174">
                  <c:v>-100</c:v>
                </c:pt>
                <c:pt idx="175">
                  <c:v>15.477436445187557</c:v>
                </c:pt>
                <c:pt idx="176">
                  <c:v>-100</c:v>
                </c:pt>
                <c:pt idx="177">
                  <c:v>16.183800017924003</c:v>
                </c:pt>
                <c:pt idx="178">
                  <c:v>-100</c:v>
                </c:pt>
                <c:pt idx="179">
                  <c:v>14.034086558842162</c:v>
                </c:pt>
                <c:pt idx="180">
                  <c:v>-100</c:v>
                </c:pt>
                <c:pt idx="181">
                  <c:v>-100</c:v>
                </c:pt>
                <c:pt idx="182">
                  <c:v>-100</c:v>
                </c:pt>
                <c:pt idx="183">
                  <c:v>15.341989328486404</c:v>
                </c:pt>
                <c:pt idx="184">
                  <c:v>15.354937286787235</c:v>
                </c:pt>
                <c:pt idx="185">
                  <c:v>-100</c:v>
                </c:pt>
                <c:pt idx="186">
                  <c:v>13.991573003099719</c:v>
                </c:pt>
                <c:pt idx="187">
                  <c:v>17.335732337469242</c:v>
                </c:pt>
                <c:pt idx="188">
                  <c:v>-100</c:v>
                </c:pt>
                <c:pt idx="189">
                  <c:v>13.96264496968077</c:v>
                </c:pt>
                <c:pt idx="190">
                  <c:v>14.45320541311186</c:v>
                </c:pt>
                <c:pt idx="191">
                  <c:v>-100</c:v>
                </c:pt>
                <c:pt idx="192">
                  <c:v>-100</c:v>
                </c:pt>
                <c:pt idx="193">
                  <c:v>-100</c:v>
                </c:pt>
                <c:pt idx="194">
                  <c:v>-100</c:v>
                </c:pt>
                <c:pt idx="195">
                  <c:v>-100</c:v>
                </c:pt>
                <c:pt idx="196">
                  <c:v>14.895024168959599</c:v>
                </c:pt>
                <c:pt idx="197">
                  <c:v>-100</c:v>
                </c:pt>
                <c:pt idx="198">
                  <c:v>-100</c:v>
                </c:pt>
                <c:pt idx="199">
                  <c:v>-100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ED4-446C-9A57-38DA3B6D1D00}"/>
            </c:ext>
          </c:extLst>
        </c:ser>
        <c:ser>
          <c:idx val="1"/>
          <c:order val="1"/>
          <c:tx>
            <c:v>Класс2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Совм.классы!$P$20:$P$219</c:f>
              <c:numCache>
                <c:formatCode>General</c:formatCode>
                <c:ptCount val="200"/>
                <c:pt idx="0">
                  <c:v>-100</c:v>
                </c:pt>
                <c:pt idx="1">
                  <c:v>-100</c:v>
                </c:pt>
                <c:pt idx="2">
                  <c:v>7.729685808617992</c:v>
                </c:pt>
                <c:pt idx="3">
                  <c:v>5.6094953334441131</c:v>
                </c:pt>
                <c:pt idx="4">
                  <c:v>-100</c:v>
                </c:pt>
                <c:pt idx="5">
                  <c:v>-100</c:v>
                </c:pt>
                <c:pt idx="6">
                  <c:v>3.9611809061786016</c:v>
                </c:pt>
                <c:pt idx="7">
                  <c:v>6.5208644216522611</c:v>
                </c:pt>
                <c:pt idx="8">
                  <c:v>7.5086199079070681</c:v>
                </c:pt>
                <c:pt idx="9">
                  <c:v>6.9848291031406147</c:v>
                </c:pt>
                <c:pt idx="10">
                  <c:v>-100</c:v>
                </c:pt>
                <c:pt idx="11">
                  <c:v>5.3938856040222358</c:v>
                </c:pt>
                <c:pt idx="12">
                  <c:v>7.1827279923854288</c:v>
                </c:pt>
                <c:pt idx="13">
                  <c:v>4.5763465999614752</c:v>
                </c:pt>
                <c:pt idx="14">
                  <c:v>5.6880845233839761</c:v>
                </c:pt>
                <c:pt idx="15">
                  <c:v>-100</c:v>
                </c:pt>
                <c:pt idx="16">
                  <c:v>-100</c:v>
                </c:pt>
                <c:pt idx="17">
                  <c:v>5.9751391199313719</c:v>
                </c:pt>
                <c:pt idx="18">
                  <c:v>6.5783795802209726</c:v>
                </c:pt>
                <c:pt idx="19">
                  <c:v>-100</c:v>
                </c:pt>
                <c:pt idx="20">
                  <c:v>-100</c:v>
                </c:pt>
                <c:pt idx="21">
                  <c:v>8.0700991052213258</c:v>
                </c:pt>
                <c:pt idx="22">
                  <c:v>5.8378022569111225</c:v>
                </c:pt>
                <c:pt idx="23">
                  <c:v>-100</c:v>
                </c:pt>
                <c:pt idx="24">
                  <c:v>-100</c:v>
                </c:pt>
                <c:pt idx="25">
                  <c:v>4.0965411568303942</c:v>
                </c:pt>
                <c:pt idx="26">
                  <c:v>-100</c:v>
                </c:pt>
                <c:pt idx="27">
                  <c:v>-100</c:v>
                </c:pt>
                <c:pt idx="28">
                  <c:v>3.5568899226364525</c:v>
                </c:pt>
                <c:pt idx="29">
                  <c:v>-100</c:v>
                </c:pt>
                <c:pt idx="30">
                  <c:v>-100</c:v>
                </c:pt>
                <c:pt idx="31">
                  <c:v>7.2635855335010335</c:v>
                </c:pt>
                <c:pt idx="32">
                  <c:v>5.3580689289908312</c:v>
                </c:pt>
                <c:pt idx="33">
                  <c:v>-100</c:v>
                </c:pt>
                <c:pt idx="34">
                  <c:v>-100</c:v>
                </c:pt>
                <c:pt idx="35">
                  <c:v>4.3541924151604556</c:v>
                </c:pt>
                <c:pt idx="36">
                  <c:v>4.6016164254149228</c:v>
                </c:pt>
                <c:pt idx="37">
                  <c:v>6.63891374375046</c:v>
                </c:pt>
                <c:pt idx="38">
                  <c:v>5.950524887303283</c:v>
                </c:pt>
                <c:pt idx="39">
                  <c:v>-100</c:v>
                </c:pt>
                <c:pt idx="40">
                  <c:v>-100</c:v>
                </c:pt>
                <c:pt idx="41">
                  <c:v>-100</c:v>
                </c:pt>
                <c:pt idx="42">
                  <c:v>6.2178871143589687</c:v>
                </c:pt>
                <c:pt idx="43">
                  <c:v>7.1509366573017266</c:v>
                </c:pt>
                <c:pt idx="44">
                  <c:v>4.1516830693713072</c:v>
                </c:pt>
                <c:pt idx="45">
                  <c:v>6.5180420945390924</c:v>
                </c:pt>
                <c:pt idx="46">
                  <c:v>7.2618547684420864</c:v>
                </c:pt>
                <c:pt idx="47">
                  <c:v>4.9531879119058591</c:v>
                </c:pt>
                <c:pt idx="48">
                  <c:v>-100</c:v>
                </c:pt>
                <c:pt idx="49">
                  <c:v>8.2998811125453926</c:v>
                </c:pt>
                <c:pt idx="50">
                  <c:v>6.3785319413027795</c:v>
                </c:pt>
                <c:pt idx="51">
                  <c:v>-100</c:v>
                </c:pt>
                <c:pt idx="52">
                  <c:v>7.0548939473687531</c:v>
                </c:pt>
                <c:pt idx="53">
                  <c:v>7.7277583657114377</c:v>
                </c:pt>
                <c:pt idx="54">
                  <c:v>-100</c:v>
                </c:pt>
                <c:pt idx="55">
                  <c:v>6.1557844449948105</c:v>
                </c:pt>
                <c:pt idx="56">
                  <c:v>5.0573419440705827</c:v>
                </c:pt>
                <c:pt idx="57">
                  <c:v>-100</c:v>
                </c:pt>
                <c:pt idx="58">
                  <c:v>5.3732393469696298</c:v>
                </c:pt>
                <c:pt idx="59">
                  <c:v>7.4766237000654412</c:v>
                </c:pt>
                <c:pt idx="60">
                  <c:v>-100</c:v>
                </c:pt>
                <c:pt idx="61">
                  <c:v>-100</c:v>
                </c:pt>
                <c:pt idx="62">
                  <c:v>-100</c:v>
                </c:pt>
                <c:pt idx="63">
                  <c:v>6.1218886569417066</c:v>
                </c:pt>
                <c:pt idx="64">
                  <c:v>-100</c:v>
                </c:pt>
                <c:pt idx="65">
                  <c:v>-100</c:v>
                </c:pt>
                <c:pt idx="66">
                  <c:v>-100</c:v>
                </c:pt>
                <c:pt idx="67">
                  <c:v>-100</c:v>
                </c:pt>
                <c:pt idx="68">
                  <c:v>-100</c:v>
                </c:pt>
                <c:pt idx="69">
                  <c:v>9.6550439299876736</c:v>
                </c:pt>
                <c:pt idx="70">
                  <c:v>-100</c:v>
                </c:pt>
                <c:pt idx="71">
                  <c:v>-100</c:v>
                </c:pt>
                <c:pt idx="72">
                  <c:v>6.1798365067751551</c:v>
                </c:pt>
                <c:pt idx="73">
                  <c:v>5.6650699372497622</c:v>
                </c:pt>
                <c:pt idx="74">
                  <c:v>-100</c:v>
                </c:pt>
                <c:pt idx="75">
                  <c:v>-100</c:v>
                </c:pt>
                <c:pt idx="76">
                  <c:v>-100</c:v>
                </c:pt>
                <c:pt idx="77">
                  <c:v>8.0589769729391172</c:v>
                </c:pt>
                <c:pt idx="78">
                  <c:v>-100</c:v>
                </c:pt>
                <c:pt idx="79">
                  <c:v>4.8687442780355434</c:v>
                </c:pt>
                <c:pt idx="80">
                  <c:v>-100</c:v>
                </c:pt>
                <c:pt idx="81">
                  <c:v>-100</c:v>
                </c:pt>
                <c:pt idx="82">
                  <c:v>4.5962733438882504</c:v>
                </c:pt>
                <c:pt idx="83">
                  <c:v>2.8203051596330369</c:v>
                </c:pt>
                <c:pt idx="84">
                  <c:v>-100</c:v>
                </c:pt>
                <c:pt idx="85">
                  <c:v>5.994336516839935</c:v>
                </c:pt>
                <c:pt idx="86">
                  <c:v>6.1119433137810173</c:v>
                </c:pt>
                <c:pt idx="87">
                  <c:v>7.6736391779780853</c:v>
                </c:pt>
                <c:pt idx="88">
                  <c:v>3.1855883700663488</c:v>
                </c:pt>
                <c:pt idx="89">
                  <c:v>-100</c:v>
                </c:pt>
                <c:pt idx="90">
                  <c:v>-100</c:v>
                </c:pt>
                <c:pt idx="91">
                  <c:v>7.7793076295693862</c:v>
                </c:pt>
                <c:pt idx="92">
                  <c:v>4.9967356653303057</c:v>
                </c:pt>
                <c:pt idx="93">
                  <c:v>4.6435907560585079</c:v>
                </c:pt>
                <c:pt idx="94">
                  <c:v>4.7875196049377378</c:v>
                </c:pt>
                <c:pt idx="95">
                  <c:v>-100</c:v>
                </c:pt>
                <c:pt idx="96">
                  <c:v>7.2103579520101677</c:v>
                </c:pt>
                <c:pt idx="97">
                  <c:v>-100</c:v>
                </c:pt>
                <c:pt idx="98">
                  <c:v>7.1009493433501953</c:v>
                </c:pt>
                <c:pt idx="99">
                  <c:v>9.0347088867768477</c:v>
                </c:pt>
                <c:pt idx="100">
                  <c:v>2.5466869380413666</c:v>
                </c:pt>
                <c:pt idx="101">
                  <c:v>-100</c:v>
                </c:pt>
                <c:pt idx="102">
                  <c:v>-100</c:v>
                </c:pt>
                <c:pt idx="103">
                  <c:v>-100</c:v>
                </c:pt>
                <c:pt idx="104">
                  <c:v>-100</c:v>
                </c:pt>
                <c:pt idx="105">
                  <c:v>6.4524238086489492</c:v>
                </c:pt>
                <c:pt idx="106">
                  <c:v>-100</c:v>
                </c:pt>
                <c:pt idx="107">
                  <c:v>6.339827379875671</c:v>
                </c:pt>
                <c:pt idx="108">
                  <c:v>-100</c:v>
                </c:pt>
                <c:pt idx="109">
                  <c:v>-100</c:v>
                </c:pt>
                <c:pt idx="110">
                  <c:v>-100</c:v>
                </c:pt>
                <c:pt idx="111">
                  <c:v>6.9843193797188983</c:v>
                </c:pt>
                <c:pt idx="112">
                  <c:v>5.5222998486893538</c:v>
                </c:pt>
                <c:pt idx="113">
                  <c:v>4.4773553612964516</c:v>
                </c:pt>
                <c:pt idx="114">
                  <c:v>-100</c:v>
                </c:pt>
                <c:pt idx="115">
                  <c:v>6.048608129905185</c:v>
                </c:pt>
                <c:pt idx="116">
                  <c:v>-100</c:v>
                </c:pt>
                <c:pt idx="117">
                  <c:v>4.1724981415764431</c:v>
                </c:pt>
                <c:pt idx="118">
                  <c:v>4.946572980297991</c:v>
                </c:pt>
                <c:pt idx="119">
                  <c:v>7.0492640439809859</c:v>
                </c:pt>
                <c:pt idx="120">
                  <c:v>-100</c:v>
                </c:pt>
                <c:pt idx="121">
                  <c:v>-100</c:v>
                </c:pt>
                <c:pt idx="122">
                  <c:v>-100</c:v>
                </c:pt>
                <c:pt idx="123">
                  <c:v>-100</c:v>
                </c:pt>
                <c:pt idx="124">
                  <c:v>-100</c:v>
                </c:pt>
                <c:pt idx="125">
                  <c:v>-100</c:v>
                </c:pt>
                <c:pt idx="126">
                  <c:v>7.3302035984498488</c:v>
                </c:pt>
                <c:pt idx="127">
                  <c:v>5.4566274763911187</c:v>
                </c:pt>
                <c:pt idx="128">
                  <c:v>7.3027752336189078</c:v>
                </c:pt>
                <c:pt idx="129">
                  <c:v>5.810382086990499</c:v>
                </c:pt>
                <c:pt idx="130">
                  <c:v>4.6954153689031068</c:v>
                </c:pt>
                <c:pt idx="131">
                  <c:v>-100</c:v>
                </c:pt>
                <c:pt idx="132">
                  <c:v>8.7220632242915777</c:v>
                </c:pt>
                <c:pt idx="133">
                  <c:v>-100</c:v>
                </c:pt>
                <c:pt idx="134">
                  <c:v>6.7652792608383328</c:v>
                </c:pt>
                <c:pt idx="135">
                  <c:v>7.2638739943441912</c:v>
                </c:pt>
                <c:pt idx="136">
                  <c:v>-100</c:v>
                </c:pt>
                <c:pt idx="137">
                  <c:v>7.6782709412892434</c:v>
                </c:pt>
                <c:pt idx="138">
                  <c:v>-100</c:v>
                </c:pt>
                <c:pt idx="139">
                  <c:v>5.8115260964707494</c:v>
                </c:pt>
                <c:pt idx="140">
                  <c:v>-100</c:v>
                </c:pt>
                <c:pt idx="141">
                  <c:v>7.2792247003499631</c:v>
                </c:pt>
                <c:pt idx="142">
                  <c:v>-100</c:v>
                </c:pt>
                <c:pt idx="143">
                  <c:v>-100</c:v>
                </c:pt>
                <c:pt idx="144">
                  <c:v>7.2340936902522763</c:v>
                </c:pt>
                <c:pt idx="145">
                  <c:v>-100</c:v>
                </c:pt>
                <c:pt idx="146">
                  <c:v>6.0062601113511453</c:v>
                </c:pt>
                <c:pt idx="147">
                  <c:v>-100</c:v>
                </c:pt>
                <c:pt idx="148">
                  <c:v>6.0897154390372332</c:v>
                </c:pt>
                <c:pt idx="149">
                  <c:v>6.8963355445916461</c:v>
                </c:pt>
                <c:pt idx="150">
                  <c:v>4.926075870613154</c:v>
                </c:pt>
                <c:pt idx="151">
                  <c:v>-100</c:v>
                </c:pt>
                <c:pt idx="152">
                  <c:v>-100</c:v>
                </c:pt>
                <c:pt idx="153">
                  <c:v>7.1760835591004195</c:v>
                </c:pt>
                <c:pt idx="154">
                  <c:v>8.3356109215274365</c:v>
                </c:pt>
                <c:pt idx="155">
                  <c:v>-100</c:v>
                </c:pt>
                <c:pt idx="156">
                  <c:v>-100</c:v>
                </c:pt>
                <c:pt idx="157">
                  <c:v>3.3446614132113623</c:v>
                </c:pt>
                <c:pt idx="158">
                  <c:v>4.9656999009778282</c:v>
                </c:pt>
                <c:pt idx="159">
                  <c:v>-100</c:v>
                </c:pt>
                <c:pt idx="160">
                  <c:v>6.8948539048063351</c:v>
                </c:pt>
                <c:pt idx="161">
                  <c:v>-100</c:v>
                </c:pt>
                <c:pt idx="162">
                  <c:v>6.5448492851680058</c:v>
                </c:pt>
                <c:pt idx="163">
                  <c:v>7.0610630758553778</c:v>
                </c:pt>
                <c:pt idx="164">
                  <c:v>3.7177330664099344</c:v>
                </c:pt>
                <c:pt idx="165">
                  <c:v>-100</c:v>
                </c:pt>
                <c:pt idx="166">
                  <c:v>5.8754054223916299</c:v>
                </c:pt>
                <c:pt idx="167">
                  <c:v>-100</c:v>
                </c:pt>
                <c:pt idx="168">
                  <c:v>7.4482709493507446</c:v>
                </c:pt>
                <c:pt idx="169">
                  <c:v>5.9091799257720421</c:v>
                </c:pt>
                <c:pt idx="170">
                  <c:v>-100</c:v>
                </c:pt>
                <c:pt idx="171">
                  <c:v>5.8391708069340593</c:v>
                </c:pt>
                <c:pt idx="172">
                  <c:v>-100</c:v>
                </c:pt>
                <c:pt idx="173">
                  <c:v>-100</c:v>
                </c:pt>
                <c:pt idx="174">
                  <c:v>4.8262356392392913</c:v>
                </c:pt>
                <c:pt idx="175">
                  <c:v>-100</c:v>
                </c:pt>
                <c:pt idx="176">
                  <c:v>7.0968092746580558</c:v>
                </c:pt>
                <c:pt idx="177">
                  <c:v>-100</c:v>
                </c:pt>
                <c:pt idx="178">
                  <c:v>3.6089308811134191</c:v>
                </c:pt>
                <c:pt idx="179">
                  <c:v>-100</c:v>
                </c:pt>
                <c:pt idx="180">
                  <c:v>6.9400488352044949</c:v>
                </c:pt>
                <c:pt idx="181">
                  <c:v>6.8453320617608089</c:v>
                </c:pt>
                <c:pt idx="182">
                  <c:v>5.0253719599419693</c:v>
                </c:pt>
                <c:pt idx="183">
                  <c:v>-100</c:v>
                </c:pt>
                <c:pt idx="184">
                  <c:v>-100</c:v>
                </c:pt>
                <c:pt idx="185">
                  <c:v>4.2249029540714842</c:v>
                </c:pt>
                <c:pt idx="186">
                  <c:v>-100</c:v>
                </c:pt>
                <c:pt idx="187">
                  <c:v>-100</c:v>
                </c:pt>
                <c:pt idx="188">
                  <c:v>6.4665338052327295</c:v>
                </c:pt>
                <c:pt idx="189">
                  <c:v>-100</c:v>
                </c:pt>
                <c:pt idx="190">
                  <c:v>-100</c:v>
                </c:pt>
                <c:pt idx="191">
                  <c:v>9.3687596550100736</c:v>
                </c:pt>
                <c:pt idx="192">
                  <c:v>7.8867592936456621</c:v>
                </c:pt>
                <c:pt idx="193">
                  <c:v>3.2835208263184184</c:v>
                </c:pt>
                <c:pt idx="194">
                  <c:v>6.2076303646062332</c:v>
                </c:pt>
                <c:pt idx="195">
                  <c:v>8.5607808333251061</c:v>
                </c:pt>
                <c:pt idx="196">
                  <c:v>-100</c:v>
                </c:pt>
                <c:pt idx="197">
                  <c:v>6.0256197674839846</c:v>
                </c:pt>
                <c:pt idx="198">
                  <c:v>7.1789878353167582</c:v>
                </c:pt>
                <c:pt idx="199">
                  <c:v>5.4997441775328912</c:v>
                </c:pt>
              </c:numCache>
            </c:numRef>
          </c:xVal>
          <c:yVal>
            <c:numRef>
              <c:f>Совм.классы!$Q$20:$Q$219</c:f>
              <c:numCache>
                <c:formatCode>General</c:formatCode>
                <c:ptCount val="200"/>
                <c:pt idx="0">
                  <c:v>-100</c:v>
                </c:pt>
                <c:pt idx="1">
                  <c:v>-100</c:v>
                </c:pt>
                <c:pt idx="2">
                  <c:v>17.733172375986392</c:v>
                </c:pt>
                <c:pt idx="3">
                  <c:v>17.519055759224269</c:v>
                </c:pt>
                <c:pt idx="4">
                  <c:v>-100</c:v>
                </c:pt>
                <c:pt idx="5">
                  <c:v>-100</c:v>
                </c:pt>
                <c:pt idx="6">
                  <c:v>13.722412812720487</c:v>
                </c:pt>
                <c:pt idx="7">
                  <c:v>14.416770841842554</c:v>
                </c:pt>
                <c:pt idx="8">
                  <c:v>16.589339905798461</c:v>
                </c:pt>
                <c:pt idx="9">
                  <c:v>15.190242535164773</c:v>
                </c:pt>
                <c:pt idx="10">
                  <c:v>-100</c:v>
                </c:pt>
                <c:pt idx="11">
                  <c:v>14.694904459018883</c:v>
                </c:pt>
                <c:pt idx="12">
                  <c:v>15.266868224592686</c:v>
                </c:pt>
                <c:pt idx="13">
                  <c:v>14.58107059878774</c:v>
                </c:pt>
                <c:pt idx="14">
                  <c:v>13.605366547645087</c:v>
                </c:pt>
                <c:pt idx="15">
                  <c:v>-100</c:v>
                </c:pt>
                <c:pt idx="16">
                  <c:v>-100</c:v>
                </c:pt>
                <c:pt idx="17">
                  <c:v>13.762413808959742</c:v>
                </c:pt>
                <c:pt idx="18">
                  <c:v>16.417545083877364</c:v>
                </c:pt>
                <c:pt idx="19">
                  <c:v>-100</c:v>
                </c:pt>
                <c:pt idx="20">
                  <c:v>-100</c:v>
                </c:pt>
                <c:pt idx="21">
                  <c:v>14.489882553726547</c:v>
                </c:pt>
                <c:pt idx="22">
                  <c:v>15.330429587993267</c:v>
                </c:pt>
                <c:pt idx="23">
                  <c:v>-100</c:v>
                </c:pt>
                <c:pt idx="24">
                  <c:v>-100</c:v>
                </c:pt>
                <c:pt idx="25">
                  <c:v>15.296548550778734</c:v>
                </c:pt>
                <c:pt idx="26">
                  <c:v>-100</c:v>
                </c:pt>
                <c:pt idx="27">
                  <c:v>-100</c:v>
                </c:pt>
                <c:pt idx="28">
                  <c:v>13.526911754234423</c:v>
                </c:pt>
                <c:pt idx="29">
                  <c:v>-100</c:v>
                </c:pt>
                <c:pt idx="30">
                  <c:v>-100</c:v>
                </c:pt>
                <c:pt idx="31">
                  <c:v>13.49306021869703</c:v>
                </c:pt>
                <c:pt idx="32">
                  <c:v>12.794853859690107</c:v>
                </c:pt>
                <c:pt idx="33">
                  <c:v>-100</c:v>
                </c:pt>
                <c:pt idx="34">
                  <c:v>-100</c:v>
                </c:pt>
                <c:pt idx="35">
                  <c:v>16.960038312969235</c:v>
                </c:pt>
                <c:pt idx="36">
                  <c:v>16.07376859607994</c:v>
                </c:pt>
                <c:pt idx="37">
                  <c:v>14.312743011296712</c:v>
                </c:pt>
                <c:pt idx="38">
                  <c:v>13.801949334292994</c:v>
                </c:pt>
                <c:pt idx="39">
                  <c:v>-100</c:v>
                </c:pt>
                <c:pt idx="40">
                  <c:v>-100</c:v>
                </c:pt>
                <c:pt idx="41">
                  <c:v>-100</c:v>
                </c:pt>
                <c:pt idx="42">
                  <c:v>13.748007156622487</c:v>
                </c:pt>
                <c:pt idx="43">
                  <c:v>16.358443390671283</c:v>
                </c:pt>
                <c:pt idx="44">
                  <c:v>13.790073270261622</c:v>
                </c:pt>
                <c:pt idx="45">
                  <c:v>15.12355891093342</c:v>
                </c:pt>
                <c:pt idx="46">
                  <c:v>13.574058712270087</c:v>
                </c:pt>
                <c:pt idx="47">
                  <c:v>14.939763462344134</c:v>
                </c:pt>
                <c:pt idx="48">
                  <c:v>-100</c:v>
                </c:pt>
                <c:pt idx="49">
                  <c:v>13.800857772238771</c:v>
                </c:pt>
                <c:pt idx="50">
                  <c:v>16.674131003866215</c:v>
                </c:pt>
                <c:pt idx="51">
                  <c:v>-100</c:v>
                </c:pt>
                <c:pt idx="52">
                  <c:v>16.106364671356772</c:v>
                </c:pt>
                <c:pt idx="53">
                  <c:v>13.171039578809133</c:v>
                </c:pt>
                <c:pt idx="54">
                  <c:v>-100</c:v>
                </c:pt>
                <c:pt idx="55">
                  <c:v>18.231540929967501</c:v>
                </c:pt>
                <c:pt idx="56">
                  <c:v>15.406793040291038</c:v>
                </c:pt>
                <c:pt idx="57">
                  <c:v>-100</c:v>
                </c:pt>
                <c:pt idx="58">
                  <c:v>13.958068931759767</c:v>
                </c:pt>
                <c:pt idx="59">
                  <c:v>12.746772681878307</c:v>
                </c:pt>
                <c:pt idx="60">
                  <c:v>-100</c:v>
                </c:pt>
                <c:pt idx="61">
                  <c:v>-100</c:v>
                </c:pt>
                <c:pt idx="62">
                  <c:v>-100</c:v>
                </c:pt>
                <c:pt idx="63">
                  <c:v>15.603374187956883</c:v>
                </c:pt>
                <c:pt idx="64">
                  <c:v>-100</c:v>
                </c:pt>
                <c:pt idx="65">
                  <c:v>-100</c:v>
                </c:pt>
                <c:pt idx="66">
                  <c:v>-100</c:v>
                </c:pt>
                <c:pt idx="67">
                  <c:v>-100</c:v>
                </c:pt>
                <c:pt idx="68">
                  <c:v>-100</c:v>
                </c:pt>
                <c:pt idx="69">
                  <c:v>16.36240317133645</c:v>
                </c:pt>
                <c:pt idx="70">
                  <c:v>-100</c:v>
                </c:pt>
                <c:pt idx="71">
                  <c:v>-100</c:v>
                </c:pt>
                <c:pt idx="72">
                  <c:v>17.558063532333108</c:v>
                </c:pt>
                <c:pt idx="73">
                  <c:v>16.504955275282427</c:v>
                </c:pt>
                <c:pt idx="74">
                  <c:v>-100</c:v>
                </c:pt>
                <c:pt idx="75">
                  <c:v>-100</c:v>
                </c:pt>
                <c:pt idx="76">
                  <c:v>-100</c:v>
                </c:pt>
                <c:pt idx="77">
                  <c:v>13.660839534562806</c:v>
                </c:pt>
                <c:pt idx="78">
                  <c:v>-100</c:v>
                </c:pt>
                <c:pt idx="79">
                  <c:v>14.102695986998004</c:v>
                </c:pt>
                <c:pt idx="80">
                  <c:v>-100</c:v>
                </c:pt>
                <c:pt idx="81">
                  <c:v>-100</c:v>
                </c:pt>
                <c:pt idx="82">
                  <c:v>16.717324737164969</c:v>
                </c:pt>
                <c:pt idx="83">
                  <c:v>16.243554025991315</c:v>
                </c:pt>
                <c:pt idx="84">
                  <c:v>-100</c:v>
                </c:pt>
                <c:pt idx="85">
                  <c:v>15.031982427123204</c:v>
                </c:pt>
                <c:pt idx="86">
                  <c:v>14.560899646533519</c:v>
                </c:pt>
                <c:pt idx="87">
                  <c:v>15.483033568934054</c:v>
                </c:pt>
                <c:pt idx="88">
                  <c:v>14.092236003469408</c:v>
                </c:pt>
                <c:pt idx="89">
                  <c:v>-100</c:v>
                </c:pt>
                <c:pt idx="90">
                  <c:v>-100</c:v>
                </c:pt>
                <c:pt idx="91">
                  <c:v>13.192765925041517</c:v>
                </c:pt>
                <c:pt idx="92">
                  <c:v>14.554542035109604</c:v>
                </c:pt>
                <c:pt idx="93">
                  <c:v>14.65712920042172</c:v>
                </c:pt>
                <c:pt idx="94">
                  <c:v>13.297723058417304</c:v>
                </c:pt>
                <c:pt idx="95">
                  <c:v>-100</c:v>
                </c:pt>
                <c:pt idx="96">
                  <c:v>15.045551559626062</c:v>
                </c:pt>
                <c:pt idx="97">
                  <c:v>-100</c:v>
                </c:pt>
                <c:pt idx="98">
                  <c:v>12.525667445597861</c:v>
                </c:pt>
                <c:pt idx="99">
                  <c:v>15.325222541977856</c:v>
                </c:pt>
                <c:pt idx="100">
                  <c:v>11.642806811400431</c:v>
                </c:pt>
                <c:pt idx="101">
                  <c:v>-100</c:v>
                </c:pt>
                <c:pt idx="102">
                  <c:v>-100</c:v>
                </c:pt>
                <c:pt idx="103">
                  <c:v>-100</c:v>
                </c:pt>
                <c:pt idx="104">
                  <c:v>-100</c:v>
                </c:pt>
                <c:pt idx="105">
                  <c:v>15.224566097536423</c:v>
                </c:pt>
                <c:pt idx="106">
                  <c:v>-100</c:v>
                </c:pt>
                <c:pt idx="107">
                  <c:v>14.44086223919242</c:v>
                </c:pt>
                <c:pt idx="108">
                  <c:v>-100</c:v>
                </c:pt>
                <c:pt idx="109">
                  <c:v>-100</c:v>
                </c:pt>
                <c:pt idx="110">
                  <c:v>-100</c:v>
                </c:pt>
                <c:pt idx="111">
                  <c:v>13.25949871873477</c:v>
                </c:pt>
                <c:pt idx="112">
                  <c:v>14.398894464477088</c:v>
                </c:pt>
                <c:pt idx="113">
                  <c:v>15.207501016292337</c:v>
                </c:pt>
                <c:pt idx="114">
                  <c:v>-100</c:v>
                </c:pt>
                <c:pt idx="115">
                  <c:v>14.296145039940697</c:v>
                </c:pt>
                <c:pt idx="116">
                  <c:v>-100</c:v>
                </c:pt>
                <c:pt idx="117">
                  <c:v>14.380319880752616</c:v>
                </c:pt>
                <c:pt idx="118">
                  <c:v>14.762482967456847</c:v>
                </c:pt>
                <c:pt idx="119">
                  <c:v>17.07394101044704</c:v>
                </c:pt>
                <c:pt idx="120">
                  <c:v>-100</c:v>
                </c:pt>
                <c:pt idx="121">
                  <c:v>-100</c:v>
                </c:pt>
                <c:pt idx="122">
                  <c:v>-100</c:v>
                </c:pt>
                <c:pt idx="123">
                  <c:v>-100</c:v>
                </c:pt>
                <c:pt idx="124">
                  <c:v>-100</c:v>
                </c:pt>
                <c:pt idx="125">
                  <c:v>-100</c:v>
                </c:pt>
                <c:pt idx="126">
                  <c:v>16.275874752281492</c:v>
                </c:pt>
                <c:pt idx="127">
                  <c:v>15.186794116903386</c:v>
                </c:pt>
                <c:pt idx="128">
                  <c:v>14.174663689401745</c:v>
                </c:pt>
                <c:pt idx="129">
                  <c:v>13.555423486209268</c:v>
                </c:pt>
                <c:pt idx="130">
                  <c:v>13.393541227807592</c:v>
                </c:pt>
                <c:pt idx="131">
                  <c:v>-100</c:v>
                </c:pt>
                <c:pt idx="132">
                  <c:v>14.39877481878646</c:v>
                </c:pt>
                <c:pt idx="133">
                  <c:v>-100</c:v>
                </c:pt>
                <c:pt idx="134">
                  <c:v>15.791332650987197</c:v>
                </c:pt>
                <c:pt idx="135">
                  <c:v>15.71009814399701</c:v>
                </c:pt>
                <c:pt idx="136">
                  <c:v>-100</c:v>
                </c:pt>
                <c:pt idx="137">
                  <c:v>16.836154214725344</c:v>
                </c:pt>
                <c:pt idx="138">
                  <c:v>-100</c:v>
                </c:pt>
                <c:pt idx="139">
                  <c:v>16.864823288978275</c:v>
                </c:pt>
                <c:pt idx="140">
                  <c:v>-100</c:v>
                </c:pt>
                <c:pt idx="141">
                  <c:v>17.376424984139248</c:v>
                </c:pt>
                <c:pt idx="142">
                  <c:v>-100</c:v>
                </c:pt>
                <c:pt idx="143">
                  <c:v>-100</c:v>
                </c:pt>
                <c:pt idx="144">
                  <c:v>15.812709894040077</c:v>
                </c:pt>
                <c:pt idx="145">
                  <c:v>-100</c:v>
                </c:pt>
                <c:pt idx="146">
                  <c:v>13.259269261245896</c:v>
                </c:pt>
                <c:pt idx="147">
                  <c:v>-100</c:v>
                </c:pt>
                <c:pt idx="148">
                  <c:v>13.151145614523626</c:v>
                </c:pt>
                <c:pt idx="149">
                  <c:v>16.367585632620909</c:v>
                </c:pt>
                <c:pt idx="150">
                  <c:v>16.138780458606625</c:v>
                </c:pt>
                <c:pt idx="151">
                  <c:v>-100</c:v>
                </c:pt>
                <c:pt idx="152">
                  <c:v>-100</c:v>
                </c:pt>
                <c:pt idx="153">
                  <c:v>17.502456148886189</c:v>
                </c:pt>
                <c:pt idx="154">
                  <c:v>16.302865508901508</c:v>
                </c:pt>
                <c:pt idx="155">
                  <c:v>-100</c:v>
                </c:pt>
                <c:pt idx="156">
                  <c:v>-100</c:v>
                </c:pt>
                <c:pt idx="157">
                  <c:v>15.794797459069217</c:v>
                </c:pt>
                <c:pt idx="158">
                  <c:v>16.012985307276818</c:v>
                </c:pt>
                <c:pt idx="159">
                  <c:v>-100</c:v>
                </c:pt>
                <c:pt idx="160">
                  <c:v>15.556133807943604</c:v>
                </c:pt>
                <c:pt idx="161">
                  <c:v>-100</c:v>
                </c:pt>
                <c:pt idx="162">
                  <c:v>11.810664798405252</c:v>
                </c:pt>
                <c:pt idx="163">
                  <c:v>14.744914718719301</c:v>
                </c:pt>
                <c:pt idx="164">
                  <c:v>16.154219669643822</c:v>
                </c:pt>
                <c:pt idx="165">
                  <c:v>-100</c:v>
                </c:pt>
                <c:pt idx="166">
                  <c:v>13.057208996542117</c:v>
                </c:pt>
                <c:pt idx="167">
                  <c:v>-100</c:v>
                </c:pt>
                <c:pt idx="168">
                  <c:v>14.609059495484361</c:v>
                </c:pt>
                <c:pt idx="169">
                  <c:v>13.658289278472161</c:v>
                </c:pt>
                <c:pt idx="170">
                  <c:v>-100</c:v>
                </c:pt>
                <c:pt idx="171">
                  <c:v>14.795734635559036</c:v>
                </c:pt>
                <c:pt idx="172">
                  <c:v>-100</c:v>
                </c:pt>
                <c:pt idx="173">
                  <c:v>-100</c:v>
                </c:pt>
                <c:pt idx="174">
                  <c:v>13.596188248090066</c:v>
                </c:pt>
                <c:pt idx="175">
                  <c:v>-100</c:v>
                </c:pt>
                <c:pt idx="176">
                  <c:v>16.072021441200359</c:v>
                </c:pt>
                <c:pt idx="177">
                  <c:v>-100</c:v>
                </c:pt>
                <c:pt idx="178">
                  <c:v>15.964140363823473</c:v>
                </c:pt>
                <c:pt idx="179">
                  <c:v>-100</c:v>
                </c:pt>
                <c:pt idx="180">
                  <c:v>15.443889760313956</c:v>
                </c:pt>
                <c:pt idx="181">
                  <c:v>15.951897167809902</c:v>
                </c:pt>
                <c:pt idx="182">
                  <c:v>13.785205493533335</c:v>
                </c:pt>
                <c:pt idx="183">
                  <c:v>-100</c:v>
                </c:pt>
                <c:pt idx="184">
                  <c:v>-100</c:v>
                </c:pt>
                <c:pt idx="185">
                  <c:v>13.198072948962796</c:v>
                </c:pt>
                <c:pt idx="186">
                  <c:v>-100</c:v>
                </c:pt>
                <c:pt idx="187">
                  <c:v>-100</c:v>
                </c:pt>
                <c:pt idx="188">
                  <c:v>14.696708978270681</c:v>
                </c:pt>
                <c:pt idx="189">
                  <c:v>-100</c:v>
                </c:pt>
                <c:pt idx="190">
                  <c:v>-100</c:v>
                </c:pt>
                <c:pt idx="191">
                  <c:v>15.529020127668835</c:v>
                </c:pt>
                <c:pt idx="192">
                  <c:v>14.67740176956387</c:v>
                </c:pt>
                <c:pt idx="193">
                  <c:v>14.202310038847118</c:v>
                </c:pt>
                <c:pt idx="194">
                  <c:v>14.599097762503037</c:v>
                </c:pt>
                <c:pt idx="195">
                  <c:v>15.812321455291052</c:v>
                </c:pt>
                <c:pt idx="196">
                  <c:v>-100</c:v>
                </c:pt>
                <c:pt idx="197">
                  <c:v>15.702511296025548</c:v>
                </c:pt>
                <c:pt idx="198">
                  <c:v>16.522187532696979</c:v>
                </c:pt>
                <c:pt idx="199">
                  <c:v>13.658289278472161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ED4-446C-9A57-38DA3B6D1D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6323856"/>
        <c:axId val="1196319536"/>
      </c:scatterChart>
      <c:scatterChart>
        <c:scatterStyle val="smoothMarker"/>
        <c:varyColors val="0"/>
        <c:ser>
          <c:idx val="2"/>
          <c:order val="2"/>
          <c:tx>
            <c:v>Эпоха 0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(Совм.классы!$AW$19,Совм.классы!$AY$19)</c:f>
              <c:numCache>
                <c:formatCode>General</c:formatCode>
                <c:ptCount val="2"/>
                <c:pt idx="0">
                  <c:v>-5</c:v>
                </c:pt>
                <c:pt idx="1">
                  <c:v>15</c:v>
                </c:pt>
              </c:numCache>
            </c:numRef>
          </c:xVal>
          <c:yVal>
            <c:numRef>
              <c:f>(Совм.классы!$AX$19,Совм.классы!$AZ$19)</c:f>
              <c:numCache>
                <c:formatCode>General</c:formatCode>
                <c:ptCount val="2"/>
                <c:pt idx="0">
                  <c:v>4</c:v>
                </c:pt>
                <c:pt idx="1">
                  <c:v>-16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ED4-446C-9A57-38DA3B6D1D00}"/>
            </c:ext>
          </c:extLst>
        </c:ser>
        <c:ser>
          <c:idx val="3"/>
          <c:order val="3"/>
          <c:tx>
            <c:v>Эпоха1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(Совм.классы!$AW$20,Совм.классы!$AY$20)</c:f>
              <c:numCache>
                <c:formatCode>General</c:formatCode>
                <c:ptCount val="2"/>
                <c:pt idx="0">
                  <c:v>-5</c:v>
                </c:pt>
                <c:pt idx="1">
                  <c:v>15</c:v>
                </c:pt>
              </c:numCache>
            </c:numRef>
          </c:xVal>
          <c:yVal>
            <c:numRef>
              <c:f>(Совм.классы!$AX$20,Совм.классы!$AZ$20)</c:f>
              <c:numCache>
                <c:formatCode>General</c:formatCode>
                <c:ptCount val="2"/>
                <c:pt idx="0">
                  <c:v>0.32315157433900993</c:v>
                </c:pt>
                <c:pt idx="1">
                  <c:v>-1.362721531318609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ED4-446C-9A57-38DA3B6D1D00}"/>
            </c:ext>
          </c:extLst>
        </c:ser>
        <c:ser>
          <c:idx val="4"/>
          <c:order val="4"/>
          <c:tx>
            <c:v>Эпоха5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(Совм.классы!$AW$24,Совм.классы!$AY$24)</c:f>
              <c:numCache>
                <c:formatCode>General</c:formatCode>
                <c:ptCount val="2"/>
                <c:pt idx="0">
                  <c:v>-5</c:v>
                </c:pt>
                <c:pt idx="1">
                  <c:v>15</c:v>
                </c:pt>
              </c:numCache>
            </c:numRef>
          </c:xVal>
          <c:yVal>
            <c:numRef>
              <c:f>(Совм.классы!$AX$24,Совм.классы!$AZ$24)</c:f>
              <c:numCache>
                <c:formatCode>General</c:formatCode>
                <c:ptCount val="2"/>
                <c:pt idx="0">
                  <c:v>0.57149932018579952</c:v>
                </c:pt>
                <c:pt idx="1">
                  <c:v>-1.9900580399339509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6ED4-446C-9A57-38DA3B6D1D00}"/>
            </c:ext>
          </c:extLst>
        </c:ser>
        <c:ser>
          <c:idx val="5"/>
          <c:order val="5"/>
          <c:tx>
            <c:v>Эпоха10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(Совм.классы!$AW$29,Совм.классы!$AY$29)</c:f>
              <c:numCache>
                <c:formatCode>General</c:formatCode>
                <c:ptCount val="2"/>
                <c:pt idx="0">
                  <c:v>-5</c:v>
                </c:pt>
                <c:pt idx="1">
                  <c:v>15</c:v>
                </c:pt>
              </c:numCache>
            </c:numRef>
          </c:xVal>
          <c:yVal>
            <c:numRef>
              <c:f>(Совм.классы!$AX$29,Совм.классы!$AZ$29)</c:f>
              <c:numCache>
                <c:formatCode>General</c:formatCode>
                <c:ptCount val="2"/>
                <c:pt idx="0">
                  <c:v>7.477141638994433</c:v>
                </c:pt>
                <c:pt idx="1">
                  <c:v>-22.353581607828854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6ED4-446C-9A57-38DA3B6D1D00}"/>
            </c:ext>
          </c:extLst>
        </c:ser>
        <c:ser>
          <c:idx val="6"/>
          <c:order val="6"/>
          <c:tx>
            <c:v>Поиск решений</c:v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(Совм.классы!$AW$32,Совм.классы!$AY$32)</c:f>
              <c:numCache>
                <c:formatCode>General</c:formatCode>
                <c:ptCount val="2"/>
                <c:pt idx="0">
                  <c:v>0</c:v>
                </c:pt>
                <c:pt idx="1">
                  <c:v>15</c:v>
                </c:pt>
              </c:numCache>
            </c:numRef>
          </c:xVal>
          <c:yVal>
            <c:numRef>
              <c:f>(Совм.классы!$AX$32,Совм.классы!$AZ$32)</c:f>
              <c:numCache>
                <c:formatCode>General</c:formatCode>
                <c:ptCount val="2"/>
                <c:pt idx="0">
                  <c:v>-0.4220436946995339</c:v>
                </c:pt>
                <c:pt idx="1">
                  <c:v>24.76375840526434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6ED4-446C-9A57-38DA3B6D1D00}"/>
            </c:ext>
          </c:extLst>
        </c:ser>
        <c:ser>
          <c:idx val="7"/>
          <c:order val="7"/>
          <c:tx>
            <c:v>НЕВД</c:v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(Совм.классы!$AW$33,Совм.классы!$AY$33)</c:f>
              <c:numCache>
                <c:formatCode>General</c:formatCode>
                <c:ptCount val="2"/>
                <c:pt idx="0">
                  <c:v>0</c:v>
                </c:pt>
                <c:pt idx="1">
                  <c:v>0.85916614849124051</c:v>
                </c:pt>
              </c:numCache>
            </c:numRef>
          </c:xVal>
          <c:yVal>
            <c:numRef>
              <c:f>(Совм.классы!$AX$33,Совм.классы!$AZ$33)</c:f>
              <c:numCache>
                <c:formatCode>General</c:formatCode>
                <c:ptCount val="2"/>
                <c:pt idx="0">
                  <c:v>0</c:v>
                </c:pt>
                <c:pt idx="1">
                  <c:v>-0.51169671611876477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6ED4-446C-9A57-38DA3B6D1D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6323856"/>
        <c:axId val="1196319536"/>
      </c:scatterChart>
      <c:valAx>
        <c:axId val="1196323856"/>
        <c:scaling>
          <c:orientation val="minMax"/>
          <c:min val="-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96319536"/>
        <c:crosses val="autoZero"/>
        <c:crossBetween val="midCat"/>
      </c:valAx>
      <c:valAx>
        <c:axId val="1196319536"/>
        <c:scaling>
          <c:orientation val="minMax"/>
          <c:max val="20"/>
          <c:min val="-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963238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Сходимость</a:t>
            </a:r>
            <a:r>
              <a:rPr lang="ru-RU" baseline="0"/>
              <a:t> параметров обучения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7.4233814523184602E-2"/>
          <c:y val="0.17171296296296296"/>
          <c:w val="0.64530661724090621"/>
          <c:h val="0.70791666666666653"/>
        </c:manualLayout>
      </c:layout>
      <c:scatterChart>
        <c:scatterStyle val="lineMarker"/>
        <c:varyColors val="0"/>
        <c:ser>
          <c:idx val="0"/>
          <c:order val="0"/>
          <c:tx>
            <c:v>Ошибка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Разд.классы!$AP$19:$AP$29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xVal>
          <c:yVal>
            <c:numRef>
              <c:f>Разд.классы!$AQ$19:$AQ$29</c:f>
              <c:numCache>
                <c:formatCode>General</c:formatCode>
                <c:ptCount val="11"/>
                <c:pt idx="1">
                  <c:v>10</c:v>
                </c:pt>
                <c:pt idx="2">
                  <c:v>3</c:v>
                </c:pt>
                <c:pt idx="3">
                  <c:v>3</c:v>
                </c:pt>
                <c:pt idx="4">
                  <c:v>2</c:v>
                </c:pt>
                <c:pt idx="5">
                  <c:v>4</c:v>
                </c:pt>
                <c:pt idx="6">
                  <c:v>5</c:v>
                </c:pt>
                <c:pt idx="7">
                  <c:v>5</c:v>
                </c:pt>
                <c:pt idx="8">
                  <c:v>4</c:v>
                </c:pt>
                <c:pt idx="9">
                  <c:v>2</c:v>
                </c:pt>
                <c:pt idx="10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A8E-4914-8563-68130A1D97EB}"/>
            </c:ext>
          </c:extLst>
        </c:ser>
        <c:ser>
          <c:idx val="1"/>
          <c:order val="1"/>
          <c:tx>
            <c:v>w0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Разд.классы!$AP$19:$AP$29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xVal>
          <c:yVal>
            <c:numRef>
              <c:f>Разд.классы!$AR$19:$AR$29</c:f>
              <c:numCache>
                <c:formatCode>General</c:formatCode>
                <c:ptCount val="11"/>
                <c:pt idx="0">
                  <c:v>0.1</c:v>
                </c:pt>
                <c:pt idx="1">
                  <c:v>9.9999999999999978E-2</c:v>
                </c:pt>
                <c:pt idx="2">
                  <c:v>-0.600823999755</c:v>
                </c:pt>
                <c:pt idx="3">
                  <c:v>9.9999999999999978E-2</c:v>
                </c:pt>
                <c:pt idx="4">
                  <c:v>9.9999999999999978E-2</c:v>
                </c:pt>
                <c:pt idx="5">
                  <c:v>9.9999999999999978E-2</c:v>
                </c:pt>
                <c:pt idx="6">
                  <c:v>-0.600823999755</c:v>
                </c:pt>
                <c:pt idx="7">
                  <c:v>9.9999999999999978E-2</c:v>
                </c:pt>
                <c:pt idx="8">
                  <c:v>9.9999999999999978E-2</c:v>
                </c:pt>
                <c:pt idx="9">
                  <c:v>9.9999999999999978E-2</c:v>
                </c:pt>
                <c:pt idx="10">
                  <c:v>0.80082399975499985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A8E-4914-8563-68130A1D97EB}"/>
            </c:ext>
          </c:extLst>
        </c:ser>
        <c:ser>
          <c:idx val="2"/>
          <c:order val="2"/>
          <c:tx>
            <c:v>w1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Разд.классы!$AP$19:$AP$29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xVal>
          <c:yVal>
            <c:numRef>
              <c:f>Разд.классы!$AS$19:$AS$29</c:f>
              <c:numCache>
                <c:formatCode>General</c:formatCode>
                <c:ptCount val="11"/>
                <c:pt idx="0">
                  <c:v>0.1</c:v>
                </c:pt>
                <c:pt idx="1">
                  <c:v>-3.1831691254899468</c:v>
                </c:pt>
                <c:pt idx="2">
                  <c:v>-9.21688433769312</c:v>
                </c:pt>
                <c:pt idx="3">
                  <c:v>-7.7128734813118687</c:v>
                </c:pt>
                <c:pt idx="4">
                  <c:v>-7.7430527952094357</c:v>
                </c:pt>
                <c:pt idx="5">
                  <c:v>-10.170581973579282</c:v>
                </c:pt>
                <c:pt idx="6">
                  <c:v>-14.579911753609347</c:v>
                </c:pt>
                <c:pt idx="7">
                  <c:v>-13.205208816160063</c:v>
                </c:pt>
                <c:pt idx="8">
                  <c:v>-18.276328271429101</c:v>
                </c:pt>
                <c:pt idx="9">
                  <c:v>-20.166134072771968</c:v>
                </c:pt>
                <c:pt idx="10">
                  <c:v>-18.431651305950016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FA8E-4914-8563-68130A1D97EB}"/>
            </c:ext>
          </c:extLst>
        </c:ser>
        <c:ser>
          <c:idx val="3"/>
          <c:order val="3"/>
          <c:tx>
            <c:v>w2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Разд.классы!$AP$19:$AP$29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xVal>
          <c:yVal>
            <c:numRef>
              <c:f>Разд.классы!$AT$19:$AT$29</c:f>
              <c:numCache>
                <c:formatCode>General</c:formatCode>
                <c:ptCount val="11"/>
                <c:pt idx="0">
                  <c:v>0.1</c:v>
                </c:pt>
                <c:pt idx="1">
                  <c:v>5.0559076214459573</c:v>
                </c:pt>
                <c:pt idx="2">
                  <c:v>0.16058076073903482</c:v>
                </c:pt>
                <c:pt idx="3">
                  <c:v>6.7169483883644086</c:v>
                </c:pt>
                <c:pt idx="4">
                  <c:v>9.6596508832284993</c:v>
                </c:pt>
                <c:pt idx="5">
                  <c:v>12.427441086028434</c:v>
                </c:pt>
                <c:pt idx="6">
                  <c:v>10.424787793611479</c:v>
                </c:pt>
                <c:pt idx="7">
                  <c:v>15.677791327576795</c:v>
                </c:pt>
                <c:pt idx="8">
                  <c:v>14.246891663365069</c:v>
                </c:pt>
                <c:pt idx="9">
                  <c:v>13.573045498358614</c:v>
                </c:pt>
                <c:pt idx="10">
                  <c:v>18.368894568089715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FA8E-4914-8563-68130A1D97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0447504"/>
        <c:axId val="1940198704"/>
      </c:scatterChart>
      <c:valAx>
        <c:axId val="19504475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40198704"/>
        <c:crosses val="autoZero"/>
        <c:crossBetween val="midCat"/>
      </c:valAx>
      <c:valAx>
        <c:axId val="1940198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504475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993244867006539"/>
          <c:y val="0.43720096545720738"/>
          <c:w val="0.14658421682641182"/>
          <c:h val="0.3391983539745974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Тестовая</a:t>
            </a:r>
            <a:r>
              <a:rPr lang="ru-RU" baseline="0"/>
              <a:t> выборка и линия классификации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4.0676343914499917E-2"/>
          <c:y val="0.12505333639675714"/>
          <c:w val="0.91149426292017477"/>
          <c:h val="0.72673530194782698"/>
        </c:manualLayout>
      </c:layout>
      <c:scatterChart>
        <c:scatterStyle val="lineMarker"/>
        <c:varyColors val="0"/>
        <c:ser>
          <c:idx val="0"/>
          <c:order val="0"/>
          <c:tx>
            <c:v>Класс1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Разд.классы!$BV$20:$BV$79</c:f>
              <c:numCache>
                <c:formatCode>General</c:formatCode>
                <c:ptCount val="60"/>
                <c:pt idx="0">
                  <c:v>-100</c:v>
                </c:pt>
                <c:pt idx="1">
                  <c:v>-100</c:v>
                </c:pt>
                <c:pt idx="2">
                  <c:v>7.1870286813197817</c:v>
                </c:pt>
                <c:pt idx="3">
                  <c:v>-100</c:v>
                </c:pt>
                <c:pt idx="4">
                  <c:v>-100</c:v>
                </c:pt>
                <c:pt idx="5">
                  <c:v>10.729481899611397</c:v>
                </c:pt>
                <c:pt idx="6">
                  <c:v>-100</c:v>
                </c:pt>
                <c:pt idx="7">
                  <c:v>5.7757848146142612</c:v>
                </c:pt>
                <c:pt idx="8">
                  <c:v>-100</c:v>
                </c:pt>
                <c:pt idx="9">
                  <c:v>6.2375204804963955</c:v>
                </c:pt>
                <c:pt idx="10">
                  <c:v>8.6584248287340166</c:v>
                </c:pt>
                <c:pt idx="11">
                  <c:v>-100</c:v>
                </c:pt>
                <c:pt idx="12">
                  <c:v>6.771225487764335</c:v>
                </c:pt>
                <c:pt idx="13">
                  <c:v>-100</c:v>
                </c:pt>
                <c:pt idx="14">
                  <c:v>-100</c:v>
                </c:pt>
                <c:pt idx="15">
                  <c:v>5.3525521153654383</c:v>
                </c:pt>
                <c:pt idx="16">
                  <c:v>-100</c:v>
                </c:pt>
                <c:pt idx="17">
                  <c:v>5.0644518482615961</c:v>
                </c:pt>
                <c:pt idx="18">
                  <c:v>5.2462969081954416</c:v>
                </c:pt>
                <c:pt idx="19">
                  <c:v>6.94356445173048</c:v>
                </c:pt>
                <c:pt idx="20">
                  <c:v>9.3092580501805262</c:v>
                </c:pt>
                <c:pt idx="21">
                  <c:v>-100</c:v>
                </c:pt>
                <c:pt idx="22">
                  <c:v>5.6420356833307874</c:v>
                </c:pt>
                <c:pt idx="23">
                  <c:v>-100</c:v>
                </c:pt>
                <c:pt idx="24">
                  <c:v>5.4810220854227119</c:v>
                </c:pt>
                <c:pt idx="25">
                  <c:v>5.621612327838803</c:v>
                </c:pt>
                <c:pt idx="26">
                  <c:v>-100</c:v>
                </c:pt>
                <c:pt idx="27">
                  <c:v>7.3494190241611097</c:v>
                </c:pt>
                <c:pt idx="28">
                  <c:v>-100</c:v>
                </c:pt>
                <c:pt idx="29">
                  <c:v>-100</c:v>
                </c:pt>
                <c:pt idx="30">
                  <c:v>-100</c:v>
                </c:pt>
                <c:pt idx="31">
                  <c:v>-100</c:v>
                </c:pt>
                <c:pt idx="32">
                  <c:v>-100</c:v>
                </c:pt>
                <c:pt idx="33">
                  <c:v>-100</c:v>
                </c:pt>
                <c:pt idx="34">
                  <c:v>-100</c:v>
                </c:pt>
                <c:pt idx="35">
                  <c:v>3.657274296055363</c:v>
                </c:pt>
                <c:pt idx="36">
                  <c:v>6.4595877992480553</c:v>
                </c:pt>
                <c:pt idx="37">
                  <c:v>7.6467041467482257</c:v>
                </c:pt>
                <c:pt idx="38">
                  <c:v>9.0257141532129275</c:v>
                </c:pt>
                <c:pt idx="39">
                  <c:v>-100</c:v>
                </c:pt>
                <c:pt idx="40">
                  <c:v>3.6111730085761455</c:v>
                </c:pt>
                <c:pt idx="41">
                  <c:v>7.2851938730248538</c:v>
                </c:pt>
                <c:pt idx="42">
                  <c:v>7.3673167082933997</c:v>
                </c:pt>
                <c:pt idx="43">
                  <c:v>5.5572904767608069</c:v>
                </c:pt>
                <c:pt idx="44">
                  <c:v>-100</c:v>
                </c:pt>
                <c:pt idx="45">
                  <c:v>7.8571232199753265</c:v>
                </c:pt>
                <c:pt idx="46">
                  <c:v>-100</c:v>
                </c:pt>
                <c:pt idx="47">
                  <c:v>9.2049663435224787</c:v>
                </c:pt>
                <c:pt idx="48">
                  <c:v>-100</c:v>
                </c:pt>
                <c:pt idx="49">
                  <c:v>-100</c:v>
                </c:pt>
                <c:pt idx="50">
                  <c:v>5.7217197132890005</c:v>
                </c:pt>
                <c:pt idx="51">
                  <c:v>5.6578420263501839</c:v>
                </c:pt>
                <c:pt idx="52">
                  <c:v>3.9469676537248271</c:v>
                </c:pt>
                <c:pt idx="53">
                  <c:v>-100</c:v>
                </c:pt>
                <c:pt idx="54">
                  <c:v>-100</c:v>
                </c:pt>
                <c:pt idx="55">
                  <c:v>6.0067059144723887</c:v>
                </c:pt>
                <c:pt idx="56">
                  <c:v>5.7252205789764155</c:v>
                </c:pt>
                <c:pt idx="57">
                  <c:v>5.6501256987957129</c:v>
                </c:pt>
                <c:pt idx="58">
                  <c:v>-100</c:v>
                </c:pt>
                <c:pt idx="59">
                  <c:v>-100</c:v>
                </c:pt>
              </c:numCache>
            </c:numRef>
          </c:xVal>
          <c:yVal>
            <c:numRef>
              <c:f>Разд.классы!$BW$20:$BW$79</c:f>
              <c:numCache>
                <c:formatCode>General</c:formatCode>
                <c:ptCount val="60"/>
                <c:pt idx="0">
                  <c:v>-100</c:v>
                </c:pt>
                <c:pt idx="1">
                  <c:v>-100</c:v>
                </c:pt>
                <c:pt idx="2">
                  <c:v>6.273593289249245</c:v>
                </c:pt>
                <c:pt idx="3">
                  <c:v>-100</c:v>
                </c:pt>
                <c:pt idx="4">
                  <c:v>-100</c:v>
                </c:pt>
                <c:pt idx="5">
                  <c:v>6.8101304575227335</c:v>
                </c:pt>
                <c:pt idx="6">
                  <c:v>-100</c:v>
                </c:pt>
                <c:pt idx="7">
                  <c:v>3.8500239561765408</c:v>
                </c:pt>
                <c:pt idx="8">
                  <c:v>-100</c:v>
                </c:pt>
                <c:pt idx="9">
                  <c:v>5.5456918532177042</c:v>
                </c:pt>
                <c:pt idx="10">
                  <c:v>4.9669082832781069</c:v>
                </c:pt>
                <c:pt idx="11">
                  <c:v>-100</c:v>
                </c:pt>
                <c:pt idx="12">
                  <c:v>3.0300871213570311</c:v>
                </c:pt>
                <c:pt idx="13">
                  <c:v>-100</c:v>
                </c:pt>
                <c:pt idx="14">
                  <c:v>-100</c:v>
                </c:pt>
                <c:pt idx="15">
                  <c:v>6.2814341794405344</c:v>
                </c:pt>
                <c:pt idx="16">
                  <c:v>-100</c:v>
                </c:pt>
                <c:pt idx="17">
                  <c:v>5.9923324942959564</c:v>
                </c:pt>
                <c:pt idx="18">
                  <c:v>6.6904782109665337</c:v>
                </c:pt>
                <c:pt idx="19">
                  <c:v>4.9177912688022403</c:v>
                </c:pt>
                <c:pt idx="20">
                  <c:v>6.1197387649940858</c:v>
                </c:pt>
                <c:pt idx="21">
                  <c:v>-100</c:v>
                </c:pt>
                <c:pt idx="22">
                  <c:v>4.5910683893744579</c:v>
                </c:pt>
                <c:pt idx="23">
                  <c:v>-100</c:v>
                </c:pt>
                <c:pt idx="24">
                  <c:v>4.5670179665761772</c:v>
                </c:pt>
                <c:pt idx="25">
                  <c:v>5.4003698695845879</c:v>
                </c:pt>
                <c:pt idx="26">
                  <c:v>-100</c:v>
                </c:pt>
                <c:pt idx="27">
                  <c:v>4.7050464800271801</c:v>
                </c:pt>
                <c:pt idx="28">
                  <c:v>-100</c:v>
                </c:pt>
                <c:pt idx="29">
                  <c:v>-100</c:v>
                </c:pt>
                <c:pt idx="30">
                  <c:v>-100</c:v>
                </c:pt>
                <c:pt idx="31">
                  <c:v>-100</c:v>
                </c:pt>
                <c:pt idx="32">
                  <c:v>-100</c:v>
                </c:pt>
                <c:pt idx="33">
                  <c:v>-100</c:v>
                </c:pt>
                <c:pt idx="34">
                  <c:v>-100</c:v>
                </c:pt>
                <c:pt idx="35">
                  <c:v>5.3138053929242366</c:v>
                </c:pt>
                <c:pt idx="36">
                  <c:v>4.268185644921215</c:v>
                </c:pt>
                <c:pt idx="37">
                  <c:v>3.1131310645452066</c:v>
                </c:pt>
                <c:pt idx="38">
                  <c:v>4.0177409907239081</c:v>
                </c:pt>
                <c:pt idx="39">
                  <c:v>-100</c:v>
                </c:pt>
                <c:pt idx="40">
                  <c:v>4.2134665897526586</c:v>
                </c:pt>
                <c:pt idx="41">
                  <c:v>4.896350105448886</c:v>
                </c:pt>
                <c:pt idx="42">
                  <c:v>5.3763505874455113</c:v>
                </c:pt>
                <c:pt idx="43">
                  <c:v>6.0477382829490764</c:v>
                </c:pt>
                <c:pt idx="44">
                  <c:v>-100</c:v>
                </c:pt>
                <c:pt idx="45">
                  <c:v>5.9354958743014921</c:v>
                </c:pt>
                <c:pt idx="46">
                  <c:v>-100</c:v>
                </c:pt>
                <c:pt idx="47">
                  <c:v>4.6907299717034112</c:v>
                </c:pt>
                <c:pt idx="48">
                  <c:v>-100</c:v>
                </c:pt>
                <c:pt idx="49">
                  <c:v>-100</c:v>
                </c:pt>
                <c:pt idx="50">
                  <c:v>5.6116936609106833</c:v>
                </c:pt>
                <c:pt idx="51">
                  <c:v>4.0566012554470401</c:v>
                </c:pt>
                <c:pt idx="52">
                  <c:v>4.4642095386855036</c:v>
                </c:pt>
                <c:pt idx="53">
                  <c:v>-100</c:v>
                </c:pt>
                <c:pt idx="54">
                  <c:v>-100</c:v>
                </c:pt>
                <c:pt idx="55">
                  <c:v>5.4814011427989122</c:v>
                </c:pt>
                <c:pt idx="56">
                  <c:v>7.231302956317867</c:v>
                </c:pt>
                <c:pt idx="57">
                  <c:v>6.3944682164247393</c:v>
                </c:pt>
                <c:pt idx="58">
                  <c:v>-100</c:v>
                </c:pt>
                <c:pt idx="59">
                  <c:v>-100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22F-485C-838C-1C146393B1CA}"/>
            </c:ext>
          </c:extLst>
        </c:ser>
        <c:ser>
          <c:idx val="1"/>
          <c:order val="1"/>
          <c:tx>
            <c:v>Класс2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Разд.классы!$BX$20:$BX$79</c:f>
              <c:numCache>
                <c:formatCode>General</c:formatCode>
                <c:ptCount val="60"/>
                <c:pt idx="0">
                  <c:v>8.1965793510536358</c:v>
                </c:pt>
                <c:pt idx="1">
                  <c:v>6.1980357636071099</c:v>
                </c:pt>
                <c:pt idx="2">
                  <c:v>-100</c:v>
                </c:pt>
                <c:pt idx="3">
                  <c:v>8.1261260680764718</c:v>
                </c:pt>
                <c:pt idx="4">
                  <c:v>4.2108962133576977</c:v>
                </c:pt>
                <c:pt idx="5">
                  <c:v>-100</c:v>
                </c:pt>
                <c:pt idx="6">
                  <c:v>6.5504054343629203</c:v>
                </c:pt>
                <c:pt idx="7">
                  <c:v>-100</c:v>
                </c:pt>
                <c:pt idx="8">
                  <c:v>8.6523605950994504</c:v>
                </c:pt>
                <c:pt idx="9">
                  <c:v>-100</c:v>
                </c:pt>
                <c:pt idx="10">
                  <c:v>-100</c:v>
                </c:pt>
                <c:pt idx="11">
                  <c:v>4.3483805847636514</c:v>
                </c:pt>
                <c:pt idx="12">
                  <c:v>-100</c:v>
                </c:pt>
                <c:pt idx="13">
                  <c:v>7.1228330318606661</c:v>
                </c:pt>
                <c:pt idx="14">
                  <c:v>8.4816376674478136</c:v>
                </c:pt>
                <c:pt idx="15">
                  <c:v>-100</c:v>
                </c:pt>
                <c:pt idx="16">
                  <c:v>6.0921493274013772</c:v>
                </c:pt>
                <c:pt idx="17">
                  <c:v>-100</c:v>
                </c:pt>
                <c:pt idx="18">
                  <c:v>-100</c:v>
                </c:pt>
                <c:pt idx="19">
                  <c:v>-100</c:v>
                </c:pt>
                <c:pt idx="20">
                  <c:v>-100</c:v>
                </c:pt>
                <c:pt idx="21">
                  <c:v>5.4572568455034629</c:v>
                </c:pt>
                <c:pt idx="22">
                  <c:v>-100</c:v>
                </c:pt>
                <c:pt idx="23">
                  <c:v>5.3461010819639103</c:v>
                </c:pt>
                <c:pt idx="24">
                  <c:v>-100</c:v>
                </c:pt>
                <c:pt idx="25">
                  <c:v>-100</c:v>
                </c:pt>
                <c:pt idx="26">
                  <c:v>7.2103579520101677</c:v>
                </c:pt>
                <c:pt idx="27">
                  <c:v>-100</c:v>
                </c:pt>
                <c:pt idx="28">
                  <c:v>5.9613864214374113</c:v>
                </c:pt>
                <c:pt idx="29">
                  <c:v>8.3167822955831383</c:v>
                </c:pt>
                <c:pt idx="30">
                  <c:v>6.2128144648727561</c:v>
                </c:pt>
                <c:pt idx="31">
                  <c:v>6.8720786100533768</c:v>
                </c:pt>
                <c:pt idx="32">
                  <c:v>7.0998790880627975</c:v>
                </c:pt>
                <c:pt idx="33">
                  <c:v>5.4303545939148723</c:v>
                </c:pt>
                <c:pt idx="34">
                  <c:v>6.7489123859532549</c:v>
                </c:pt>
                <c:pt idx="35">
                  <c:v>-100</c:v>
                </c:pt>
                <c:pt idx="36">
                  <c:v>-100</c:v>
                </c:pt>
                <c:pt idx="37">
                  <c:v>-100</c:v>
                </c:pt>
                <c:pt idx="38">
                  <c:v>-100</c:v>
                </c:pt>
                <c:pt idx="39">
                  <c:v>6.8670534910470034</c:v>
                </c:pt>
                <c:pt idx="40">
                  <c:v>-100</c:v>
                </c:pt>
                <c:pt idx="41">
                  <c:v>-100</c:v>
                </c:pt>
                <c:pt idx="42">
                  <c:v>-100</c:v>
                </c:pt>
                <c:pt idx="43">
                  <c:v>-100</c:v>
                </c:pt>
                <c:pt idx="44">
                  <c:v>7.4993662151771314</c:v>
                </c:pt>
                <c:pt idx="45">
                  <c:v>-100</c:v>
                </c:pt>
                <c:pt idx="46">
                  <c:v>7.6353132214076203</c:v>
                </c:pt>
                <c:pt idx="47">
                  <c:v>-100</c:v>
                </c:pt>
                <c:pt idx="48">
                  <c:v>4.8319851883176863</c:v>
                </c:pt>
                <c:pt idx="49">
                  <c:v>5.8412211734953683</c:v>
                </c:pt>
                <c:pt idx="50">
                  <c:v>-100</c:v>
                </c:pt>
                <c:pt idx="51">
                  <c:v>-100</c:v>
                </c:pt>
                <c:pt idx="52">
                  <c:v>-100</c:v>
                </c:pt>
                <c:pt idx="53">
                  <c:v>4.3387171465178653</c:v>
                </c:pt>
                <c:pt idx="54">
                  <c:v>5.4235888759571713</c:v>
                </c:pt>
                <c:pt idx="55">
                  <c:v>-100</c:v>
                </c:pt>
                <c:pt idx="56">
                  <c:v>-100</c:v>
                </c:pt>
                <c:pt idx="57">
                  <c:v>-100</c:v>
                </c:pt>
                <c:pt idx="58">
                  <c:v>6.222297615091569</c:v>
                </c:pt>
                <c:pt idx="59">
                  <c:v>5.3375160939158386</c:v>
                </c:pt>
              </c:numCache>
            </c:numRef>
          </c:xVal>
          <c:yVal>
            <c:numRef>
              <c:f>Разд.классы!$BY$20:$BY$79</c:f>
              <c:numCache>
                <c:formatCode>General</c:formatCode>
                <c:ptCount val="60"/>
                <c:pt idx="0">
                  <c:v>3.8089412317754432</c:v>
                </c:pt>
                <c:pt idx="1">
                  <c:v>5.2407690742151605</c:v>
                </c:pt>
                <c:pt idx="2">
                  <c:v>-100</c:v>
                </c:pt>
                <c:pt idx="3">
                  <c:v>7.0236570407420338</c:v>
                </c:pt>
                <c:pt idx="4">
                  <c:v>3.7415659571133388</c:v>
                </c:pt>
                <c:pt idx="5">
                  <c:v>-100</c:v>
                </c:pt>
                <c:pt idx="6">
                  <c:v>6.2143604774780945</c:v>
                </c:pt>
                <c:pt idx="7">
                  <c:v>-100</c:v>
                </c:pt>
                <c:pt idx="8">
                  <c:v>5.5178275191579003</c:v>
                </c:pt>
                <c:pt idx="9">
                  <c:v>-100</c:v>
                </c:pt>
                <c:pt idx="10">
                  <c:v>-100</c:v>
                </c:pt>
                <c:pt idx="11">
                  <c:v>4.4771837206993501</c:v>
                </c:pt>
                <c:pt idx="12">
                  <c:v>-100</c:v>
                </c:pt>
                <c:pt idx="13">
                  <c:v>5.9121977442703102</c:v>
                </c:pt>
                <c:pt idx="14">
                  <c:v>2.0454981484487065</c:v>
                </c:pt>
                <c:pt idx="15">
                  <c:v>-100</c:v>
                </c:pt>
                <c:pt idx="16">
                  <c:v>5.6174907404689165</c:v>
                </c:pt>
                <c:pt idx="17">
                  <c:v>-100</c:v>
                </c:pt>
                <c:pt idx="18">
                  <c:v>-100</c:v>
                </c:pt>
                <c:pt idx="19">
                  <c:v>-100</c:v>
                </c:pt>
                <c:pt idx="20">
                  <c:v>-100</c:v>
                </c:pt>
                <c:pt idx="21">
                  <c:v>6.9580912022779193</c:v>
                </c:pt>
                <c:pt idx="22">
                  <c:v>-100</c:v>
                </c:pt>
                <c:pt idx="23">
                  <c:v>7.4110271734616777</c:v>
                </c:pt>
                <c:pt idx="24">
                  <c:v>-100</c:v>
                </c:pt>
                <c:pt idx="25">
                  <c:v>-100</c:v>
                </c:pt>
                <c:pt idx="26">
                  <c:v>6.1710192357936364</c:v>
                </c:pt>
                <c:pt idx="27">
                  <c:v>-100</c:v>
                </c:pt>
                <c:pt idx="28">
                  <c:v>6.6657131919886119</c:v>
                </c:pt>
                <c:pt idx="29">
                  <c:v>5.4399594813259311</c:v>
                </c:pt>
                <c:pt idx="30">
                  <c:v>8.0332765477225507</c:v>
                </c:pt>
                <c:pt idx="31">
                  <c:v>3.4349189689801012</c:v>
                </c:pt>
                <c:pt idx="32">
                  <c:v>5.6155583806161715</c:v>
                </c:pt>
                <c:pt idx="33">
                  <c:v>6.9661746618145912</c:v>
                </c:pt>
                <c:pt idx="34">
                  <c:v>6.4856841241810104</c:v>
                </c:pt>
                <c:pt idx="35">
                  <c:v>-100</c:v>
                </c:pt>
                <c:pt idx="36">
                  <c:v>-100</c:v>
                </c:pt>
                <c:pt idx="37">
                  <c:v>-100</c:v>
                </c:pt>
                <c:pt idx="38">
                  <c:v>-100</c:v>
                </c:pt>
                <c:pt idx="39">
                  <c:v>3.7903879548177946</c:v>
                </c:pt>
                <c:pt idx="40">
                  <c:v>-100</c:v>
                </c:pt>
                <c:pt idx="41">
                  <c:v>-100</c:v>
                </c:pt>
                <c:pt idx="42">
                  <c:v>-100</c:v>
                </c:pt>
                <c:pt idx="43">
                  <c:v>-100</c:v>
                </c:pt>
                <c:pt idx="44">
                  <c:v>4.8912643441061672</c:v>
                </c:pt>
                <c:pt idx="45">
                  <c:v>-100</c:v>
                </c:pt>
                <c:pt idx="46">
                  <c:v>3.3476071164988417</c:v>
                </c:pt>
                <c:pt idx="47">
                  <c:v>-100</c:v>
                </c:pt>
                <c:pt idx="48">
                  <c:v>2.8334682771037301</c:v>
                </c:pt>
                <c:pt idx="49">
                  <c:v>4.3085390223041014</c:v>
                </c:pt>
                <c:pt idx="50">
                  <c:v>-100</c:v>
                </c:pt>
                <c:pt idx="51">
                  <c:v>-100</c:v>
                </c:pt>
                <c:pt idx="52">
                  <c:v>-100</c:v>
                </c:pt>
                <c:pt idx="53">
                  <c:v>4.0442744713482348</c:v>
                </c:pt>
                <c:pt idx="54">
                  <c:v>3.6567584692249486</c:v>
                </c:pt>
                <c:pt idx="55">
                  <c:v>-100</c:v>
                </c:pt>
                <c:pt idx="56">
                  <c:v>-100</c:v>
                </c:pt>
                <c:pt idx="57">
                  <c:v>-100</c:v>
                </c:pt>
                <c:pt idx="58">
                  <c:v>6.3399786187450582</c:v>
                </c:pt>
                <c:pt idx="59">
                  <c:v>8.2869516355668118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22F-485C-838C-1C146393B1CA}"/>
            </c:ext>
          </c:extLst>
        </c:ser>
        <c:ser>
          <c:idx val="2"/>
          <c:order val="2"/>
          <c:tx>
            <c:v>Эпоха 10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(Разд.классы!$AW$29,Разд.классы!$AY$29)</c:f>
              <c:numCache>
                <c:formatCode>General</c:formatCode>
                <c:ptCount val="2"/>
                <c:pt idx="0">
                  <c:v>-5</c:v>
                </c:pt>
                <c:pt idx="1">
                  <c:v>15</c:v>
                </c:pt>
              </c:numCache>
            </c:numRef>
          </c:xVal>
          <c:yVal>
            <c:numRef>
              <c:f>(Разд.классы!$AX$29,Разд.классы!$AZ$29)</c:f>
              <c:numCache>
                <c:formatCode>General</c:formatCode>
                <c:ptCount val="2"/>
                <c:pt idx="0">
                  <c:v>-5.0606790835956348</c:v>
                </c:pt>
                <c:pt idx="1">
                  <c:v>15.007650273544149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22F-485C-838C-1C146393B1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9590560"/>
        <c:axId val="624869696"/>
      </c:scatterChart>
      <c:valAx>
        <c:axId val="699590560"/>
        <c:scaling>
          <c:orientation val="minMax"/>
          <c:max val="10"/>
          <c:min val="-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24869696"/>
        <c:crosses val="autoZero"/>
        <c:crossBetween val="midCat"/>
      </c:valAx>
      <c:valAx>
        <c:axId val="624869696"/>
        <c:scaling>
          <c:orientation val="minMax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995905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6.0134342284386973E-2"/>
          <c:y val="0.84592218174126466"/>
          <c:w val="0.17864643277967393"/>
          <c:h val="0.1540778678954496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Обучающая выборка</a:t>
            </a:r>
            <a:r>
              <a:rPr lang="ru-RU" baseline="0"/>
              <a:t> и линии классификации</a:t>
            </a:r>
          </a:p>
        </c:rich>
      </c:tx>
      <c:layout>
        <c:manualLayout>
          <c:xMode val="edge"/>
          <c:yMode val="edge"/>
          <c:x val="0.2111470266390465"/>
          <c:y val="3.114354753820372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3.5157161694897306E-2"/>
          <c:y val="0.144389272273997"/>
          <c:w val="0.71044480169037327"/>
          <c:h val="0.81278834986097293"/>
        </c:manualLayout>
      </c:layout>
      <c:scatterChart>
        <c:scatterStyle val="lineMarker"/>
        <c:varyColors val="0"/>
        <c:ser>
          <c:idx val="0"/>
          <c:order val="0"/>
          <c:tx>
            <c:v>Класс1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Разд.классы!$N$20:$N$219</c:f>
              <c:numCache>
                <c:formatCode>General</c:formatCode>
                <c:ptCount val="200"/>
                <c:pt idx="0">
                  <c:v>-100</c:v>
                </c:pt>
                <c:pt idx="1">
                  <c:v>-100</c:v>
                </c:pt>
                <c:pt idx="2">
                  <c:v>5.5143884822693385</c:v>
                </c:pt>
                <c:pt idx="3">
                  <c:v>-100</c:v>
                </c:pt>
                <c:pt idx="4">
                  <c:v>7.7181768765688226</c:v>
                </c:pt>
                <c:pt idx="5">
                  <c:v>-100</c:v>
                </c:pt>
                <c:pt idx="6">
                  <c:v>5.1361409237145601</c:v>
                </c:pt>
                <c:pt idx="7">
                  <c:v>-100</c:v>
                </c:pt>
                <c:pt idx="8">
                  <c:v>-100</c:v>
                </c:pt>
                <c:pt idx="9">
                  <c:v>7.1618932523955321</c:v>
                </c:pt>
                <c:pt idx="10">
                  <c:v>-100</c:v>
                </c:pt>
                <c:pt idx="11">
                  <c:v>-100</c:v>
                </c:pt>
                <c:pt idx="12">
                  <c:v>-100</c:v>
                </c:pt>
                <c:pt idx="13">
                  <c:v>-100</c:v>
                </c:pt>
                <c:pt idx="14">
                  <c:v>4.3773840113575169</c:v>
                </c:pt>
                <c:pt idx="15">
                  <c:v>5.7891457963950703</c:v>
                </c:pt>
                <c:pt idx="16">
                  <c:v>5.7155292780355511</c:v>
                </c:pt>
                <c:pt idx="17">
                  <c:v>4.9817652031632411</c:v>
                </c:pt>
                <c:pt idx="18">
                  <c:v>4.8300708572676392</c:v>
                </c:pt>
                <c:pt idx="19">
                  <c:v>5.5203248753029612</c:v>
                </c:pt>
                <c:pt idx="20">
                  <c:v>-100</c:v>
                </c:pt>
                <c:pt idx="21">
                  <c:v>-100</c:v>
                </c:pt>
                <c:pt idx="22">
                  <c:v>-100</c:v>
                </c:pt>
                <c:pt idx="23">
                  <c:v>-100</c:v>
                </c:pt>
                <c:pt idx="24">
                  <c:v>5.400731632101043</c:v>
                </c:pt>
                <c:pt idx="25">
                  <c:v>-100</c:v>
                </c:pt>
                <c:pt idx="26">
                  <c:v>-100</c:v>
                </c:pt>
                <c:pt idx="27">
                  <c:v>5.4842771038006175</c:v>
                </c:pt>
                <c:pt idx="28">
                  <c:v>4.1964076119172713</c:v>
                </c:pt>
                <c:pt idx="29">
                  <c:v>-100</c:v>
                </c:pt>
                <c:pt idx="30">
                  <c:v>-100</c:v>
                </c:pt>
                <c:pt idx="31">
                  <c:v>-100</c:v>
                </c:pt>
                <c:pt idx="32">
                  <c:v>-100</c:v>
                </c:pt>
                <c:pt idx="33">
                  <c:v>-100</c:v>
                </c:pt>
                <c:pt idx="34">
                  <c:v>-100</c:v>
                </c:pt>
                <c:pt idx="35">
                  <c:v>-100</c:v>
                </c:pt>
                <c:pt idx="36">
                  <c:v>-100</c:v>
                </c:pt>
                <c:pt idx="37">
                  <c:v>-100</c:v>
                </c:pt>
                <c:pt idx="38">
                  <c:v>-100</c:v>
                </c:pt>
                <c:pt idx="39">
                  <c:v>-100</c:v>
                </c:pt>
                <c:pt idx="40">
                  <c:v>-100</c:v>
                </c:pt>
                <c:pt idx="41">
                  <c:v>4.1946571790735643</c:v>
                </c:pt>
                <c:pt idx="42">
                  <c:v>-100</c:v>
                </c:pt>
                <c:pt idx="43">
                  <c:v>-100</c:v>
                </c:pt>
                <c:pt idx="44">
                  <c:v>-100</c:v>
                </c:pt>
                <c:pt idx="45">
                  <c:v>-100</c:v>
                </c:pt>
                <c:pt idx="46">
                  <c:v>-100</c:v>
                </c:pt>
                <c:pt idx="47">
                  <c:v>-100</c:v>
                </c:pt>
                <c:pt idx="48">
                  <c:v>-100</c:v>
                </c:pt>
                <c:pt idx="49">
                  <c:v>-100</c:v>
                </c:pt>
                <c:pt idx="50">
                  <c:v>3.484918942268584</c:v>
                </c:pt>
                <c:pt idx="51">
                  <c:v>-100</c:v>
                </c:pt>
                <c:pt idx="52">
                  <c:v>-100</c:v>
                </c:pt>
                <c:pt idx="53">
                  <c:v>-100</c:v>
                </c:pt>
                <c:pt idx="54">
                  <c:v>4.8072693388016665</c:v>
                </c:pt>
                <c:pt idx="55">
                  <c:v>-100</c:v>
                </c:pt>
                <c:pt idx="56">
                  <c:v>-100</c:v>
                </c:pt>
                <c:pt idx="57">
                  <c:v>-100</c:v>
                </c:pt>
                <c:pt idx="58">
                  <c:v>-100</c:v>
                </c:pt>
                <c:pt idx="59">
                  <c:v>-100</c:v>
                </c:pt>
                <c:pt idx="60">
                  <c:v>-100</c:v>
                </c:pt>
                <c:pt idx="61">
                  <c:v>-100</c:v>
                </c:pt>
                <c:pt idx="62">
                  <c:v>-100</c:v>
                </c:pt>
                <c:pt idx="63">
                  <c:v>-100</c:v>
                </c:pt>
                <c:pt idx="64">
                  <c:v>-100</c:v>
                </c:pt>
                <c:pt idx="65">
                  <c:v>-100</c:v>
                </c:pt>
                <c:pt idx="66">
                  <c:v>-100</c:v>
                </c:pt>
                <c:pt idx="67">
                  <c:v>-100</c:v>
                </c:pt>
                <c:pt idx="68">
                  <c:v>-100</c:v>
                </c:pt>
                <c:pt idx="69">
                  <c:v>-100</c:v>
                </c:pt>
                <c:pt idx="70">
                  <c:v>-100</c:v>
                </c:pt>
                <c:pt idx="71">
                  <c:v>-100</c:v>
                </c:pt>
                <c:pt idx="72">
                  <c:v>-100</c:v>
                </c:pt>
                <c:pt idx="73">
                  <c:v>-100</c:v>
                </c:pt>
                <c:pt idx="74">
                  <c:v>6.3474699532372885</c:v>
                </c:pt>
                <c:pt idx="75">
                  <c:v>2.3493272738954096</c:v>
                </c:pt>
                <c:pt idx="76">
                  <c:v>-100</c:v>
                </c:pt>
                <c:pt idx="77">
                  <c:v>5.2720387604831478</c:v>
                </c:pt>
                <c:pt idx="78">
                  <c:v>-100</c:v>
                </c:pt>
                <c:pt idx="79">
                  <c:v>5.656657042318348</c:v>
                </c:pt>
                <c:pt idx="80">
                  <c:v>-100</c:v>
                </c:pt>
                <c:pt idx="81">
                  <c:v>-100</c:v>
                </c:pt>
                <c:pt idx="82">
                  <c:v>-100</c:v>
                </c:pt>
                <c:pt idx="83">
                  <c:v>4.6507236059984098</c:v>
                </c:pt>
                <c:pt idx="84">
                  <c:v>5.2356664705322515</c:v>
                </c:pt>
                <c:pt idx="85">
                  <c:v>-100</c:v>
                </c:pt>
                <c:pt idx="86">
                  <c:v>-100</c:v>
                </c:pt>
                <c:pt idx="87">
                  <c:v>-100</c:v>
                </c:pt>
                <c:pt idx="88">
                  <c:v>-100</c:v>
                </c:pt>
                <c:pt idx="89">
                  <c:v>-100</c:v>
                </c:pt>
                <c:pt idx="90">
                  <c:v>-100</c:v>
                </c:pt>
                <c:pt idx="91">
                  <c:v>-100</c:v>
                </c:pt>
                <c:pt idx="92">
                  <c:v>-100</c:v>
                </c:pt>
                <c:pt idx="93">
                  <c:v>2.5240820974230016</c:v>
                </c:pt>
                <c:pt idx="94">
                  <c:v>-100</c:v>
                </c:pt>
                <c:pt idx="95">
                  <c:v>-100</c:v>
                </c:pt>
                <c:pt idx="96">
                  <c:v>7.4675502953624786</c:v>
                </c:pt>
                <c:pt idx="97">
                  <c:v>6.1456309511120688</c:v>
                </c:pt>
                <c:pt idx="98">
                  <c:v>3.4479435069183584</c:v>
                </c:pt>
                <c:pt idx="99">
                  <c:v>-100</c:v>
                </c:pt>
                <c:pt idx="100">
                  <c:v>5.3092993787124039</c:v>
                </c:pt>
                <c:pt idx="101">
                  <c:v>-100</c:v>
                </c:pt>
                <c:pt idx="102">
                  <c:v>5.2171754748930121</c:v>
                </c:pt>
                <c:pt idx="103">
                  <c:v>-100</c:v>
                </c:pt>
                <c:pt idx="104">
                  <c:v>-100</c:v>
                </c:pt>
                <c:pt idx="105">
                  <c:v>-100</c:v>
                </c:pt>
                <c:pt idx="106">
                  <c:v>-100</c:v>
                </c:pt>
                <c:pt idx="107">
                  <c:v>-100</c:v>
                </c:pt>
                <c:pt idx="108">
                  <c:v>-100</c:v>
                </c:pt>
                <c:pt idx="109">
                  <c:v>5.9851893579441189</c:v>
                </c:pt>
                <c:pt idx="110">
                  <c:v>-100</c:v>
                </c:pt>
                <c:pt idx="111">
                  <c:v>-100</c:v>
                </c:pt>
                <c:pt idx="112">
                  <c:v>-100</c:v>
                </c:pt>
                <c:pt idx="113">
                  <c:v>-100</c:v>
                </c:pt>
                <c:pt idx="114">
                  <c:v>5.6772442960166716</c:v>
                </c:pt>
                <c:pt idx="115">
                  <c:v>-100</c:v>
                </c:pt>
                <c:pt idx="116">
                  <c:v>-100</c:v>
                </c:pt>
                <c:pt idx="117">
                  <c:v>-100</c:v>
                </c:pt>
                <c:pt idx="118">
                  <c:v>5.3412185543970514</c:v>
                </c:pt>
                <c:pt idx="119">
                  <c:v>-100</c:v>
                </c:pt>
                <c:pt idx="120">
                  <c:v>5.7605357254964202</c:v>
                </c:pt>
                <c:pt idx="121">
                  <c:v>-100</c:v>
                </c:pt>
                <c:pt idx="122">
                  <c:v>-100</c:v>
                </c:pt>
                <c:pt idx="123">
                  <c:v>5.1579688868348761</c:v>
                </c:pt>
                <c:pt idx="124">
                  <c:v>5.0856225795744896</c:v>
                </c:pt>
                <c:pt idx="125">
                  <c:v>4.5146192574898354</c:v>
                </c:pt>
                <c:pt idx="126">
                  <c:v>-100</c:v>
                </c:pt>
                <c:pt idx="127">
                  <c:v>-100</c:v>
                </c:pt>
                <c:pt idx="128">
                  <c:v>-100</c:v>
                </c:pt>
                <c:pt idx="129">
                  <c:v>-100</c:v>
                </c:pt>
                <c:pt idx="130">
                  <c:v>4.3320530454480952</c:v>
                </c:pt>
                <c:pt idx="131">
                  <c:v>-100</c:v>
                </c:pt>
                <c:pt idx="132">
                  <c:v>-100</c:v>
                </c:pt>
                <c:pt idx="133">
                  <c:v>-100</c:v>
                </c:pt>
                <c:pt idx="134">
                  <c:v>3.9925772465850256</c:v>
                </c:pt>
                <c:pt idx="135">
                  <c:v>-100</c:v>
                </c:pt>
                <c:pt idx="136">
                  <c:v>-100</c:v>
                </c:pt>
                <c:pt idx="137">
                  <c:v>-100</c:v>
                </c:pt>
                <c:pt idx="138">
                  <c:v>2.9874551063864687</c:v>
                </c:pt>
                <c:pt idx="139">
                  <c:v>-100</c:v>
                </c:pt>
                <c:pt idx="140">
                  <c:v>-100</c:v>
                </c:pt>
                <c:pt idx="141">
                  <c:v>-100</c:v>
                </c:pt>
                <c:pt idx="142">
                  <c:v>-100</c:v>
                </c:pt>
                <c:pt idx="143">
                  <c:v>-100</c:v>
                </c:pt>
                <c:pt idx="144">
                  <c:v>-100</c:v>
                </c:pt>
                <c:pt idx="145">
                  <c:v>3.0461699998255862</c:v>
                </c:pt>
                <c:pt idx="146">
                  <c:v>-100</c:v>
                </c:pt>
                <c:pt idx="147">
                  <c:v>-100</c:v>
                </c:pt>
                <c:pt idx="148">
                  <c:v>-100</c:v>
                </c:pt>
                <c:pt idx="149">
                  <c:v>-100</c:v>
                </c:pt>
                <c:pt idx="150">
                  <c:v>-100</c:v>
                </c:pt>
                <c:pt idx="151">
                  <c:v>5.7490644900347077</c:v>
                </c:pt>
                <c:pt idx="152">
                  <c:v>6.3770879981049271</c:v>
                </c:pt>
                <c:pt idx="153">
                  <c:v>-100</c:v>
                </c:pt>
                <c:pt idx="154">
                  <c:v>-100</c:v>
                </c:pt>
                <c:pt idx="155">
                  <c:v>4.1055227785378072</c:v>
                </c:pt>
                <c:pt idx="156">
                  <c:v>-100</c:v>
                </c:pt>
                <c:pt idx="157">
                  <c:v>-100</c:v>
                </c:pt>
                <c:pt idx="158">
                  <c:v>-100</c:v>
                </c:pt>
                <c:pt idx="159">
                  <c:v>-100</c:v>
                </c:pt>
                <c:pt idx="160">
                  <c:v>-100</c:v>
                </c:pt>
                <c:pt idx="161">
                  <c:v>-100</c:v>
                </c:pt>
                <c:pt idx="162">
                  <c:v>-100</c:v>
                </c:pt>
                <c:pt idx="163">
                  <c:v>-100</c:v>
                </c:pt>
                <c:pt idx="164">
                  <c:v>-100</c:v>
                </c:pt>
                <c:pt idx="165">
                  <c:v>-100</c:v>
                </c:pt>
                <c:pt idx="166">
                  <c:v>-100</c:v>
                </c:pt>
                <c:pt idx="167">
                  <c:v>4.6483503599706122</c:v>
                </c:pt>
                <c:pt idx="168">
                  <c:v>5.5674079130381529</c:v>
                </c:pt>
                <c:pt idx="169">
                  <c:v>4.8229183395429764</c:v>
                </c:pt>
                <c:pt idx="170">
                  <c:v>4.9181989228164706</c:v>
                </c:pt>
                <c:pt idx="171">
                  <c:v>4.9091255181135072</c:v>
                </c:pt>
                <c:pt idx="172">
                  <c:v>-100</c:v>
                </c:pt>
                <c:pt idx="173">
                  <c:v>6.1684734441296269</c:v>
                </c:pt>
                <c:pt idx="174">
                  <c:v>5.3630481564994303</c:v>
                </c:pt>
                <c:pt idx="175">
                  <c:v>4.2479306520622053</c:v>
                </c:pt>
                <c:pt idx="176">
                  <c:v>-100</c:v>
                </c:pt>
                <c:pt idx="177">
                  <c:v>-100</c:v>
                </c:pt>
                <c:pt idx="178">
                  <c:v>-100</c:v>
                </c:pt>
                <c:pt idx="179">
                  <c:v>-100</c:v>
                </c:pt>
                <c:pt idx="180">
                  <c:v>-100</c:v>
                </c:pt>
                <c:pt idx="181">
                  <c:v>5.2152218082734434</c:v>
                </c:pt>
                <c:pt idx="182">
                  <c:v>-100</c:v>
                </c:pt>
                <c:pt idx="183">
                  <c:v>-100</c:v>
                </c:pt>
                <c:pt idx="184">
                  <c:v>-100</c:v>
                </c:pt>
                <c:pt idx="185">
                  <c:v>4.6811955605210782</c:v>
                </c:pt>
                <c:pt idx="186">
                  <c:v>3.6413040548296274</c:v>
                </c:pt>
                <c:pt idx="187">
                  <c:v>5.1896274643714433</c:v>
                </c:pt>
                <c:pt idx="188">
                  <c:v>6.5134168871561871</c:v>
                </c:pt>
                <c:pt idx="189">
                  <c:v>-100</c:v>
                </c:pt>
                <c:pt idx="190">
                  <c:v>-100</c:v>
                </c:pt>
                <c:pt idx="191">
                  <c:v>-100</c:v>
                </c:pt>
                <c:pt idx="192">
                  <c:v>-100</c:v>
                </c:pt>
                <c:pt idx="193">
                  <c:v>4.940905380322766</c:v>
                </c:pt>
                <c:pt idx="194">
                  <c:v>3.6832161041548037</c:v>
                </c:pt>
                <c:pt idx="195">
                  <c:v>-100</c:v>
                </c:pt>
                <c:pt idx="196">
                  <c:v>4.4530918708299296</c:v>
                </c:pt>
                <c:pt idx="197">
                  <c:v>-100</c:v>
                </c:pt>
                <c:pt idx="198">
                  <c:v>-100</c:v>
                </c:pt>
                <c:pt idx="199">
                  <c:v>-100</c:v>
                </c:pt>
              </c:numCache>
            </c:numRef>
          </c:xVal>
          <c:yVal>
            <c:numRef>
              <c:f>Разд.классы!$O$20:$O$219</c:f>
              <c:numCache>
                <c:formatCode>General</c:formatCode>
                <c:ptCount val="200"/>
                <c:pt idx="0">
                  <c:v>-100</c:v>
                </c:pt>
                <c:pt idx="1">
                  <c:v>-100</c:v>
                </c:pt>
                <c:pt idx="2">
                  <c:v>5.5310262417144322</c:v>
                </c:pt>
                <c:pt idx="3">
                  <c:v>-100</c:v>
                </c:pt>
                <c:pt idx="4">
                  <c:v>8.3299847486233514</c:v>
                </c:pt>
                <c:pt idx="5">
                  <c:v>-100</c:v>
                </c:pt>
                <c:pt idx="6">
                  <c:v>6.650746007785675</c:v>
                </c:pt>
                <c:pt idx="7">
                  <c:v>-100</c:v>
                </c:pt>
                <c:pt idx="8">
                  <c:v>-100</c:v>
                </c:pt>
                <c:pt idx="9">
                  <c:v>8.1250464314162496</c:v>
                </c:pt>
                <c:pt idx="10">
                  <c:v>-100</c:v>
                </c:pt>
                <c:pt idx="11">
                  <c:v>-100</c:v>
                </c:pt>
                <c:pt idx="12">
                  <c:v>-100</c:v>
                </c:pt>
                <c:pt idx="13">
                  <c:v>-100</c:v>
                </c:pt>
                <c:pt idx="14">
                  <c:v>4.6721980015125864</c:v>
                </c:pt>
                <c:pt idx="15">
                  <c:v>8.5634806893030753</c:v>
                </c:pt>
                <c:pt idx="16">
                  <c:v>6.0432884466469545</c:v>
                </c:pt>
                <c:pt idx="17">
                  <c:v>7.4984832563645156</c:v>
                </c:pt>
                <c:pt idx="18">
                  <c:v>5.2099529334591788</c:v>
                </c:pt>
                <c:pt idx="19">
                  <c:v>6.2116872977326949</c:v>
                </c:pt>
                <c:pt idx="20">
                  <c:v>-100</c:v>
                </c:pt>
                <c:pt idx="21">
                  <c:v>-100</c:v>
                </c:pt>
                <c:pt idx="22">
                  <c:v>-100</c:v>
                </c:pt>
                <c:pt idx="23">
                  <c:v>-100</c:v>
                </c:pt>
                <c:pt idx="24">
                  <c:v>5.9119289512119133</c:v>
                </c:pt>
                <c:pt idx="25">
                  <c:v>-100</c:v>
                </c:pt>
                <c:pt idx="26">
                  <c:v>-100</c:v>
                </c:pt>
                <c:pt idx="27">
                  <c:v>6.2269904732586285</c:v>
                </c:pt>
                <c:pt idx="28">
                  <c:v>5.2777608993860197</c:v>
                </c:pt>
                <c:pt idx="29">
                  <c:v>-100</c:v>
                </c:pt>
                <c:pt idx="30">
                  <c:v>-100</c:v>
                </c:pt>
                <c:pt idx="31">
                  <c:v>-100</c:v>
                </c:pt>
                <c:pt idx="32">
                  <c:v>-100</c:v>
                </c:pt>
                <c:pt idx="33">
                  <c:v>-100</c:v>
                </c:pt>
                <c:pt idx="34">
                  <c:v>-100</c:v>
                </c:pt>
                <c:pt idx="35">
                  <c:v>-100</c:v>
                </c:pt>
                <c:pt idx="36">
                  <c:v>-100</c:v>
                </c:pt>
                <c:pt idx="37">
                  <c:v>-100</c:v>
                </c:pt>
                <c:pt idx="38">
                  <c:v>-100</c:v>
                </c:pt>
                <c:pt idx="39">
                  <c:v>-100</c:v>
                </c:pt>
                <c:pt idx="40">
                  <c:v>-100</c:v>
                </c:pt>
                <c:pt idx="41">
                  <c:v>9.2977708774177366</c:v>
                </c:pt>
                <c:pt idx="42">
                  <c:v>-100</c:v>
                </c:pt>
                <c:pt idx="43">
                  <c:v>-100</c:v>
                </c:pt>
                <c:pt idx="44">
                  <c:v>-100</c:v>
                </c:pt>
                <c:pt idx="45">
                  <c:v>-100</c:v>
                </c:pt>
                <c:pt idx="46">
                  <c:v>-100</c:v>
                </c:pt>
                <c:pt idx="47">
                  <c:v>-100</c:v>
                </c:pt>
                <c:pt idx="48">
                  <c:v>-100</c:v>
                </c:pt>
                <c:pt idx="49">
                  <c:v>-100</c:v>
                </c:pt>
                <c:pt idx="50">
                  <c:v>5.5243031372903797</c:v>
                </c:pt>
                <c:pt idx="51">
                  <c:v>-100</c:v>
                </c:pt>
                <c:pt idx="52">
                  <c:v>-100</c:v>
                </c:pt>
                <c:pt idx="53">
                  <c:v>-100</c:v>
                </c:pt>
                <c:pt idx="54">
                  <c:v>6.1093279509273914</c:v>
                </c:pt>
                <c:pt idx="55">
                  <c:v>-100</c:v>
                </c:pt>
                <c:pt idx="56">
                  <c:v>-100</c:v>
                </c:pt>
                <c:pt idx="57">
                  <c:v>-100</c:v>
                </c:pt>
                <c:pt idx="58">
                  <c:v>-100</c:v>
                </c:pt>
                <c:pt idx="59">
                  <c:v>-100</c:v>
                </c:pt>
                <c:pt idx="60">
                  <c:v>-100</c:v>
                </c:pt>
                <c:pt idx="61">
                  <c:v>-100</c:v>
                </c:pt>
                <c:pt idx="62">
                  <c:v>-100</c:v>
                </c:pt>
                <c:pt idx="63">
                  <c:v>-100</c:v>
                </c:pt>
                <c:pt idx="64">
                  <c:v>-100</c:v>
                </c:pt>
                <c:pt idx="65">
                  <c:v>-100</c:v>
                </c:pt>
                <c:pt idx="66">
                  <c:v>-100</c:v>
                </c:pt>
                <c:pt idx="67">
                  <c:v>-100</c:v>
                </c:pt>
                <c:pt idx="68">
                  <c:v>-100</c:v>
                </c:pt>
                <c:pt idx="69">
                  <c:v>-100</c:v>
                </c:pt>
                <c:pt idx="70">
                  <c:v>-100</c:v>
                </c:pt>
                <c:pt idx="71">
                  <c:v>-100</c:v>
                </c:pt>
                <c:pt idx="72">
                  <c:v>-100</c:v>
                </c:pt>
                <c:pt idx="73">
                  <c:v>-100</c:v>
                </c:pt>
                <c:pt idx="74">
                  <c:v>6.8838354809136764</c:v>
                </c:pt>
                <c:pt idx="75">
                  <c:v>4.2571274329394786</c:v>
                </c:pt>
                <c:pt idx="76">
                  <c:v>-100</c:v>
                </c:pt>
                <c:pt idx="77">
                  <c:v>5.5504350673091745</c:v>
                </c:pt>
                <c:pt idx="78">
                  <c:v>-100</c:v>
                </c:pt>
                <c:pt idx="79">
                  <c:v>5.7639026471741923</c:v>
                </c:pt>
                <c:pt idx="80">
                  <c:v>-100</c:v>
                </c:pt>
                <c:pt idx="81">
                  <c:v>-100</c:v>
                </c:pt>
                <c:pt idx="82">
                  <c:v>-100</c:v>
                </c:pt>
                <c:pt idx="83">
                  <c:v>6.8918959947014597</c:v>
                </c:pt>
                <c:pt idx="84">
                  <c:v>6.3261062745604697</c:v>
                </c:pt>
                <c:pt idx="85">
                  <c:v>-100</c:v>
                </c:pt>
                <c:pt idx="86">
                  <c:v>-100</c:v>
                </c:pt>
                <c:pt idx="87">
                  <c:v>-100</c:v>
                </c:pt>
                <c:pt idx="88">
                  <c:v>-100</c:v>
                </c:pt>
                <c:pt idx="89">
                  <c:v>-100</c:v>
                </c:pt>
                <c:pt idx="90">
                  <c:v>-100</c:v>
                </c:pt>
                <c:pt idx="91">
                  <c:v>-100</c:v>
                </c:pt>
                <c:pt idx="92">
                  <c:v>-100</c:v>
                </c:pt>
                <c:pt idx="93">
                  <c:v>5.5902754433062167</c:v>
                </c:pt>
                <c:pt idx="94">
                  <c:v>-100</c:v>
                </c:pt>
                <c:pt idx="95">
                  <c:v>-100</c:v>
                </c:pt>
                <c:pt idx="96">
                  <c:v>7.7898418198103911</c:v>
                </c:pt>
                <c:pt idx="97">
                  <c:v>6.3617147988698228</c:v>
                </c:pt>
                <c:pt idx="98">
                  <c:v>5.6131425210547254</c:v>
                </c:pt>
                <c:pt idx="99">
                  <c:v>-100</c:v>
                </c:pt>
                <c:pt idx="100">
                  <c:v>7.4332124346718125</c:v>
                </c:pt>
                <c:pt idx="101">
                  <c:v>-100</c:v>
                </c:pt>
                <c:pt idx="102">
                  <c:v>7.2921223027263853</c:v>
                </c:pt>
                <c:pt idx="103">
                  <c:v>-100</c:v>
                </c:pt>
                <c:pt idx="104">
                  <c:v>-100</c:v>
                </c:pt>
                <c:pt idx="105">
                  <c:v>-100</c:v>
                </c:pt>
                <c:pt idx="106">
                  <c:v>-100</c:v>
                </c:pt>
                <c:pt idx="107">
                  <c:v>-100</c:v>
                </c:pt>
                <c:pt idx="108">
                  <c:v>-100</c:v>
                </c:pt>
                <c:pt idx="109">
                  <c:v>6.0581064834821232</c:v>
                </c:pt>
                <c:pt idx="110">
                  <c:v>-100</c:v>
                </c:pt>
                <c:pt idx="111">
                  <c:v>-100</c:v>
                </c:pt>
                <c:pt idx="112">
                  <c:v>-100</c:v>
                </c:pt>
                <c:pt idx="113">
                  <c:v>-100</c:v>
                </c:pt>
                <c:pt idx="114">
                  <c:v>6.340998065588491</c:v>
                </c:pt>
                <c:pt idx="115">
                  <c:v>-100</c:v>
                </c:pt>
                <c:pt idx="116">
                  <c:v>-100</c:v>
                </c:pt>
                <c:pt idx="117">
                  <c:v>-100</c:v>
                </c:pt>
                <c:pt idx="118">
                  <c:v>6.0179350331082739</c:v>
                </c:pt>
                <c:pt idx="119">
                  <c:v>-100</c:v>
                </c:pt>
                <c:pt idx="120">
                  <c:v>5.864975393059729</c:v>
                </c:pt>
                <c:pt idx="121">
                  <c:v>-100</c:v>
                </c:pt>
                <c:pt idx="122">
                  <c:v>-100</c:v>
                </c:pt>
                <c:pt idx="123">
                  <c:v>7.7134521437996053</c:v>
                </c:pt>
                <c:pt idx="124">
                  <c:v>6.4561627792551119</c:v>
                </c:pt>
                <c:pt idx="125">
                  <c:v>5.1522542088993672</c:v>
                </c:pt>
                <c:pt idx="126">
                  <c:v>-100</c:v>
                </c:pt>
                <c:pt idx="127">
                  <c:v>-100</c:v>
                </c:pt>
                <c:pt idx="128">
                  <c:v>-100</c:v>
                </c:pt>
                <c:pt idx="129">
                  <c:v>-100</c:v>
                </c:pt>
                <c:pt idx="130">
                  <c:v>5.9050648943304083</c:v>
                </c:pt>
                <c:pt idx="131">
                  <c:v>-100</c:v>
                </c:pt>
                <c:pt idx="132">
                  <c:v>-100</c:v>
                </c:pt>
                <c:pt idx="133">
                  <c:v>-100</c:v>
                </c:pt>
                <c:pt idx="134">
                  <c:v>5.3410829714053447</c:v>
                </c:pt>
                <c:pt idx="135">
                  <c:v>-100</c:v>
                </c:pt>
                <c:pt idx="136">
                  <c:v>-100</c:v>
                </c:pt>
                <c:pt idx="137">
                  <c:v>-100</c:v>
                </c:pt>
                <c:pt idx="138">
                  <c:v>3.7230651275817186</c:v>
                </c:pt>
                <c:pt idx="139">
                  <c:v>-100</c:v>
                </c:pt>
                <c:pt idx="140">
                  <c:v>-100</c:v>
                </c:pt>
                <c:pt idx="141">
                  <c:v>-100</c:v>
                </c:pt>
                <c:pt idx="142">
                  <c:v>-100</c:v>
                </c:pt>
                <c:pt idx="143">
                  <c:v>-100</c:v>
                </c:pt>
                <c:pt idx="144">
                  <c:v>-100</c:v>
                </c:pt>
                <c:pt idx="145">
                  <c:v>5.0616643922913145</c:v>
                </c:pt>
                <c:pt idx="146">
                  <c:v>-100</c:v>
                </c:pt>
                <c:pt idx="147">
                  <c:v>-100</c:v>
                </c:pt>
                <c:pt idx="148">
                  <c:v>-100</c:v>
                </c:pt>
                <c:pt idx="149">
                  <c:v>-100</c:v>
                </c:pt>
                <c:pt idx="150">
                  <c:v>-100</c:v>
                </c:pt>
                <c:pt idx="151">
                  <c:v>5.8173695200463138</c:v>
                </c:pt>
                <c:pt idx="152">
                  <c:v>7.3394364369325169</c:v>
                </c:pt>
                <c:pt idx="153">
                  <c:v>-100</c:v>
                </c:pt>
                <c:pt idx="154">
                  <c:v>-100</c:v>
                </c:pt>
                <c:pt idx="155">
                  <c:v>4.8160989876967388</c:v>
                </c:pt>
                <c:pt idx="156">
                  <c:v>-100</c:v>
                </c:pt>
                <c:pt idx="157">
                  <c:v>-100</c:v>
                </c:pt>
                <c:pt idx="158">
                  <c:v>-100</c:v>
                </c:pt>
                <c:pt idx="159">
                  <c:v>-100</c:v>
                </c:pt>
                <c:pt idx="160">
                  <c:v>-100</c:v>
                </c:pt>
                <c:pt idx="161">
                  <c:v>-100</c:v>
                </c:pt>
                <c:pt idx="162">
                  <c:v>-100</c:v>
                </c:pt>
                <c:pt idx="163">
                  <c:v>-100</c:v>
                </c:pt>
                <c:pt idx="164">
                  <c:v>-100</c:v>
                </c:pt>
                <c:pt idx="165">
                  <c:v>-100</c:v>
                </c:pt>
                <c:pt idx="166">
                  <c:v>-100</c:v>
                </c:pt>
                <c:pt idx="167">
                  <c:v>5.430146895712376</c:v>
                </c:pt>
                <c:pt idx="168">
                  <c:v>6.8376456884030343</c:v>
                </c:pt>
                <c:pt idx="169">
                  <c:v>5.5320883020915135</c:v>
                </c:pt>
                <c:pt idx="170">
                  <c:v>5.7162066301472896</c:v>
                </c:pt>
                <c:pt idx="171">
                  <c:v>8.428008987870971</c:v>
                </c:pt>
                <c:pt idx="172">
                  <c:v>-100</c:v>
                </c:pt>
                <c:pt idx="173">
                  <c:v>6.4222030709015359</c:v>
                </c:pt>
                <c:pt idx="174">
                  <c:v>7.3695871509707596</c:v>
                </c:pt>
                <c:pt idx="175">
                  <c:v>4.3861218772570387</c:v>
                </c:pt>
                <c:pt idx="176">
                  <c:v>-100</c:v>
                </c:pt>
                <c:pt idx="177">
                  <c:v>-100</c:v>
                </c:pt>
                <c:pt idx="178">
                  <c:v>-100</c:v>
                </c:pt>
                <c:pt idx="179">
                  <c:v>-100</c:v>
                </c:pt>
                <c:pt idx="180">
                  <c:v>-100</c:v>
                </c:pt>
                <c:pt idx="181">
                  <c:v>5.6142275271806943</c:v>
                </c:pt>
                <c:pt idx="182">
                  <c:v>-100</c:v>
                </c:pt>
                <c:pt idx="183">
                  <c:v>-100</c:v>
                </c:pt>
                <c:pt idx="184">
                  <c:v>-100</c:v>
                </c:pt>
                <c:pt idx="185">
                  <c:v>6.0121395925321037</c:v>
                </c:pt>
                <c:pt idx="186">
                  <c:v>5.2244546467561115</c:v>
                </c:pt>
                <c:pt idx="187">
                  <c:v>7.3859310801069498</c:v>
                </c:pt>
                <c:pt idx="188">
                  <c:v>6.7153055112628639</c:v>
                </c:pt>
                <c:pt idx="189">
                  <c:v>-100</c:v>
                </c:pt>
                <c:pt idx="190">
                  <c:v>-100</c:v>
                </c:pt>
                <c:pt idx="191">
                  <c:v>-100</c:v>
                </c:pt>
                <c:pt idx="192">
                  <c:v>-100</c:v>
                </c:pt>
                <c:pt idx="193">
                  <c:v>6.0176514892113069</c:v>
                </c:pt>
                <c:pt idx="194">
                  <c:v>4.2207485870603287</c:v>
                </c:pt>
                <c:pt idx="195">
                  <c:v>-100</c:v>
                </c:pt>
                <c:pt idx="196">
                  <c:v>6.0100220277061958</c:v>
                </c:pt>
                <c:pt idx="197">
                  <c:v>-100</c:v>
                </c:pt>
                <c:pt idx="198">
                  <c:v>-100</c:v>
                </c:pt>
                <c:pt idx="199">
                  <c:v>-100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FEF-4C5B-9880-4AE36005240D}"/>
            </c:ext>
          </c:extLst>
        </c:ser>
        <c:ser>
          <c:idx val="1"/>
          <c:order val="1"/>
          <c:tx>
            <c:v>Класс2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Разд.классы!$P$20:$P$219</c:f>
              <c:numCache>
                <c:formatCode>General</c:formatCode>
                <c:ptCount val="200"/>
                <c:pt idx="0">
                  <c:v>4.745538718365899</c:v>
                </c:pt>
                <c:pt idx="1">
                  <c:v>9.9234698564025035</c:v>
                </c:pt>
                <c:pt idx="2">
                  <c:v>-100</c:v>
                </c:pt>
                <c:pt idx="3">
                  <c:v>6.345144237689329</c:v>
                </c:pt>
                <c:pt idx="4">
                  <c:v>-100</c:v>
                </c:pt>
                <c:pt idx="5">
                  <c:v>7.238931965303423</c:v>
                </c:pt>
                <c:pt idx="6">
                  <c:v>-100</c:v>
                </c:pt>
                <c:pt idx="7">
                  <c:v>9.4547734336971239</c:v>
                </c:pt>
                <c:pt idx="8">
                  <c:v>7.3960529808109312</c:v>
                </c:pt>
                <c:pt idx="9">
                  <c:v>-100</c:v>
                </c:pt>
                <c:pt idx="10">
                  <c:v>6.8083222077872518</c:v>
                </c:pt>
                <c:pt idx="11">
                  <c:v>7.669944912407189</c:v>
                </c:pt>
                <c:pt idx="12">
                  <c:v>6.1607505606469024</c:v>
                </c:pt>
                <c:pt idx="13">
                  <c:v>7.1393539710597036</c:v>
                </c:pt>
                <c:pt idx="14">
                  <c:v>-100</c:v>
                </c:pt>
                <c:pt idx="15">
                  <c:v>-100</c:v>
                </c:pt>
                <c:pt idx="16">
                  <c:v>-100</c:v>
                </c:pt>
                <c:pt idx="17">
                  <c:v>-100</c:v>
                </c:pt>
                <c:pt idx="18">
                  <c:v>-100</c:v>
                </c:pt>
                <c:pt idx="19">
                  <c:v>-100</c:v>
                </c:pt>
                <c:pt idx="20">
                  <c:v>9.1935721402177464</c:v>
                </c:pt>
                <c:pt idx="21">
                  <c:v>7.4274771839124334</c:v>
                </c:pt>
                <c:pt idx="22">
                  <c:v>7.718370276452303</c:v>
                </c:pt>
                <c:pt idx="23">
                  <c:v>8.2028795981053317</c:v>
                </c:pt>
                <c:pt idx="24">
                  <c:v>-100</c:v>
                </c:pt>
                <c:pt idx="25">
                  <c:v>4.886799304445919</c:v>
                </c:pt>
                <c:pt idx="26">
                  <c:v>7.8459224165540746</c:v>
                </c:pt>
                <c:pt idx="27">
                  <c:v>-100</c:v>
                </c:pt>
                <c:pt idx="28">
                  <c:v>-100</c:v>
                </c:pt>
                <c:pt idx="29">
                  <c:v>7.1156952649745744</c:v>
                </c:pt>
                <c:pt idx="30">
                  <c:v>4.8311165278240855</c:v>
                </c:pt>
                <c:pt idx="31">
                  <c:v>7.7001546297997141</c:v>
                </c:pt>
                <c:pt idx="32">
                  <c:v>6.3609948332244368</c:v>
                </c:pt>
                <c:pt idx="33">
                  <c:v>6.5827130487965926</c:v>
                </c:pt>
                <c:pt idx="34">
                  <c:v>6.2867440288063836</c:v>
                </c:pt>
                <c:pt idx="35">
                  <c:v>6.7964330318993733</c:v>
                </c:pt>
                <c:pt idx="36">
                  <c:v>8.1756462721399359</c:v>
                </c:pt>
                <c:pt idx="37">
                  <c:v>7.0845693566086103</c:v>
                </c:pt>
                <c:pt idx="38">
                  <c:v>5.3525521153654383</c:v>
                </c:pt>
                <c:pt idx="39">
                  <c:v>5.2456085357288149</c:v>
                </c:pt>
                <c:pt idx="40">
                  <c:v>5.462304910258724</c:v>
                </c:pt>
                <c:pt idx="41">
                  <c:v>-100</c:v>
                </c:pt>
                <c:pt idx="42">
                  <c:v>5.0838311721791971</c:v>
                </c:pt>
                <c:pt idx="43">
                  <c:v>5.5335154029491767</c:v>
                </c:pt>
                <c:pt idx="44">
                  <c:v>6.5895639938215904</c:v>
                </c:pt>
                <c:pt idx="45">
                  <c:v>9.2313211751018951</c:v>
                </c:pt>
                <c:pt idx="46">
                  <c:v>6.402434855715355</c:v>
                </c:pt>
                <c:pt idx="47">
                  <c:v>6.6337263655198102</c:v>
                </c:pt>
                <c:pt idx="48">
                  <c:v>6.4084466419238932</c:v>
                </c:pt>
                <c:pt idx="49">
                  <c:v>6.4289585024473004</c:v>
                </c:pt>
                <c:pt idx="50">
                  <c:v>-100</c:v>
                </c:pt>
                <c:pt idx="51">
                  <c:v>9.1832793328596161</c:v>
                </c:pt>
                <c:pt idx="52">
                  <c:v>8.11415822104955</c:v>
                </c:pt>
                <c:pt idx="53">
                  <c:v>5.6156185704329626</c:v>
                </c:pt>
                <c:pt idx="54">
                  <c:v>-100</c:v>
                </c:pt>
                <c:pt idx="55">
                  <c:v>6.1420989447654497</c:v>
                </c:pt>
                <c:pt idx="56">
                  <c:v>7.0792656106514595</c:v>
                </c:pt>
                <c:pt idx="57">
                  <c:v>8.4743999226558557</c:v>
                </c:pt>
                <c:pt idx="58">
                  <c:v>6.6553199542050594</c:v>
                </c:pt>
                <c:pt idx="59">
                  <c:v>6.9181733416043407</c:v>
                </c:pt>
                <c:pt idx="60">
                  <c:v>7.5653155754440817</c:v>
                </c:pt>
                <c:pt idx="61">
                  <c:v>8.2034565197916471</c:v>
                </c:pt>
                <c:pt idx="62">
                  <c:v>6.9011607077862855</c:v>
                </c:pt>
                <c:pt idx="63">
                  <c:v>4.008593379308536</c:v>
                </c:pt>
                <c:pt idx="64">
                  <c:v>5.4890252348382775</c:v>
                </c:pt>
                <c:pt idx="65">
                  <c:v>6.9834261344943478</c:v>
                </c:pt>
                <c:pt idx="66">
                  <c:v>7.9097968255287645</c:v>
                </c:pt>
                <c:pt idx="67">
                  <c:v>6.1391176363921316</c:v>
                </c:pt>
                <c:pt idx="68">
                  <c:v>5.2192700939700325</c:v>
                </c:pt>
                <c:pt idx="69">
                  <c:v>7.0275180299638409</c:v>
                </c:pt>
                <c:pt idx="70">
                  <c:v>7.0333593620377863</c:v>
                </c:pt>
                <c:pt idx="71">
                  <c:v>7.8618008747842598</c:v>
                </c:pt>
                <c:pt idx="72">
                  <c:v>6.1394487107689377</c:v>
                </c:pt>
                <c:pt idx="73">
                  <c:v>6.3328518722138547</c:v>
                </c:pt>
                <c:pt idx="74">
                  <c:v>-100</c:v>
                </c:pt>
                <c:pt idx="75">
                  <c:v>-100</c:v>
                </c:pt>
                <c:pt idx="76">
                  <c:v>6.3905325679709692</c:v>
                </c:pt>
                <c:pt idx="77">
                  <c:v>-100</c:v>
                </c:pt>
                <c:pt idx="78">
                  <c:v>6.2980120304922345</c:v>
                </c:pt>
                <c:pt idx="79">
                  <c:v>-100</c:v>
                </c:pt>
                <c:pt idx="80">
                  <c:v>7.1272910630731046</c:v>
                </c:pt>
                <c:pt idx="81">
                  <c:v>8.5405361268780311</c:v>
                </c:pt>
                <c:pt idx="82">
                  <c:v>7.4047510586213772</c:v>
                </c:pt>
                <c:pt idx="83">
                  <c:v>-100</c:v>
                </c:pt>
                <c:pt idx="84">
                  <c:v>-100</c:v>
                </c:pt>
                <c:pt idx="85">
                  <c:v>5.0485274985336357</c:v>
                </c:pt>
                <c:pt idx="86">
                  <c:v>6.7905621981482875</c:v>
                </c:pt>
                <c:pt idx="87">
                  <c:v>6.1343695053544716</c:v>
                </c:pt>
                <c:pt idx="88">
                  <c:v>6.260358056567763</c:v>
                </c:pt>
                <c:pt idx="89">
                  <c:v>8.1678316056616609</c:v>
                </c:pt>
                <c:pt idx="90">
                  <c:v>8.6317094211006538</c:v>
                </c:pt>
                <c:pt idx="91">
                  <c:v>6.7041943993355435</c:v>
                </c:pt>
                <c:pt idx="92">
                  <c:v>6.6054653978006632</c:v>
                </c:pt>
                <c:pt idx="93">
                  <c:v>-100</c:v>
                </c:pt>
                <c:pt idx="94">
                  <c:v>6.4542135770621778</c:v>
                </c:pt>
                <c:pt idx="95">
                  <c:v>5.9152605492272432</c:v>
                </c:pt>
                <c:pt idx="96">
                  <c:v>-100</c:v>
                </c:pt>
                <c:pt idx="97">
                  <c:v>-100</c:v>
                </c:pt>
                <c:pt idx="98">
                  <c:v>-100</c:v>
                </c:pt>
                <c:pt idx="99">
                  <c:v>7.0415591893009593</c:v>
                </c:pt>
                <c:pt idx="100">
                  <c:v>-100</c:v>
                </c:pt>
                <c:pt idx="101">
                  <c:v>6.0884976753641293</c:v>
                </c:pt>
                <c:pt idx="102">
                  <c:v>-100</c:v>
                </c:pt>
                <c:pt idx="103">
                  <c:v>4.5792738219267015</c:v>
                </c:pt>
                <c:pt idx="104">
                  <c:v>7.4696514703677526</c:v>
                </c:pt>
                <c:pt idx="105">
                  <c:v>5.8886418415356196</c:v>
                </c:pt>
                <c:pt idx="106">
                  <c:v>5.78120328931585</c:v>
                </c:pt>
                <c:pt idx="107">
                  <c:v>7.1071037209982499</c:v>
                </c:pt>
                <c:pt idx="108">
                  <c:v>7.8049347531126543</c:v>
                </c:pt>
                <c:pt idx="109">
                  <c:v>-100</c:v>
                </c:pt>
                <c:pt idx="110">
                  <c:v>7.6302782685088664</c:v>
                </c:pt>
                <c:pt idx="111">
                  <c:v>9.6213464587642399</c:v>
                </c:pt>
                <c:pt idx="112">
                  <c:v>6.2741550075774351</c:v>
                </c:pt>
                <c:pt idx="113">
                  <c:v>7.3586497711421588</c:v>
                </c:pt>
                <c:pt idx="114">
                  <c:v>-100</c:v>
                </c:pt>
                <c:pt idx="115">
                  <c:v>7.2195100278521736</c:v>
                </c:pt>
                <c:pt idx="116">
                  <c:v>6.8665650743921116</c:v>
                </c:pt>
                <c:pt idx="117">
                  <c:v>5.8625951385841226</c:v>
                </c:pt>
                <c:pt idx="118">
                  <c:v>-100</c:v>
                </c:pt>
                <c:pt idx="119">
                  <c:v>5.9742458747068206</c:v>
                </c:pt>
                <c:pt idx="120">
                  <c:v>-100</c:v>
                </c:pt>
                <c:pt idx="121">
                  <c:v>6.7607655042357386</c:v>
                </c:pt>
                <c:pt idx="122">
                  <c:v>7.8800427451498631</c:v>
                </c:pt>
                <c:pt idx="123">
                  <c:v>-100</c:v>
                </c:pt>
                <c:pt idx="124">
                  <c:v>-100</c:v>
                </c:pt>
                <c:pt idx="125">
                  <c:v>-100</c:v>
                </c:pt>
                <c:pt idx="126">
                  <c:v>7.988025439414681</c:v>
                </c:pt>
                <c:pt idx="127">
                  <c:v>6.455893533677159</c:v>
                </c:pt>
                <c:pt idx="128">
                  <c:v>8.0177205164392991</c:v>
                </c:pt>
                <c:pt idx="129">
                  <c:v>6.6428374668102315</c:v>
                </c:pt>
                <c:pt idx="130">
                  <c:v>-100</c:v>
                </c:pt>
                <c:pt idx="131">
                  <c:v>6.5127399875640046</c:v>
                </c:pt>
                <c:pt idx="132">
                  <c:v>7.9776670727740147</c:v>
                </c:pt>
                <c:pt idx="133">
                  <c:v>5.1339610775702429</c:v>
                </c:pt>
                <c:pt idx="134">
                  <c:v>-100</c:v>
                </c:pt>
                <c:pt idx="135">
                  <c:v>7.3837032509632383</c:v>
                </c:pt>
                <c:pt idx="136">
                  <c:v>5.3047430085761622</c:v>
                </c:pt>
                <c:pt idx="137">
                  <c:v>6.2854180923170961</c:v>
                </c:pt>
                <c:pt idx="138">
                  <c:v>-100</c:v>
                </c:pt>
                <c:pt idx="139">
                  <c:v>7.6879540473197903</c:v>
                </c:pt>
                <c:pt idx="140">
                  <c:v>6.543829838324573</c:v>
                </c:pt>
                <c:pt idx="141">
                  <c:v>7.9965678139291034</c:v>
                </c:pt>
                <c:pt idx="142">
                  <c:v>7.5020049762992</c:v>
                </c:pt>
                <c:pt idx="143">
                  <c:v>5.975922553357675</c:v>
                </c:pt>
                <c:pt idx="144">
                  <c:v>10.960879943249971</c:v>
                </c:pt>
                <c:pt idx="145">
                  <c:v>-100</c:v>
                </c:pt>
                <c:pt idx="146">
                  <c:v>4.3028824426837637</c:v>
                </c:pt>
                <c:pt idx="147">
                  <c:v>5.4470099296431078</c:v>
                </c:pt>
                <c:pt idx="148">
                  <c:v>5.6568946947175407</c:v>
                </c:pt>
                <c:pt idx="149">
                  <c:v>5.9128971370918251</c:v>
                </c:pt>
                <c:pt idx="150">
                  <c:v>6.0760987760545344</c:v>
                </c:pt>
                <c:pt idx="151">
                  <c:v>-100</c:v>
                </c:pt>
                <c:pt idx="152">
                  <c:v>-100</c:v>
                </c:pt>
                <c:pt idx="153">
                  <c:v>5.0338389412814761</c:v>
                </c:pt>
                <c:pt idx="154">
                  <c:v>8.0690829363420189</c:v>
                </c:pt>
                <c:pt idx="155">
                  <c:v>-100</c:v>
                </c:pt>
                <c:pt idx="156">
                  <c:v>8.5291681472863132</c:v>
                </c:pt>
                <c:pt idx="157">
                  <c:v>7.9053748519217208</c:v>
                </c:pt>
                <c:pt idx="158">
                  <c:v>5.1326498919195256</c:v>
                </c:pt>
                <c:pt idx="159">
                  <c:v>6.802552990924096</c:v>
                </c:pt>
                <c:pt idx="160">
                  <c:v>8.2520293922224681</c:v>
                </c:pt>
                <c:pt idx="161">
                  <c:v>5.4255048459892814</c:v>
                </c:pt>
                <c:pt idx="162">
                  <c:v>7.0583046690426814</c:v>
                </c:pt>
                <c:pt idx="163">
                  <c:v>7.3692998765901097</c:v>
                </c:pt>
                <c:pt idx="164">
                  <c:v>6.3278710057231926</c:v>
                </c:pt>
                <c:pt idx="165">
                  <c:v>7.1475226576636715</c:v>
                </c:pt>
                <c:pt idx="166">
                  <c:v>7.7803074086280581</c:v>
                </c:pt>
                <c:pt idx="167">
                  <c:v>-100</c:v>
                </c:pt>
                <c:pt idx="168">
                  <c:v>-100</c:v>
                </c:pt>
                <c:pt idx="169">
                  <c:v>-100</c:v>
                </c:pt>
                <c:pt idx="170">
                  <c:v>-100</c:v>
                </c:pt>
                <c:pt idx="171">
                  <c:v>-100</c:v>
                </c:pt>
                <c:pt idx="172">
                  <c:v>5.3239830190183737</c:v>
                </c:pt>
                <c:pt idx="173">
                  <c:v>-100</c:v>
                </c:pt>
                <c:pt idx="174">
                  <c:v>-100</c:v>
                </c:pt>
                <c:pt idx="175">
                  <c:v>-100</c:v>
                </c:pt>
                <c:pt idx="176">
                  <c:v>7.344898711630262</c:v>
                </c:pt>
                <c:pt idx="177">
                  <c:v>3.9450795463877943</c:v>
                </c:pt>
                <c:pt idx="178">
                  <c:v>7.9896808112987117</c:v>
                </c:pt>
                <c:pt idx="179">
                  <c:v>7.0643508738745506</c:v>
                </c:pt>
                <c:pt idx="180">
                  <c:v>8.4653265179528923</c:v>
                </c:pt>
                <c:pt idx="181">
                  <c:v>-100</c:v>
                </c:pt>
                <c:pt idx="182">
                  <c:v>4.8516759188273317</c:v>
                </c:pt>
                <c:pt idx="183">
                  <c:v>7.5475457319127361</c:v>
                </c:pt>
                <c:pt idx="184">
                  <c:v>7.1741495602656116</c:v>
                </c:pt>
                <c:pt idx="185">
                  <c:v>-100</c:v>
                </c:pt>
                <c:pt idx="186">
                  <c:v>-100</c:v>
                </c:pt>
                <c:pt idx="187">
                  <c:v>-100</c:v>
                </c:pt>
                <c:pt idx="188">
                  <c:v>-100</c:v>
                </c:pt>
                <c:pt idx="189">
                  <c:v>5.862822957090934</c:v>
                </c:pt>
                <c:pt idx="190">
                  <c:v>6.7607655042357386</c:v>
                </c:pt>
                <c:pt idx="191">
                  <c:v>5.6332114039014609</c:v>
                </c:pt>
                <c:pt idx="192">
                  <c:v>7.1443889239584575</c:v>
                </c:pt>
                <c:pt idx="193">
                  <c:v>-100</c:v>
                </c:pt>
                <c:pt idx="194">
                  <c:v>-100</c:v>
                </c:pt>
                <c:pt idx="195">
                  <c:v>6.3865301737721545</c:v>
                </c:pt>
                <c:pt idx="196">
                  <c:v>-100</c:v>
                </c:pt>
                <c:pt idx="197">
                  <c:v>5.2574255964059038</c:v>
                </c:pt>
                <c:pt idx="198">
                  <c:v>7.6631365809158396</c:v>
                </c:pt>
                <c:pt idx="199">
                  <c:v>8.5235431608447367</c:v>
                </c:pt>
              </c:numCache>
            </c:numRef>
          </c:xVal>
          <c:yVal>
            <c:numRef>
              <c:f>Разд.классы!$Q$20:$Q$219</c:f>
              <c:numCache>
                <c:formatCode>General</c:formatCode>
                <c:ptCount val="200"/>
                <c:pt idx="0">
                  <c:v>4.3737836202837901</c:v>
                </c:pt>
                <c:pt idx="1">
                  <c:v>3.6985656236980677</c:v>
                </c:pt>
                <c:pt idx="2">
                  <c:v>-100</c:v>
                </c:pt>
                <c:pt idx="3">
                  <c:v>5.2156402012191645</c:v>
                </c:pt>
                <c:pt idx="4">
                  <c:v>-100</c:v>
                </c:pt>
                <c:pt idx="5">
                  <c:v>5.7357416573609132</c:v>
                </c:pt>
                <c:pt idx="6">
                  <c:v>-100</c:v>
                </c:pt>
                <c:pt idx="7">
                  <c:v>5.5058449212924083</c:v>
                </c:pt>
                <c:pt idx="8">
                  <c:v>4.0902167775673028</c:v>
                </c:pt>
                <c:pt idx="9">
                  <c:v>-100</c:v>
                </c:pt>
                <c:pt idx="10">
                  <c:v>5.4064472150756622</c:v>
                </c:pt>
                <c:pt idx="11">
                  <c:v>4.3793528813352118</c:v>
                </c:pt>
                <c:pt idx="12">
                  <c:v>3.1528993253314601</c:v>
                </c:pt>
                <c:pt idx="13">
                  <c:v>6.0954359389580421</c:v>
                </c:pt>
                <c:pt idx="14">
                  <c:v>-100</c:v>
                </c:pt>
                <c:pt idx="15">
                  <c:v>-100</c:v>
                </c:pt>
                <c:pt idx="16">
                  <c:v>-100</c:v>
                </c:pt>
                <c:pt idx="17">
                  <c:v>-100</c:v>
                </c:pt>
                <c:pt idx="18">
                  <c:v>-100</c:v>
                </c:pt>
                <c:pt idx="19">
                  <c:v>-100</c:v>
                </c:pt>
                <c:pt idx="20">
                  <c:v>4.3442049109856731</c:v>
                </c:pt>
                <c:pt idx="21">
                  <c:v>6.4227439349824564</c:v>
                </c:pt>
                <c:pt idx="22">
                  <c:v>4.4776557475336087</c:v>
                </c:pt>
                <c:pt idx="23">
                  <c:v>4.4103017796383277</c:v>
                </c:pt>
                <c:pt idx="24">
                  <c:v>-100</c:v>
                </c:pt>
                <c:pt idx="25">
                  <c:v>2.0517656158591344</c:v>
                </c:pt>
                <c:pt idx="26">
                  <c:v>2.5342819353230737</c:v>
                </c:pt>
                <c:pt idx="27">
                  <c:v>-100</c:v>
                </c:pt>
                <c:pt idx="28">
                  <c:v>-100</c:v>
                </c:pt>
                <c:pt idx="29">
                  <c:v>6.9429338961556279</c:v>
                </c:pt>
                <c:pt idx="30">
                  <c:v>4.2715701428821289</c:v>
                </c:pt>
                <c:pt idx="31">
                  <c:v>6.1182472913163952</c:v>
                </c:pt>
                <c:pt idx="32">
                  <c:v>4.576351969427221</c:v>
                </c:pt>
                <c:pt idx="33">
                  <c:v>6.4742866429121504</c:v>
                </c:pt>
                <c:pt idx="34">
                  <c:v>4.8725635587628124</c:v>
                </c:pt>
                <c:pt idx="35">
                  <c:v>5.8742389196820461</c:v>
                </c:pt>
                <c:pt idx="36">
                  <c:v>5.5077231947370606</c:v>
                </c:pt>
                <c:pt idx="37">
                  <c:v>6.4817505672288585</c:v>
                </c:pt>
                <c:pt idx="38">
                  <c:v>3.9924187178444317</c:v>
                </c:pt>
                <c:pt idx="39">
                  <c:v>1.8840649711324016</c:v>
                </c:pt>
                <c:pt idx="40">
                  <c:v>4.4364615723521998</c:v>
                </c:pt>
                <c:pt idx="41">
                  <c:v>-100</c:v>
                </c:pt>
                <c:pt idx="42">
                  <c:v>3.6897610120535012</c:v>
                </c:pt>
                <c:pt idx="43">
                  <c:v>5.4668469820759515</c:v>
                </c:pt>
                <c:pt idx="44">
                  <c:v>4.1798559845785856</c:v>
                </c:pt>
                <c:pt idx="45">
                  <c:v>4.8145419547365123</c:v>
                </c:pt>
                <c:pt idx="46">
                  <c:v>5.6685450317437187</c:v>
                </c:pt>
                <c:pt idx="47">
                  <c:v>4.9109403237772424</c:v>
                </c:pt>
                <c:pt idx="48">
                  <c:v>6.3328588806616644</c:v>
                </c:pt>
                <c:pt idx="49">
                  <c:v>2.571054136897438</c:v>
                </c:pt>
                <c:pt idx="50">
                  <c:v>-100</c:v>
                </c:pt>
                <c:pt idx="51">
                  <c:v>4.4150941631917</c:v>
                </c:pt>
                <c:pt idx="52">
                  <c:v>4.6835053387679597</c:v>
                </c:pt>
                <c:pt idx="53">
                  <c:v>5.3136939421439253</c:v>
                </c:pt>
                <c:pt idx="54">
                  <c:v>-100</c:v>
                </c:pt>
                <c:pt idx="55">
                  <c:v>4.8057553718946435</c:v>
                </c:pt>
                <c:pt idx="56">
                  <c:v>5.6929609475421366</c:v>
                </c:pt>
                <c:pt idx="57">
                  <c:v>5.7341075922437064</c:v>
                </c:pt>
                <c:pt idx="58">
                  <c:v>5.0226058107385114</c:v>
                </c:pt>
                <c:pt idx="59">
                  <c:v>5.489687836111445</c:v>
                </c:pt>
                <c:pt idx="60">
                  <c:v>3.5817717618604306</c:v>
                </c:pt>
                <c:pt idx="61">
                  <c:v>4.3634678671767722</c:v>
                </c:pt>
                <c:pt idx="62">
                  <c:v>4.938660427415468</c:v>
                </c:pt>
                <c:pt idx="63">
                  <c:v>3.7439850946389122</c:v>
                </c:pt>
                <c:pt idx="64">
                  <c:v>5.4343000762610227</c:v>
                </c:pt>
                <c:pt idx="65">
                  <c:v>6.9315036352455008</c:v>
                </c:pt>
                <c:pt idx="66">
                  <c:v>6.080622819069065</c:v>
                </c:pt>
                <c:pt idx="67">
                  <c:v>4.2356371001242232</c:v>
                </c:pt>
                <c:pt idx="68">
                  <c:v>2.5091661741835849</c:v>
                </c:pt>
                <c:pt idx="69">
                  <c:v>2.8794056663766079</c:v>
                </c:pt>
                <c:pt idx="70">
                  <c:v>5.4768546065550501</c:v>
                </c:pt>
                <c:pt idx="71">
                  <c:v>2.9599354110795328</c:v>
                </c:pt>
                <c:pt idx="72">
                  <c:v>3.9768778899193054</c:v>
                </c:pt>
                <c:pt idx="73">
                  <c:v>2.4948283590929923</c:v>
                </c:pt>
                <c:pt idx="74">
                  <c:v>-100</c:v>
                </c:pt>
                <c:pt idx="75">
                  <c:v>-100</c:v>
                </c:pt>
                <c:pt idx="76">
                  <c:v>2.6849174988057221</c:v>
                </c:pt>
                <c:pt idx="77">
                  <c:v>-100</c:v>
                </c:pt>
                <c:pt idx="78">
                  <c:v>3.0094195575376013</c:v>
                </c:pt>
                <c:pt idx="79">
                  <c:v>-100</c:v>
                </c:pt>
                <c:pt idx="80">
                  <c:v>3.8778473156847602</c:v>
                </c:pt>
                <c:pt idx="81">
                  <c:v>7.3481230418685186</c:v>
                </c:pt>
                <c:pt idx="82">
                  <c:v>7.3547969768306691</c:v>
                </c:pt>
                <c:pt idx="83">
                  <c:v>-100</c:v>
                </c:pt>
                <c:pt idx="84">
                  <c:v>-100</c:v>
                </c:pt>
                <c:pt idx="85">
                  <c:v>4.910497798620125</c:v>
                </c:pt>
                <c:pt idx="86">
                  <c:v>6.5592973645764019</c:v>
                </c:pt>
                <c:pt idx="87">
                  <c:v>1.711827624054187</c:v>
                </c:pt>
                <c:pt idx="88">
                  <c:v>4.6702738365701588</c:v>
                </c:pt>
                <c:pt idx="89">
                  <c:v>3.3463319884535188</c:v>
                </c:pt>
                <c:pt idx="90">
                  <c:v>5.6293602485720342</c:v>
                </c:pt>
                <c:pt idx="91">
                  <c:v>6.097055253236678</c:v>
                </c:pt>
                <c:pt idx="92">
                  <c:v>5.7951842588361782</c:v>
                </c:pt>
                <c:pt idx="93">
                  <c:v>-100</c:v>
                </c:pt>
                <c:pt idx="94">
                  <c:v>4.0277289474182467</c:v>
                </c:pt>
                <c:pt idx="95">
                  <c:v>4.759239421953386</c:v>
                </c:pt>
                <c:pt idx="96">
                  <c:v>-100</c:v>
                </c:pt>
                <c:pt idx="97">
                  <c:v>-100</c:v>
                </c:pt>
                <c:pt idx="98">
                  <c:v>-100</c:v>
                </c:pt>
                <c:pt idx="99">
                  <c:v>3.3842777011852752</c:v>
                </c:pt>
                <c:pt idx="100">
                  <c:v>-100</c:v>
                </c:pt>
                <c:pt idx="101">
                  <c:v>3.3803474221972505</c:v>
                </c:pt>
                <c:pt idx="102">
                  <c:v>-100</c:v>
                </c:pt>
                <c:pt idx="103">
                  <c:v>0.42975029478288462</c:v>
                </c:pt>
                <c:pt idx="104">
                  <c:v>5.0050703416422317</c:v>
                </c:pt>
                <c:pt idx="105">
                  <c:v>3.7492921185601897</c:v>
                </c:pt>
                <c:pt idx="106">
                  <c:v>4.9977899833166246</c:v>
                </c:pt>
                <c:pt idx="107">
                  <c:v>6.4847466264407476</c:v>
                </c:pt>
                <c:pt idx="108">
                  <c:v>6.1378757405076323</c:v>
                </c:pt>
                <c:pt idx="109">
                  <c:v>-100</c:v>
                </c:pt>
                <c:pt idx="110">
                  <c:v>3.5566953362904634</c:v>
                </c:pt>
                <c:pt idx="111">
                  <c:v>4.896682818807756</c:v>
                </c:pt>
                <c:pt idx="112">
                  <c:v>3.4567961015623183</c:v>
                </c:pt>
                <c:pt idx="113">
                  <c:v>4.5223901239719533</c:v>
                </c:pt>
                <c:pt idx="114">
                  <c:v>-100</c:v>
                </c:pt>
                <c:pt idx="115">
                  <c:v>5.3618767368436568</c:v>
                </c:pt>
                <c:pt idx="116">
                  <c:v>5.183235886843752</c:v>
                </c:pt>
                <c:pt idx="117">
                  <c:v>5.0833087894205287</c:v>
                </c:pt>
                <c:pt idx="118">
                  <c:v>-100</c:v>
                </c:pt>
                <c:pt idx="119">
                  <c:v>4.8525122521992197</c:v>
                </c:pt>
                <c:pt idx="120">
                  <c:v>-100</c:v>
                </c:pt>
                <c:pt idx="121">
                  <c:v>5.5291381343773995</c:v>
                </c:pt>
                <c:pt idx="122">
                  <c:v>5.006283188369145</c:v>
                </c:pt>
                <c:pt idx="123">
                  <c:v>-100</c:v>
                </c:pt>
                <c:pt idx="124">
                  <c:v>-100</c:v>
                </c:pt>
                <c:pt idx="125">
                  <c:v>-100</c:v>
                </c:pt>
                <c:pt idx="126">
                  <c:v>4.6002450499474152</c:v>
                </c:pt>
                <c:pt idx="127">
                  <c:v>5.2015974028999832</c:v>
                </c:pt>
                <c:pt idx="128">
                  <c:v>6.7597874844634465</c:v>
                </c:pt>
                <c:pt idx="129">
                  <c:v>5.1995912888543856</c:v>
                </c:pt>
                <c:pt idx="130">
                  <c:v>-100</c:v>
                </c:pt>
                <c:pt idx="131">
                  <c:v>5.3229607467303692</c:v>
                </c:pt>
                <c:pt idx="132">
                  <c:v>5.464290170057053</c:v>
                </c:pt>
                <c:pt idx="133">
                  <c:v>4.2254655774387846</c:v>
                </c:pt>
                <c:pt idx="134">
                  <c:v>-100</c:v>
                </c:pt>
                <c:pt idx="135">
                  <c:v>4.8393135296426868</c:v>
                </c:pt>
                <c:pt idx="136">
                  <c:v>3.7861495472018509</c:v>
                </c:pt>
                <c:pt idx="137">
                  <c:v>2.3659650333405033</c:v>
                </c:pt>
                <c:pt idx="138">
                  <c:v>-100</c:v>
                </c:pt>
                <c:pt idx="139">
                  <c:v>4.0228791994926558</c:v>
                </c:pt>
                <c:pt idx="140">
                  <c:v>4.4618461265500855</c:v>
                </c:pt>
                <c:pt idx="141">
                  <c:v>5.7589561993068612</c:v>
                </c:pt>
                <c:pt idx="142">
                  <c:v>7.195442028770751</c:v>
                </c:pt>
                <c:pt idx="143">
                  <c:v>3.0031094765935245</c:v>
                </c:pt>
                <c:pt idx="144">
                  <c:v>4.1763518409270439</c:v>
                </c:pt>
                <c:pt idx="145">
                  <c:v>-100</c:v>
                </c:pt>
                <c:pt idx="146">
                  <c:v>3.2553815957915186</c:v>
                </c:pt>
                <c:pt idx="147">
                  <c:v>2.4003049855327876</c:v>
                </c:pt>
                <c:pt idx="148">
                  <c:v>3.1808538034047515</c:v>
                </c:pt>
                <c:pt idx="149">
                  <c:v>4.0144007452787056</c:v>
                </c:pt>
                <c:pt idx="150">
                  <c:v>3.419732161180669</c:v>
                </c:pt>
                <c:pt idx="151">
                  <c:v>-100</c:v>
                </c:pt>
                <c:pt idx="152">
                  <c:v>-100</c:v>
                </c:pt>
                <c:pt idx="153">
                  <c:v>2.9508980639819646</c:v>
                </c:pt>
                <c:pt idx="154">
                  <c:v>4.9127087854236473</c:v>
                </c:pt>
                <c:pt idx="155">
                  <c:v>-100</c:v>
                </c:pt>
                <c:pt idx="156">
                  <c:v>5.725330843294218</c:v>
                </c:pt>
                <c:pt idx="157">
                  <c:v>3.3174826261736134</c:v>
                </c:pt>
                <c:pt idx="158">
                  <c:v>3.7271429149554494</c:v>
                </c:pt>
                <c:pt idx="159">
                  <c:v>3.2040749012789536</c:v>
                </c:pt>
                <c:pt idx="160">
                  <c:v>4.2612789745060624</c:v>
                </c:pt>
                <c:pt idx="161">
                  <c:v>5.1719006868933013</c:v>
                </c:pt>
                <c:pt idx="162">
                  <c:v>2.9709723162944455</c:v>
                </c:pt>
                <c:pt idx="163">
                  <c:v>5.1152591057643804</c:v>
                </c:pt>
                <c:pt idx="164">
                  <c:v>6.2677355673546664</c:v>
                </c:pt>
                <c:pt idx="165">
                  <c:v>4.377900743227042</c:v>
                </c:pt>
                <c:pt idx="166">
                  <c:v>4.9513510655323474</c:v>
                </c:pt>
                <c:pt idx="167">
                  <c:v>-100</c:v>
                </c:pt>
                <c:pt idx="168">
                  <c:v>-100</c:v>
                </c:pt>
                <c:pt idx="169">
                  <c:v>-100</c:v>
                </c:pt>
                <c:pt idx="170">
                  <c:v>-100</c:v>
                </c:pt>
                <c:pt idx="171">
                  <c:v>-100</c:v>
                </c:pt>
                <c:pt idx="172">
                  <c:v>3.4390852613852552</c:v>
                </c:pt>
                <c:pt idx="173">
                  <c:v>-100</c:v>
                </c:pt>
                <c:pt idx="174">
                  <c:v>-100</c:v>
                </c:pt>
                <c:pt idx="175">
                  <c:v>-100</c:v>
                </c:pt>
                <c:pt idx="176">
                  <c:v>6.3916524452398242</c:v>
                </c:pt>
                <c:pt idx="177">
                  <c:v>3.1011238819487641</c:v>
                </c:pt>
                <c:pt idx="178">
                  <c:v>3.5789068212136135</c:v>
                </c:pt>
                <c:pt idx="179">
                  <c:v>4.3492152791534764</c:v>
                </c:pt>
                <c:pt idx="180">
                  <c:v>4.9335812220010018</c:v>
                </c:pt>
                <c:pt idx="181">
                  <c:v>-100</c:v>
                </c:pt>
                <c:pt idx="182">
                  <c:v>3.4938239843385728</c:v>
                </c:pt>
                <c:pt idx="183">
                  <c:v>3.7921105249664242</c:v>
                </c:pt>
                <c:pt idx="184">
                  <c:v>6.7651469558107529</c:v>
                </c:pt>
                <c:pt idx="185">
                  <c:v>-100</c:v>
                </c:pt>
                <c:pt idx="186">
                  <c:v>-100</c:v>
                </c:pt>
                <c:pt idx="187">
                  <c:v>-100</c:v>
                </c:pt>
                <c:pt idx="188">
                  <c:v>-100</c:v>
                </c:pt>
                <c:pt idx="189">
                  <c:v>2.474636100071947</c:v>
                </c:pt>
                <c:pt idx="190">
                  <c:v>4.7333680900826725</c:v>
                </c:pt>
                <c:pt idx="191">
                  <c:v>3.4082232291314987</c:v>
                </c:pt>
                <c:pt idx="192">
                  <c:v>5.5902754433062167</c:v>
                </c:pt>
                <c:pt idx="193">
                  <c:v>-100</c:v>
                </c:pt>
                <c:pt idx="194">
                  <c:v>-100</c:v>
                </c:pt>
                <c:pt idx="195">
                  <c:v>4.3341628678832418</c:v>
                </c:pt>
                <c:pt idx="196">
                  <c:v>-100</c:v>
                </c:pt>
                <c:pt idx="197">
                  <c:v>5.0384908248969502</c:v>
                </c:pt>
                <c:pt idx="198">
                  <c:v>2.3170971441382724</c:v>
                </c:pt>
                <c:pt idx="199">
                  <c:v>3.5632315967592891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FEF-4C5B-9880-4AE3600524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6323856"/>
        <c:axId val="1196319536"/>
      </c:scatterChart>
      <c:scatterChart>
        <c:scatterStyle val="smoothMarker"/>
        <c:varyColors val="0"/>
        <c:ser>
          <c:idx val="2"/>
          <c:order val="2"/>
          <c:tx>
            <c:v>Эпоха 0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(Разд.классы!$AW$19,Разд.классы!$AY$19)</c:f>
              <c:numCache>
                <c:formatCode>General</c:formatCode>
                <c:ptCount val="2"/>
                <c:pt idx="0">
                  <c:v>-5</c:v>
                </c:pt>
                <c:pt idx="1">
                  <c:v>15</c:v>
                </c:pt>
              </c:numCache>
            </c:numRef>
          </c:xVal>
          <c:yVal>
            <c:numRef>
              <c:f>(Разд.классы!$AX$19,Разд.классы!$AZ$19)</c:f>
              <c:numCache>
                <c:formatCode>General</c:formatCode>
                <c:ptCount val="2"/>
                <c:pt idx="0">
                  <c:v>4</c:v>
                </c:pt>
                <c:pt idx="1">
                  <c:v>-16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FEF-4C5B-9880-4AE36005240D}"/>
            </c:ext>
          </c:extLst>
        </c:ser>
        <c:ser>
          <c:idx val="3"/>
          <c:order val="3"/>
          <c:tx>
            <c:v>Эпоха1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(Разд.классы!$AW$20,Разд.классы!$AY$20)</c:f>
              <c:numCache>
                <c:formatCode>General</c:formatCode>
                <c:ptCount val="2"/>
                <c:pt idx="0">
                  <c:v>-5</c:v>
                </c:pt>
                <c:pt idx="1">
                  <c:v>15</c:v>
                </c:pt>
              </c:numCache>
            </c:numRef>
          </c:xVal>
          <c:yVal>
            <c:numRef>
              <c:f>(Разд.классы!$AX$20,Разд.классы!$AZ$20)</c:f>
              <c:numCache>
                <c:formatCode>General</c:formatCode>
                <c:ptCount val="2"/>
                <c:pt idx="0">
                  <c:v>-3.1677488646181602</c:v>
                </c:pt>
                <c:pt idx="1">
                  <c:v>9.4241312242810142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FEF-4C5B-9880-4AE36005240D}"/>
            </c:ext>
          </c:extLst>
        </c:ser>
        <c:ser>
          <c:idx val="4"/>
          <c:order val="4"/>
          <c:tx>
            <c:v>Эпоха5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(Разд.классы!$AW$24,Разд.классы!$AY$24)</c:f>
              <c:numCache>
                <c:formatCode>General</c:formatCode>
                <c:ptCount val="2"/>
                <c:pt idx="0">
                  <c:v>-5</c:v>
                </c:pt>
                <c:pt idx="1">
                  <c:v>15</c:v>
                </c:pt>
              </c:numCache>
            </c:numRef>
          </c:xVal>
          <c:yVal>
            <c:numRef>
              <c:f>(Разд.классы!$AX$24,Разд.классы!$AZ$24)</c:f>
              <c:numCache>
                <c:formatCode>General</c:formatCode>
                <c:ptCount val="2"/>
                <c:pt idx="0">
                  <c:v>-4.1000323007107449</c:v>
                </c:pt>
                <c:pt idx="1">
                  <c:v>12.267910066786888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DFEF-4C5B-9880-4AE36005240D}"/>
            </c:ext>
          </c:extLst>
        </c:ser>
        <c:ser>
          <c:idx val="5"/>
          <c:order val="5"/>
          <c:tx>
            <c:v>Эпоха10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(Разд.классы!$AW$29,Разд.классы!$AY$29)</c:f>
              <c:numCache>
                <c:formatCode>General</c:formatCode>
                <c:ptCount val="2"/>
                <c:pt idx="0">
                  <c:v>-5</c:v>
                </c:pt>
                <c:pt idx="1">
                  <c:v>15</c:v>
                </c:pt>
              </c:numCache>
            </c:numRef>
          </c:xVal>
          <c:yVal>
            <c:numRef>
              <c:f>(Разд.классы!$AX$29,Разд.классы!$AZ$29)</c:f>
              <c:numCache>
                <c:formatCode>General</c:formatCode>
                <c:ptCount val="2"/>
                <c:pt idx="0">
                  <c:v>-5.0606790835956348</c:v>
                </c:pt>
                <c:pt idx="1">
                  <c:v>15.007650273544149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DFEF-4C5B-9880-4AE36005240D}"/>
            </c:ext>
          </c:extLst>
        </c:ser>
        <c:ser>
          <c:idx val="6"/>
          <c:order val="6"/>
          <c:tx>
            <c:v>Поиск решений</c:v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(Разд.классы!$AW$32,Разд.классы!$AY$32)</c:f>
              <c:numCache>
                <c:formatCode>General</c:formatCode>
                <c:ptCount val="2"/>
                <c:pt idx="0">
                  <c:v>0</c:v>
                </c:pt>
                <c:pt idx="1">
                  <c:v>15</c:v>
                </c:pt>
              </c:numCache>
            </c:numRef>
          </c:xVal>
          <c:yVal>
            <c:numRef>
              <c:f>(Разд.классы!$AX$32,Разд.классы!$AZ$32)</c:f>
              <c:numCache>
                <c:formatCode>General</c:formatCode>
                <c:ptCount val="2"/>
                <c:pt idx="0">
                  <c:v>1.3896269980526368E-2</c:v>
                </c:pt>
                <c:pt idx="1">
                  <c:v>14.99515072449096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DFEF-4C5B-9880-4AE36005240D}"/>
            </c:ext>
          </c:extLst>
        </c:ser>
        <c:ser>
          <c:idx val="7"/>
          <c:order val="7"/>
          <c:tx>
            <c:v>НЕВД</c:v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(Разд.классы!$AW$33,Разд.классы!$AY$33)</c:f>
              <c:numCache>
                <c:formatCode>General</c:formatCode>
                <c:ptCount val="2"/>
                <c:pt idx="0">
                  <c:v>0</c:v>
                </c:pt>
                <c:pt idx="1">
                  <c:v>-0.70666453005975116</c:v>
                </c:pt>
              </c:numCache>
            </c:numRef>
          </c:xVal>
          <c:yVal>
            <c:numRef>
              <c:f>(Разд.классы!$AX$33,Разд.классы!$AZ$33)</c:f>
              <c:numCache>
                <c:formatCode>General</c:formatCode>
                <c:ptCount val="2"/>
                <c:pt idx="0">
                  <c:v>0</c:v>
                </c:pt>
                <c:pt idx="1">
                  <c:v>0.70754875588572053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DFEF-4C5B-9880-4AE3600524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6323856"/>
        <c:axId val="1196319536"/>
      </c:scatterChart>
      <c:valAx>
        <c:axId val="1196323856"/>
        <c:scaling>
          <c:orientation val="minMax"/>
          <c:min val="-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96319536"/>
        <c:crosses val="autoZero"/>
        <c:crossBetween val="midCat"/>
      </c:valAx>
      <c:valAx>
        <c:axId val="1196319536"/>
        <c:scaling>
          <c:orientation val="minMax"/>
          <c:max val="20"/>
          <c:min val="-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963238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419100</xdr:colOff>
      <xdr:row>35</xdr:row>
      <xdr:rowOff>114299</xdr:rowOff>
    </xdr:from>
    <xdr:to>
      <xdr:col>44</xdr:col>
      <xdr:colOff>114300</xdr:colOff>
      <xdr:row>48</xdr:row>
      <xdr:rowOff>14286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6422AA9B-00B8-0A05-14B0-E94C937197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37</xdr:col>
      <xdr:colOff>476250</xdr:colOff>
      <xdr:row>48</xdr:row>
      <xdr:rowOff>147636</xdr:rowOff>
    </xdr:from>
    <xdr:to>
      <xdr:col>45</xdr:col>
      <xdr:colOff>514350</xdr:colOff>
      <xdr:row>65</xdr:row>
      <xdr:rowOff>171449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35AC134F-BA83-34B0-B4CE-E0B7E8C107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419100</xdr:colOff>
      <xdr:row>35</xdr:row>
      <xdr:rowOff>114299</xdr:rowOff>
    </xdr:from>
    <xdr:to>
      <xdr:col>44</xdr:col>
      <xdr:colOff>114300</xdr:colOff>
      <xdr:row>48</xdr:row>
      <xdr:rowOff>14286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204D8257-556B-4868-BCD1-F6235CD70A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37</xdr:col>
      <xdr:colOff>476250</xdr:colOff>
      <xdr:row>48</xdr:row>
      <xdr:rowOff>147636</xdr:rowOff>
    </xdr:from>
    <xdr:to>
      <xdr:col>45</xdr:col>
      <xdr:colOff>514350</xdr:colOff>
      <xdr:row>65</xdr:row>
      <xdr:rowOff>171449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FC68CABE-5DBE-4BF8-AA89-4661480B38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419100</xdr:colOff>
      <xdr:row>35</xdr:row>
      <xdr:rowOff>114299</xdr:rowOff>
    </xdr:from>
    <xdr:to>
      <xdr:col>44</xdr:col>
      <xdr:colOff>114300</xdr:colOff>
      <xdr:row>48</xdr:row>
      <xdr:rowOff>14286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20B3B96C-0BCE-4AC7-BC65-573DA0E470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37</xdr:col>
      <xdr:colOff>476250</xdr:colOff>
      <xdr:row>48</xdr:row>
      <xdr:rowOff>147636</xdr:rowOff>
    </xdr:from>
    <xdr:to>
      <xdr:col>45</xdr:col>
      <xdr:colOff>514350</xdr:colOff>
      <xdr:row>65</xdr:row>
      <xdr:rowOff>171449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F15571AE-7194-44C9-88A6-252B96B55C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219075</xdr:colOff>
      <xdr:row>11</xdr:row>
      <xdr:rowOff>61912</xdr:rowOff>
    </xdr:from>
    <xdr:to>
      <xdr:col>24</xdr:col>
      <xdr:colOff>523875</xdr:colOff>
      <xdr:row>25</xdr:row>
      <xdr:rowOff>138112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9B7FAD98-45BE-04D9-3E0F-D31724B557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45</xdr:col>
      <xdr:colOff>503464</xdr:colOff>
      <xdr:row>38</xdr:row>
      <xdr:rowOff>104775</xdr:rowOff>
    </xdr:from>
    <xdr:to>
      <xdr:col>53</xdr:col>
      <xdr:colOff>176892</xdr:colOff>
      <xdr:row>52</xdr:row>
      <xdr:rowOff>180975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80B7D947-6BB3-770A-6465-B4B851B987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40</xdr:col>
      <xdr:colOff>184149</xdr:colOff>
      <xdr:row>31</xdr:row>
      <xdr:rowOff>1881</xdr:rowOff>
    </xdr:from>
    <xdr:to>
      <xdr:col>47</xdr:col>
      <xdr:colOff>238125</xdr:colOff>
      <xdr:row>44</xdr:row>
      <xdr:rowOff>52681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D8B9A724-B852-46DC-AE7B-8C89457CC8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39</xdr:col>
      <xdr:colOff>285750</xdr:colOff>
      <xdr:row>45</xdr:row>
      <xdr:rowOff>66675</xdr:rowOff>
    </xdr:from>
    <xdr:to>
      <xdr:col>47</xdr:col>
      <xdr:colOff>287991</xdr:colOff>
      <xdr:row>62</xdr:row>
      <xdr:rowOff>90488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CC4E4588-F9B4-42A4-916F-6D3E69288B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38</xdr:col>
      <xdr:colOff>201706</xdr:colOff>
      <xdr:row>31</xdr:row>
      <xdr:rowOff>1881</xdr:rowOff>
    </xdr:from>
    <xdr:to>
      <xdr:col>47</xdr:col>
      <xdr:colOff>11206</xdr:colOff>
      <xdr:row>44</xdr:row>
      <xdr:rowOff>52681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5794CA0A-1013-4DFF-9DB2-361AA7140E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39</xdr:col>
      <xdr:colOff>605408</xdr:colOff>
      <xdr:row>61</xdr:row>
      <xdr:rowOff>86434</xdr:rowOff>
    </xdr:from>
    <xdr:to>
      <xdr:col>47</xdr:col>
      <xdr:colOff>294689</xdr:colOff>
      <xdr:row>76</xdr:row>
      <xdr:rowOff>55362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2315E914-0FBA-4E0F-A661-4C270301B0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38</xdr:col>
      <xdr:colOff>156882</xdr:colOff>
      <xdr:row>44</xdr:row>
      <xdr:rowOff>67235</xdr:rowOff>
    </xdr:from>
    <xdr:to>
      <xdr:col>48</xdr:col>
      <xdr:colOff>224117</xdr:colOff>
      <xdr:row>61</xdr:row>
      <xdr:rowOff>91048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4EAE5181-DEE3-4F01-BED6-49376670D1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6:BO224"/>
  <sheetViews>
    <sheetView tabSelected="1" topLeftCell="AA26" zoomScale="85" zoomScaleNormal="85" workbookViewId="0">
      <selection activeCell="AT39" sqref="AT39"/>
    </sheetView>
  </sheetViews>
  <sheetFormatPr defaultRowHeight="15" x14ac:dyDescent="0.25"/>
  <sheetData>
    <row r="6" spans="1:6" x14ac:dyDescent="0.25">
      <c r="A6" s="2">
        <v>1</v>
      </c>
      <c r="B6" s="7" t="s">
        <v>10</v>
      </c>
      <c r="C6" s="3"/>
      <c r="D6" s="3"/>
      <c r="E6" s="3"/>
      <c r="F6" s="1"/>
    </row>
    <row r="7" spans="1:6" x14ac:dyDescent="0.25">
      <c r="A7" s="18" t="s">
        <v>0</v>
      </c>
      <c r="B7" s="18"/>
      <c r="C7">
        <v>6.2074648274178292</v>
      </c>
      <c r="D7" s="1"/>
      <c r="E7" s="1"/>
      <c r="F7" s="1"/>
    </row>
    <row r="8" spans="1:6" x14ac:dyDescent="0.25">
      <c r="A8" s="18" t="s">
        <v>1</v>
      </c>
      <c r="B8" s="18"/>
      <c r="C8">
        <v>14.99938962981048</v>
      </c>
      <c r="D8" s="1"/>
      <c r="E8" s="1"/>
      <c r="F8" s="1"/>
    </row>
    <row r="9" spans="1:6" x14ac:dyDescent="0.25">
      <c r="A9" s="18" t="s">
        <v>2</v>
      </c>
      <c r="B9" s="18"/>
      <c r="C9">
        <v>1.4416638691366312</v>
      </c>
      <c r="D9" s="1"/>
      <c r="E9" s="1"/>
      <c r="F9" s="1"/>
    </row>
    <row r="10" spans="1:6" x14ac:dyDescent="0.25">
      <c r="A10" s="18" t="s">
        <v>3</v>
      </c>
      <c r="B10" s="18"/>
      <c r="C10">
        <v>10.992309335612049</v>
      </c>
      <c r="D10" s="1"/>
      <c r="E10" s="1"/>
      <c r="F10" s="1"/>
    </row>
    <row r="11" spans="1:6" x14ac:dyDescent="0.25">
      <c r="A11" s="37" t="s">
        <v>4</v>
      </c>
      <c r="B11" s="37"/>
      <c r="C11">
        <v>1.8970305490279853</v>
      </c>
    </row>
    <row r="12" spans="1:6" x14ac:dyDescent="0.25">
      <c r="A12" s="37" t="s">
        <v>5</v>
      </c>
      <c r="B12" s="37"/>
      <c r="C12">
        <v>1.8117313150425733</v>
      </c>
    </row>
    <row r="13" spans="1:6" x14ac:dyDescent="0.25">
      <c r="A13" s="37" t="s">
        <v>6</v>
      </c>
      <c r="B13" s="37"/>
      <c r="C13">
        <v>0.50297555467390975</v>
      </c>
    </row>
    <row r="14" spans="1:6" x14ac:dyDescent="0.25">
      <c r="A14" s="37" t="s">
        <v>7</v>
      </c>
      <c r="B14" s="37"/>
      <c r="C14">
        <v>0.70082399975499998</v>
      </c>
      <c r="D14" s="10"/>
    </row>
    <row r="15" spans="1:6" x14ac:dyDescent="0.25">
      <c r="A15" s="37" t="s">
        <v>8</v>
      </c>
      <c r="B15" s="37"/>
      <c r="C15">
        <v>9.4762718588824129</v>
      </c>
    </row>
    <row r="16" spans="1:6" x14ac:dyDescent="0.25">
      <c r="A16" s="37" t="s">
        <v>9</v>
      </c>
      <c r="B16" s="37"/>
      <c r="C16">
        <v>20.149357585375501</v>
      </c>
    </row>
    <row r="17" spans="1:67" x14ac:dyDescent="0.25">
      <c r="A17" s="17"/>
      <c r="B17" s="17"/>
    </row>
    <row r="19" spans="1:67" x14ac:dyDescent="0.25">
      <c r="AE19" s="13">
        <v>6</v>
      </c>
      <c r="AF19" s="12" t="s">
        <v>43</v>
      </c>
      <c r="AH19" s="13">
        <v>8</v>
      </c>
      <c r="AI19" s="36" t="s">
        <v>47</v>
      </c>
      <c r="AJ19" s="36"/>
      <c r="AK19" s="36"/>
      <c r="AM19" s="13">
        <v>7</v>
      </c>
      <c r="AN19" s="36" t="s">
        <v>14</v>
      </c>
      <c r="AO19" s="36"/>
      <c r="AP19" s="36"/>
      <c r="AQ19" s="36"/>
      <c r="AS19" s="13">
        <v>9</v>
      </c>
      <c r="AT19" s="36" t="s">
        <v>52</v>
      </c>
      <c r="AU19" s="36"/>
      <c r="AV19" s="36"/>
      <c r="AW19" s="36"/>
      <c r="AY19" s="13">
        <v>10</v>
      </c>
      <c r="AZ19" s="36" t="s">
        <v>11</v>
      </c>
      <c r="BA19" s="36"/>
      <c r="BB19" s="36"/>
      <c r="BC19" s="36"/>
      <c r="BE19" s="13">
        <v>11</v>
      </c>
      <c r="BF19" s="36" t="s">
        <v>54</v>
      </c>
      <c r="BG19" s="36"/>
      <c r="BH19" s="36"/>
      <c r="BI19" s="36"/>
      <c r="BK19" s="13">
        <v>12</v>
      </c>
      <c r="BL19" s="36" t="s">
        <v>55</v>
      </c>
      <c r="BM19" s="36"/>
      <c r="BN19" s="36"/>
      <c r="BO19" s="36"/>
    </row>
    <row r="20" spans="1:67" x14ac:dyDescent="0.25">
      <c r="A20" s="9">
        <v>2</v>
      </c>
      <c r="B20" s="36" t="s">
        <v>11</v>
      </c>
      <c r="C20" s="36"/>
      <c r="D20" s="36"/>
      <c r="E20" s="36"/>
      <c r="G20" s="13">
        <v>3</v>
      </c>
      <c r="H20" s="36" t="s">
        <v>12</v>
      </c>
      <c r="I20" s="36"/>
      <c r="J20" s="36"/>
      <c r="K20" s="36"/>
      <c r="M20" s="13">
        <v>4</v>
      </c>
      <c r="N20" s="36" t="s">
        <v>13</v>
      </c>
      <c r="O20" s="36"/>
      <c r="P20" s="36"/>
      <c r="Q20" s="36"/>
      <c r="S20" s="13">
        <v>5</v>
      </c>
      <c r="T20" s="36" t="s">
        <v>14</v>
      </c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10" t="s">
        <v>44</v>
      </c>
      <c r="AF20" s="10">
        <f>SUM(AF23:AF222)</f>
        <v>0</v>
      </c>
      <c r="AH20" s="10"/>
      <c r="AI20" s="10"/>
      <c r="AJ20" s="10" t="s">
        <v>48</v>
      </c>
      <c r="AK20" s="10">
        <f>SUMXMY2(K23:K222,AH25:AH224)</f>
        <v>48</v>
      </c>
      <c r="AM20" t="s">
        <v>50</v>
      </c>
      <c r="AN20" t="s">
        <v>51</v>
      </c>
      <c r="AO20" t="s">
        <v>23</v>
      </c>
      <c r="AP20" t="s">
        <v>24</v>
      </c>
      <c r="AQ20" t="s">
        <v>25</v>
      </c>
      <c r="AS20" t="s">
        <v>50</v>
      </c>
      <c r="AT20" t="s">
        <v>30</v>
      </c>
      <c r="AU20" t="s">
        <v>31</v>
      </c>
      <c r="AV20" t="s">
        <v>30</v>
      </c>
      <c r="AW20" t="s">
        <v>31</v>
      </c>
      <c r="AY20" s="10"/>
      <c r="AZ20" s="10" t="s">
        <v>15</v>
      </c>
      <c r="BA20" s="38" t="s">
        <v>53</v>
      </c>
      <c r="BB20" s="38"/>
      <c r="BC20" s="38"/>
      <c r="BE20" s="10"/>
      <c r="BF20" s="10"/>
      <c r="BG20" s="10"/>
      <c r="BH20" s="10"/>
      <c r="BI20" s="10" t="s">
        <v>17</v>
      </c>
      <c r="BK20" s="10"/>
      <c r="BL20" s="10"/>
      <c r="BM20" s="10" t="s">
        <v>44</v>
      </c>
      <c r="BN20" s="10">
        <f>SUM(BN22:BN81)</f>
        <v>32</v>
      </c>
      <c r="BO20" s="10"/>
    </row>
    <row r="21" spans="1:67" x14ac:dyDescent="0.25">
      <c r="A21" s="8"/>
      <c r="B21" s="8" t="s">
        <v>15</v>
      </c>
      <c r="C21" s="38" t="s">
        <v>40</v>
      </c>
      <c r="D21" s="38"/>
      <c r="E21" s="38"/>
      <c r="G21" s="10"/>
      <c r="H21" s="10"/>
      <c r="I21" s="10"/>
      <c r="J21" s="10"/>
      <c r="K21" s="10" t="s">
        <v>17</v>
      </c>
      <c r="M21" s="10"/>
      <c r="N21" s="38" t="s">
        <v>18</v>
      </c>
      <c r="O21" s="38"/>
      <c r="P21" s="38" t="s">
        <v>19</v>
      </c>
      <c r="Q21" s="38"/>
      <c r="X21" t="s">
        <v>22</v>
      </c>
      <c r="AB21" t="s">
        <v>23</v>
      </c>
      <c r="AC21" t="s">
        <v>24</v>
      </c>
      <c r="AD21" t="s">
        <v>25</v>
      </c>
      <c r="AE21" s="10" t="s">
        <v>20</v>
      </c>
      <c r="AF21" s="10"/>
      <c r="AH21" s="10">
        <v>62.291715794663965</v>
      </c>
      <c r="AI21" s="10">
        <v>-7.2665603483242673</v>
      </c>
      <c r="AJ21" s="10">
        <v>0.63165453239221836</v>
      </c>
      <c r="AK21" s="10"/>
      <c r="AM21">
        <v>0</v>
      </c>
      <c r="AO21" s="10">
        <f>AB22</f>
        <v>0.1</v>
      </c>
      <c r="AP21" s="10">
        <f t="shared" ref="AP21:AQ21" si="0">AC22</f>
        <v>0.1</v>
      </c>
      <c r="AQ21" s="10">
        <f t="shared" si="0"/>
        <v>0.1</v>
      </c>
      <c r="AS21">
        <v>0</v>
      </c>
      <c r="AT21">
        <v>-5</v>
      </c>
      <c r="AU21">
        <f>-AO21/AQ21-AP21/AQ21*AT21</f>
        <v>4</v>
      </c>
      <c r="AV21">
        <v>15</v>
      </c>
      <c r="AW21">
        <f>-AO21/AQ21-AP21/AQ21*AV21</f>
        <v>-16</v>
      </c>
      <c r="AZ21">
        <v>0</v>
      </c>
      <c r="BA21" t="s">
        <v>26</v>
      </c>
      <c r="BB21" t="s">
        <v>27</v>
      </c>
      <c r="BC21" t="s">
        <v>28</v>
      </c>
      <c r="BF21" t="s">
        <v>29</v>
      </c>
      <c r="BG21" t="s">
        <v>30</v>
      </c>
      <c r="BH21" t="s">
        <v>31</v>
      </c>
      <c r="BI21" t="s">
        <v>32</v>
      </c>
      <c r="BK21" t="s">
        <v>33</v>
      </c>
      <c r="BL21" t="s">
        <v>34</v>
      </c>
      <c r="BM21" t="s">
        <v>35</v>
      </c>
      <c r="BN21" t="s">
        <v>36</v>
      </c>
    </row>
    <row r="22" spans="1:67" x14ac:dyDescent="0.25">
      <c r="A22" s="1"/>
      <c r="B22" s="1">
        <v>0</v>
      </c>
      <c r="C22" s="1" t="s">
        <v>26</v>
      </c>
      <c r="D22" s="1" t="s">
        <v>27</v>
      </c>
      <c r="E22" s="1" t="s">
        <v>28</v>
      </c>
      <c r="F22" s="1"/>
      <c r="H22" t="s">
        <v>29</v>
      </c>
      <c r="I22" t="s">
        <v>30</v>
      </c>
      <c r="J22" t="s">
        <v>31</v>
      </c>
      <c r="K22" t="s">
        <v>32</v>
      </c>
      <c r="N22" t="s">
        <v>30</v>
      </c>
      <c r="O22" t="s">
        <v>31</v>
      </c>
      <c r="P22" t="s">
        <v>30</v>
      </c>
      <c r="Q22" t="s">
        <v>31</v>
      </c>
      <c r="S22" t="s">
        <v>33</v>
      </c>
      <c r="T22" t="s">
        <v>41</v>
      </c>
      <c r="U22" t="s">
        <v>42</v>
      </c>
      <c r="V22" t="s">
        <v>36</v>
      </c>
      <c r="Y22" t="s">
        <v>37</v>
      </c>
      <c r="Z22" t="s">
        <v>38</v>
      </c>
      <c r="AA22" t="s">
        <v>39</v>
      </c>
      <c r="AB22">
        <v>0.1</v>
      </c>
      <c r="AC22">
        <v>0.1</v>
      </c>
      <c r="AD22">
        <v>0.1</v>
      </c>
      <c r="AE22" s="10" t="s">
        <v>45</v>
      </c>
      <c r="AF22" s="10" t="s">
        <v>46</v>
      </c>
      <c r="AH22" s="10" t="s">
        <v>23</v>
      </c>
      <c r="AI22" s="10" t="s">
        <v>24</v>
      </c>
      <c r="AJ22" s="10" t="s">
        <v>25</v>
      </c>
      <c r="AK22" s="10"/>
      <c r="AM22">
        <v>1</v>
      </c>
      <c r="AN22">
        <f>X42</f>
        <v>3</v>
      </c>
      <c r="AO22">
        <f>AB42</f>
        <v>-0.600823999755</v>
      </c>
      <c r="AP22" s="10">
        <f t="shared" ref="AP22:AQ22" si="1">AC42</f>
        <v>-10.143660466611575</v>
      </c>
      <c r="AQ22" s="10">
        <f t="shared" si="1"/>
        <v>4.5867160440106778</v>
      </c>
      <c r="AS22">
        <v>1</v>
      </c>
      <c r="AT22" s="10">
        <v>-5</v>
      </c>
      <c r="AU22" s="10">
        <f>-AO22/AQ22-AP22/AQ22*AT22</f>
        <v>-10.926658169464437</v>
      </c>
      <c r="AV22" s="10">
        <v>15</v>
      </c>
      <c r="AW22" s="10">
        <f t="shared" ref="AW22:AW31" si="2">-AO22/AQ22-AP22/AQ22*AV22</f>
        <v>33.30394328604595</v>
      </c>
      <c r="AZ22">
        <v>1</v>
      </c>
      <c r="BA22">
        <v>-0.84210114437155426</v>
      </c>
      <c r="BB22">
        <v>-0.97393694886704907</v>
      </c>
      <c r="BC22">
        <v>0.57786797692800684</v>
      </c>
      <c r="BF22">
        <v>1</v>
      </c>
      <c r="BG22" s="10">
        <f>IF(BI22=1, BA22*$C$9+$C$7,BA22*$C$12+$C$10)</f>
        <v>9.4666483219209177</v>
      </c>
      <c r="BH22" s="10">
        <f>IF(BJ22=1, BB22*$C$9+$C$8,BB22*$C$12+$C$11)</f>
        <v>0.13251847988853505</v>
      </c>
      <c r="BI22" s="10">
        <f>IF(BC22&lt;$C$13,1,-1)</f>
        <v>-1</v>
      </c>
      <c r="BK22">
        <f>SUMPRODUCT(BF22:BH22,$AO$31:$AQ$31)</f>
        <v>-111.95011286984665</v>
      </c>
      <c r="BL22">
        <f>IF(BK22&gt;=0,1,-1)</f>
        <v>-1</v>
      </c>
      <c r="BM22">
        <f>(BL22-BI22)/2</f>
        <v>0</v>
      </c>
      <c r="BN22">
        <f>IF(BM22&lt;&gt;0,1,0)</f>
        <v>0</v>
      </c>
    </row>
    <row r="23" spans="1:67" x14ac:dyDescent="0.25">
      <c r="B23">
        <v>1</v>
      </c>
      <c r="C23">
        <v>1.0032408681581728</v>
      </c>
      <c r="D23">
        <v>0.53347093853517435</v>
      </c>
      <c r="E23">
        <v>0.59883419293801687</v>
      </c>
      <c r="H23">
        <v>1</v>
      </c>
      <c r="I23" s="10">
        <f>IF(K23=1, C23*$C$9+$C$7,C23*$C$12+$C$10)</f>
        <v>7.6538009390827337</v>
      </c>
      <c r="J23" s="10">
        <f>IF(K23=1, D23*$C$9+$C$8,D23*$C$12+$C$11)</f>
        <v>15.768475407131049</v>
      </c>
      <c r="K23">
        <f>IF(E23&lt;$C$14,1,-1)</f>
        <v>1</v>
      </c>
      <c r="N23" s="10">
        <f>IF($K23=1,I23,-100)</f>
        <v>7.6538009390827337</v>
      </c>
      <c r="O23" s="10">
        <f>IF($K23=1,J23,-100)</f>
        <v>15.768475407131049</v>
      </c>
      <c r="P23" s="10">
        <f>IF($K23=-1,I23,-100)</f>
        <v>-100</v>
      </c>
      <c r="Q23" s="10">
        <f>IF($K23=-1,J23,-100)</f>
        <v>-100</v>
      </c>
      <c r="S23" s="12">
        <f>SUMPRODUCT(H23:J23,AB22:AD22)</f>
        <v>2.4422276346213785</v>
      </c>
      <c r="T23" s="12">
        <f>IF(S23&gt;=0,1,-1)</f>
        <v>1</v>
      </c>
      <c r="U23" s="12">
        <f>(K23-T23)/2</f>
        <v>0</v>
      </c>
      <c r="V23" s="12">
        <f>IF(U23&lt;&gt;0,1,0)</f>
        <v>0</v>
      </c>
      <c r="W23" s="12"/>
      <c r="X23" s="12"/>
      <c r="Y23">
        <f>IF($U23=0,0,$C$14*($U23)*H23)</f>
        <v>0</v>
      </c>
      <c r="Z23" s="10">
        <f t="shared" ref="Z23:AA38" si="3">IF($U23=0,0,$C$14*($U23)*I23)</f>
        <v>0</v>
      </c>
      <c r="AA23" s="10">
        <f t="shared" si="3"/>
        <v>0</v>
      </c>
      <c r="AB23" s="10">
        <f>IF($U23=0,AB22,AB22+$C$14*($U23)*H23)</f>
        <v>0.1</v>
      </c>
      <c r="AC23" s="10">
        <f t="shared" ref="AC23:AD38" si="4">IF($U23=0,AC22,AC22+$C$14*($U23)*I23)</f>
        <v>0.1</v>
      </c>
      <c r="AD23" s="10">
        <f t="shared" si="4"/>
        <v>0.1</v>
      </c>
      <c r="AE23">
        <f>IF(SUMPRODUCT(H23:J23,$AO$31:$AQ$31)&gt;=0,1,-1)</f>
        <v>1</v>
      </c>
      <c r="AF23">
        <f>IF(K23=AE23,0,1)</f>
        <v>0</v>
      </c>
      <c r="AH23" s="10"/>
      <c r="AI23" s="10" t="s">
        <v>44</v>
      </c>
      <c r="AJ23" s="10">
        <f>SUM(AJ25:AJ224)</f>
        <v>12</v>
      </c>
      <c r="AM23">
        <v>2</v>
      </c>
      <c r="AN23" s="10">
        <f>X62</f>
        <v>2</v>
      </c>
      <c r="AO23">
        <f>AB62</f>
        <v>-0.600823999755</v>
      </c>
      <c r="AP23" s="10">
        <f t="shared" ref="AP23:AQ23" si="5">AC62</f>
        <v>-11.934914502824579</v>
      </c>
      <c r="AQ23" s="10">
        <f t="shared" si="5"/>
        <v>12.332992966090206</v>
      </c>
      <c r="AS23">
        <v>2</v>
      </c>
      <c r="AT23" s="10">
        <v>-5</v>
      </c>
      <c r="AU23" s="10">
        <f>-AO23/AQ23-AP23/AQ23*AT23</f>
        <v>-4.7898955814531208</v>
      </c>
      <c r="AV23" s="10">
        <v>15</v>
      </c>
      <c r="AW23" s="10">
        <f t="shared" si="2"/>
        <v>14.564553959935331</v>
      </c>
      <c r="AZ23" s="10">
        <v>2</v>
      </c>
      <c r="BA23">
        <v>0.50789140004781075</v>
      </c>
      <c r="BB23">
        <v>-0.84482962847687304</v>
      </c>
      <c r="BC23">
        <v>0.51213110751670887</v>
      </c>
      <c r="BF23" s="10">
        <v>1</v>
      </c>
      <c r="BG23" s="10">
        <f t="shared" ref="BG23:BG81" si="6">IF(BI23=1, BA23*$C$9+$C$7,BA23*$C$12+$C$10)</f>
        <v>11.912472089719483</v>
      </c>
      <c r="BH23" s="10">
        <f t="shared" ref="BH23:BH81" si="7">IF(BJ23=1, BB23*$C$9+$C$8,BB23*$C$12+$C$11)</f>
        <v>0.36642625524065142</v>
      </c>
      <c r="BI23" s="10">
        <f t="shared" ref="BI23:BI81" si="8">IF(BC23&lt;$C$13,1,-1)</f>
        <v>-1</v>
      </c>
      <c r="BK23" s="10">
        <f t="shared" ref="BK23:BK81" si="9">SUMPRODUCT(BF23:BH23,$AO$31:$AQ$31)</f>
        <v>-138.25602747936733</v>
      </c>
      <c r="BL23" s="10">
        <f t="shared" ref="BL23:BL81" si="10">IF(BK23&gt;=0,1,-1)</f>
        <v>-1</v>
      </c>
      <c r="BM23" s="10">
        <f t="shared" ref="BM23:BM81" si="11">(BL23-BI23)/2</f>
        <v>0</v>
      </c>
      <c r="BN23" s="10">
        <f t="shared" ref="BN23:BN81" si="12">IF(BM23&lt;&gt;0,1,0)</f>
        <v>0</v>
      </c>
    </row>
    <row r="24" spans="1:67" x14ac:dyDescent="0.25">
      <c r="B24">
        <v>2</v>
      </c>
      <c r="C24">
        <v>-0.65074118538177572</v>
      </c>
      <c r="D24">
        <v>-0.64536152422078885</v>
      </c>
      <c r="E24">
        <v>0.68312631611072117</v>
      </c>
      <c r="H24">
        <v>1</v>
      </c>
      <c r="I24" s="10">
        <f t="shared" ref="I24:I87" si="13">IF(K24=1, C24*$C$9+$C$7,C24*$C$12+$C$10)</f>
        <v>5.2693147722937805</v>
      </c>
      <c r="J24" s="10">
        <f t="shared" ref="J24:J87" si="14">IF(K24=1, D24*$C$9+$C$8,D24*$C$12+$C$11)</f>
        <v>14.068995237810423</v>
      </c>
      <c r="K24" s="10">
        <f t="shared" ref="K24:K87" si="15">IF(E24&lt;$C$14,1,-1)</f>
        <v>1</v>
      </c>
      <c r="N24" s="10">
        <f t="shared" ref="N24:N87" si="16">IF($K24=1,I24,-100)</f>
        <v>5.2693147722937805</v>
      </c>
      <c r="O24" s="10">
        <f t="shared" ref="O24:O87" si="17">IF($K24=1,J24,-100)</f>
        <v>14.068995237810423</v>
      </c>
      <c r="P24" s="10">
        <f t="shared" ref="P24:P87" si="18">IF($K24=-1,I24,-100)</f>
        <v>-100</v>
      </c>
      <c r="Q24" s="10">
        <f t="shared" ref="Q24:Q87" si="19">IF($K24=-1,J24,-100)</f>
        <v>-100</v>
      </c>
      <c r="S24" s="10">
        <f t="shared" ref="S24:S87" si="20">SUMPRODUCT(H24:J24,AB23:AD23)</f>
        <v>2.0338310010104204</v>
      </c>
      <c r="T24" s="10">
        <f t="shared" ref="T24:T87" si="21">IF(S24&gt;=0,1,-1)</f>
        <v>1</v>
      </c>
      <c r="U24" s="10">
        <f t="shared" ref="U24:U87" si="22">(K24-T24)/2</f>
        <v>0</v>
      </c>
      <c r="V24" s="10">
        <f t="shared" ref="V24:V87" si="23">IF(U24&lt;&gt;0,1,0)</f>
        <v>0</v>
      </c>
      <c r="Y24" s="10">
        <f t="shared" ref="Y24:Y87" si="24">IF($U24=0,0,$C$14*($U24)*H24)</f>
        <v>0</v>
      </c>
      <c r="Z24" s="10">
        <f t="shared" ref="Z24:AA87" si="25">IF($U24=0,0,$C$14*($U24)*I24)</f>
        <v>0</v>
      </c>
      <c r="AA24" s="10">
        <f t="shared" si="3"/>
        <v>0</v>
      </c>
      <c r="AB24" s="10">
        <f t="shared" ref="AB24:AD87" si="26">IF($U24=0,AB23,AB23+$C$14*($U24)*H24)</f>
        <v>0.1</v>
      </c>
      <c r="AC24" s="10">
        <f t="shared" si="4"/>
        <v>0.1</v>
      </c>
      <c r="AD24" s="10">
        <f t="shared" si="4"/>
        <v>0.1</v>
      </c>
      <c r="AE24" s="10">
        <f t="shared" ref="AE24:AE87" si="27">IF(SUMPRODUCT(H24:J24,$AO$31:$AQ$31)&gt;=0,1,-1)</f>
        <v>1</v>
      </c>
      <c r="AF24" s="10">
        <f t="shared" ref="AF24:AF87" si="28">IF(K24=AE24,0,1)</f>
        <v>0</v>
      </c>
      <c r="AH24" s="10" t="s">
        <v>49</v>
      </c>
      <c r="AI24" s="10" t="s">
        <v>43</v>
      </c>
      <c r="AJ24" s="10" t="s">
        <v>36</v>
      </c>
      <c r="AM24">
        <v>3</v>
      </c>
      <c r="AN24" s="10">
        <f>X82</f>
        <v>0</v>
      </c>
      <c r="AO24">
        <f>AB82</f>
        <v>-0.600823999755</v>
      </c>
      <c r="AP24" s="10">
        <f t="shared" ref="AP24:AQ24" si="29">AC82</f>
        <v>-11.934914502824579</v>
      </c>
      <c r="AQ24" s="10">
        <f t="shared" si="29"/>
        <v>12.332992966090206</v>
      </c>
      <c r="AS24">
        <v>3</v>
      </c>
      <c r="AT24" s="10">
        <v>-5</v>
      </c>
      <c r="AU24" s="10">
        <f t="shared" ref="AU24:AU31" si="30">-AO24/AQ24-AP24/AQ24*AT24</f>
        <v>-4.7898955814531208</v>
      </c>
      <c r="AV24" s="10">
        <v>15</v>
      </c>
      <c r="AW24" s="10">
        <f t="shared" si="2"/>
        <v>14.564553959935331</v>
      </c>
      <c r="AZ24" s="10">
        <v>3</v>
      </c>
      <c r="BA24">
        <v>0.8679012353240978</v>
      </c>
      <c r="BB24">
        <v>1.3706767276744358</v>
      </c>
      <c r="BC24">
        <v>0.69139683217871639</v>
      </c>
      <c r="BF24" s="10">
        <v>1</v>
      </c>
      <c r="BG24" s="10">
        <f t="shared" si="6"/>
        <v>12.56471318201285</v>
      </c>
      <c r="BH24" s="10">
        <f t="shared" si="7"/>
        <v>4.3803284993558425</v>
      </c>
      <c r="BI24" s="10">
        <f t="shared" si="8"/>
        <v>-1</v>
      </c>
      <c r="BK24" s="10">
        <f t="shared" si="9"/>
        <v>-96.537041007871238</v>
      </c>
      <c r="BL24" s="10">
        <f t="shared" si="10"/>
        <v>-1</v>
      </c>
      <c r="BM24" s="10">
        <f t="shared" si="11"/>
        <v>0</v>
      </c>
      <c r="BN24" s="10">
        <f t="shared" si="12"/>
        <v>0</v>
      </c>
    </row>
    <row r="25" spans="1:67" x14ac:dyDescent="0.25">
      <c r="B25" s="10">
        <v>3</v>
      </c>
      <c r="C25">
        <v>6.4724190451670438E-2</v>
      </c>
      <c r="D25">
        <v>0.27940927793679293</v>
      </c>
      <c r="E25">
        <v>0.97668385876033814</v>
      </c>
      <c r="H25" s="10">
        <v>1</v>
      </c>
      <c r="I25" s="10">
        <f t="shared" si="13"/>
        <v>11.109572178294119</v>
      </c>
      <c r="J25" s="10">
        <f t="shared" si="14"/>
        <v>2.4032450875795073</v>
      </c>
      <c r="K25" s="10">
        <f t="shared" si="15"/>
        <v>-1</v>
      </c>
      <c r="N25" s="10">
        <f t="shared" si="16"/>
        <v>-100</v>
      </c>
      <c r="O25" s="10">
        <f t="shared" si="17"/>
        <v>-100</v>
      </c>
      <c r="P25" s="10">
        <f t="shared" si="18"/>
        <v>11.109572178294119</v>
      </c>
      <c r="Q25" s="10">
        <f t="shared" si="19"/>
        <v>2.4032450875795073</v>
      </c>
      <c r="S25" s="10">
        <f t="shared" si="20"/>
        <v>1.451281726587363</v>
      </c>
      <c r="T25" s="10">
        <f t="shared" si="21"/>
        <v>1</v>
      </c>
      <c r="U25" s="10">
        <f t="shared" si="22"/>
        <v>-1</v>
      </c>
      <c r="V25" s="10">
        <f t="shared" si="23"/>
        <v>1</v>
      </c>
      <c r="Y25" s="10">
        <f t="shared" si="24"/>
        <v>-0.70082399975499998</v>
      </c>
      <c r="Z25" s="10">
        <f t="shared" si="25"/>
        <v>-7.7858548095589519</v>
      </c>
      <c r="AA25" s="10">
        <f t="shared" si="3"/>
        <v>-1.6842518346690256</v>
      </c>
      <c r="AB25" s="10">
        <f t="shared" si="26"/>
        <v>-0.600823999755</v>
      </c>
      <c r="AC25" s="10">
        <f t="shared" si="4"/>
        <v>-7.6858548095589523</v>
      </c>
      <c r="AD25" s="10">
        <f t="shared" si="4"/>
        <v>-1.5842518346690255</v>
      </c>
      <c r="AE25" s="10">
        <f t="shared" si="27"/>
        <v>-1</v>
      </c>
      <c r="AF25" s="10">
        <f t="shared" si="28"/>
        <v>0</v>
      </c>
      <c r="AH25" s="10">
        <f>IF(SUMPRODUCT(H23:J23,$AH$21:$AJ$21)&gt;=0,1,-1)</f>
        <v>1</v>
      </c>
      <c r="AI25">
        <f>(K23-AH25)/2</f>
        <v>0</v>
      </c>
      <c r="AJ25">
        <f>IF(AI25&lt;&gt;0,1,0)</f>
        <v>0</v>
      </c>
      <c r="AM25">
        <v>4</v>
      </c>
      <c r="AN25" s="10">
        <f>X102</f>
        <v>0</v>
      </c>
      <c r="AO25">
        <f>AB102</f>
        <v>-0.600823999755</v>
      </c>
      <c r="AP25" s="10">
        <f t="shared" ref="AP25:AQ25" si="31">AC102</f>
        <v>-11.934914502824579</v>
      </c>
      <c r="AQ25" s="10">
        <f t="shared" si="31"/>
        <v>12.332992966090206</v>
      </c>
      <c r="AS25">
        <v>4</v>
      </c>
      <c r="AT25" s="10">
        <v>-5</v>
      </c>
      <c r="AU25" s="10">
        <f t="shared" si="30"/>
        <v>-4.7898955814531208</v>
      </c>
      <c r="AV25" s="10">
        <v>15</v>
      </c>
      <c r="AW25" s="10">
        <f t="shared" si="2"/>
        <v>14.564553959935331</v>
      </c>
      <c r="AZ25" s="10">
        <v>4</v>
      </c>
      <c r="BA25">
        <v>-0.26504039851715788</v>
      </c>
      <c r="BB25">
        <v>-0.68584085965994745</v>
      </c>
      <c r="BC25">
        <v>0.64839625232703635</v>
      </c>
      <c r="BF25" s="10">
        <v>1</v>
      </c>
      <c r="BG25" s="10">
        <f t="shared" si="6"/>
        <v>10.512127345867151</v>
      </c>
      <c r="BH25" s="10">
        <f t="shared" si="7"/>
        <v>0.65447118644633973</v>
      </c>
      <c r="BI25" s="10">
        <f t="shared" si="8"/>
        <v>-1</v>
      </c>
      <c r="BK25" s="10">
        <f t="shared" si="9"/>
        <v>-117.99057657653229</v>
      </c>
      <c r="BL25" s="10">
        <f t="shared" si="10"/>
        <v>-1</v>
      </c>
      <c r="BM25" s="10">
        <f t="shared" si="11"/>
        <v>0</v>
      </c>
      <c r="BN25" s="10">
        <f t="shared" si="12"/>
        <v>0</v>
      </c>
    </row>
    <row r="26" spans="1:67" x14ac:dyDescent="0.25">
      <c r="B26" s="10">
        <v>4</v>
      </c>
      <c r="C26">
        <v>-1.2241571312188171</v>
      </c>
      <c r="D26">
        <v>0.35455514080240391</v>
      </c>
      <c r="E26">
        <v>0.89748832667012546</v>
      </c>
      <c r="H26" s="10">
        <v>1</v>
      </c>
      <c r="I26" s="10">
        <f t="shared" si="13"/>
        <v>8.7744655264502374</v>
      </c>
      <c r="J26" s="10">
        <f t="shared" si="14"/>
        <v>2.5393892005290293</v>
      </c>
      <c r="K26" s="10">
        <f t="shared" si="15"/>
        <v>-1</v>
      </c>
      <c r="N26" s="10">
        <f t="shared" si="16"/>
        <v>-100</v>
      </c>
      <c r="O26" s="10">
        <f t="shared" si="17"/>
        <v>-100</v>
      </c>
      <c r="P26" s="10">
        <f t="shared" si="18"/>
        <v>8.7744655264502374</v>
      </c>
      <c r="Q26" s="10">
        <f t="shared" si="19"/>
        <v>2.5393892005290293</v>
      </c>
      <c r="S26" s="10">
        <f t="shared" si="20"/>
        <v>-72.063124067408594</v>
      </c>
      <c r="T26" s="10">
        <f t="shared" si="21"/>
        <v>-1</v>
      </c>
      <c r="U26" s="10">
        <f t="shared" si="22"/>
        <v>0</v>
      </c>
      <c r="V26" s="10">
        <f t="shared" si="23"/>
        <v>0</v>
      </c>
      <c r="Y26" s="10">
        <f t="shared" si="24"/>
        <v>0</v>
      </c>
      <c r="Z26" s="10">
        <f t="shared" si="25"/>
        <v>0</v>
      </c>
      <c r="AA26" s="10">
        <f t="shared" si="3"/>
        <v>0</v>
      </c>
      <c r="AB26" s="10">
        <f t="shared" si="26"/>
        <v>-0.600823999755</v>
      </c>
      <c r="AC26" s="10">
        <f t="shared" si="4"/>
        <v>-7.6858548095589523</v>
      </c>
      <c r="AD26" s="10">
        <f t="shared" si="4"/>
        <v>-1.5842518346690255</v>
      </c>
      <c r="AE26" s="10">
        <f t="shared" si="27"/>
        <v>-1</v>
      </c>
      <c r="AF26" s="10">
        <f t="shared" si="28"/>
        <v>0</v>
      </c>
      <c r="AH26" s="10">
        <f t="shared" ref="AH26:AH89" si="32">IF(SUMPRODUCT(H24:J24,$AH$21:$AJ$21)&gt;=0,1,-1)</f>
        <v>1</v>
      </c>
      <c r="AI26" s="10">
        <f t="shared" ref="AI26:AI89" si="33">(K24-AH26)/2</f>
        <v>0</v>
      </c>
      <c r="AJ26" s="10">
        <f t="shared" ref="AJ26:AJ89" si="34">IF(AI26&lt;&gt;0,1,0)</f>
        <v>0</v>
      </c>
      <c r="AM26">
        <v>5</v>
      </c>
      <c r="AN26" s="10">
        <f>X122</f>
        <v>0</v>
      </c>
      <c r="AO26">
        <f>AB122</f>
        <v>-0.600823999755</v>
      </c>
      <c r="AP26" s="10">
        <f t="shared" ref="AP26:AQ26" si="35">AC122</f>
        <v>-11.934914502824579</v>
      </c>
      <c r="AQ26" s="10">
        <f t="shared" si="35"/>
        <v>12.332992966090206</v>
      </c>
      <c r="AS26">
        <v>5</v>
      </c>
      <c r="AT26" s="10">
        <v>-5</v>
      </c>
      <c r="AU26" s="10">
        <f t="shared" si="30"/>
        <v>-4.7898955814531208</v>
      </c>
      <c r="AV26" s="10">
        <v>15</v>
      </c>
      <c r="AW26" s="10">
        <f t="shared" si="2"/>
        <v>14.564553959935331</v>
      </c>
      <c r="AZ26" s="10">
        <v>5</v>
      </c>
      <c r="BA26">
        <v>-0.81973666965495795</v>
      </c>
      <c r="BB26">
        <v>-1.2113127922930289</v>
      </c>
      <c r="BC26">
        <v>0.47016815698721276</v>
      </c>
      <c r="BF26" s="10">
        <v>1</v>
      </c>
      <c r="BG26" s="10">
        <f t="shared" si="6"/>
        <v>5.025680088569886</v>
      </c>
      <c r="BH26" s="10">
        <f t="shared" si="7"/>
        <v>-0.29754276908095534</v>
      </c>
      <c r="BI26" s="10">
        <f t="shared" si="8"/>
        <v>1</v>
      </c>
      <c r="BK26" s="10">
        <f t="shared" si="9"/>
        <v>-64.251479053570876</v>
      </c>
      <c r="BL26" s="10">
        <f t="shared" si="10"/>
        <v>-1</v>
      </c>
      <c r="BM26" s="10">
        <f t="shared" si="11"/>
        <v>-1</v>
      </c>
      <c r="BN26" s="10">
        <f t="shared" si="12"/>
        <v>1</v>
      </c>
    </row>
    <row r="27" spans="1:67" x14ac:dyDescent="0.25">
      <c r="B27" s="10">
        <v>5</v>
      </c>
      <c r="C27">
        <v>0.25451640794926789</v>
      </c>
      <c r="D27">
        <v>0.44946546040591784</v>
      </c>
      <c r="E27">
        <v>0.90795617542039242</v>
      </c>
      <c r="H27" s="10">
        <v>1</v>
      </c>
      <c r="I27" s="10">
        <f t="shared" si="13"/>
        <v>11.453424682085888</v>
      </c>
      <c r="J27" s="10">
        <f t="shared" si="14"/>
        <v>2.7113411986754143</v>
      </c>
      <c r="K27" s="10">
        <f t="shared" si="15"/>
        <v>-1</v>
      </c>
      <c r="N27" s="10">
        <f t="shared" si="16"/>
        <v>-100</v>
      </c>
      <c r="O27" s="10">
        <f t="shared" si="17"/>
        <v>-100</v>
      </c>
      <c r="P27" s="10">
        <f t="shared" si="18"/>
        <v>11.453424682085888</v>
      </c>
      <c r="Q27" s="10">
        <f t="shared" si="19"/>
        <v>2.7113411986754143</v>
      </c>
      <c r="S27" s="10">
        <f t="shared" si="20"/>
        <v>-92.92563044690128</v>
      </c>
      <c r="T27" s="10">
        <f t="shared" si="21"/>
        <v>-1</v>
      </c>
      <c r="U27" s="10">
        <f t="shared" si="22"/>
        <v>0</v>
      </c>
      <c r="V27" s="10">
        <f t="shared" si="23"/>
        <v>0</v>
      </c>
      <c r="Y27" s="10">
        <f t="shared" si="24"/>
        <v>0</v>
      </c>
      <c r="Z27" s="10">
        <f t="shared" si="25"/>
        <v>0</v>
      </c>
      <c r="AA27" s="10">
        <f t="shared" si="3"/>
        <v>0</v>
      </c>
      <c r="AB27" s="10">
        <f t="shared" si="26"/>
        <v>-0.600823999755</v>
      </c>
      <c r="AC27" s="10">
        <f t="shared" si="4"/>
        <v>-7.6858548095589523</v>
      </c>
      <c r="AD27" s="10">
        <f t="shared" si="4"/>
        <v>-1.5842518346690255</v>
      </c>
      <c r="AE27" s="10">
        <f t="shared" si="27"/>
        <v>-1</v>
      </c>
      <c r="AF27" s="10">
        <f t="shared" si="28"/>
        <v>0</v>
      </c>
      <c r="AH27" s="10">
        <f t="shared" si="32"/>
        <v>-1</v>
      </c>
      <c r="AI27" s="10">
        <f t="shared" si="33"/>
        <v>0</v>
      </c>
      <c r="AJ27" s="10">
        <f t="shared" si="34"/>
        <v>0</v>
      </c>
      <c r="AM27">
        <v>6</v>
      </c>
      <c r="AN27" s="10">
        <f>X142</f>
        <v>0</v>
      </c>
      <c r="AO27">
        <f>AB142</f>
        <v>-0.600823999755</v>
      </c>
      <c r="AP27" s="10">
        <f t="shared" ref="AP27:AQ27" si="36">AC142</f>
        <v>-11.934914502824579</v>
      </c>
      <c r="AQ27" s="10">
        <f t="shared" si="36"/>
        <v>12.332992966090206</v>
      </c>
      <c r="AS27">
        <v>6</v>
      </c>
      <c r="AT27" s="10">
        <v>-5</v>
      </c>
      <c r="AU27" s="10">
        <f t="shared" si="30"/>
        <v>-4.7898955814531208</v>
      </c>
      <c r="AV27" s="10">
        <v>15</v>
      </c>
      <c r="AW27" s="10">
        <f t="shared" si="2"/>
        <v>14.564553959935331</v>
      </c>
      <c r="AZ27" s="10">
        <v>6</v>
      </c>
      <c r="BA27">
        <v>0.15983346202119719</v>
      </c>
      <c r="BB27">
        <v>0.28777094485121779</v>
      </c>
      <c r="BC27">
        <v>0.89468062379833369</v>
      </c>
      <c r="BF27" s="10">
        <v>1</v>
      </c>
      <c r="BG27" s="10">
        <f t="shared" si="6"/>
        <v>11.281884623947519</v>
      </c>
      <c r="BH27" s="10">
        <f t="shared" si="7"/>
        <v>2.4183941813743259</v>
      </c>
      <c r="BI27" s="10">
        <f t="shared" si="8"/>
        <v>-1</v>
      </c>
      <c r="BK27" s="10">
        <f t="shared" si="9"/>
        <v>-105.42311398917681</v>
      </c>
      <c r="BL27" s="10">
        <f t="shared" si="10"/>
        <v>-1</v>
      </c>
      <c r="BM27" s="10">
        <f t="shared" si="11"/>
        <v>0</v>
      </c>
      <c r="BN27" s="10">
        <f t="shared" si="12"/>
        <v>0</v>
      </c>
    </row>
    <row r="28" spans="1:67" x14ac:dyDescent="0.25">
      <c r="B28" s="10">
        <v>6</v>
      </c>
      <c r="C28">
        <v>-0.56280896387761459</v>
      </c>
      <c r="D28">
        <v>-0.45616161514772102</v>
      </c>
      <c r="E28">
        <v>0.52613910336619163</v>
      </c>
      <c r="H28" s="10">
        <v>1</v>
      </c>
      <c r="I28" s="10">
        <f t="shared" si="13"/>
        <v>5.3960834789692491</v>
      </c>
      <c r="J28" s="10">
        <f t="shared" si="14"/>
        <v>14.341757910765002</v>
      </c>
      <c r="K28" s="10">
        <f t="shared" si="15"/>
        <v>1</v>
      </c>
      <c r="N28" s="10">
        <f t="shared" si="16"/>
        <v>5.3960834789692491</v>
      </c>
      <c r="O28" s="10">
        <f t="shared" si="17"/>
        <v>14.341757910765002</v>
      </c>
      <c r="P28" s="10">
        <f t="shared" si="18"/>
        <v>-100</v>
      </c>
      <c r="Q28" s="10">
        <f t="shared" si="19"/>
        <v>-100</v>
      </c>
      <c r="S28" s="10">
        <f t="shared" si="20"/>
        <v>-64.79529444188087</v>
      </c>
      <c r="T28" s="10">
        <f t="shared" si="21"/>
        <v>-1</v>
      </c>
      <c r="U28" s="10">
        <f t="shared" si="22"/>
        <v>1</v>
      </c>
      <c r="V28" s="10">
        <f t="shared" si="23"/>
        <v>1</v>
      </c>
      <c r="Y28" s="10">
        <f t="shared" si="24"/>
        <v>0.70082399975499998</v>
      </c>
      <c r="Z28" s="10">
        <f t="shared" si="25"/>
        <v>3.7817048067431043</v>
      </c>
      <c r="AA28" s="10">
        <f t="shared" si="3"/>
        <v>10.051048142540241</v>
      </c>
      <c r="AB28" s="10">
        <f t="shared" si="26"/>
        <v>9.9999999999999978E-2</v>
      </c>
      <c r="AC28" s="10">
        <f t="shared" si="4"/>
        <v>-3.904150002815848</v>
      </c>
      <c r="AD28" s="10">
        <f t="shared" si="4"/>
        <v>8.4667963078712152</v>
      </c>
      <c r="AE28" s="10">
        <f t="shared" si="27"/>
        <v>1</v>
      </c>
      <c r="AF28" s="10">
        <f t="shared" si="28"/>
        <v>0</v>
      </c>
      <c r="AG28" s="10"/>
      <c r="AH28" s="10">
        <f t="shared" si="32"/>
        <v>1</v>
      </c>
      <c r="AI28" s="10">
        <f t="shared" si="33"/>
        <v>-1</v>
      </c>
      <c r="AJ28" s="10">
        <f t="shared" si="34"/>
        <v>1</v>
      </c>
      <c r="AM28">
        <v>7</v>
      </c>
      <c r="AN28" s="10">
        <f>X162</f>
        <v>0</v>
      </c>
      <c r="AO28">
        <f>AB162</f>
        <v>-0.600823999755</v>
      </c>
      <c r="AP28" s="10">
        <f t="shared" ref="AP28:AQ28" si="37">AC162</f>
        <v>-11.934914502824579</v>
      </c>
      <c r="AQ28" s="10">
        <f t="shared" si="37"/>
        <v>12.332992966090206</v>
      </c>
      <c r="AS28">
        <v>7</v>
      </c>
      <c r="AT28" s="10">
        <v>-5</v>
      </c>
      <c r="AU28" s="10">
        <f t="shared" si="30"/>
        <v>-4.7898955814531208</v>
      </c>
      <c r="AV28" s="10">
        <v>15</v>
      </c>
      <c r="AW28" s="10">
        <f t="shared" si="2"/>
        <v>14.564553959935331</v>
      </c>
      <c r="AZ28" s="10">
        <v>7</v>
      </c>
      <c r="BA28">
        <v>-2.0831976144108921</v>
      </c>
      <c r="BB28">
        <v>-0.35610355553217232</v>
      </c>
      <c r="BC28">
        <v>0.54695272682882168</v>
      </c>
      <c r="BF28" s="10">
        <v>1</v>
      </c>
      <c r="BG28" s="10">
        <f t="shared" si="6"/>
        <v>7.2181149821618522</v>
      </c>
      <c r="BH28" s="10">
        <f t="shared" si="7"/>
        <v>1.2518665860723468</v>
      </c>
      <c r="BI28" s="10">
        <f t="shared" si="8"/>
        <v>-1</v>
      </c>
      <c r="BK28" s="10">
        <f t="shared" si="9"/>
        <v>-71.30914738290025</v>
      </c>
      <c r="BL28" s="10">
        <f t="shared" si="10"/>
        <v>-1</v>
      </c>
      <c r="BM28" s="10">
        <f t="shared" si="11"/>
        <v>0</v>
      </c>
      <c r="BN28" s="10">
        <f t="shared" si="12"/>
        <v>0</v>
      </c>
    </row>
    <row r="29" spans="1:67" x14ac:dyDescent="0.25">
      <c r="B29" s="10">
        <v>7</v>
      </c>
      <c r="C29">
        <v>1.7105685401475057</v>
      </c>
      <c r="D29">
        <v>-0.85140754890744574</v>
      </c>
      <c r="E29">
        <v>0.31809442426831874</v>
      </c>
      <c r="H29" s="10">
        <v>1</v>
      </c>
      <c r="I29" s="10">
        <f t="shared" si="13"/>
        <v>8.6735296874302819</v>
      </c>
      <c r="J29" s="10">
        <f t="shared" si="14"/>
        <v>13.771946128640437</v>
      </c>
      <c r="K29" s="10">
        <f t="shared" si="15"/>
        <v>1</v>
      </c>
      <c r="N29" s="10">
        <f t="shared" si="16"/>
        <v>8.6735296874302819</v>
      </c>
      <c r="O29" s="10">
        <f t="shared" si="17"/>
        <v>13.771946128640437</v>
      </c>
      <c r="P29" s="10">
        <f t="shared" si="18"/>
        <v>-100</v>
      </c>
      <c r="Q29" s="10">
        <f t="shared" si="19"/>
        <v>-100</v>
      </c>
      <c r="S29" s="10">
        <f t="shared" si="20"/>
        <v>82.841501680569849</v>
      </c>
      <c r="T29" s="10">
        <f t="shared" si="21"/>
        <v>1</v>
      </c>
      <c r="U29" s="10">
        <f t="shared" si="22"/>
        <v>0</v>
      </c>
      <c r="V29" s="10">
        <f t="shared" si="23"/>
        <v>0</v>
      </c>
      <c r="Y29" s="10">
        <f t="shared" si="24"/>
        <v>0</v>
      </c>
      <c r="Z29" s="10">
        <f t="shared" si="25"/>
        <v>0</v>
      </c>
      <c r="AA29" s="10">
        <f t="shared" si="3"/>
        <v>0</v>
      </c>
      <c r="AB29" s="10">
        <f t="shared" si="26"/>
        <v>9.9999999999999978E-2</v>
      </c>
      <c r="AC29" s="10">
        <f t="shared" si="4"/>
        <v>-3.904150002815848</v>
      </c>
      <c r="AD29" s="10">
        <f t="shared" si="4"/>
        <v>8.4667963078712152</v>
      </c>
      <c r="AE29" s="10">
        <f t="shared" si="27"/>
        <v>1</v>
      </c>
      <c r="AF29" s="10">
        <f t="shared" si="28"/>
        <v>0</v>
      </c>
      <c r="AG29" s="10"/>
      <c r="AH29" s="10">
        <f t="shared" si="32"/>
        <v>-1</v>
      </c>
      <c r="AI29" s="10">
        <f t="shared" si="33"/>
        <v>0</v>
      </c>
      <c r="AJ29" s="10">
        <f t="shared" si="34"/>
        <v>0</v>
      </c>
      <c r="AM29">
        <v>8</v>
      </c>
      <c r="AN29" s="10">
        <f>X182</f>
        <v>0</v>
      </c>
      <c r="AO29">
        <f>AB182</f>
        <v>-0.600823999755</v>
      </c>
      <c r="AP29" s="10">
        <f t="shared" ref="AP29:AQ29" si="38">AC182</f>
        <v>-11.934914502824579</v>
      </c>
      <c r="AQ29" s="10">
        <f t="shared" si="38"/>
        <v>12.332992966090206</v>
      </c>
      <c r="AS29">
        <v>8</v>
      </c>
      <c r="AT29" s="10">
        <v>-5</v>
      </c>
      <c r="AU29" s="10">
        <f t="shared" si="30"/>
        <v>-4.7898955814531208</v>
      </c>
      <c r="AV29" s="10">
        <v>15</v>
      </c>
      <c r="AW29" s="10">
        <f t="shared" si="2"/>
        <v>14.564553959935331</v>
      </c>
      <c r="AZ29" s="10">
        <v>8</v>
      </c>
      <c r="BA29">
        <v>-1.9317667465656996E-2</v>
      </c>
      <c r="BB29">
        <v>0.31354375096270815</v>
      </c>
      <c r="BC29">
        <v>0.52711569566942351</v>
      </c>
      <c r="BF29" s="10">
        <v>1</v>
      </c>
      <c r="BG29" s="10">
        <f t="shared" si="6"/>
        <v>10.957310912530939</v>
      </c>
      <c r="BH29" s="10">
        <f t="shared" si="7"/>
        <v>2.4650875812830337</v>
      </c>
      <c r="BI29" s="10">
        <f t="shared" si="8"/>
        <v>-1</v>
      </c>
      <c r="BK29" s="10">
        <f t="shared" si="9"/>
        <v>-100.97348512091855</v>
      </c>
      <c r="BL29" s="10">
        <f t="shared" si="10"/>
        <v>-1</v>
      </c>
      <c r="BM29" s="10">
        <f t="shared" si="11"/>
        <v>0</v>
      </c>
      <c r="BN29" s="10">
        <f t="shared" si="12"/>
        <v>0</v>
      </c>
    </row>
    <row r="30" spans="1:67" x14ac:dyDescent="0.25">
      <c r="B30" s="10">
        <v>8</v>
      </c>
      <c r="C30">
        <v>-0.12636746760108508</v>
      </c>
      <c r="D30">
        <v>-1.2663440429605544</v>
      </c>
      <c r="E30">
        <v>0.71706289864803008</v>
      </c>
      <c r="H30" s="10">
        <v>1</v>
      </c>
      <c r="I30" s="10">
        <f t="shared" si="13"/>
        <v>10.763365437356535</v>
      </c>
      <c r="J30" s="10">
        <f t="shared" si="14"/>
        <v>-0.3972446092212687</v>
      </c>
      <c r="K30" s="10">
        <f t="shared" si="15"/>
        <v>-1</v>
      </c>
      <c r="N30" s="10">
        <f t="shared" si="16"/>
        <v>-100</v>
      </c>
      <c r="O30" s="10">
        <f t="shared" si="17"/>
        <v>-100</v>
      </c>
      <c r="P30" s="10">
        <f t="shared" si="18"/>
        <v>10.763365437356535</v>
      </c>
      <c r="Q30" s="10">
        <f t="shared" si="19"/>
        <v>-0.3972446092212687</v>
      </c>
      <c r="S30" s="10">
        <f t="shared" si="20"/>
        <v>-45.285182393239893</v>
      </c>
      <c r="T30" s="10">
        <f t="shared" si="21"/>
        <v>-1</v>
      </c>
      <c r="U30" s="10">
        <f t="shared" si="22"/>
        <v>0</v>
      </c>
      <c r="V30" s="10">
        <f t="shared" si="23"/>
        <v>0</v>
      </c>
      <c r="Y30" s="10">
        <f t="shared" si="24"/>
        <v>0</v>
      </c>
      <c r="Z30" s="10">
        <f t="shared" si="25"/>
        <v>0</v>
      </c>
      <c r="AA30" s="10">
        <f t="shared" si="3"/>
        <v>0</v>
      </c>
      <c r="AB30" s="10">
        <f t="shared" si="26"/>
        <v>9.9999999999999978E-2</v>
      </c>
      <c r="AC30" s="10">
        <f t="shared" si="4"/>
        <v>-3.904150002815848</v>
      </c>
      <c r="AD30" s="10">
        <f t="shared" si="4"/>
        <v>8.4667963078712152</v>
      </c>
      <c r="AE30" s="10">
        <f t="shared" si="27"/>
        <v>-1</v>
      </c>
      <c r="AF30" s="10">
        <f t="shared" si="28"/>
        <v>0</v>
      </c>
      <c r="AG30" s="10"/>
      <c r="AH30" s="10">
        <f t="shared" si="32"/>
        <v>1</v>
      </c>
      <c r="AI30" s="10">
        <f t="shared" si="33"/>
        <v>0</v>
      </c>
      <c r="AJ30" s="10">
        <f t="shared" si="34"/>
        <v>0</v>
      </c>
      <c r="AM30">
        <v>9</v>
      </c>
      <c r="AN30" s="10">
        <f>X202</f>
        <v>0</v>
      </c>
      <c r="AO30" s="10">
        <f>AB202</f>
        <v>-0.600823999755</v>
      </c>
      <c r="AP30" s="10">
        <f t="shared" ref="AP30:AQ30" si="39">AC202</f>
        <v>-11.934914502824579</v>
      </c>
      <c r="AQ30" s="10">
        <f t="shared" si="39"/>
        <v>12.332992966090206</v>
      </c>
      <c r="AS30">
        <v>9</v>
      </c>
      <c r="AT30" s="10">
        <v>-5</v>
      </c>
      <c r="AU30" s="10">
        <f t="shared" si="30"/>
        <v>-4.7898955814531208</v>
      </c>
      <c r="AV30" s="10">
        <v>15</v>
      </c>
      <c r="AW30" s="10">
        <f t="shared" si="2"/>
        <v>14.564553959935331</v>
      </c>
      <c r="AZ30" s="10">
        <v>9</v>
      </c>
      <c r="BA30">
        <v>-1.0057760846393649</v>
      </c>
      <c r="BB30">
        <v>0.74079935075133108</v>
      </c>
      <c r="BC30">
        <v>0.13257240516373181</v>
      </c>
      <c r="BF30" s="10">
        <v>1</v>
      </c>
      <c r="BG30" s="10">
        <f t="shared" si="6"/>
        <v>4.7574737857515501</v>
      </c>
      <c r="BH30" s="10">
        <f t="shared" si="7"/>
        <v>3.2391599309473786</v>
      </c>
      <c r="BI30" s="10">
        <f t="shared" si="8"/>
        <v>1</v>
      </c>
      <c r="BK30" s="10">
        <f t="shared" si="9"/>
        <v>-17.432330237713678</v>
      </c>
      <c r="BL30" s="10">
        <f t="shared" si="10"/>
        <v>-1</v>
      </c>
      <c r="BM30" s="10">
        <f t="shared" si="11"/>
        <v>-1</v>
      </c>
      <c r="BN30" s="10">
        <f t="shared" si="12"/>
        <v>1</v>
      </c>
    </row>
    <row r="31" spans="1:67" x14ac:dyDescent="0.25">
      <c r="B31" s="10">
        <v>9</v>
      </c>
      <c r="C31">
        <v>-0.23677671379118692</v>
      </c>
      <c r="D31">
        <v>0.6021491572028026</v>
      </c>
      <c r="E31">
        <v>0.55250709555345312</v>
      </c>
      <c r="H31" s="10">
        <v>1</v>
      </c>
      <c r="I31" s="10">
        <f t="shared" si="13"/>
        <v>5.8661123940921698</v>
      </c>
      <c r="J31" s="10">
        <f t="shared" si="14"/>
        <v>15.867486313580834</v>
      </c>
      <c r="K31" s="10">
        <f t="shared" si="15"/>
        <v>1</v>
      </c>
      <c r="N31" s="10">
        <f t="shared" si="16"/>
        <v>5.8661123940921698</v>
      </c>
      <c r="O31" s="10">
        <f t="shared" si="17"/>
        <v>15.867486313580834</v>
      </c>
      <c r="P31" s="10">
        <f t="shared" si="18"/>
        <v>-100</v>
      </c>
      <c r="Q31" s="10">
        <f t="shared" si="19"/>
        <v>-100</v>
      </c>
      <c r="S31" s="10">
        <f t="shared" si="20"/>
        <v>111.54459181511021</v>
      </c>
      <c r="T31" s="10">
        <f t="shared" si="21"/>
        <v>1</v>
      </c>
      <c r="U31" s="10">
        <f t="shared" si="22"/>
        <v>0</v>
      </c>
      <c r="V31" s="10">
        <f t="shared" si="23"/>
        <v>0</v>
      </c>
      <c r="Y31" s="10">
        <f t="shared" si="24"/>
        <v>0</v>
      </c>
      <c r="Z31" s="10">
        <f t="shared" si="25"/>
        <v>0</v>
      </c>
      <c r="AA31" s="10">
        <f t="shared" si="3"/>
        <v>0</v>
      </c>
      <c r="AB31" s="10">
        <f t="shared" si="26"/>
        <v>9.9999999999999978E-2</v>
      </c>
      <c r="AC31" s="10">
        <f t="shared" si="4"/>
        <v>-3.904150002815848</v>
      </c>
      <c r="AD31" s="10">
        <f t="shared" si="4"/>
        <v>8.4667963078712152</v>
      </c>
      <c r="AE31" s="10">
        <f t="shared" si="27"/>
        <v>1</v>
      </c>
      <c r="AF31" s="10">
        <f t="shared" si="28"/>
        <v>0</v>
      </c>
      <c r="AG31" s="10"/>
      <c r="AH31" s="10">
        <f t="shared" si="32"/>
        <v>1</v>
      </c>
      <c r="AI31" s="10">
        <f t="shared" si="33"/>
        <v>0</v>
      </c>
      <c r="AJ31" s="10">
        <f t="shared" si="34"/>
        <v>0</v>
      </c>
      <c r="AM31">
        <v>10</v>
      </c>
      <c r="AN31" s="10">
        <f>X222</f>
        <v>0</v>
      </c>
      <c r="AO31">
        <f>AB222</f>
        <v>-0.600823999755</v>
      </c>
      <c r="AP31" s="10">
        <f t="shared" ref="AP31:AQ31" si="40">AC222</f>
        <v>-11.934914502824579</v>
      </c>
      <c r="AQ31" s="10">
        <f t="shared" si="40"/>
        <v>12.332992966090206</v>
      </c>
      <c r="AS31">
        <v>10</v>
      </c>
      <c r="AT31" s="10">
        <v>-5</v>
      </c>
      <c r="AU31" s="10">
        <f t="shared" si="30"/>
        <v>-4.7898955814531208</v>
      </c>
      <c r="AV31" s="10">
        <v>15</v>
      </c>
      <c r="AW31" s="10">
        <f t="shared" si="2"/>
        <v>14.564553959935331</v>
      </c>
      <c r="AZ31" s="10">
        <v>10</v>
      </c>
      <c r="BA31">
        <v>0.82736050899256952</v>
      </c>
      <c r="BB31">
        <v>-1.3767657947028056</v>
      </c>
      <c r="BC31">
        <v>0.1075777459028901</v>
      </c>
      <c r="BF31" s="10">
        <v>1</v>
      </c>
      <c r="BG31" s="10">
        <f t="shared" si="6"/>
        <v>7.4002405799829098</v>
      </c>
      <c r="BH31" s="10">
        <f t="shared" si="7"/>
        <v>-0.59729915471456207</v>
      </c>
      <c r="BI31" s="10">
        <f t="shared" si="8"/>
        <v>1</v>
      </c>
      <c r="BK31" s="10">
        <f t="shared" si="9"/>
        <v>-96.288548895930319</v>
      </c>
      <c r="BL31" s="10">
        <f t="shared" si="10"/>
        <v>-1</v>
      </c>
      <c r="BM31" s="10">
        <f t="shared" si="11"/>
        <v>-1</v>
      </c>
      <c r="BN31" s="10">
        <f t="shared" si="12"/>
        <v>1</v>
      </c>
    </row>
    <row r="32" spans="1:67" x14ac:dyDescent="0.25">
      <c r="B32" s="10">
        <v>10</v>
      </c>
      <c r="C32">
        <v>3.9444785215891898E-2</v>
      </c>
      <c r="D32">
        <v>-1.4680381354992278</v>
      </c>
      <c r="E32">
        <v>0.37855159154026918</v>
      </c>
      <c r="H32" s="10">
        <v>1</v>
      </c>
      <c r="I32" s="10">
        <f t="shared" si="13"/>
        <v>6.2643309490894357</v>
      </c>
      <c r="J32" s="10">
        <f t="shared" si="14"/>
        <v>12.882972091346538</v>
      </c>
      <c r="K32" s="10">
        <f t="shared" si="15"/>
        <v>1</v>
      </c>
      <c r="N32" s="10">
        <f t="shared" si="16"/>
        <v>6.2643309490894357</v>
      </c>
      <c r="O32" s="10">
        <f t="shared" si="17"/>
        <v>12.882972091346538</v>
      </c>
      <c r="P32" s="10">
        <f t="shared" si="18"/>
        <v>-100</v>
      </c>
      <c r="Q32" s="10">
        <f t="shared" si="19"/>
        <v>-100</v>
      </c>
      <c r="S32" s="10">
        <f t="shared" si="20"/>
        <v>84.72061284489385</v>
      </c>
      <c r="T32" s="10">
        <f t="shared" si="21"/>
        <v>1</v>
      </c>
      <c r="U32" s="10">
        <f t="shared" si="22"/>
        <v>0</v>
      </c>
      <c r="V32" s="10">
        <f t="shared" si="23"/>
        <v>0</v>
      </c>
      <c r="Y32" s="10">
        <f t="shared" si="24"/>
        <v>0</v>
      </c>
      <c r="Z32" s="10">
        <f t="shared" si="25"/>
        <v>0</v>
      </c>
      <c r="AA32" s="10">
        <f t="shared" si="3"/>
        <v>0</v>
      </c>
      <c r="AB32" s="10">
        <f t="shared" si="26"/>
        <v>9.9999999999999978E-2</v>
      </c>
      <c r="AC32" s="10">
        <f t="shared" si="4"/>
        <v>-3.904150002815848</v>
      </c>
      <c r="AD32" s="10">
        <f t="shared" si="4"/>
        <v>8.4667963078712152</v>
      </c>
      <c r="AE32" s="10">
        <f t="shared" si="27"/>
        <v>1</v>
      </c>
      <c r="AF32" s="10">
        <f t="shared" si="28"/>
        <v>0</v>
      </c>
      <c r="AG32" s="10"/>
      <c r="AH32" s="10">
        <f t="shared" si="32"/>
        <v>-1</v>
      </c>
      <c r="AI32" s="10">
        <f t="shared" si="33"/>
        <v>0</v>
      </c>
      <c r="AJ32" s="10">
        <f t="shared" si="34"/>
        <v>0</v>
      </c>
      <c r="AZ32" s="10">
        <v>11</v>
      </c>
      <c r="BA32">
        <v>0.65661424741847441</v>
      </c>
      <c r="BB32">
        <v>0.96829808171605691</v>
      </c>
      <c r="BC32">
        <v>2.0691549424726098E-2</v>
      </c>
      <c r="BF32" s="10">
        <v>1</v>
      </c>
      <c r="BG32" s="10">
        <f t="shared" si="6"/>
        <v>7.1540818638813839</v>
      </c>
      <c r="BH32" s="10">
        <f t="shared" si="7"/>
        <v>3.6513265059686182</v>
      </c>
      <c r="BI32" s="10">
        <f t="shared" si="8"/>
        <v>1</v>
      </c>
      <c r="BK32" s="10">
        <f t="shared" si="9"/>
        <v>-40.952395276377516</v>
      </c>
      <c r="BL32" s="10">
        <f t="shared" si="10"/>
        <v>-1</v>
      </c>
      <c r="BM32" s="10">
        <f t="shared" si="11"/>
        <v>-1</v>
      </c>
      <c r="BN32" s="10">
        <f t="shared" si="12"/>
        <v>1</v>
      </c>
    </row>
    <row r="33" spans="2:66" x14ac:dyDescent="0.25">
      <c r="B33" s="10">
        <v>11</v>
      </c>
      <c r="C33">
        <v>0.30936689654481597</v>
      </c>
      <c r="D33">
        <v>1.0962776286760345</v>
      </c>
      <c r="E33">
        <v>0.11548203985717338</v>
      </c>
      <c r="H33" s="10">
        <v>1</v>
      </c>
      <c r="I33" s="10">
        <f t="shared" si="13"/>
        <v>6.6534679044734206</v>
      </c>
      <c r="J33" s="10">
        <f t="shared" si="14"/>
        <v>16.579853477615504</v>
      </c>
      <c r="K33" s="10">
        <f t="shared" si="15"/>
        <v>1</v>
      </c>
      <c r="N33" s="10">
        <f t="shared" si="16"/>
        <v>6.6534679044734206</v>
      </c>
      <c r="O33" s="10">
        <f t="shared" si="17"/>
        <v>16.579853477615504</v>
      </c>
      <c r="P33" s="10">
        <f t="shared" si="18"/>
        <v>-100</v>
      </c>
      <c r="Q33" s="10">
        <f t="shared" si="19"/>
        <v>-100</v>
      </c>
      <c r="S33" s="10">
        <f t="shared" si="20"/>
        <v>114.50210547133562</v>
      </c>
      <c r="T33" s="10">
        <f t="shared" si="21"/>
        <v>1</v>
      </c>
      <c r="U33" s="10">
        <f t="shared" si="22"/>
        <v>0</v>
      </c>
      <c r="V33" s="10">
        <f t="shared" si="23"/>
        <v>0</v>
      </c>
      <c r="Y33" s="10">
        <f t="shared" si="24"/>
        <v>0</v>
      </c>
      <c r="Z33" s="10">
        <f t="shared" si="25"/>
        <v>0</v>
      </c>
      <c r="AA33" s="10">
        <f t="shared" si="3"/>
        <v>0</v>
      </c>
      <c r="AB33" s="10">
        <f t="shared" si="26"/>
        <v>9.9999999999999978E-2</v>
      </c>
      <c r="AC33" s="10">
        <f t="shared" si="4"/>
        <v>-3.904150002815848</v>
      </c>
      <c r="AD33" s="10">
        <f t="shared" si="4"/>
        <v>8.4667963078712152</v>
      </c>
      <c r="AE33" s="10">
        <f t="shared" si="27"/>
        <v>1</v>
      </c>
      <c r="AF33" s="10">
        <f t="shared" si="28"/>
        <v>0</v>
      </c>
      <c r="AG33" s="10"/>
      <c r="AH33" s="10">
        <f t="shared" si="32"/>
        <v>1</v>
      </c>
      <c r="AI33" s="10">
        <f t="shared" si="33"/>
        <v>0</v>
      </c>
      <c r="AJ33" s="10">
        <f t="shared" si="34"/>
        <v>0</v>
      </c>
      <c r="AS33" s="39" t="s">
        <v>56</v>
      </c>
      <c r="AT33" s="39"/>
      <c r="AU33" s="39"/>
      <c r="AV33" s="39"/>
      <c r="AW33" s="39"/>
      <c r="AZ33" s="10">
        <v>12</v>
      </c>
      <c r="BA33">
        <v>1.4474517229245976</v>
      </c>
      <c r="BB33">
        <v>-0.34861614039982669</v>
      </c>
      <c r="BC33">
        <v>0.62962736899929805</v>
      </c>
      <c r="BF33" s="10">
        <v>1</v>
      </c>
      <c r="BG33" s="10">
        <f t="shared" si="6"/>
        <v>13.614702949046869</v>
      </c>
      <c r="BH33" s="10">
        <f t="shared" si="7"/>
        <v>1.2654317705363409</v>
      </c>
      <c r="BI33" s="10">
        <f t="shared" si="8"/>
        <v>-1</v>
      </c>
      <c r="BK33" s="10">
        <f t="shared" si="9"/>
        <v>-147.48457855289129</v>
      </c>
      <c r="BL33" s="10">
        <f t="shared" si="10"/>
        <v>-1</v>
      </c>
      <c r="BM33" s="10">
        <f t="shared" si="11"/>
        <v>0</v>
      </c>
      <c r="BN33" s="10">
        <f t="shared" si="12"/>
        <v>0</v>
      </c>
    </row>
    <row r="34" spans="2:66" x14ac:dyDescent="0.25">
      <c r="B34" s="10">
        <v>12</v>
      </c>
      <c r="C34">
        <v>-0.43983845898765139</v>
      </c>
      <c r="D34">
        <v>-0.72270267992280424</v>
      </c>
      <c r="E34">
        <v>0.12210455641346477</v>
      </c>
      <c r="H34" s="10">
        <v>1</v>
      </c>
      <c r="I34" s="10">
        <f t="shared" si="13"/>
        <v>5.5733656128385984</v>
      </c>
      <c r="J34" s="10">
        <f t="shared" si="14"/>
        <v>13.957495288037558</v>
      </c>
      <c r="K34" s="10">
        <f t="shared" si="15"/>
        <v>1</v>
      </c>
      <c r="N34" s="10">
        <f t="shared" si="16"/>
        <v>5.5733656128385984</v>
      </c>
      <c r="O34" s="10">
        <f t="shared" si="17"/>
        <v>13.957495288037558</v>
      </c>
      <c r="P34" s="10">
        <f t="shared" si="18"/>
        <v>-100</v>
      </c>
      <c r="Q34" s="10">
        <f t="shared" si="19"/>
        <v>-100</v>
      </c>
      <c r="S34" s="10">
        <f t="shared" si="20"/>
        <v>96.516014198828714</v>
      </c>
      <c r="T34" s="10">
        <f t="shared" si="21"/>
        <v>1</v>
      </c>
      <c r="U34" s="10">
        <f t="shared" si="22"/>
        <v>0</v>
      </c>
      <c r="V34" s="10">
        <f>IF(U34&lt;&gt;0,1,0)</f>
        <v>0</v>
      </c>
      <c r="Y34" s="10">
        <f t="shared" si="24"/>
        <v>0</v>
      </c>
      <c r="Z34" s="10">
        <f t="shared" si="25"/>
        <v>0</v>
      </c>
      <c r="AA34" s="10">
        <f t="shared" si="3"/>
        <v>0</v>
      </c>
      <c r="AB34" s="10">
        <f t="shared" si="26"/>
        <v>9.9999999999999978E-2</v>
      </c>
      <c r="AC34" s="10">
        <f t="shared" si="4"/>
        <v>-3.904150002815848</v>
      </c>
      <c r="AD34" s="10">
        <f t="shared" si="4"/>
        <v>8.4667963078712152</v>
      </c>
      <c r="AE34" s="10">
        <f t="shared" si="27"/>
        <v>1</v>
      </c>
      <c r="AF34" s="10">
        <f t="shared" si="28"/>
        <v>0</v>
      </c>
      <c r="AG34" s="10"/>
      <c r="AH34" s="10">
        <f t="shared" si="32"/>
        <v>1</v>
      </c>
      <c r="AI34" s="10">
        <f t="shared" si="33"/>
        <v>0</v>
      </c>
      <c r="AJ34" s="10">
        <f t="shared" si="34"/>
        <v>0</v>
      </c>
      <c r="AS34" s="10" t="s">
        <v>57</v>
      </c>
      <c r="AT34" s="10">
        <v>0</v>
      </c>
      <c r="AU34" s="10">
        <f>-AH21/AJ21-AI21/AJ21*AT34</f>
        <v>-98.616747921923661</v>
      </c>
      <c r="AV34" s="10">
        <v>15</v>
      </c>
      <c r="AW34" s="10">
        <f>-AH21/AJ21-AI21/AJ21*AV34</f>
        <v>73.943408991796929</v>
      </c>
      <c r="AZ34" s="10">
        <v>13</v>
      </c>
      <c r="BA34">
        <v>-2.144615791621618</v>
      </c>
      <c r="BB34">
        <v>-0.43596514842647593</v>
      </c>
      <c r="BC34">
        <v>0.66957609790337835</v>
      </c>
      <c r="BF34" s="10">
        <v>1</v>
      </c>
      <c r="BG34" s="10">
        <f t="shared" si="6"/>
        <v>7.106841747196345</v>
      </c>
      <c r="BH34" s="10">
        <f t="shared" si="7"/>
        <v>1.1071788373565554</v>
      </c>
      <c r="BI34" s="10">
        <f t="shared" si="8"/>
        <v>-1</v>
      </c>
      <c r="BK34" s="10">
        <f t="shared" si="9"/>
        <v>-71.765543824325505</v>
      </c>
      <c r="BL34" s="10">
        <f t="shared" si="10"/>
        <v>-1</v>
      </c>
      <c r="BM34" s="10">
        <f t="shared" si="11"/>
        <v>0</v>
      </c>
      <c r="BN34" s="10">
        <f t="shared" si="12"/>
        <v>0</v>
      </c>
    </row>
    <row r="35" spans="2:66" x14ac:dyDescent="0.25">
      <c r="B35" s="10">
        <v>13</v>
      </c>
      <c r="C35">
        <v>-0.1008038452710025</v>
      </c>
      <c r="D35">
        <v>1.3247699826024473</v>
      </c>
      <c r="E35">
        <v>0.36155278176213873</v>
      </c>
      <c r="H35" s="10">
        <v>1</v>
      </c>
      <c r="I35" s="10">
        <f t="shared" si="13"/>
        <v>6.0621395658205852</v>
      </c>
      <c r="J35" s="10">
        <f t="shared" si="14"/>
        <v>16.909262648645193</v>
      </c>
      <c r="K35" s="10">
        <f t="shared" si="15"/>
        <v>1</v>
      </c>
      <c r="N35" s="10">
        <f t="shared" si="16"/>
        <v>6.0621395658205852</v>
      </c>
      <c r="O35" s="10">
        <f t="shared" si="17"/>
        <v>16.909262648645193</v>
      </c>
      <c r="P35" s="10">
        <f t="shared" si="18"/>
        <v>-100</v>
      </c>
      <c r="Q35" s="10">
        <f t="shared" si="19"/>
        <v>-100</v>
      </c>
      <c r="S35" s="10">
        <f t="shared" si="20"/>
        <v>119.59978035940527</v>
      </c>
      <c r="T35" s="10">
        <f t="shared" si="21"/>
        <v>1</v>
      </c>
      <c r="U35" s="10">
        <f t="shared" si="22"/>
        <v>0</v>
      </c>
      <c r="V35" s="10">
        <f t="shared" si="23"/>
        <v>0</v>
      </c>
      <c r="Y35" s="10">
        <f t="shared" si="24"/>
        <v>0</v>
      </c>
      <c r="Z35" s="10">
        <f t="shared" si="25"/>
        <v>0</v>
      </c>
      <c r="AA35" s="10">
        <f t="shared" si="3"/>
        <v>0</v>
      </c>
      <c r="AB35" s="10">
        <f t="shared" si="26"/>
        <v>9.9999999999999978E-2</v>
      </c>
      <c r="AC35" s="10">
        <f t="shared" si="4"/>
        <v>-3.904150002815848</v>
      </c>
      <c r="AD35" s="10">
        <f t="shared" si="4"/>
        <v>8.4667963078712152</v>
      </c>
      <c r="AE35" s="10">
        <f t="shared" si="27"/>
        <v>1</v>
      </c>
      <c r="AF35" s="10">
        <f t="shared" si="28"/>
        <v>0</v>
      </c>
      <c r="AG35" s="10"/>
      <c r="AH35" s="10">
        <f t="shared" si="32"/>
        <v>1</v>
      </c>
      <c r="AI35" s="10">
        <f t="shared" si="33"/>
        <v>0</v>
      </c>
      <c r="AJ35" s="10">
        <f t="shared" si="34"/>
        <v>0</v>
      </c>
      <c r="AS35" s="10" t="s">
        <v>58</v>
      </c>
      <c r="AT35" s="10">
        <v>0</v>
      </c>
      <c r="AU35" s="10">
        <v>0</v>
      </c>
      <c r="AV35" s="10">
        <f>AI21/SQRT(SUMSQ($AI$21:$AJ$21))</f>
        <v>-0.99624319415739637</v>
      </c>
      <c r="AW35" s="10">
        <f>AJ21/SQRT(SUMSQ($AI$21:$AJ$21))</f>
        <v>8.6599642580486941E-2</v>
      </c>
      <c r="AZ35" s="10">
        <v>14</v>
      </c>
      <c r="BA35">
        <v>0.16541434888495132</v>
      </c>
      <c r="BB35">
        <v>0.94879851531004533</v>
      </c>
      <c r="BC35">
        <v>0.71483504745628224</v>
      </c>
      <c r="BF35" s="10">
        <v>1</v>
      </c>
      <c r="BG35" s="10">
        <f t="shared" si="6"/>
        <v>11.291995691444292</v>
      </c>
      <c r="BH35" s="10">
        <f t="shared" si="7"/>
        <v>3.6159985308810949</v>
      </c>
      <c r="BI35" s="10">
        <f t="shared" si="8"/>
        <v>-1</v>
      </c>
      <c r="BK35" s="10">
        <f t="shared" si="9"/>
        <v>-90.773742696657067</v>
      </c>
      <c r="BL35" s="10">
        <f t="shared" si="10"/>
        <v>-1</v>
      </c>
      <c r="BM35" s="10">
        <f t="shared" si="11"/>
        <v>0</v>
      </c>
      <c r="BN35" s="10">
        <f t="shared" si="12"/>
        <v>0</v>
      </c>
    </row>
    <row r="36" spans="2:66" x14ac:dyDescent="0.25">
      <c r="B36" s="10">
        <v>14</v>
      </c>
      <c r="C36">
        <v>1.1519637155288365</v>
      </c>
      <c r="D36">
        <v>2.0540937839541584E-2</v>
      </c>
      <c r="E36">
        <v>0.63057344279305394</v>
      </c>
      <c r="H36" s="10">
        <v>1</v>
      </c>
      <c r="I36" s="10">
        <f t="shared" si="13"/>
        <v>7.8682092946521411</v>
      </c>
      <c r="J36" s="10">
        <f t="shared" si="14"/>
        <v>15.029002757731929</v>
      </c>
      <c r="K36" s="10">
        <f t="shared" si="15"/>
        <v>1</v>
      </c>
      <c r="N36" s="10">
        <f t="shared" si="16"/>
        <v>7.8682092946521411</v>
      </c>
      <c r="O36" s="10">
        <f t="shared" si="17"/>
        <v>15.029002757731929</v>
      </c>
      <c r="P36" s="10">
        <f t="shared" si="18"/>
        <v>-100</v>
      </c>
      <c r="Q36" s="10">
        <f t="shared" si="19"/>
        <v>-100</v>
      </c>
      <c r="S36" s="10">
        <f t="shared" si="20"/>
        <v>96.62883572027917</v>
      </c>
      <c r="T36" s="10">
        <f t="shared" si="21"/>
        <v>1</v>
      </c>
      <c r="U36" s="10">
        <f t="shared" si="22"/>
        <v>0</v>
      </c>
      <c r="V36" s="10">
        <f t="shared" si="23"/>
        <v>0</v>
      </c>
      <c r="Y36" s="10">
        <f t="shared" si="24"/>
        <v>0</v>
      </c>
      <c r="Z36" s="10">
        <f t="shared" si="25"/>
        <v>0</v>
      </c>
      <c r="AA36" s="10">
        <f t="shared" si="3"/>
        <v>0</v>
      </c>
      <c r="AB36" s="10">
        <f t="shared" si="26"/>
        <v>9.9999999999999978E-2</v>
      </c>
      <c r="AC36" s="10">
        <f t="shared" si="4"/>
        <v>-3.904150002815848</v>
      </c>
      <c r="AD36" s="10">
        <f t="shared" si="4"/>
        <v>8.4667963078712152</v>
      </c>
      <c r="AE36" s="10">
        <f t="shared" si="27"/>
        <v>1</v>
      </c>
      <c r="AF36" s="10">
        <f t="shared" si="28"/>
        <v>0</v>
      </c>
      <c r="AG36" s="10"/>
      <c r="AH36" s="10">
        <f t="shared" si="32"/>
        <v>1</v>
      </c>
      <c r="AI36" s="10">
        <f t="shared" si="33"/>
        <v>0</v>
      </c>
      <c r="AJ36" s="10">
        <f t="shared" si="34"/>
        <v>0</v>
      </c>
      <c r="AZ36" s="10">
        <v>15</v>
      </c>
      <c r="BA36">
        <v>-1.1722522685886361</v>
      </c>
      <c r="BB36">
        <v>0.17216507330886088</v>
      </c>
      <c r="BC36">
        <v>0.28839991454817349</v>
      </c>
      <c r="BF36" s="10">
        <v>1</v>
      </c>
      <c r="BG36" s="10">
        <f t="shared" si="6"/>
        <v>4.5174710862801426</v>
      </c>
      <c r="BH36" s="10">
        <f t="shared" si="7"/>
        <v>2.2089474036982488</v>
      </c>
      <c r="BI36" s="10">
        <f t="shared" si="8"/>
        <v>1</v>
      </c>
      <c r="BK36" s="10">
        <f t="shared" si="9"/>
        <v>-27.273522391216851</v>
      </c>
      <c r="BL36" s="10">
        <f t="shared" si="10"/>
        <v>-1</v>
      </c>
      <c r="BM36" s="10">
        <f t="shared" si="11"/>
        <v>-1</v>
      </c>
      <c r="BN36" s="10">
        <f t="shared" si="12"/>
        <v>1</v>
      </c>
    </row>
    <row r="37" spans="2:66" x14ac:dyDescent="0.25">
      <c r="B37" s="10">
        <v>15</v>
      </c>
      <c r="C37">
        <v>-1.3141743693267927</v>
      </c>
      <c r="D37">
        <v>-1.3071326065983158</v>
      </c>
      <c r="E37">
        <v>6.6072573015533917E-2</v>
      </c>
      <c r="H37" s="10">
        <v>1</v>
      </c>
      <c r="I37" s="10">
        <f t="shared" si="13"/>
        <v>4.3128671214139729</v>
      </c>
      <c r="J37" s="10">
        <f t="shared" si="14"/>
        <v>13.114943778707302</v>
      </c>
      <c r="K37" s="10">
        <f t="shared" si="15"/>
        <v>1</v>
      </c>
      <c r="N37" s="10">
        <f t="shared" si="16"/>
        <v>4.3128671214139729</v>
      </c>
      <c r="O37" s="10">
        <f t="shared" si="17"/>
        <v>13.114943778707302</v>
      </c>
      <c r="P37" s="10">
        <f t="shared" si="18"/>
        <v>-100</v>
      </c>
      <c r="Q37" s="10">
        <f t="shared" si="19"/>
        <v>-100</v>
      </c>
      <c r="S37" s="10">
        <f t="shared" si="20"/>
        <v>94.303477379284814</v>
      </c>
      <c r="T37" s="10">
        <f t="shared" si="21"/>
        <v>1</v>
      </c>
      <c r="U37" s="10">
        <f t="shared" si="22"/>
        <v>0</v>
      </c>
      <c r="V37" s="10">
        <f t="shared" si="23"/>
        <v>0</v>
      </c>
      <c r="Y37" s="10">
        <f t="shared" si="24"/>
        <v>0</v>
      </c>
      <c r="Z37" s="10">
        <f t="shared" si="25"/>
        <v>0</v>
      </c>
      <c r="AA37" s="10">
        <f t="shared" si="3"/>
        <v>0</v>
      </c>
      <c r="AB37" s="10">
        <f t="shared" si="26"/>
        <v>9.9999999999999978E-2</v>
      </c>
      <c r="AC37" s="10">
        <f t="shared" si="4"/>
        <v>-3.904150002815848</v>
      </c>
      <c r="AD37" s="10">
        <f t="shared" si="4"/>
        <v>8.4667963078712152</v>
      </c>
      <c r="AE37" s="10">
        <f t="shared" si="27"/>
        <v>1</v>
      </c>
      <c r="AF37" s="10">
        <f t="shared" si="28"/>
        <v>0</v>
      </c>
      <c r="AG37" s="10"/>
      <c r="AH37" s="10">
        <f t="shared" si="32"/>
        <v>1</v>
      </c>
      <c r="AI37" s="10">
        <f t="shared" si="33"/>
        <v>0</v>
      </c>
      <c r="AJ37" s="10">
        <f t="shared" si="34"/>
        <v>0</v>
      </c>
      <c r="AZ37" s="10">
        <v>16</v>
      </c>
      <c r="BA37">
        <v>-1.5841351341805421</v>
      </c>
      <c r="BB37">
        <v>-0.87685407379467506</v>
      </c>
      <c r="BC37">
        <v>0.32575457014679404</v>
      </c>
      <c r="BF37" s="10">
        <v>1</v>
      </c>
      <c r="BG37" s="10">
        <f t="shared" si="6"/>
        <v>3.9236744406398323</v>
      </c>
      <c r="BH37" s="10">
        <f t="shared" si="7"/>
        <v>0.30840656481152107</v>
      </c>
      <c r="BI37" s="10">
        <f t="shared" si="8"/>
        <v>1</v>
      </c>
      <c r="BK37" s="10">
        <f t="shared" si="9"/>
        <v>-43.625966991192918</v>
      </c>
      <c r="BL37" s="10">
        <f t="shared" si="10"/>
        <v>-1</v>
      </c>
      <c r="BM37" s="10">
        <f t="shared" si="11"/>
        <v>-1</v>
      </c>
      <c r="BN37" s="10">
        <f t="shared" si="12"/>
        <v>1</v>
      </c>
    </row>
    <row r="38" spans="2:66" x14ac:dyDescent="0.25">
      <c r="B38" s="10">
        <v>16</v>
      </c>
      <c r="C38">
        <v>0.438994902651757</v>
      </c>
      <c r="D38">
        <v>-1.0639269021339715</v>
      </c>
      <c r="E38">
        <v>0.91802728354747154</v>
      </c>
      <c r="H38" s="10">
        <v>1</v>
      </c>
      <c r="I38" s="10">
        <f t="shared" si="13"/>
        <v>11.787650147890304</v>
      </c>
      <c r="J38" s="10">
        <f t="shared" si="14"/>
        <v>-3.0519136484365994E-2</v>
      </c>
      <c r="K38" s="10">
        <f t="shared" si="15"/>
        <v>-1</v>
      </c>
      <c r="N38" s="10">
        <f t="shared" si="16"/>
        <v>-100</v>
      </c>
      <c r="O38" s="10">
        <f t="shared" si="17"/>
        <v>-100</v>
      </c>
      <c r="P38" s="10">
        <f t="shared" si="18"/>
        <v>11.787650147890304</v>
      </c>
      <c r="Q38" s="10">
        <f t="shared" si="19"/>
        <v>-3.0519136484365994E-2</v>
      </c>
      <c r="S38" s="10">
        <f t="shared" si="20"/>
        <v>-46.179153670183403</v>
      </c>
      <c r="T38" s="10">
        <f t="shared" si="21"/>
        <v>-1</v>
      </c>
      <c r="U38" s="10">
        <f t="shared" si="22"/>
        <v>0</v>
      </c>
      <c r="V38" s="10">
        <f t="shared" si="23"/>
        <v>0</v>
      </c>
      <c r="Y38" s="10">
        <f t="shared" si="24"/>
        <v>0</v>
      </c>
      <c r="Z38" s="10">
        <f t="shared" si="25"/>
        <v>0</v>
      </c>
      <c r="AA38" s="10">
        <f t="shared" si="3"/>
        <v>0</v>
      </c>
      <c r="AB38" s="10">
        <f t="shared" si="26"/>
        <v>9.9999999999999978E-2</v>
      </c>
      <c r="AC38" s="10">
        <f t="shared" si="4"/>
        <v>-3.904150002815848</v>
      </c>
      <c r="AD38" s="10">
        <f t="shared" si="4"/>
        <v>8.4667963078712152</v>
      </c>
      <c r="AE38" s="10">
        <f t="shared" si="27"/>
        <v>-1</v>
      </c>
      <c r="AF38" s="10">
        <f t="shared" si="28"/>
        <v>0</v>
      </c>
      <c r="AG38" s="10"/>
      <c r="AH38" s="10">
        <f t="shared" si="32"/>
        <v>1</v>
      </c>
      <c r="AI38" s="10">
        <f t="shared" si="33"/>
        <v>0</v>
      </c>
      <c r="AJ38" s="10">
        <f t="shared" si="34"/>
        <v>0</v>
      </c>
      <c r="AZ38" s="10">
        <v>17</v>
      </c>
      <c r="BA38">
        <v>-0.79210849435185082</v>
      </c>
      <c r="BB38">
        <v>0.54497263590747025</v>
      </c>
      <c r="BC38">
        <v>0.78090762047181617</v>
      </c>
      <c r="BF38" s="10">
        <v>1</v>
      </c>
      <c r="BG38" s="10">
        <f t="shared" si="6"/>
        <v>9.5572215714835771</v>
      </c>
      <c r="BH38" s="10">
        <f t="shared" si="7"/>
        <v>2.8843745393428439</v>
      </c>
      <c r="BI38" s="10">
        <f t="shared" si="8"/>
        <v>-1</v>
      </c>
      <c r="BK38" s="10">
        <f t="shared" si="9"/>
        <v>-79.092475434677283</v>
      </c>
      <c r="BL38" s="10">
        <f t="shared" si="10"/>
        <v>-1</v>
      </c>
      <c r="BM38" s="10">
        <f t="shared" si="11"/>
        <v>0</v>
      </c>
      <c r="BN38" s="10">
        <f t="shared" si="12"/>
        <v>0</v>
      </c>
    </row>
    <row r="39" spans="2:66" x14ac:dyDescent="0.25">
      <c r="B39" s="10">
        <v>17</v>
      </c>
      <c r="C39">
        <v>1.016874193737749</v>
      </c>
      <c r="D39">
        <v>0.61781292970408686</v>
      </c>
      <c r="E39">
        <v>0.72823267311624496</v>
      </c>
      <c r="H39" s="10">
        <v>1</v>
      </c>
      <c r="I39" s="10">
        <f t="shared" si="13"/>
        <v>12.834612155865397</v>
      </c>
      <c r="J39" s="10">
        <f t="shared" si="14"/>
        <v>3.0163415806110754</v>
      </c>
      <c r="K39" s="10">
        <f t="shared" si="15"/>
        <v>-1</v>
      </c>
      <c r="N39" s="10">
        <f t="shared" si="16"/>
        <v>-100</v>
      </c>
      <c r="O39" s="10">
        <f t="shared" si="17"/>
        <v>-100</v>
      </c>
      <c r="P39" s="10">
        <f t="shared" si="18"/>
        <v>12.834612155865397</v>
      </c>
      <c r="Q39" s="10">
        <f t="shared" si="19"/>
        <v>3.0163415806110754</v>
      </c>
      <c r="S39" s="10">
        <f t="shared" si="20"/>
        <v>-24.469501326465924</v>
      </c>
      <c r="T39" s="10">
        <f t="shared" si="21"/>
        <v>-1</v>
      </c>
      <c r="U39" s="10">
        <f t="shared" si="22"/>
        <v>0</v>
      </c>
      <c r="V39" s="10">
        <f t="shared" si="23"/>
        <v>0</v>
      </c>
      <c r="Y39" s="10">
        <f t="shared" si="24"/>
        <v>0</v>
      </c>
      <c r="Z39" s="10">
        <f t="shared" si="25"/>
        <v>0</v>
      </c>
      <c r="AA39" s="10">
        <f t="shared" si="25"/>
        <v>0</v>
      </c>
      <c r="AB39" s="10">
        <f t="shared" si="26"/>
        <v>9.9999999999999978E-2</v>
      </c>
      <c r="AC39" s="10">
        <f t="shared" si="26"/>
        <v>-3.904150002815848</v>
      </c>
      <c r="AD39" s="10">
        <f t="shared" si="26"/>
        <v>8.4667963078712152</v>
      </c>
      <c r="AE39" s="10">
        <f t="shared" si="27"/>
        <v>-1</v>
      </c>
      <c r="AF39" s="10">
        <f t="shared" si="28"/>
        <v>0</v>
      </c>
      <c r="AG39" s="10"/>
      <c r="AH39" s="10">
        <f t="shared" si="32"/>
        <v>1</v>
      </c>
      <c r="AI39" s="10">
        <f t="shared" si="33"/>
        <v>0</v>
      </c>
      <c r="AJ39" s="10">
        <f t="shared" si="34"/>
        <v>0</v>
      </c>
      <c r="AZ39" s="10">
        <v>18</v>
      </c>
      <c r="BA39">
        <v>4.120579433219973E-2</v>
      </c>
      <c r="BB39">
        <v>0.76527840064954944</v>
      </c>
      <c r="BC39">
        <v>0.68990142521439257</v>
      </c>
      <c r="BF39" s="10">
        <v>1</v>
      </c>
      <c r="BG39" s="10">
        <f t="shared" si="6"/>
        <v>11.0669631635649</v>
      </c>
      <c r="BH39" s="10">
        <f t="shared" si="7"/>
        <v>3.2835093922104708</v>
      </c>
      <c r="BI39" s="10">
        <f t="shared" si="8"/>
        <v>-1</v>
      </c>
      <c r="BK39" s="10">
        <f t="shared" si="9"/>
        <v>-92.188584924588241</v>
      </c>
      <c r="BL39" s="10">
        <f t="shared" si="10"/>
        <v>-1</v>
      </c>
      <c r="BM39" s="10">
        <f t="shared" si="11"/>
        <v>0</v>
      </c>
      <c r="BN39" s="10">
        <f t="shared" si="12"/>
        <v>0</v>
      </c>
    </row>
    <row r="40" spans="2:66" x14ac:dyDescent="0.25">
      <c r="B40" s="10">
        <v>18</v>
      </c>
      <c r="C40">
        <v>2.6127509045181796E-2</v>
      </c>
      <c r="D40">
        <v>-1.142068413173547</v>
      </c>
      <c r="E40">
        <v>0.17557298501541185</v>
      </c>
      <c r="H40" s="10">
        <v>1</v>
      </c>
      <c r="I40" s="10">
        <f t="shared" si="13"/>
        <v>6.2451319131988088</v>
      </c>
      <c r="J40" s="10">
        <f t="shared" si="14"/>
        <v>13.352910862455971</v>
      </c>
      <c r="K40" s="10">
        <f t="shared" si="15"/>
        <v>1</v>
      </c>
      <c r="N40" s="10">
        <f t="shared" si="16"/>
        <v>6.2451319131988088</v>
      </c>
      <c r="O40" s="10">
        <f t="shared" si="17"/>
        <v>13.352910862455971</v>
      </c>
      <c r="P40" s="10">
        <f t="shared" si="18"/>
        <v>-100</v>
      </c>
      <c r="Q40" s="10">
        <f t="shared" si="19"/>
        <v>-100</v>
      </c>
      <c r="S40" s="10">
        <f t="shared" si="20"/>
        <v>88.77444461307519</v>
      </c>
      <c r="T40" s="10">
        <f t="shared" si="21"/>
        <v>1</v>
      </c>
      <c r="U40" s="10">
        <f t="shared" si="22"/>
        <v>0</v>
      </c>
      <c r="V40" s="10">
        <f t="shared" si="23"/>
        <v>0</v>
      </c>
      <c r="Y40" s="10">
        <f t="shared" si="24"/>
        <v>0</v>
      </c>
      <c r="Z40" s="10">
        <f t="shared" si="25"/>
        <v>0</v>
      </c>
      <c r="AA40" s="10">
        <f t="shared" si="25"/>
        <v>0</v>
      </c>
      <c r="AB40" s="10">
        <f t="shared" si="26"/>
        <v>9.9999999999999978E-2</v>
      </c>
      <c r="AC40" s="10">
        <f t="shared" si="26"/>
        <v>-3.904150002815848</v>
      </c>
      <c r="AD40" s="10">
        <f t="shared" si="26"/>
        <v>8.4667963078712152</v>
      </c>
      <c r="AE40" s="10">
        <f t="shared" si="27"/>
        <v>1</v>
      </c>
      <c r="AF40" s="10">
        <f t="shared" si="28"/>
        <v>0</v>
      </c>
      <c r="AG40" s="10"/>
      <c r="AH40" s="10">
        <f t="shared" si="32"/>
        <v>-1</v>
      </c>
      <c r="AI40" s="10">
        <f t="shared" si="33"/>
        <v>0</v>
      </c>
      <c r="AJ40" s="10">
        <f t="shared" si="34"/>
        <v>0</v>
      </c>
      <c r="AZ40" s="10">
        <v>19</v>
      </c>
      <c r="BA40">
        <v>0.71408749136026017</v>
      </c>
      <c r="BB40">
        <v>-2.513161234674044E-2</v>
      </c>
      <c r="BC40">
        <v>0.71141697439497054</v>
      </c>
      <c r="BF40" s="10">
        <v>1</v>
      </c>
      <c r="BG40" s="10">
        <f t="shared" si="6"/>
        <v>12.286044005389625</v>
      </c>
      <c r="BH40" s="10">
        <f t="shared" si="7"/>
        <v>1.8514988199418851</v>
      </c>
      <c r="BI40" s="10">
        <f t="shared" si="8"/>
        <v>-1</v>
      </c>
      <c r="BK40" s="10">
        <f t="shared" si="9"/>
        <v>-124.39918685895303</v>
      </c>
      <c r="BL40" s="10">
        <f t="shared" si="10"/>
        <v>-1</v>
      </c>
      <c r="BM40" s="10">
        <f t="shared" si="11"/>
        <v>0</v>
      </c>
      <c r="BN40" s="10">
        <f t="shared" si="12"/>
        <v>0</v>
      </c>
    </row>
    <row r="41" spans="2:66" x14ac:dyDescent="0.25">
      <c r="B41" s="10">
        <v>19</v>
      </c>
      <c r="C41">
        <v>-1.1531528798514046</v>
      </c>
      <c r="D41">
        <v>2.0088100427528843</v>
      </c>
      <c r="E41">
        <v>0.77147740104373297</v>
      </c>
      <c r="H41" s="10">
        <v>1</v>
      </c>
      <c r="I41" s="10">
        <f t="shared" si="13"/>
        <v>8.9031061521537325</v>
      </c>
      <c r="J41" s="10">
        <f t="shared" si="14"/>
        <v>5.5364546094553964</v>
      </c>
      <c r="K41" s="10">
        <f t="shared" si="15"/>
        <v>-1</v>
      </c>
      <c r="N41" s="10">
        <f t="shared" si="16"/>
        <v>-100</v>
      </c>
      <c r="O41" s="10">
        <f t="shared" si="17"/>
        <v>-100</v>
      </c>
      <c r="P41" s="10">
        <f t="shared" si="18"/>
        <v>8.9031061521537325</v>
      </c>
      <c r="Q41" s="10">
        <f t="shared" si="19"/>
        <v>5.5364546094553964</v>
      </c>
      <c r="S41" s="10">
        <f t="shared" si="20"/>
        <v>12.216971537032734</v>
      </c>
      <c r="T41" s="10">
        <f t="shared" si="21"/>
        <v>1</v>
      </c>
      <c r="U41" s="10">
        <f t="shared" si="22"/>
        <v>-1</v>
      </c>
      <c r="V41" s="10">
        <f t="shared" si="23"/>
        <v>1</v>
      </c>
      <c r="Y41" s="10">
        <f t="shared" si="24"/>
        <v>-0.70082399975499998</v>
      </c>
      <c r="Z41" s="10">
        <f t="shared" si="25"/>
        <v>-6.2395104637957264</v>
      </c>
      <c r="AA41" s="10">
        <f t="shared" si="25"/>
        <v>-3.8800802638605374</v>
      </c>
      <c r="AB41" s="10">
        <f t="shared" si="26"/>
        <v>-0.600823999755</v>
      </c>
      <c r="AC41" s="10">
        <f t="shared" si="26"/>
        <v>-10.143660466611575</v>
      </c>
      <c r="AD41" s="10">
        <f t="shared" si="26"/>
        <v>4.5867160440106778</v>
      </c>
      <c r="AE41" s="10">
        <f t="shared" si="27"/>
        <v>-1</v>
      </c>
      <c r="AF41" s="10">
        <f t="shared" si="28"/>
        <v>0</v>
      </c>
      <c r="AG41" s="10"/>
      <c r="AH41" s="10">
        <f t="shared" si="32"/>
        <v>-1</v>
      </c>
      <c r="AI41" s="10">
        <f t="shared" si="33"/>
        <v>0</v>
      </c>
      <c r="AJ41" s="10">
        <f t="shared" si="34"/>
        <v>0</v>
      </c>
      <c r="AZ41" s="10">
        <v>20</v>
      </c>
      <c r="BA41">
        <v>0.84548673839890398</v>
      </c>
      <c r="BB41">
        <v>-0.5930951374466531</v>
      </c>
      <c r="BC41">
        <v>0.18601031525620287</v>
      </c>
      <c r="BF41" s="10">
        <v>1</v>
      </c>
      <c r="BG41" s="10">
        <f t="shared" si="6"/>
        <v>7.4263725100017037</v>
      </c>
      <c r="BH41" s="10">
        <f t="shared" si="7"/>
        <v>0.82250151571640462</v>
      </c>
      <c r="BI41" s="10">
        <f t="shared" si="8"/>
        <v>1</v>
      </c>
      <c r="BK41" s="10">
        <f t="shared" si="9"/>
        <v>-79.090039564823144</v>
      </c>
      <c r="BL41" s="10">
        <f t="shared" si="10"/>
        <v>-1</v>
      </c>
      <c r="BM41" s="10">
        <f t="shared" si="11"/>
        <v>-1</v>
      </c>
      <c r="BN41" s="10">
        <f t="shared" si="12"/>
        <v>1</v>
      </c>
    </row>
    <row r="42" spans="2:66" x14ac:dyDescent="0.25">
      <c r="B42" s="10">
        <v>20</v>
      </c>
      <c r="C42">
        <v>-0.77237245932337828</v>
      </c>
      <c r="D42">
        <v>0.15874775272095576</v>
      </c>
      <c r="E42">
        <v>0.95461897640919213</v>
      </c>
      <c r="H42" s="10">
        <v>1</v>
      </c>
      <c r="I42" s="10">
        <f t="shared" si="13"/>
        <v>9.5929779641794379</v>
      </c>
      <c r="J42" s="10">
        <f t="shared" si="14"/>
        <v>2.1846388238251757</v>
      </c>
      <c r="K42" s="10">
        <f t="shared" si="15"/>
        <v>-1</v>
      </c>
      <c r="N42" s="10">
        <f t="shared" si="16"/>
        <v>-100</v>
      </c>
      <c r="O42" s="10">
        <f t="shared" si="17"/>
        <v>-100</v>
      </c>
      <c r="P42" s="10">
        <f t="shared" si="18"/>
        <v>9.5929779641794379</v>
      </c>
      <c r="Q42" s="10">
        <f t="shared" si="19"/>
        <v>2.1846388238251757</v>
      </c>
      <c r="S42" s="10">
        <f t="shared" si="20"/>
        <v>-87.888417388470401</v>
      </c>
      <c r="T42" s="10">
        <f t="shared" si="21"/>
        <v>-1</v>
      </c>
      <c r="U42" s="10">
        <f t="shared" si="22"/>
        <v>0</v>
      </c>
      <c r="V42" s="10">
        <f t="shared" si="23"/>
        <v>0</v>
      </c>
      <c r="X42">
        <f>SUM(V23:V42)</f>
        <v>3</v>
      </c>
      <c r="Y42" s="10">
        <f t="shared" si="24"/>
        <v>0</v>
      </c>
      <c r="Z42" s="10">
        <f t="shared" si="25"/>
        <v>0</v>
      </c>
      <c r="AA42" s="10">
        <f t="shared" si="25"/>
        <v>0</v>
      </c>
      <c r="AB42" s="10">
        <f t="shared" si="26"/>
        <v>-0.600823999755</v>
      </c>
      <c r="AC42" s="10">
        <f t="shared" si="26"/>
        <v>-10.143660466611575</v>
      </c>
      <c r="AD42" s="10">
        <f t="shared" si="26"/>
        <v>4.5867160440106778</v>
      </c>
      <c r="AE42" s="10">
        <f t="shared" si="27"/>
        <v>-1</v>
      </c>
      <c r="AF42" s="10">
        <f t="shared" si="28"/>
        <v>0</v>
      </c>
      <c r="AG42" s="10"/>
      <c r="AH42" s="10">
        <f t="shared" si="32"/>
        <v>1</v>
      </c>
      <c r="AI42" s="10">
        <f t="shared" si="33"/>
        <v>0</v>
      </c>
      <c r="AJ42" s="10">
        <f t="shared" si="34"/>
        <v>0</v>
      </c>
      <c r="AZ42" s="10">
        <v>21</v>
      </c>
      <c r="BA42">
        <v>-0.11765791896323208</v>
      </c>
      <c r="BB42">
        <v>-1.148553110397188</v>
      </c>
      <c r="BC42">
        <v>0.29056672872096928</v>
      </c>
      <c r="BF42" s="10">
        <v>1</v>
      </c>
      <c r="BG42" s="10">
        <f t="shared" si="6"/>
        <v>6.0378416567307323</v>
      </c>
      <c r="BH42" s="10">
        <f t="shared" si="7"/>
        <v>-0.18383908806814997</v>
      </c>
      <c r="BI42" s="10">
        <f t="shared" si="8"/>
        <v>1</v>
      </c>
      <c r="BK42" s="10">
        <f t="shared" si="9"/>
        <v>-74.929234134465929</v>
      </c>
      <c r="BL42" s="10">
        <f t="shared" si="10"/>
        <v>-1</v>
      </c>
      <c r="BM42" s="10">
        <f t="shared" si="11"/>
        <v>-1</v>
      </c>
      <c r="BN42" s="10">
        <f t="shared" si="12"/>
        <v>1</v>
      </c>
    </row>
    <row r="43" spans="2:66" x14ac:dyDescent="0.25">
      <c r="B43" s="10">
        <v>21</v>
      </c>
      <c r="C43">
        <v>-0.26393081498099491</v>
      </c>
      <c r="D43">
        <v>0.24118435248965397</v>
      </c>
      <c r="E43">
        <v>0.63863032929471719</v>
      </c>
      <c r="H43" s="10">
        <v>1</v>
      </c>
      <c r="I43" s="10">
        <f t="shared" si="13"/>
        <v>5.8269653075079439</v>
      </c>
      <c r="J43" s="10">
        <f t="shared" si="14"/>
        <v>15.347096396595928</v>
      </c>
      <c r="K43" s="10">
        <f t="shared" si="15"/>
        <v>1</v>
      </c>
      <c r="N43" s="10">
        <f t="shared" si="16"/>
        <v>5.8269653075079439</v>
      </c>
      <c r="O43" s="10">
        <f t="shared" si="17"/>
        <v>15.347096396595928</v>
      </c>
      <c r="P43" s="10">
        <f t="shared" si="18"/>
        <v>-100</v>
      </c>
      <c r="Q43" s="10">
        <f t="shared" si="19"/>
        <v>-100</v>
      </c>
      <c r="S43" s="12">
        <f t="shared" si="20"/>
        <v>10.685191641404515</v>
      </c>
      <c r="T43" s="12">
        <f t="shared" si="21"/>
        <v>1</v>
      </c>
      <c r="U43" s="12">
        <f t="shared" si="22"/>
        <v>0</v>
      </c>
      <c r="V43" s="12">
        <f t="shared" si="23"/>
        <v>0</v>
      </c>
      <c r="W43" s="12"/>
      <c r="X43" s="12"/>
      <c r="Y43" s="10">
        <f t="shared" si="24"/>
        <v>0</v>
      </c>
      <c r="Z43" s="10">
        <f t="shared" si="25"/>
        <v>0</v>
      </c>
      <c r="AA43" s="10">
        <f t="shared" si="25"/>
        <v>0</v>
      </c>
      <c r="AB43" s="10">
        <f t="shared" si="26"/>
        <v>-0.600823999755</v>
      </c>
      <c r="AC43" s="10">
        <f t="shared" si="26"/>
        <v>-10.143660466611575</v>
      </c>
      <c r="AD43" s="10">
        <f t="shared" si="26"/>
        <v>4.5867160440106778</v>
      </c>
      <c r="AE43" s="10">
        <f t="shared" si="27"/>
        <v>1</v>
      </c>
      <c r="AF43" s="10">
        <f t="shared" si="28"/>
        <v>0</v>
      </c>
      <c r="AG43" s="10"/>
      <c r="AH43" s="10">
        <f t="shared" si="32"/>
        <v>1</v>
      </c>
      <c r="AI43" s="10">
        <f t="shared" si="33"/>
        <v>-1</v>
      </c>
      <c r="AJ43" s="10">
        <f t="shared" si="34"/>
        <v>1</v>
      </c>
      <c r="AZ43" s="10">
        <v>22</v>
      </c>
      <c r="BA43">
        <v>1.8666378309717402</v>
      </c>
      <c r="BB43">
        <v>1.7317643141723238</v>
      </c>
      <c r="BC43">
        <v>0.45384075441755423</v>
      </c>
      <c r="BF43" s="10">
        <v>1</v>
      </c>
      <c r="BG43" s="10">
        <f t="shared" si="6"/>
        <v>8.8985291450933577</v>
      </c>
      <c r="BH43" s="10">
        <f t="shared" si="7"/>
        <v>5.0345221872872097</v>
      </c>
      <c r="BI43" s="10">
        <f t="shared" si="8"/>
        <v>1</v>
      </c>
      <c r="BK43" s="10">
        <f t="shared" si="9"/>
        <v>-44.713281823898683</v>
      </c>
      <c r="BL43" s="10">
        <f t="shared" si="10"/>
        <v>-1</v>
      </c>
      <c r="BM43" s="10">
        <f t="shared" si="11"/>
        <v>-1</v>
      </c>
      <c r="BN43" s="10">
        <f t="shared" si="12"/>
        <v>1</v>
      </c>
    </row>
    <row r="44" spans="2:66" x14ac:dyDescent="0.25">
      <c r="B44" s="10">
        <v>22</v>
      </c>
      <c r="C44">
        <v>0.12428472473402508</v>
      </c>
      <c r="D44">
        <v>0.23308075469685718</v>
      </c>
      <c r="E44">
        <v>0.94830164494766078</v>
      </c>
      <c r="H44" s="10">
        <v>1</v>
      </c>
      <c r="I44" s="10">
        <f t="shared" si="13"/>
        <v>11.217479863394129</v>
      </c>
      <c r="J44" s="10">
        <f t="shared" si="14"/>
        <v>2.319310251246038</v>
      </c>
      <c r="K44" s="10">
        <f t="shared" si="15"/>
        <v>-1</v>
      </c>
      <c r="N44" s="10">
        <f t="shared" si="16"/>
        <v>-100</v>
      </c>
      <c r="O44" s="10">
        <f t="shared" si="17"/>
        <v>-100</v>
      </c>
      <c r="P44" s="10">
        <f t="shared" si="18"/>
        <v>11.217479863394129</v>
      </c>
      <c r="Q44" s="10">
        <f t="shared" si="19"/>
        <v>2.319310251246038</v>
      </c>
      <c r="S44" s="10">
        <f t="shared" si="20"/>
        <v>-103.74911348464879</v>
      </c>
      <c r="T44" s="10">
        <f t="shared" si="21"/>
        <v>-1</v>
      </c>
      <c r="U44" s="10">
        <f t="shared" si="22"/>
        <v>0</v>
      </c>
      <c r="V44" s="10">
        <f t="shared" si="23"/>
        <v>0</v>
      </c>
      <c r="Y44" s="10">
        <f t="shared" si="24"/>
        <v>0</v>
      </c>
      <c r="Z44" s="10">
        <f t="shared" si="25"/>
        <v>0</v>
      </c>
      <c r="AA44" s="10">
        <f t="shared" si="25"/>
        <v>0</v>
      </c>
      <c r="AB44" s="10">
        <f t="shared" si="26"/>
        <v>-0.600823999755</v>
      </c>
      <c r="AC44" s="10">
        <f t="shared" si="26"/>
        <v>-10.143660466611575</v>
      </c>
      <c r="AD44" s="10">
        <f t="shared" si="26"/>
        <v>4.5867160440106778</v>
      </c>
      <c r="AE44" s="10">
        <f t="shared" si="27"/>
        <v>-1</v>
      </c>
      <c r="AF44" s="10">
        <f t="shared" si="28"/>
        <v>0</v>
      </c>
      <c r="AG44" s="10"/>
      <c r="AH44" s="10">
        <f t="shared" si="32"/>
        <v>-1</v>
      </c>
      <c r="AI44" s="10">
        <f t="shared" si="33"/>
        <v>0</v>
      </c>
      <c r="AJ44" s="10">
        <f t="shared" si="34"/>
        <v>0</v>
      </c>
      <c r="AZ44" s="10">
        <v>23</v>
      </c>
      <c r="BA44">
        <v>0.32311959330399986</v>
      </c>
      <c r="BB44">
        <v>0.31161562219494954</v>
      </c>
      <c r="BC44">
        <v>0.84725486007263406</v>
      </c>
      <c r="BF44" s="10">
        <v>1</v>
      </c>
      <c r="BG44" s="10">
        <f t="shared" si="6"/>
        <v>11.577715221304725</v>
      </c>
      <c r="BH44" s="10">
        <f t="shared" si="7"/>
        <v>2.4615943300150507</v>
      </c>
      <c r="BI44" s="10">
        <f t="shared" si="8"/>
        <v>-1</v>
      </c>
      <c r="BK44" s="10">
        <f t="shared" si="9"/>
        <v>-108.42103974663449</v>
      </c>
      <c r="BL44" s="10">
        <f t="shared" si="10"/>
        <v>-1</v>
      </c>
      <c r="BM44" s="10">
        <f t="shared" si="11"/>
        <v>0</v>
      </c>
      <c r="BN44" s="10">
        <f t="shared" si="12"/>
        <v>0</v>
      </c>
    </row>
    <row r="45" spans="2:66" x14ac:dyDescent="0.25">
      <c r="B45" s="10">
        <v>23</v>
      </c>
      <c r="C45">
        <v>0.15750856618979014</v>
      </c>
      <c r="D45">
        <v>-0.21738742361776531</v>
      </c>
      <c r="E45">
        <v>0.24814600054933317</v>
      </c>
      <c r="H45" s="10">
        <v>1</v>
      </c>
      <c r="I45" s="10">
        <f t="shared" si="13"/>
        <v>6.4345392363731655</v>
      </c>
      <c r="J45" s="10">
        <f t="shared" si="14"/>
        <v>14.685990035576049</v>
      </c>
      <c r="K45" s="10">
        <f t="shared" si="15"/>
        <v>1</v>
      </c>
      <c r="N45" s="10">
        <f t="shared" si="16"/>
        <v>6.4345392363731655</v>
      </c>
      <c r="O45" s="10">
        <f t="shared" si="17"/>
        <v>14.685990035576049</v>
      </c>
      <c r="P45" s="10">
        <f t="shared" si="18"/>
        <v>-100</v>
      </c>
      <c r="Q45" s="10">
        <f t="shared" si="19"/>
        <v>-100</v>
      </c>
      <c r="S45" s="10">
        <f t="shared" si="20"/>
        <v>1.4898608457431095</v>
      </c>
      <c r="T45" s="10">
        <f t="shared" si="21"/>
        <v>1</v>
      </c>
      <c r="U45" s="10">
        <f t="shared" si="22"/>
        <v>0</v>
      </c>
      <c r="V45" s="10">
        <f t="shared" si="23"/>
        <v>0</v>
      </c>
      <c r="Y45" s="10">
        <f t="shared" si="24"/>
        <v>0</v>
      </c>
      <c r="Z45" s="10">
        <f t="shared" si="25"/>
        <v>0</v>
      </c>
      <c r="AA45" s="10">
        <f t="shared" si="25"/>
        <v>0</v>
      </c>
      <c r="AB45" s="10">
        <f t="shared" si="26"/>
        <v>-0.600823999755</v>
      </c>
      <c r="AC45" s="10">
        <f t="shared" si="26"/>
        <v>-10.143660466611575</v>
      </c>
      <c r="AD45" s="10">
        <f t="shared" si="26"/>
        <v>4.5867160440106778</v>
      </c>
      <c r="AE45" s="10">
        <f t="shared" si="27"/>
        <v>1</v>
      </c>
      <c r="AF45" s="10">
        <f t="shared" si="28"/>
        <v>0</v>
      </c>
      <c r="AG45" s="10"/>
      <c r="AH45" s="10">
        <f t="shared" si="32"/>
        <v>1</v>
      </c>
      <c r="AI45" s="10">
        <f t="shared" si="33"/>
        <v>0</v>
      </c>
      <c r="AJ45" s="10">
        <f t="shared" si="34"/>
        <v>0</v>
      </c>
      <c r="AZ45" s="10">
        <v>24</v>
      </c>
      <c r="BA45">
        <v>-0.24260316422441974</v>
      </c>
      <c r="BB45">
        <v>1.5504383554798551</v>
      </c>
      <c r="BC45">
        <v>0.575640125736259</v>
      </c>
      <c r="BF45" s="10">
        <v>1</v>
      </c>
      <c r="BG45" s="10">
        <f t="shared" si="6"/>
        <v>10.552777585858252</v>
      </c>
      <c r="BH45" s="10">
        <f t="shared" si="7"/>
        <v>4.7060082696939478</v>
      </c>
      <c r="BI45" s="10">
        <f t="shared" si="8"/>
        <v>-1</v>
      </c>
      <c r="BK45" s="10">
        <f t="shared" si="9"/>
        <v>-68.508155365798984</v>
      </c>
      <c r="BL45" s="10">
        <f t="shared" si="10"/>
        <v>-1</v>
      </c>
      <c r="BM45" s="10">
        <f t="shared" si="11"/>
        <v>0</v>
      </c>
      <c r="BN45" s="10">
        <f t="shared" si="12"/>
        <v>0</v>
      </c>
    </row>
    <row r="46" spans="2:66" x14ac:dyDescent="0.25">
      <c r="B46" s="10">
        <v>24</v>
      </c>
      <c r="C46">
        <v>1.2673694982368033</v>
      </c>
      <c r="D46">
        <v>1.0658141036401503</v>
      </c>
      <c r="E46">
        <v>0.22013000885036774</v>
      </c>
      <c r="H46" s="10">
        <v>1</v>
      </c>
      <c r="I46" s="10">
        <f t="shared" si="13"/>
        <v>8.0345856418716508</v>
      </c>
      <c r="J46" s="10">
        <f t="shared" si="14"/>
        <v>16.535935314244728</v>
      </c>
      <c r="K46" s="10">
        <f t="shared" si="15"/>
        <v>1</v>
      </c>
      <c r="N46" s="10">
        <f t="shared" si="16"/>
        <v>8.0345856418716508</v>
      </c>
      <c r="O46" s="10">
        <f t="shared" si="17"/>
        <v>16.535935314244728</v>
      </c>
      <c r="P46" s="10">
        <f t="shared" si="18"/>
        <v>-100</v>
      </c>
      <c r="Q46" s="10">
        <f t="shared" si="19"/>
        <v>-100</v>
      </c>
      <c r="S46" s="10">
        <f t="shared" si="20"/>
        <v>-6.2552929322444015</v>
      </c>
      <c r="T46" s="10">
        <f t="shared" si="21"/>
        <v>-1</v>
      </c>
      <c r="U46" s="10">
        <f t="shared" si="22"/>
        <v>1</v>
      </c>
      <c r="V46" s="10">
        <f t="shared" si="23"/>
        <v>1</v>
      </c>
      <c r="Y46" s="10">
        <f t="shared" si="24"/>
        <v>0.70082399975499998</v>
      </c>
      <c r="Z46" s="10">
        <f t="shared" si="25"/>
        <v>5.6308304459105845</v>
      </c>
      <c r="AA46" s="10">
        <f t="shared" si="25"/>
        <v>11.588780326618943</v>
      </c>
      <c r="AB46" s="10">
        <f t="shared" si="26"/>
        <v>9.9999999999999978E-2</v>
      </c>
      <c r="AC46" s="10">
        <f t="shared" si="26"/>
        <v>-4.5128300207009904</v>
      </c>
      <c r="AD46" s="10">
        <f t="shared" si="26"/>
        <v>16.17549637062962</v>
      </c>
      <c r="AE46" s="10">
        <f t="shared" si="27"/>
        <v>1</v>
      </c>
      <c r="AF46" s="10">
        <f t="shared" si="28"/>
        <v>0</v>
      </c>
      <c r="AG46" s="10"/>
      <c r="AH46" s="10">
        <f t="shared" si="32"/>
        <v>-1</v>
      </c>
      <c r="AI46" s="10">
        <f t="shared" si="33"/>
        <v>0</v>
      </c>
      <c r="AJ46" s="10">
        <f t="shared" si="34"/>
        <v>0</v>
      </c>
      <c r="AZ46" s="10">
        <v>25</v>
      </c>
      <c r="BA46">
        <v>0.33159381018776912</v>
      </c>
      <c r="BB46">
        <v>-0.37819972931174561</v>
      </c>
      <c r="BC46">
        <v>0.4901882992034669</v>
      </c>
      <c r="BF46" s="10">
        <v>1</v>
      </c>
      <c r="BG46" s="10">
        <f t="shared" si="6"/>
        <v>6.6855116427948857</v>
      </c>
      <c r="BH46" s="10">
        <f t="shared" si="7"/>
        <v>1.2118342560932711</v>
      </c>
      <c r="BI46" s="10">
        <f t="shared" si="8"/>
        <v>1</v>
      </c>
      <c r="BK46" s="10">
        <f t="shared" si="9"/>
        <v>-65.446290507684793</v>
      </c>
      <c r="BL46" s="10">
        <f t="shared" si="10"/>
        <v>-1</v>
      </c>
      <c r="BM46" s="10">
        <f t="shared" si="11"/>
        <v>-1</v>
      </c>
      <c r="BN46" s="10">
        <f t="shared" si="12"/>
        <v>1</v>
      </c>
    </row>
    <row r="47" spans="2:66" x14ac:dyDescent="0.25">
      <c r="B47" s="10">
        <v>25</v>
      </c>
      <c r="C47">
        <v>0.46969944378361106</v>
      </c>
      <c r="D47">
        <v>0.87797843661974184</v>
      </c>
      <c r="E47">
        <v>0.51518295846430862</v>
      </c>
      <c r="H47" s="10">
        <v>1</v>
      </c>
      <c r="I47" s="10">
        <f t="shared" si="13"/>
        <v>6.8846135448742336</v>
      </c>
      <c r="J47" s="10">
        <f t="shared" si="14"/>
        <v>16.265139419766228</v>
      </c>
      <c r="K47" s="10">
        <f t="shared" si="15"/>
        <v>1</v>
      </c>
      <c r="N47" s="10">
        <f t="shared" si="16"/>
        <v>6.8846135448742336</v>
      </c>
      <c r="O47" s="10">
        <f t="shared" si="17"/>
        <v>16.265139419766228</v>
      </c>
      <c r="P47" s="10">
        <f t="shared" si="18"/>
        <v>-100</v>
      </c>
      <c r="Q47" s="10">
        <f t="shared" si="19"/>
        <v>-100</v>
      </c>
      <c r="S47" s="10">
        <f t="shared" si="20"/>
        <v>232.12761296598032</v>
      </c>
      <c r="T47" s="10">
        <f t="shared" si="21"/>
        <v>1</v>
      </c>
      <c r="U47" s="10">
        <f t="shared" si="22"/>
        <v>0</v>
      </c>
      <c r="V47" s="10">
        <f t="shared" si="23"/>
        <v>0</v>
      </c>
      <c r="Y47" s="10">
        <f t="shared" si="24"/>
        <v>0</v>
      </c>
      <c r="Z47" s="10">
        <f t="shared" si="25"/>
        <v>0</v>
      </c>
      <c r="AA47" s="10">
        <f t="shared" si="25"/>
        <v>0</v>
      </c>
      <c r="AB47" s="10">
        <f t="shared" si="26"/>
        <v>9.9999999999999978E-2</v>
      </c>
      <c r="AC47" s="10">
        <f t="shared" si="26"/>
        <v>-4.5128300207009904</v>
      </c>
      <c r="AD47" s="10">
        <f t="shared" si="26"/>
        <v>16.17549637062962</v>
      </c>
      <c r="AE47" s="10">
        <f t="shared" si="27"/>
        <v>1</v>
      </c>
      <c r="AF47" s="10">
        <f t="shared" si="28"/>
        <v>0</v>
      </c>
      <c r="AG47" s="10"/>
      <c r="AH47" s="10">
        <f t="shared" si="32"/>
        <v>1</v>
      </c>
      <c r="AI47" s="10">
        <f t="shared" si="33"/>
        <v>0</v>
      </c>
      <c r="AJ47" s="10">
        <f t="shared" si="34"/>
        <v>0</v>
      </c>
      <c r="AZ47" s="10">
        <v>26</v>
      </c>
      <c r="BA47">
        <v>-0.6650839168287348</v>
      </c>
      <c r="BB47">
        <v>-1.472699295845814E-2</v>
      </c>
      <c r="BC47">
        <v>0.47032074953459274</v>
      </c>
      <c r="BF47" s="10">
        <v>1</v>
      </c>
      <c r="BG47" s="10">
        <f t="shared" si="6"/>
        <v>5.2486373745819703</v>
      </c>
      <c r="BH47" s="10">
        <f t="shared" si="7"/>
        <v>1.8703491947087352</v>
      </c>
      <c r="BI47" s="10">
        <f t="shared" si="8"/>
        <v>1</v>
      </c>
      <c r="BK47" s="10">
        <f t="shared" si="9"/>
        <v>-40.175858859245167</v>
      </c>
      <c r="BL47" s="10">
        <f t="shared" si="10"/>
        <v>-1</v>
      </c>
      <c r="BM47" s="10">
        <f t="shared" si="11"/>
        <v>-1</v>
      </c>
      <c r="BN47" s="10">
        <f t="shared" si="12"/>
        <v>1</v>
      </c>
    </row>
    <row r="48" spans="2:66" x14ac:dyDescent="0.25">
      <c r="B48" s="10">
        <v>26</v>
      </c>
      <c r="C48">
        <v>3.0621595215052366</v>
      </c>
      <c r="D48">
        <v>-1.5473915482289158</v>
      </c>
      <c r="E48">
        <v>1.9806512649922177E-2</v>
      </c>
      <c r="H48" s="10">
        <v>1</v>
      </c>
      <c r="I48" s="10">
        <f t="shared" si="13"/>
        <v>10.622069571104644</v>
      </c>
      <c r="J48" s="10">
        <f t="shared" si="14"/>
        <v>12.768571143321459</v>
      </c>
      <c r="K48" s="10">
        <f t="shared" si="15"/>
        <v>1</v>
      </c>
      <c r="N48" s="10">
        <f t="shared" si="16"/>
        <v>10.622069571104644</v>
      </c>
      <c r="O48" s="10">
        <f t="shared" si="17"/>
        <v>12.768571143321459</v>
      </c>
      <c r="P48" s="10">
        <f t="shared" si="18"/>
        <v>-100</v>
      </c>
      <c r="Q48" s="10">
        <f t="shared" si="19"/>
        <v>-100</v>
      </c>
      <c r="S48" s="10">
        <f t="shared" si="20"/>
        <v>158.70238174446683</v>
      </c>
      <c r="T48" s="10">
        <f t="shared" si="21"/>
        <v>1</v>
      </c>
      <c r="U48" s="10">
        <f t="shared" si="22"/>
        <v>0</v>
      </c>
      <c r="V48" s="10">
        <f t="shared" si="23"/>
        <v>0</v>
      </c>
      <c r="Y48" s="10">
        <f t="shared" si="24"/>
        <v>0</v>
      </c>
      <c r="Z48" s="10">
        <f t="shared" si="25"/>
        <v>0</v>
      </c>
      <c r="AA48" s="10">
        <f t="shared" si="25"/>
        <v>0</v>
      </c>
      <c r="AB48" s="10">
        <f t="shared" si="26"/>
        <v>9.9999999999999978E-2</v>
      </c>
      <c r="AC48" s="10">
        <f t="shared" si="26"/>
        <v>-4.5128300207009904</v>
      </c>
      <c r="AD48" s="10">
        <f t="shared" si="26"/>
        <v>16.17549637062962</v>
      </c>
      <c r="AE48" s="10">
        <f t="shared" si="27"/>
        <v>1</v>
      </c>
      <c r="AF48" s="10">
        <f t="shared" si="28"/>
        <v>0</v>
      </c>
      <c r="AG48" s="10"/>
      <c r="AH48" s="10">
        <f t="shared" si="32"/>
        <v>1</v>
      </c>
      <c r="AI48" s="10">
        <f t="shared" si="33"/>
        <v>0</v>
      </c>
      <c r="AJ48" s="10">
        <f t="shared" si="34"/>
        <v>0</v>
      </c>
      <c r="AZ48" s="10">
        <v>27</v>
      </c>
      <c r="BA48">
        <v>-3.3152173273265362</v>
      </c>
      <c r="BB48">
        <v>-1.1565794011403341</v>
      </c>
      <c r="BC48">
        <v>0.78984954374828331</v>
      </c>
      <c r="BF48" s="10">
        <v>1</v>
      </c>
      <c r="BG48" s="10">
        <f t="shared" si="6"/>
        <v>4.9860262875228178</v>
      </c>
      <c r="BH48" s="10">
        <f t="shared" si="7"/>
        <v>-0.19838057035114431</v>
      </c>
      <c r="BI48" s="10">
        <f t="shared" si="8"/>
        <v>-1</v>
      </c>
      <c r="BK48" s="10">
        <f t="shared" si="9"/>
        <v>-62.555247628925301</v>
      </c>
      <c r="BL48" s="10">
        <f t="shared" si="10"/>
        <v>-1</v>
      </c>
      <c r="BM48" s="10">
        <f t="shared" si="11"/>
        <v>0</v>
      </c>
      <c r="BN48" s="10">
        <f t="shared" si="12"/>
        <v>0</v>
      </c>
    </row>
    <row r="49" spans="2:66" x14ac:dyDescent="0.25">
      <c r="B49" s="10">
        <v>27</v>
      </c>
      <c r="C49">
        <v>-0.22177573555381969</v>
      </c>
      <c r="D49">
        <v>1.9792150851571932</v>
      </c>
      <c r="E49">
        <v>0.76778466139713741</v>
      </c>
      <c r="H49" s="10">
        <v>1</v>
      </c>
      <c r="I49" s="10">
        <f t="shared" si="13"/>
        <v>10.590511290592593</v>
      </c>
      <c r="J49" s="10">
        <f t="shared" si="14"/>
        <v>5.4828364980119257</v>
      </c>
      <c r="K49" s="10">
        <f t="shared" si="15"/>
        <v>-1</v>
      </c>
      <c r="N49" s="10">
        <f t="shared" si="16"/>
        <v>-100</v>
      </c>
      <c r="O49" s="10">
        <f t="shared" si="17"/>
        <v>-100</v>
      </c>
      <c r="P49" s="10">
        <f t="shared" si="18"/>
        <v>10.590511290592593</v>
      </c>
      <c r="Q49" s="10">
        <f t="shared" si="19"/>
        <v>5.4828364980119257</v>
      </c>
      <c r="S49" s="10">
        <f t="shared" si="20"/>
        <v>40.994424587588476</v>
      </c>
      <c r="T49" s="10">
        <f t="shared" si="21"/>
        <v>1</v>
      </c>
      <c r="U49" s="10">
        <f t="shared" si="22"/>
        <v>-1</v>
      </c>
      <c r="V49" s="10">
        <f t="shared" si="23"/>
        <v>1</v>
      </c>
      <c r="Y49" s="10">
        <f t="shared" si="24"/>
        <v>-0.70082399975499998</v>
      </c>
      <c r="Z49" s="10">
        <f t="shared" si="25"/>
        <v>-7.4220844821235881</v>
      </c>
      <c r="AA49" s="10">
        <f t="shared" si="25"/>
        <v>-3.8425034045394146</v>
      </c>
      <c r="AB49" s="10">
        <f t="shared" si="26"/>
        <v>-0.600823999755</v>
      </c>
      <c r="AC49" s="10">
        <f t="shared" si="26"/>
        <v>-11.934914502824579</v>
      </c>
      <c r="AD49" s="10">
        <f t="shared" si="26"/>
        <v>12.332992966090206</v>
      </c>
      <c r="AE49" s="10">
        <f t="shared" si="27"/>
        <v>-1</v>
      </c>
      <c r="AF49" s="10">
        <f t="shared" si="28"/>
        <v>0</v>
      </c>
      <c r="AG49" s="10"/>
      <c r="AH49" s="10">
        <f t="shared" si="32"/>
        <v>1</v>
      </c>
      <c r="AI49" s="10">
        <f t="shared" si="33"/>
        <v>0</v>
      </c>
      <c r="AJ49" s="10">
        <f t="shared" si="34"/>
        <v>0</v>
      </c>
      <c r="AZ49" s="10">
        <v>28</v>
      </c>
      <c r="BA49">
        <v>-0.43361069401726127</v>
      </c>
      <c r="BB49">
        <v>1.7010643205139786</v>
      </c>
      <c r="BC49">
        <v>0.25812555314798424</v>
      </c>
      <c r="BF49" s="10">
        <v>1</v>
      </c>
      <c r="BG49" s="10">
        <f t="shared" si="6"/>
        <v>5.5823439565818846</v>
      </c>
      <c r="BH49" s="10">
        <f t="shared" si="7"/>
        <v>4.9789020474047767</v>
      </c>
      <c r="BI49" s="10">
        <f t="shared" si="8"/>
        <v>1</v>
      </c>
      <c r="BK49" s="10">
        <f t="shared" si="9"/>
        <v>-5.8208579174240285</v>
      </c>
      <c r="BL49" s="10">
        <f t="shared" si="10"/>
        <v>-1</v>
      </c>
      <c r="BM49" s="10">
        <f t="shared" si="11"/>
        <v>-1</v>
      </c>
      <c r="BN49" s="10">
        <f t="shared" si="12"/>
        <v>1</v>
      </c>
    </row>
    <row r="50" spans="2:66" x14ac:dyDescent="0.25">
      <c r="B50" s="10">
        <v>28</v>
      </c>
      <c r="C50">
        <v>-0.7031712812022306</v>
      </c>
      <c r="D50">
        <v>0.37647396311513148</v>
      </c>
      <c r="E50">
        <v>0.94491409039582508</v>
      </c>
      <c r="H50" s="10">
        <v>1</v>
      </c>
      <c r="I50" s="10">
        <f t="shared" si="13"/>
        <v>9.718351905619361</v>
      </c>
      <c r="J50" s="10">
        <f t="shared" si="14"/>
        <v>2.5791002173018516</v>
      </c>
      <c r="K50" s="10">
        <f t="shared" si="15"/>
        <v>-1</v>
      </c>
      <c r="N50" s="10">
        <f t="shared" si="16"/>
        <v>-100</v>
      </c>
      <c r="O50" s="10">
        <f t="shared" si="17"/>
        <v>-100</v>
      </c>
      <c r="P50" s="10">
        <f t="shared" si="18"/>
        <v>9.718351905619361</v>
      </c>
      <c r="Q50" s="10">
        <f t="shared" si="19"/>
        <v>2.5791002173018516</v>
      </c>
      <c r="S50" s="10">
        <f t="shared" si="20"/>
        <v>-84.780498262858927</v>
      </c>
      <c r="T50" s="10">
        <f t="shared" si="21"/>
        <v>-1</v>
      </c>
      <c r="U50" s="10">
        <f t="shared" si="22"/>
        <v>0</v>
      </c>
      <c r="V50" s="10">
        <f t="shared" si="23"/>
        <v>0</v>
      </c>
      <c r="Y50" s="10">
        <f t="shared" si="24"/>
        <v>0</v>
      </c>
      <c r="Z50" s="10">
        <f t="shared" si="25"/>
        <v>0</v>
      </c>
      <c r="AA50" s="10">
        <f t="shared" si="25"/>
        <v>0</v>
      </c>
      <c r="AB50" s="10">
        <f t="shared" si="26"/>
        <v>-0.600823999755</v>
      </c>
      <c r="AC50" s="10">
        <f t="shared" si="26"/>
        <v>-11.934914502824579</v>
      </c>
      <c r="AD50" s="10">
        <f t="shared" si="26"/>
        <v>12.332992966090206</v>
      </c>
      <c r="AE50" s="10">
        <f t="shared" si="27"/>
        <v>-1</v>
      </c>
      <c r="AF50" s="10">
        <f t="shared" si="28"/>
        <v>0</v>
      </c>
      <c r="AG50" s="10"/>
      <c r="AH50" s="10">
        <f t="shared" si="32"/>
        <v>-1</v>
      </c>
      <c r="AI50" s="10">
        <f t="shared" si="33"/>
        <v>1</v>
      </c>
      <c r="AJ50" s="10">
        <f t="shared" si="34"/>
        <v>1</v>
      </c>
      <c r="AZ50" s="10">
        <v>29</v>
      </c>
      <c r="BA50">
        <v>1.2132250049035065</v>
      </c>
      <c r="BB50">
        <v>0.10472604117239825</v>
      </c>
      <c r="BC50">
        <v>0.45298623615222633</v>
      </c>
      <c r="BF50" s="10">
        <v>1</v>
      </c>
      <c r="BG50" s="10">
        <f t="shared" si="6"/>
        <v>7.9565274821203271</v>
      </c>
      <c r="BH50" s="10">
        <f t="shared" si="7"/>
        <v>2.0867659973204571</v>
      </c>
      <c r="BI50" s="10">
        <f t="shared" si="8"/>
        <v>1</v>
      </c>
      <c r="BK50" s="10">
        <f t="shared" si="9"/>
        <v>-69.825228871405812</v>
      </c>
      <c r="BL50" s="10">
        <f t="shared" si="10"/>
        <v>-1</v>
      </c>
      <c r="BM50" s="10">
        <f t="shared" si="11"/>
        <v>-1</v>
      </c>
      <c r="BN50" s="10">
        <f t="shared" si="12"/>
        <v>1</v>
      </c>
    </row>
    <row r="51" spans="2:66" x14ac:dyDescent="0.25">
      <c r="B51" s="10">
        <v>29</v>
      </c>
      <c r="C51">
        <v>-1.1811175681941677</v>
      </c>
      <c r="D51">
        <v>-0.63353581936098635</v>
      </c>
      <c r="E51">
        <v>3.0793176061281166E-2</v>
      </c>
      <c r="H51" s="10">
        <v>1</v>
      </c>
      <c r="I51" s="10">
        <f t="shared" si="13"/>
        <v>4.5046903041497766</v>
      </c>
      <c r="J51" s="10">
        <f t="shared" si="14"/>
        <v>14.086043929233874</v>
      </c>
      <c r="K51" s="10">
        <f t="shared" si="15"/>
        <v>1</v>
      </c>
      <c r="N51" s="10">
        <f t="shared" si="16"/>
        <v>4.5046903041497766</v>
      </c>
      <c r="O51" s="10">
        <f t="shared" si="17"/>
        <v>14.086043929233874</v>
      </c>
      <c r="P51" s="10">
        <f t="shared" si="18"/>
        <v>-100</v>
      </c>
      <c r="Q51" s="10">
        <f t="shared" si="19"/>
        <v>-100</v>
      </c>
      <c r="S51" s="10">
        <f t="shared" si="20"/>
        <v>119.35916305779358</v>
      </c>
      <c r="T51" s="10">
        <f t="shared" si="21"/>
        <v>1</v>
      </c>
      <c r="U51" s="10">
        <f t="shared" si="22"/>
        <v>0</v>
      </c>
      <c r="V51" s="10">
        <f t="shared" si="23"/>
        <v>0</v>
      </c>
      <c r="Y51" s="10">
        <f t="shared" si="24"/>
        <v>0</v>
      </c>
      <c r="Z51" s="10">
        <f t="shared" si="25"/>
        <v>0</v>
      </c>
      <c r="AA51" s="10">
        <f t="shared" si="25"/>
        <v>0</v>
      </c>
      <c r="AB51" s="10">
        <f t="shared" si="26"/>
        <v>-0.600823999755</v>
      </c>
      <c r="AC51" s="10">
        <f t="shared" si="26"/>
        <v>-11.934914502824579</v>
      </c>
      <c r="AD51" s="10">
        <f t="shared" si="26"/>
        <v>12.332992966090206</v>
      </c>
      <c r="AE51" s="10">
        <f t="shared" si="27"/>
        <v>1</v>
      </c>
      <c r="AF51" s="10">
        <f t="shared" si="28"/>
        <v>0</v>
      </c>
      <c r="AG51" s="10"/>
      <c r="AH51" s="10">
        <f t="shared" si="32"/>
        <v>-1</v>
      </c>
      <c r="AI51" s="10">
        <f t="shared" si="33"/>
        <v>0</v>
      </c>
      <c r="AJ51" s="10">
        <f t="shared" si="34"/>
        <v>0</v>
      </c>
      <c r="AZ51" s="10">
        <v>30</v>
      </c>
      <c r="BA51">
        <v>-0.97824795375345275</v>
      </c>
      <c r="BB51">
        <v>-0.71635895437793806</v>
      </c>
      <c r="BC51">
        <v>0.92822046571245465</v>
      </c>
      <c r="BF51" s="10">
        <v>1</v>
      </c>
      <c r="BG51" s="10">
        <f t="shared" si="6"/>
        <v>9.2199868839205994</v>
      </c>
      <c r="BH51" s="10">
        <f t="shared" si="7"/>
        <v>0.59918059857032069</v>
      </c>
      <c r="BI51" s="10">
        <f t="shared" si="8"/>
        <v>-1</v>
      </c>
      <c r="BK51" s="10">
        <f t="shared" si="9"/>
        <v>-103.25088906892587</v>
      </c>
      <c r="BL51" s="10">
        <f t="shared" si="10"/>
        <v>-1</v>
      </c>
      <c r="BM51" s="10">
        <f t="shared" si="11"/>
        <v>0</v>
      </c>
      <c r="BN51" s="10">
        <f t="shared" si="12"/>
        <v>0</v>
      </c>
    </row>
    <row r="52" spans="2:66" x14ac:dyDescent="0.25">
      <c r="B52" s="10">
        <v>30</v>
      </c>
      <c r="C52">
        <v>0.71517320066050161</v>
      </c>
      <c r="D52">
        <v>-1.166945367003791</v>
      </c>
      <c r="E52">
        <v>0.78020569475386825</v>
      </c>
      <c r="H52" s="10">
        <v>1</v>
      </c>
      <c r="I52" s="10">
        <f t="shared" si="13"/>
        <v>12.288011018927905</v>
      </c>
      <c r="J52" s="10">
        <f t="shared" si="14"/>
        <v>-0.21716091531663162</v>
      </c>
      <c r="K52" s="10">
        <f t="shared" si="15"/>
        <v>-1</v>
      </c>
      <c r="N52" s="10">
        <f t="shared" si="16"/>
        <v>-100</v>
      </c>
      <c r="O52" s="10">
        <f t="shared" si="17"/>
        <v>-100</v>
      </c>
      <c r="P52" s="10">
        <f t="shared" si="18"/>
        <v>12.288011018927905</v>
      </c>
      <c r="Q52" s="10">
        <f t="shared" si="19"/>
        <v>-0.21716091531663162</v>
      </c>
      <c r="S52" s="10">
        <f t="shared" si="20"/>
        <v>-149.93542896153562</v>
      </c>
      <c r="T52" s="10">
        <f t="shared" si="21"/>
        <v>-1</v>
      </c>
      <c r="U52" s="10">
        <f t="shared" si="22"/>
        <v>0</v>
      </c>
      <c r="V52" s="10">
        <f t="shared" si="23"/>
        <v>0</v>
      </c>
      <c r="Y52" s="10">
        <f t="shared" si="24"/>
        <v>0</v>
      </c>
      <c r="Z52" s="10">
        <f t="shared" si="25"/>
        <v>0</v>
      </c>
      <c r="AA52" s="10">
        <f t="shared" si="25"/>
        <v>0</v>
      </c>
      <c r="AB52" s="10">
        <f t="shared" si="26"/>
        <v>-0.600823999755</v>
      </c>
      <c r="AC52" s="10">
        <f t="shared" si="26"/>
        <v>-11.934914502824579</v>
      </c>
      <c r="AD52" s="10">
        <f t="shared" si="26"/>
        <v>12.332992966090206</v>
      </c>
      <c r="AE52" s="10">
        <f t="shared" si="27"/>
        <v>-1</v>
      </c>
      <c r="AF52" s="10">
        <f t="shared" si="28"/>
        <v>0</v>
      </c>
      <c r="AG52" s="10"/>
      <c r="AH52" s="10">
        <f t="shared" si="32"/>
        <v>-1</v>
      </c>
      <c r="AI52" s="10">
        <f t="shared" si="33"/>
        <v>0</v>
      </c>
      <c r="AJ52" s="10">
        <f t="shared" si="34"/>
        <v>0</v>
      </c>
      <c r="AZ52" s="10">
        <v>31</v>
      </c>
      <c r="BA52">
        <v>0.29064267437206581</v>
      </c>
      <c r="BB52">
        <v>1.6177500583580695</v>
      </c>
      <c r="BC52">
        <v>0.24646748252815331</v>
      </c>
      <c r="BF52" s="10">
        <v>1</v>
      </c>
      <c r="BG52" s="10">
        <f t="shared" si="6"/>
        <v>6.6264738698892796</v>
      </c>
      <c r="BH52" s="10">
        <f t="shared" si="7"/>
        <v>4.8279589896672501</v>
      </c>
      <c r="BI52" s="10">
        <f t="shared" si="8"/>
        <v>1</v>
      </c>
      <c r="BK52" s="10">
        <f t="shared" si="9"/>
        <v>-20.144038831946489</v>
      </c>
      <c r="BL52" s="10">
        <f t="shared" si="10"/>
        <v>-1</v>
      </c>
      <c r="BM52" s="10">
        <f t="shared" si="11"/>
        <v>-1</v>
      </c>
      <c r="BN52" s="10">
        <f t="shared" si="12"/>
        <v>1</v>
      </c>
    </row>
    <row r="53" spans="2:66" x14ac:dyDescent="0.25">
      <c r="B53" s="10">
        <v>31</v>
      </c>
      <c r="C53">
        <v>-2.5692133931443095</v>
      </c>
      <c r="D53">
        <v>-0.31587433113600127</v>
      </c>
      <c r="E53">
        <v>0.43415631580553604</v>
      </c>
      <c r="H53" s="10">
        <v>1</v>
      </c>
      <c r="I53" s="10">
        <f t="shared" si="13"/>
        <v>2.5035227064197509</v>
      </c>
      <c r="J53" s="10">
        <f t="shared" si="14"/>
        <v>14.544005019424008</v>
      </c>
      <c r="K53" s="10">
        <f t="shared" si="15"/>
        <v>1</v>
      </c>
      <c r="N53" s="10">
        <f t="shared" si="16"/>
        <v>2.5035227064197509</v>
      </c>
      <c r="O53" s="10">
        <f t="shared" si="17"/>
        <v>14.544005019424008</v>
      </c>
      <c r="P53" s="10">
        <f t="shared" si="18"/>
        <v>-100</v>
      </c>
      <c r="Q53" s="10">
        <f t="shared" si="19"/>
        <v>-100</v>
      </c>
      <c r="S53" s="10">
        <f t="shared" si="20"/>
        <v>148.89095814658222</v>
      </c>
      <c r="T53" s="10">
        <f t="shared" si="21"/>
        <v>1</v>
      </c>
      <c r="U53" s="10">
        <f t="shared" si="22"/>
        <v>0</v>
      </c>
      <c r="V53" s="10">
        <f t="shared" si="23"/>
        <v>0</v>
      </c>
      <c r="Y53" s="10">
        <f t="shared" si="24"/>
        <v>0</v>
      </c>
      <c r="Z53" s="10">
        <f t="shared" si="25"/>
        <v>0</v>
      </c>
      <c r="AA53" s="10">
        <f t="shared" si="25"/>
        <v>0</v>
      </c>
      <c r="AB53" s="10">
        <f t="shared" si="26"/>
        <v>-0.600823999755</v>
      </c>
      <c r="AC53" s="10">
        <f t="shared" si="26"/>
        <v>-11.934914502824579</v>
      </c>
      <c r="AD53" s="10">
        <f t="shared" si="26"/>
        <v>12.332992966090206</v>
      </c>
      <c r="AE53" s="10">
        <f t="shared" si="27"/>
        <v>1</v>
      </c>
      <c r="AF53" s="10">
        <f t="shared" si="28"/>
        <v>0</v>
      </c>
      <c r="AG53" s="10"/>
      <c r="AH53" s="10">
        <f t="shared" si="32"/>
        <v>1</v>
      </c>
      <c r="AI53" s="10">
        <f t="shared" si="33"/>
        <v>0</v>
      </c>
      <c r="AJ53" s="10">
        <f t="shared" si="34"/>
        <v>0</v>
      </c>
      <c r="AZ53" s="10">
        <v>32</v>
      </c>
      <c r="BA53">
        <v>-0.54408474170486443</v>
      </c>
      <c r="BB53">
        <v>5.6991211749846116E-3</v>
      </c>
      <c r="BC53">
        <v>0.7899105807672353</v>
      </c>
      <c r="BF53" s="10">
        <v>1</v>
      </c>
      <c r="BG53" s="10">
        <f t="shared" si="6"/>
        <v>10.006573971028496</v>
      </c>
      <c r="BH53" s="10">
        <f t="shared" si="7"/>
        <v>1.9073558253289271</v>
      </c>
      <c r="BI53" s="10">
        <f t="shared" si="8"/>
        <v>-1</v>
      </c>
      <c r="BK53" s="10">
        <f t="shared" si="9"/>
        <v>-96.505022832557103</v>
      </c>
      <c r="BL53" s="10">
        <f t="shared" si="10"/>
        <v>-1</v>
      </c>
      <c r="BM53" s="10">
        <f t="shared" si="11"/>
        <v>0</v>
      </c>
      <c r="BN53" s="10">
        <f t="shared" si="12"/>
        <v>0</v>
      </c>
    </row>
    <row r="54" spans="2:66" x14ac:dyDescent="0.25">
      <c r="B54" s="10">
        <v>32</v>
      </c>
      <c r="C54">
        <v>2.482083800714463</v>
      </c>
      <c r="D54">
        <v>-1.4957868188503198</v>
      </c>
      <c r="E54">
        <v>0.49589526047547838</v>
      </c>
      <c r="H54" s="10">
        <v>1</v>
      </c>
      <c r="I54" s="10">
        <f t="shared" si="13"/>
        <v>9.785795363077197</v>
      </c>
      <c r="J54" s="10">
        <f t="shared" si="14"/>
        <v>12.842967817143155</v>
      </c>
      <c r="K54" s="10">
        <f t="shared" si="15"/>
        <v>1</v>
      </c>
      <c r="N54" s="10">
        <f t="shared" si="16"/>
        <v>9.785795363077197</v>
      </c>
      <c r="O54" s="10">
        <f t="shared" si="17"/>
        <v>12.842967817143155</v>
      </c>
      <c r="P54" s="10">
        <f t="shared" si="18"/>
        <v>-100</v>
      </c>
      <c r="Q54" s="10">
        <f t="shared" si="19"/>
        <v>-100</v>
      </c>
      <c r="S54" s="10">
        <f t="shared" si="20"/>
        <v>40.998776752330855</v>
      </c>
      <c r="T54" s="10">
        <f t="shared" si="21"/>
        <v>1</v>
      </c>
      <c r="U54" s="10">
        <f t="shared" si="22"/>
        <v>0</v>
      </c>
      <c r="V54" s="10">
        <f t="shared" si="23"/>
        <v>0</v>
      </c>
      <c r="Y54" s="10">
        <f t="shared" si="24"/>
        <v>0</v>
      </c>
      <c r="Z54" s="10">
        <f t="shared" si="25"/>
        <v>0</v>
      </c>
      <c r="AA54" s="10">
        <f t="shared" si="25"/>
        <v>0</v>
      </c>
      <c r="AB54" s="10">
        <f t="shared" si="26"/>
        <v>-0.600823999755</v>
      </c>
      <c r="AC54" s="10">
        <f t="shared" si="26"/>
        <v>-11.934914502824579</v>
      </c>
      <c r="AD54" s="10">
        <f t="shared" si="26"/>
        <v>12.332992966090206</v>
      </c>
      <c r="AE54" s="10">
        <f t="shared" si="27"/>
        <v>1</v>
      </c>
      <c r="AF54" s="10">
        <f t="shared" si="28"/>
        <v>0</v>
      </c>
      <c r="AG54" s="10"/>
      <c r="AH54" s="10">
        <f t="shared" si="32"/>
        <v>-1</v>
      </c>
      <c r="AI54" s="10">
        <f t="shared" si="33"/>
        <v>0</v>
      </c>
      <c r="AJ54" s="10">
        <f t="shared" si="34"/>
        <v>0</v>
      </c>
      <c r="AZ54" s="10">
        <v>33</v>
      </c>
      <c r="BA54">
        <v>0.80960944615071639</v>
      </c>
      <c r="BB54">
        <v>0.53682697398471646</v>
      </c>
      <c r="BC54">
        <v>0.97497482222968235</v>
      </c>
      <c r="BF54" s="10">
        <v>1</v>
      </c>
      <c r="BG54" s="10">
        <f t="shared" si="6"/>
        <v>12.459104122157576</v>
      </c>
      <c r="BH54" s="10">
        <f t="shared" si="7"/>
        <v>2.869616788555641</v>
      </c>
      <c r="BI54" s="10">
        <f t="shared" si="8"/>
        <v>-1</v>
      </c>
      <c r="BK54" s="10">
        <f t="shared" si="9"/>
        <v>-113.90820281086386</v>
      </c>
      <c r="BL54" s="10">
        <f t="shared" si="10"/>
        <v>-1</v>
      </c>
      <c r="BM54" s="10">
        <f t="shared" si="11"/>
        <v>0</v>
      </c>
      <c r="BN54" s="10">
        <f t="shared" si="12"/>
        <v>0</v>
      </c>
    </row>
    <row r="55" spans="2:66" x14ac:dyDescent="0.25">
      <c r="B55" s="10">
        <v>33</v>
      </c>
      <c r="C55">
        <v>-0.78168341133277863</v>
      </c>
      <c r="D55">
        <v>0.53391204346553423</v>
      </c>
      <c r="E55">
        <v>0.54982146671956544</v>
      </c>
      <c r="H55" s="10">
        <v>1</v>
      </c>
      <c r="I55" s="10">
        <f t="shared" si="13"/>
        <v>5.0805400961958949</v>
      </c>
      <c r="J55" s="10">
        <f t="shared" si="14"/>
        <v>15.769111332171647</v>
      </c>
      <c r="K55" s="10">
        <f t="shared" si="15"/>
        <v>1</v>
      </c>
      <c r="N55" s="10">
        <f t="shared" si="16"/>
        <v>5.0805400961958949</v>
      </c>
      <c r="O55" s="10">
        <f t="shared" si="17"/>
        <v>15.769111332171647</v>
      </c>
      <c r="P55" s="10">
        <f t="shared" si="18"/>
        <v>-100</v>
      </c>
      <c r="Q55" s="10">
        <f t="shared" si="19"/>
        <v>-100</v>
      </c>
      <c r="S55" s="10">
        <f t="shared" si="20"/>
        <v>133.2437034651411</v>
      </c>
      <c r="T55" s="10">
        <f t="shared" si="21"/>
        <v>1</v>
      </c>
      <c r="U55" s="10">
        <f t="shared" si="22"/>
        <v>0</v>
      </c>
      <c r="V55" s="10">
        <f t="shared" si="23"/>
        <v>0</v>
      </c>
      <c r="Y55" s="10">
        <f t="shared" si="24"/>
        <v>0</v>
      </c>
      <c r="Z55" s="10">
        <f t="shared" si="25"/>
        <v>0</v>
      </c>
      <c r="AA55" s="10">
        <f t="shared" si="25"/>
        <v>0</v>
      </c>
      <c r="AB55" s="10">
        <f t="shared" si="26"/>
        <v>-0.600823999755</v>
      </c>
      <c r="AC55" s="10">
        <f t="shared" si="26"/>
        <v>-11.934914502824579</v>
      </c>
      <c r="AD55" s="10">
        <f t="shared" si="26"/>
        <v>12.332992966090206</v>
      </c>
      <c r="AE55" s="10">
        <f t="shared" si="27"/>
        <v>1</v>
      </c>
      <c r="AF55" s="10">
        <f t="shared" si="28"/>
        <v>0</v>
      </c>
      <c r="AG55" s="10"/>
      <c r="AH55" s="10">
        <f t="shared" si="32"/>
        <v>1</v>
      </c>
      <c r="AI55" s="10">
        <f t="shared" si="33"/>
        <v>0</v>
      </c>
      <c r="AJ55" s="10">
        <f t="shared" si="34"/>
        <v>0</v>
      </c>
      <c r="AZ55" s="10">
        <v>34</v>
      </c>
      <c r="BA55">
        <v>0.1145008354797028</v>
      </c>
      <c r="BB55">
        <v>-2.0699917513411492</v>
      </c>
      <c r="BC55">
        <v>0.54353465376750998</v>
      </c>
      <c r="BF55" s="10">
        <v>1</v>
      </c>
      <c r="BG55" s="10">
        <f t="shared" si="6"/>
        <v>11.199754084849165</v>
      </c>
      <c r="BH55" s="10">
        <f t="shared" si="7"/>
        <v>-1.8532383287565946</v>
      </c>
      <c r="BI55" s="10">
        <f t="shared" si="8"/>
        <v>-1</v>
      </c>
      <c r="BK55" s="10">
        <f t="shared" si="9"/>
        <v>-157.12490672813396</v>
      </c>
      <c r="BL55" s="10">
        <f t="shared" si="10"/>
        <v>-1</v>
      </c>
      <c r="BM55" s="10">
        <f t="shared" si="11"/>
        <v>0</v>
      </c>
      <c r="BN55" s="10">
        <f t="shared" si="12"/>
        <v>0</v>
      </c>
    </row>
    <row r="56" spans="2:66" x14ac:dyDescent="0.25">
      <c r="B56" s="10">
        <v>34</v>
      </c>
      <c r="C56">
        <v>0.79672417996334843</v>
      </c>
      <c r="D56">
        <v>-0.35406742426857818</v>
      </c>
      <c r="E56">
        <v>0.24036378063295388</v>
      </c>
      <c r="H56" s="10">
        <v>1</v>
      </c>
      <c r="I56" s="10">
        <f t="shared" si="13"/>
        <v>7.3560732913385003</v>
      </c>
      <c r="J56" s="10">
        <f t="shared" si="14"/>
        <v>14.488943417004201</v>
      </c>
      <c r="K56" s="10">
        <f t="shared" si="15"/>
        <v>1</v>
      </c>
      <c r="N56" s="10">
        <f t="shared" si="16"/>
        <v>7.3560732913385003</v>
      </c>
      <c r="O56" s="10">
        <f t="shared" si="17"/>
        <v>14.488943417004201</v>
      </c>
      <c r="P56" s="10">
        <f t="shared" si="18"/>
        <v>-100</v>
      </c>
      <c r="Q56" s="10">
        <f t="shared" si="19"/>
        <v>-100</v>
      </c>
      <c r="S56" s="10">
        <f t="shared" si="20"/>
        <v>90.29710743960041</v>
      </c>
      <c r="T56" s="10">
        <f t="shared" si="21"/>
        <v>1</v>
      </c>
      <c r="U56" s="10">
        <f t="shared" si="22"/>
        <v>0</v>
      </c>
      <c r="V56" s="10">
        <f t="shared" si="23"/>
        <v>0</v>
      </c>
      <c r="Y56" s="10">
        <f t="shared" si="24"/>
        <v>0</v>
      </c>
      <c r="Z56" s="10">
        <f t="shared" si="25"/>
        <v>0</v>
      </c>
      <c r="AA56" s="10">
        <f t="shared" si="25"/>
        <v>0</v>
      </c>
      <c r="AB56" s="10">
        <f t="shared" si="26"/>
        <v>-0.600823999755</v>
      </c>
      <c r="AC56" s="10">
        <f t="shared" si="26"/>
        <v>-11.934914502824579</v>
      </c>
      <c r="AD56" s="10">
        <f t="shared" si="26"/>
        <v>12.332992966090206</v>
      </c>
      <c r="AE56" s="10">
        <f t="shared" si="27"/>
        <v>1</v>
      </c>
      <c r="AF56" s="10">
        <f t="shared" si="28"/>
        <v>0</v>
      </c>
      <c r="AG56" s="10"/>
      <c r="AH56" s="10">
        <f t="shared" si="32"/>
        <v>-1</v>
      </c>
      <c r="AI56" s="10">
        <f t="shared" si="33"/>
        <v>1</v>
      </c>
      <c r="AJ56" s="10">
        <f t="shared" si="34"/>
        <v>1</v>
      </c>
      <c r="AZ56" s="10">
        <v>35</v>
      </c>
      <c r="BA56">
        <v>1.1777433428505901</v>
      </c>
      <c r="BB56">
        <v>-1.1500333130243234</v>
      </c>
      <c r="BC56">
        <v>0.25702688680684838</v>
      </c>
      <c r="BF56" s="10">
        <v>1</v>
      </c>
      <c r="BG56" s="10">
        <f t="shared" si="6"/>
        <v>7.9053748519217208</v>
      </c>
      <c r="BH56" s="10">
        <f t="shared" si="7"/>
        <v>-0.18652081752033967</v>
      </c>
      <c r="BI56" s="10">
        <f t="shared" si="8"/>
        <v>1</v>
      </c>
      <c r="BK56" s="10">
        <f t="shared" si="9"/>
        <v>-97.251156900727992</v>
      </c>
      <c r="BL56" s="10">
        <f t="shared" si="10"/>
        <v>-1</v>
      </c>
      <c r="BM56" s="10">
        <f t="shared" si="11"/>
        <v>-1</v>
      </c>
      <c r="BN56" s="10">
        <f t="shared" si="12"/>
        <v>1</v>
      </c>
    </row>
    <row r="57" spans="2:66" x14ac:dyDescent="0.25">
      <c r="B57" s="10">
        <v>35</v>
      </c>
      <c r="C57">
        <v>-0.51879965212719981</v>
      </c>
      <c r="D57">
        <v>0.1605303623364307</v>
      </c>
      <c r="E57">
        <v>0.40238654744102298</v>
      </c>
      <c r="H57" s="10">
        <v>1</v>
      </c>
      <c r="I57" s="10">
        <f t="shared" si="13"/>
        <v>5.4595301136253918</v>
      </c>
      <c r="J57" s="10">
        <f t="shared" si="14"/>
        <v>15.230820453090324</v>
      </c>
      <c r="K57" s="10">
        <f t="shared" si="15"/>
        <v>1</v>
      </c>
      <c r="N57" s="10">
        <f t="shared" si="16"/>
        <v>5.4595301136253918</v>
      </c>
      <c r="O57" s="10">
        <f t="shared" si="17"/>
        <v>15.230820453090324</v>
      </c>
      <c r="P57" s="10">
        <f t="shared" si="18"/>
        <v>-100</v>
      </c>
      <c r="Q57" s="10">
        <f t="shared" si="19"/>
        <v>-100</v>
      </c>
      <c r="S57" s="10">
        <f t="shared" si="20"/>
        <v>122.08175238427562</v>
      </c>
      <c r="T57" s="10">
        <f t="shared" si="21"/>
        <v>1</v>
      </c>
      <c r="U57" s="10">
        <f t="shared" si="22"/>
        <v>0</v>
      </c>
      <c r="V57" s="10">
        <f t="shared" si="23"/>
        <v>0</v>
      </c>
      <c r="Y57" s="10">
        <f t="shared" si="24"/>
        <v>0</v>
      </c>
      <c r="Z57" s="10">
        <f t="shared" si="25"/>
        <v>0</v>
      </c>
      <c r="AA57" s="10">
        <f t="shared" si="25"/>
        <v>0</v>
      </c>
      <c r="AB57" s="10">
        <f t="shared" si="26"/>
        <v>-0.600823999755</v>
      </c>
      <c r="AC57" s="10">
        <f t="shared" si="26"/>
        <v>-11.934914502824579</v>
      </c>
      <c r="AD57" s="10">
        <f t="shared" si="26"/>
        <v>12.332992966090206</v>
      </c>
      <c r="AE57" s="10">
        <f t="shared" si="27"/>
        <v>1</v>
      </c>
      <c r="AF57" s="10">
        <f t="shared" si="28"/>
        <v>0</v>
      </c>
      <c r="AG57" s="10"/>
      <c r="AH57" s="10">
        <f t="shared" si="32"/>
        <v>1</v>
      </c>
      <c r="AI57" s="10">
        <f t="shared" si="33"/>
        <v>0</v>
      </c>
      <c r="AJ57" s="10">
        <f t="shared" si="34"/>
        <v>0</v>
      </c>
      <c r="AZ57" s="10">
        <v>36</v>
      </c>
      <c r="BA57">
        <v>-0.30415549190365709</v>
      </c>
      <c r="BB57">
        <v>0.59656485973391682</v>
      </c>
      <c r="BC57">
        <v>0.9873043000579852</v>
      </c>
      <c r="BF57" s="10">
        <v>1</v>
      </c>
      <c r="BG57" s="10">
        <f t="shared" si="6"/>
        <v>10.441261306288016</v>
      </c>
      <c r="BH57" s="10">
        <f t="shared" si="7"/>
        <v>2.977845786861903</v>
      </c>
      <c r="BI57" s="10">
        <f t="shared" si="8"/>
        <v>-1</v>
      </c>
      <c r="BK57" s="10">
        <f t="shared" si="9"/>
        <v>-88.490633848483753</v>
      </c>
      <c r="BL57" s="10">
        <f t="shared" si="10"/>
        <v>-1</v>
      </c>
      <c r="BM57" s="10">
        <f t="shared" si="11"/>
        <v>0</v>
      </c>
      <c r="BN57" s="10">
        <f t="shared" si="12"/>
        <v>0</v>
      </c>
    </row>
    <row r="58" spans="2:66" x14ac:dyDescent="0.25">
      <c r="B58" s="10">
        <v>36</v>
      </c>
      <c r="C58">
        <v>0.87460875874967314</v>
      </c>
      <c r="D58">
        <v>0.36999495023337658</v>
      </c>
      <c r="E58">
        <v>0.34372997222815638</v>
      </c>
      <c r="H58" s="10">
        <v>1</v>
      </c>
      <c r="I58" s="10">
        <f t="shared" si="13"/>
        <v>7.4683566745376693</v>
      </c>
      <c r="J58" s="10">
        <f t="shared" si="14"/>
        <v>15.532797981324945</v>
      </c>
      <c r="K58" s="10">
        <f t="shared" si="15"/>
        <v>1</v>
      </c>
      <c r="N58" s="10">
        <f t="shared" si="16"/>
        <v>7.4683566745376693</v>
      </c>
      <c r="O58" s="10">
        <f t="shared" si="17"/>
        <v>15.532797981324945</v>
      </c>
      <c r="P58" s="10">
        <f t="shared" si="18"/>
        <v>-100</v>
      </c>
      <c r="Q58" s="10">
        <f t="shared" si="19"/>
        <v>-100</v>
      </c>
      <c r="S58" s="10">
        <f t="shared" si="20"/>
        <v>101.83086586041934</v>
      </c>
      <c r="T58" s="10">
        <f t="shared" si="21"/>
        <v>1</v>
      </c>
      <c r="U58" s="10">
        <f t="shared" si="22"/>
        <v>0</v>
      </c>
      <c r="V58" s="10">
        <f t="shared" si="23"/>
        <v>0</v>
      </c>
      <c r="Y58" s="10">
        <f t="shared" si="24"/>
        <v>0</v>
      </c>
      <c r="Z58" s="10">
        <f t="shared" si="25"/>
        <v>0</v>
      </c>
      <c r="AA58" s="10">
        <f t="shared" si="25"/>
        <v>0</v>
      </c>
      <c r="AB58" s="10">
        <f t="shared" si="26"/>
        <v>-0.600823999755</v>
      </c>
      <c r="AC58" s="10">
        <f t="shared" si="26"/>
        <v>-11.934914502824579</v>
      </c>
      <c r="AD58" s="10">
        <f t="shared" si="26"/>
        <v>12.332992966090206</v>
      </c>
      <c r="AE58" s="10">
        <f t="shared" si="27"/>
        <v>1</v>
      </c>
      <c r="AF58" s="10">
        <f t="shared" si="28"/>
        <v>0</v>
      </c>
      <c r="AG58" s="10"/>
      <c r="AH58" s="10">
        <f t="shared" si="32"/>
        <v>1</v>
      </c>
      <c r="AI58" s="10">
        <f t="shared" si="33"/>
        <v>0</v>
      </c>
      <c r="AJ58" s="10">
        <f t="shared" si="34"/>
        <v>0</v>
      </c>
      <c r="AZ58" s="10">
        <v>37</v>
      </c>
      <c r="BA58">
        <v>0.32690991247363854</v>
      </c>
      <c r="BB58">
        <v>0.87382431956939399</v>
      </c>
      <c r="BC58">
        <v>0.29908139286477248</v>
      </c>
      <c r="BF58" s="10">
        <v>1</v>
      </c>
      <c r="BG58" s="10">
        <f t="shared" si="6"/>
        <v>6.6787590366936929</v>
      </c>
      <c r="BH58" s="10">
        <f t="shared" si="7"/>
        <v>3.4801654326376252</v>
      </c>
      <c r="BI58" s="10">
        <f t="shared" si="8"/>
        <v>1</v>
      </c>
      <c r="BK58" s="10">
        <f t="shared" si="9"/>
        <v>-37.390386286111159</v>
      </c>
      <c r="BL58" s="10">
        <f t="shared" si="10"/>
        <v>-1</v>
      </c>
      <c r="BM58" s="10">
        <f t="shared" si="11"/>
        <v>-1</v>
      </c>
      <c r="BN58" s="10">
        <f t="shared" si="12"/>
        <v>1</v>
      </c>
    </row>
    <row r="59" spans="2:66" x14ac:dyDescent="0.25">
      <c r="B59" s="10">
        <v>37</v>
      </c>
      <c r="C59">
        <v>1.5085561244632117</v>
      </c>
      <c r="D59">
        <v>0.38494590626214631</v>
      </c>
      <c r="E59">
        <v>0.35227515488143557</v>
      </c>
      <c r="H59" s="10">
        <v>1</v>
      </c>
      <c r="I59" s="10">
        <f t="shared" si="13"/>
        <v>8.3822956866212248</v>
      </c>
      <c r="J59" s="10">
        <f t="shared" si="14"/>
        <v>15.554352234440673</v>
      </c>
      <c r="K59" s="10">
        <f t="shared" si="15"/>
        <v>1</v>
      </c>
      <c r="N59" s="10">
        <f t="shared" si="16"/>
        <v>8.3822956866212248</v>
      </c>
      <c r="O59" s="10">
        <f t="shared" si="17"/>
        <v>15.554352234440673</v>
      </c>
      <c r="P59" s="10">
        <f t="shared" si="18"/>
        <v>-100</v>
      </c>
      <c r="Q59" s="10">
        <f t="shared" si="19"/>
        <v>-100</v>
      </c>
      <c r="S59" s="10">
        <f t="shared" si="20"/>
        <v>91.188910342471743</v>
      </c>
      <c r="T59" s="10">
        <f t="shared" si="21"/>
        <v>1</v>
      </c>
      <c r="U59" s="10">
        <f t="shared" si="22"/>
        <v>0</v>
      </c>
      <c r="V59" s="10">
        <f t="shared" si="23"/>
        <v>0</v>
      </c>
      <c r="Y59" s="10">
        <f t="shared" si="24"/>
        <v>0</v>
      </c>
      <c r="Z59" s="10">
        <f t="shared" si="25"/>
        <v>0</v>
      </c>
      <c r="AA59" s="10">
        <f t="shared" si="25"/>
        <v>0</v>
      </c>
      <c r="AB59" s="10">
        <f t="shared" si="26"/>
        <v>-0.600823999755</v>
      </c>
      <c r="AC59" s="10">
        <f t="shared" si="26"/>
        <v>-11.934914502824579</v>
      </c>
      <c r="AD59" s="10">
        <f t="shared" si="26"/>
        <v>12.332992966090206</v>
      </c>
      <c r="AE59" s="10">
        <f t="shared" si="27"/>
        <v>1</v>
      </c>
      <c r="AF59" s="10">
        <f t="shared" si="28"/>
        <v>0</v>
      </c>
      <c r="AG59" s="10"/>
      <c r="AH59" s="10">
        <f t="shared" si="32"/>
        <v>1</v>
      </c>
      <c r="AI59" s="10">
        <f t="shared" si="33"/>
        <v>0</v>
      </c>
      <c r="AJ59" s="10">
        <f t="shared" si="34"/>
        <v>0</v>
      </c>
      <c r="AZ59" s="10">
        <v>38</v>
      </c>
      <c r="BA59">
        <v>2.6789348339661956</v>
      </c>
      <c r="BB59">
        <v>8.4824023360852152E-2</v>
      </c>
      <c r="BC59">
        <v>1.174962614825892E-2</v>
      </c>
      <c r="BF59" s="10">
        <v>1</v>
      </c>
      <c r="BG59" s="10">
        <f t="shared" si="6"/>
        <v>10.069588385318433</v>
      </c>
      <c r="BH59" s="10">
        <f t="shared" si="7"/>
        <v>2.0507088884187441</v>
      </c>
      <c r="BI59" s="10">
        <f t="shared" si="8"/>
        <v>1</v>
      </c>
      <c r="BK59" s="10">
        <f t="shared" si="9"/>
        <v>-95.489122160798871</v>
      </c>
      <c r="BL59" s="10">
        <f t="shared" si="10"/>
        <v>-1</v>
      </c>
      <c r="BM59" s="10">
        <f t="shared" si="11"/>
        <v>-1</v>
      </c>
      <c r="BN59" s="10">
        <f t="shared" si="12"/>
        <v>1</v>
      </c>
    </row>
    <row r="60" spans="2:66" x14ac:dyDescent="0.25">
      <c r="B60" s="10">
        <v>38</v>
      </c>
      <c r="C60">
        <v>-0.43983845898765139</v>
      </c>
      <c r="D60">
        <v>0.14682882465422153</v>
      </c>
      <c r="E60">
        <v>0.98449659718619342</v>
      </c>
      <c r="H60" s="10">
        <v>1</v>
      </c>
      <c r="I60" s="10">
        <f t="shared" si="13"/>
        <v>10.195440225904052</v>
      </c>
      <c r="J60" s="10">
        <f t="shared" si="14"/>
        <v>2.1630449286049336</v>
      </c>
      <c r="K60" s="10">
        <f t="shared" si="15"/>
        <v>-1</v>
      </c>
      <c r="N60" s="10">
        <f t="shared" si="16"/>
        <v>-100</v>
      </c>
      <c r="O60" s="10">
        <f t="shared" si="17"/>
        <v>-100</v>
      </c>
      <c r="P60" s="10">
        <f t="shared" si="18"/>
        <v>10.195440225904052</v>
      </c>
      <c r="Q60" s="10">
        <f t="shared" si="19"/>
        <v>2.1630449286049336</v>
      </c>
      <c r="S60" s="10">
        <f t="shared" si="20"/>
        <v>-95.605713524756638</v>
      </c>
      <c r="T60" s="10">
        <f t="shared" si="21"/>
        <v>-1</v>
      </c>
      <c r="U60" s="10">
        <f t="shared" si="22"/>
        <v>0</v>
      </c>
      <c r="V60" s="10">
        <f t="shared" si="23"/>
        <v>0</v>
      </c>
      <c r="Y60" s="10">
        <f t="shared" si="24"/>
        <v>0</v>
      </c>
      <c r="Z60" s="10">
        <f t="shared" si="25"/>
        <v>0</v>
      </c>
      <c r="AA60" s="10">
        <f t="shared" si="25"/>
        <v>0</v>
      </c>
      <c r="AB60" s="10">
        <f t="shared" si="26"/>
        <v>-0.600823999755</v>
      </c>
      <c r="AC60" s="10">
        <f t="shared" si="26"/>
        <v>-11.934914502824579</v>
      </c>
      <c r="AD60" s="10">
        <f t="shared" si="26"/>
        <v>12.332992966090206</v>
      </c>
      <c r="AE60" s="10">
        <f t="shared" si="27"/>
        <v>-1</v>
      </c>
      <c r="AF60" s="10">
        <f t="shared" si="28"/>
        <v>0</v>
      </c>
      <c r="AG60" s="10"/>
      <c r="AH60" s="10">
        <f t="shared" si="32"/>
        <v>1</v>
      </c>
      <c r="AI60" s="10">
        <f t="shared" si="33"/>
        <v>0</v>
      </c>
      <c r="AJ60" s="10">
        <f t="shared" si="34"/>
        <v>0</v>
      </c>
      <c r="AZ60" s="10">
        <v>39</v>
      </c>
      <c r="BA60">
        <v>-0.65433823692728765</v>
      </c>
      <c r="BB60">
        <v>0.46773720896453597</v>
      </c>
      <c r="BC60">
        <v>0.96227912228766743</v>
      </c>
      <c r="BF60" s="10">
        <v>1</v>
      </c>
      <c r="BG60" s="10">
        <f t="shared" si="6"/>
        <v>9.8068242611411343</v>
      </c>
      <c r="BH60" s="10">
        <f t="shared" si="7"/>
        <v>2.7444446977196471</v>
      </c>
      <c r="BI60" s="10">
        <f t="shared" si="8"/>
        <v>-1</v>
      </c>
      <c r="BK60" s="10">
        <f t="shared" si="9"/>
        <v>-83.797215947900284</v>
      </c>
      <c r="BL60" s="10">
        <f t="shared" si="10"/>
        <v>-1</v>
      </c>
      <c r="BM60" s="10">
        <f t="shared" si="11"/>
        <v>0</v>
      </c>
      <c r="BN60" s="10">
        <f t="shared" si="12"/>
        <v>0</v>
      </c>
    </row>
    <row r="61" spans="2:66" x14ac:dyDescent="0.25">
      <c r="B61" s="10">
        <v>39</v>
      </c>
      <c r="C61">
        <v>-0.47269168135244399</v>
      </c>
      <c r="D61">
        <v>-0.12652094483200926</v>
      </c>
      <c r="E61">
        <v>0.14719077120273447</v>
      </c>
      <c r="H61" s="10">
        <v>1</v>
      </c>
      <c r="I61" s="10">
        <f t="shared" si="13"/>
        <v>5.5260023091705648</v>
      </c>
      <c r="J61" s="10">
        <f t="shared" si="14"/>
        <v>14.816988954957143</v>
      </c>
      <c r="K61" s="10">
        <f t="shared" si="15"/>
        <v>1</v>
      </c>
      <c r="N61" s="10">
        <f t="shared" si="16"/>
        <v>5.5260023091705648</v>
      </c>
      <c r="O61" s="10">
        <f t="shared" si="17"/>
        <v>14.816988954957143</v>
      </c>
      <c r="P61" s="10">
        <f t="shared" si="18"/>
        <v>-100</v>
      </c>
      <c r="Q61" s="10">
        <f t="shared" si="19"/>
        <v>-100</v>
      </c>
      <c r="S61" s="10">
        <f t="shared" si="20"/>
        <v>116.18463145800582</v>
      </c>
      <c r="T61" s="10">
        <f t="shared" si="21"/>
        <v>1</v>
      </c>
      <c r="U61" s="10">
        <f t="shared" si="22"/>
        <v>0</v>
      </c>
      <c r="V61" s="10">
        <f t="shared" si="23"/>
        <v>0</v>
      </c>
      <c r="Y61" s="10">
        <f t="shared" si="24"/>
        <v>0</v>
      </c>
      <c r="Z61" s="10">
        <f t="shared" si="25"/>
        <v>0</v>
      </c>
      <c r="AA61" s="10">
        <f t="shared" si="25"/>
        <v>0</v>
      </c>
      <c r="AB61" s="10">
        <f t="shared" si="26"/>
        <v>-0.600823999755</v>
      </c>
      <c r="AC61" s="10">
        <f t="shared" si="26"/>
        <v>-11.934914502824579</v>
      </c>
      <c r="AD61" s="10">
        <f t="shared" si="26"/>
        <v>12.332992966090206</v>
      </c>
      <c r="AE61" s="10">
        <f t="shared" si="27"/>
        <v>1</v>
      </c>
      <c r="AF61" s="10">
        <f t="shared" si="28"/>
        <v>0</v>
      </c>
      <c r="AG61" s="10"/>
      <c r="AH61" s="10">
        <f t="shared" si="32"/>
        <v>1</v>
      </c>
      <c r="AI61" s="10">
        <f t="shared" si="33"/>
        <v>0</v>
      </c>
      <c r="AJ61" s="10">
        <f t="shared" si="34"/>
        <v>0</v>
      </c>
      <c r="AZ61" s="10">
        <v>40</v>
      </c>
      <c r="BA61">
        <v>-0.40363147491007112</v>
      </c>
      <c r="BB61">
        <v>1.4487613952951506</v>
      </c>
      <c r="BC61">
        <v>0.24689474166081729</v>
      </c>
      <c r="BF61" s="10">
        <v>1</v>
      </c>
      <c r="BG61" s="10">
        <f t="shared" si="6"/>
        <v>5.625563913593651</v>
      </c>
      <c r="BH61" s="10">
        <f t="shared" si="7"/>
        <v>4.5217969369089817</v>
      </c>
      <c r="BI61" s="10">
        <f t="shared" si="8"/>
        <v>1</v>
      </c>
      <c r="BK61" s="10">
        <f t="shared" si="9"/>
        <v>-11.974158521683741</v>
      </c>
      <c r="BL61" s="10">
        <f t="shared" si="10"/>
        <v>-1</v>
      </c>
      <c r="BM61" s="10">
        <f t="shared" si="11"/>
        <v>-1</v>
      </c>
      <c r="BN61" s="10">
        <f t="shared" si="12"/>
        <v>1</v>
      </c>
    </row>
    <row r="62" spans="2:66" x14ac:dyDescent="0.25">
      <c r="B62" s="10">
        <v>40</v>
      </c>
      <c r="C62">
        <v>-1.3695034795091487</v>
      </c>
      <c r="D62">
        <v>0.83546638052212074</v>
      </c>
      <c r="E62">
        <v>0.88308359019745475</v>
      </c>
      <c r="H62" s="10">
        <v>1</v>
      </c>
      <c r="I62" s="10">
        <f t="shared" si="13"/>
        <v>8.5111369957255594</v>
      </c>
      <c r="J62" s="10">
        <f t="shared" si="14"/>
        <v>3.4106711532851861</v>
      </c>
      <c r="K62" s="10">
        <f t="shared" si="15"/>
        <v>-1</v>
      </c>
      <c r="N62" s="10">
        <f t="shared" si="16"/>
        <v>-100</v>
      </c>
      <c r="O62" s="10">
        <f t="shared" si="17"/>
        <v>-100</v>
      </c>
      <c r="P62" s="10">
        <f t="shared" si="18"/>
        <v>8.5111369957255594</v>
      </c>
      <c r="Q62" s="10">
        <f t="shared" si="19"/>
        <v>3.4106711532851861</v>
      </c>
      <c r="S62" s="10">
        <f t="shared" si="20"/>
        <v>-60.116733022453815</v>
      </c>
      <c r="T62" s="10">
        <f t="shared" si="21"/>
        <v>-1</v>
      </c>
      <c r="U62" s="10">
        <f t="shared" si="22"/>
        <v>0</v>
      </c>
      <c r="V62" s="10">
        <f t="shared" si="23"/>
        <v>0</v>
      </c>
      <c r="X62" s="10">
        <f>SUM(V43:V62)</f>
        <v>2</v>
      </c>
      <c r="Y62" s="10">
        <f t="shared" si="24"/>
        <v>0</v>
      </c>
      <c r="Z62" s="10">
        <f t="shared" si="25"/>
        <v>0</v>
      </c>
      <c r="AA62" s="10">
        <f t="shared" si="25"/>
        <v>0</v>
      </c>
      <c r="AB62" s="10">
        <f t="shared" si="26"/>
        <v>-0.600823999755</v>
      </c>
      <c r="AC62" s="10">
        <f t="shared" si="26"/>
        <v>-11.934914502824579</v>
      </c>
      <c r="AD62" s="10">
        <f t="shared" si="26"/>
        <v>12.332992966090206</v>
      </c>
      <c r="AE62" s="10">
        <f t="shared" si="27"/>
        <v>-1</v>
      </c>
      <c r="AF62" s="10">
        <f t="shared" si="28"/>
        <v>0</v>
      </c>
      <c r="AG62" s="10"/>
      <c r="AH62" s="10">
        <f t="shared" si="32"/>
        <v>-1</v>
      </c>
      <c r="AI62" s="10">
        <f t="shared" si="33"/>
        <v>0</v>
      </c>
      <c r="AJ62" s="10">
        <f t="shared" si="34"/>
        <v>0</v>
      </c>
      <c r="AZ62" s="10">
        <v>41</v>
      </c>
      <c r="BA62">
        <v>0.97639713203534484</v>
      </c>
      <c r="BB62">
        <v>8.1467987911310047E-3</v>
      </c>
      <c r="BC62">
        <v>0.27896969512009034</v>
      </c>
      <c r="BF62" s="10">
        <v>1</v>
      </c>
      <c r="BG62" s="10">
        <f t="shared" si="6"/>
        <v>7.6151012946018142</v>
      </c>
      <c r="BH62" s="10">
        <f t="shared" si="7"/>
        <v>1.9117903595152284</v>
      </c>
      <c r="BI62" s="10">
        <f t="shared" si="8"/>
        <v>1</v>
      </c>
      <c r="BK62" s="10">
        <f t="shared" si="9"/>
        <v>-67.908309824636035</v>
      </c>
      <c r="BL62" s="10">
        <f t="shared" si="10"/>
        <v>-1</v>
      </c>
      <c r="BM62" s="10">
        <f t="shared" si="11"/>
        <v>-1</v>
      </c>
      <c r="BN62" s="10">
        <f t="shared" si="12"/>
        <v>1</v>
      </c>
    </row>
    <row r="63" spans="2:66" x14ac:dyDescent="0.25">
      <c r="B63" s="10">
        <v>41</v>
      </c>
      <c r="C63">
        <v>-0.96244548331014812</v>
      </c>
      <c r="D63">
        <v>1.4660190572612919</v>
      </c>
      <c r="E63">
        <v>0.29770805993835259</v>
      </c>
      <c r="H63" s="10">
        <v>1</v>
      </c>
      <c r="I63" s="10">
        <f t="shared" si="13"/>
        <v>4.8199419481158463</v>
      </c>
      <c r="J63" s="10">
        <f t="shared" si="14"/>
        <v>17.112896336129829</v>
      </c>
      <c r="K63" s="10">
        <f t="shared" si="15"/>
        <v>1</v>
      </c>
      <c r="N63" s="10">
        <f t="shared" si="16"/>
        <v>4.8199419481158463</v>
      </c>
      <c r="O63" s="10">
        <f t="shared" si="17"/>
        <v>17.112896336129829</v>
      </c>
      <c r="P63" s="10">
        <f t="shared" si="18"/>
        <v>-100</v>
      </c>
      <c r="Q63" s="10">
        <f t="shared" si="19"/>
        <v>-100</v>
      </c>
      <c r="S63" s="12">
        <f t="shared" si="20"/>
        <v>152.92681108382465</v>
      </c>
      <c r="T63" s="12">
        <f t="shared" si="21"/>
        <v>1</v>
      </c>
      <c r="U63" s="12">
        <f t="shared" si="22"/>
        <v>0</v>
      </c>
      <c r="V63" s="12">
        <f t="shared" si="23"/>
        <v>0</v>
      </c>
      <c r="W63" s="12"/>
      <c r="X63" s="12"/>
      <c r="Y63" s="10">
        <f t="shared" si="24"/>
        <v>0</v>
      </c>
      <c r="Z63" s="10">
        <f t="shared" si="25"/>
        <v>0</v>
      </c>
      <c r="AA63" s="10">
        <f t="shared" si="25"/>
        <v>0</v>
      </c>
      <c r="AB63" s="10">
        <f t="shared" si="26"/>
        <v>-0.600823999755</v>
      </c>
      <c r="AC63" s="10">
        <f t="shared" si="26"/>
        <v>-11.934914502824579</v>
      </c>
      <c r="AD63" s="10">
        <f t="shared" si="26"/>
        <v>12.332992966090206</v>
      </c>
      <c r="AE63" s="10">
        <f t="shared" si="27"/>
        <v>1</v>
      </c>
      <c r="AF63" s="10">
        <f t="shared" si="28"/>
        <v>0</v>
      </c>
      <c r="AG63" s="10"/>
      <c r="AH63" s="10">
        <f t="shared" si="32"/>
        <v>1</v>
      </c>
      <c r="AI63" s="10">
        <f t="shared" si="33"/>
        <v>0</v>
      </c>
      <c r="AJ63" s="10">
        <f t="shared" si="34"/>
        <v>0</v>
      </c>
      <c r="AZ63" s="10">
        <v>42</v>
      </c>
      <c r="BA63">
        <v>0.5293304639053531</v>
      </c>
      <c r="BB63">
        <v>0.98232931122765876</v>
      </c>
      <c r="BC63">
        <v>0.14160588396862697</v>
      </c>
      <c r="BF63" s="10">
        <v>1</v>
      </c>
      <c r="BG63" s="10">
        <f t="shared" si="6"/>
        <v>6.9705814320635087</v>
      </c>
      <c r="BH63" s="10">
        <f t="shared" si="7"/>
        <v>3.6767473238633368</v>
      </c>
      <c r="BI63" s="10">
        <f t="shared" si="8"/>
        <v>1</v>
      </c>
      <c r="BK63" s="10">
        <f t="shared" si="9"/>
        <v>-38.448818543111962</v>
      </c>
      <c r="BL63" s="10">
        <f t="shared" si="10"/>
        <v>-1</v>
      </c>
      <c r="BM63" s="10">
        <f t="shared" si="11"/>
        <v>-1</v>
      </c>
      <c r="BN63" s="10">
        <f t="shared" si="12"/>
        <v>1</v>
      </c>
    </row>
    <row r="64" spans="2:66" x14ac:dyDescent="0.25">
      <c r="B64" s="10">
        <v>42</v>
      </c>
      <c r="C64">
        <v>-0.37122390494914725</v>
      </c>
      <c r="D64">
        <v>-1.1054908100049943E-2</v>
      </c>
      <c r="E64">
        <v>0.80367442854091009</v>
      </c>
      <c r="H64" s="10">
        <v>1</v>
      </c>
      <c r="I64" s="10">
        <f t="shared" si="13"/>
        <v>10.319751362123291</v>
      </c>
      <c r="J64" s="10">
        <f t="shared" si="14"/>
        <v>1.877002025838207</v>
      </c>
      <c r="K64" s="10">
        <f t="shared" si="15"/>
        <v>-1</v>
      </c>
      <c r="N64" s="10">
        <f t="shared" si="16"/>
        <v>-100</v>
      </c>
      <c r="O64" s="10">
        <f t="shared" si="17"/>
        <v>-100</v>
      </c>
      <c r="P64" s="10">
        <f t="shared" si="18"/>
        <v>10.319751362123291</v>
      </c>
      <c r="Q64" s="10">
        <f t="shared" si="19"/>
        <v>1.877002025838207</v>
      </c>
      <c r="S64" s="10">
        <f t="shared" si="20"/>
        <v>-100.61712141510431</v>
      </c>
      <c r="T64" s="10">
        <f t="shared" si="21"/>
        <v>-1</v>
      </c>
      <c r="U64" s="10">
        <f t="shared" si="22"/>
        <v>0</v>
      </c>
      <c r="V64" s="10">
        <f t="shared" si="23"/>
        <v>0</v>
      </c>
      <c r="Y64" s="10">
        <f t="shared" si="24"/>
        <v>0</v>
      </c>
      <c r="Z64" s="10">
        <f t="shared" si="25"/>
        <v>0</v>
      </c>
      <c r="AA64" s="10">
        <f t="shared" si="25"/>
        <v>0</v>
      </c>
      <c r="AB64" s="10">
        <f t="shared" si="26"/>
        <v>-0.600823999755</v>
      </c>
      <c r="AC64" s="10">
        <f t="shared" si="26"/>
        <v>-11.934914502824579</v>
      </c>
      <c r="AD64" s="10">
        <f t="shared" si="26"/>
        <v>12.332992966090206</v>
      </c>
      <c r="AE64" s="10">
        <f t="shared" si="27"/>
        <v>-1</v>
      </c>
      <c r="AF64" s="10">
        <f t="shared" si="28"/>
        <v>0</v>
      </c>
      <c r="AG64" s="10"/>
      <c r="AH64" s="10">
        <f t="shared" si="32"/>
        <v>1</v>
      </c>
      <c r="AI64" s="10">
        <f t="shared" si="33"/>
        <v>-1</v>
      </c>
      <c r="AJ64" s="10">
        <f t="shared" si="34"/>
        <v>1</v>
      </c>
      <c r="AZ64" s="10">
        <v>43</v>
      </c>
      <c r="BA64">
        <v>0.62124172472977079</v>
      </c>
      <c r="BB64">
        <v>-0.99655608210014179</v>
      </c>
      <c r="BC64">
        <v>0.32703634754478589</v>
      </c>
      <c r="BF64" s="10">
        <v>1</v>
      </c>
      <c r="BG64" s="10">
        <f t="shared" si="6"/>
        <v>7.1030865759608641</v>
      </c>
      <c r="BH64" s="10">
        <f t="shared" si="7"/>
        <v>9.1538687891020709E-2</v>
      </c>
      <c r="BI64" s="10">
        <f t="shared" si="8"/>
        <v>1</v>
      </c>
      <c r="BK64" s="10">
        <f t="shared" si="9"/>
        <v>-84.246608996123811</v>
      </c>
      <c r="BL64" s="10">
        <f t="shared" si="10"/>
        <v>-1</v>
      </c>
      <c r="BM64" s="10">
        <f t="shared" si="11"/>
        <v>-1</v>
      </c>
      <c r="BN64" s="10">
        <f t="shared" si="12"/>
        <v>1</v>
      </c>
    </row>
    <row r="65" spans="2:66" x14ac:dyDescent="0.25">
      <c r="B65" s="10">
        <v>43</v>
      </c>
      <c r="C65">
        <v>0.45395495362754446</v>
      </c>
      <c r="D65">
        <v>-0.66680286181508563</v>
      </c>
      <c r="E65">
        <v>0.68617816705832091</v>
      </c>
      <c r="H65" s="10">
        <v>1</v>
      </c>
      <c r="I65" s="10">
        <f t="shared" si="13"/>
        <v>6.8619152822782548</v>
      </c>
      <c r="J65" s="10">
        <f t="shared" si="14"/>
        <v>14.038084036094766</v>
      </c>
      <c r="K65" s="10">
        <f t="shared" si="15"/>
        <v>1</v>
      </c>
      <c r="N65" s="10">
        <f t="shared" si="16"/>
        <v>6.8619152822782548</v>
      </c>
      <c r="O65" s="10">
        <f t="shared" si="17"/>
        <v>14.038084036094766</v>
      </c>
      <c r="P65" s="10">
        <f t="shared" si="18"/>
        <v>-100</v>
      </c>
      <c r="Q65" s="10">
        <f t="shared" si="19"/>
        <v>-100</v>
      </c>
      <c r="S65" s="10">
        <f t="shared" si="20"/>
        <v>90.634395455168601</v>
      </c>
      <c r="T65" s="10">
        <f t="shared" si="21"/>
        <v>1</v>
      </c>
      <c r="U65" s="10">
        <f t="shared" si="22"/>
        <v>0</v>
      </c>
      <c r="V65" s="10">
        <f t="shared" si="23"/>
        <v>0</v>
      </c>
      <c r="Y65" s="10">
        <f t="shared" si="24"/>
        <v>0</v>
      </c>
      <c r="Z65" s="10">
        <f t="shared" si="25"/>
        <v>0</v>
      </c>
      <c r="AA65" s="10">
        <f t="shared" si="25"/>
        <v>0</v>
      </c>
      <c r="AB65" s="10">
        <f t="shared" si="26"/>
        <v>-0.600823999755</v>
      </c>
      <c r="AC65" s="10">
        <f t="shared" si="26"/>
        <v>-11.934914502824579</v>
      </c>
      <c r="AD65" s="10">
        <f t="shared" si="26"/>
        <v>12.332992966090206</v>
      </c>
      <c r="AE65" s="10">
        <f t="shared" si="27"/>
        <v>1</v>
      </c>
      <c r="AF65" s="10">
        <f t="shared" si="28"/>
        <v>0</v>
      </c>
      <c r="AG65" s="10"/>
      <c r="AH65" s="10">
        <f t="shared" si="32"/>
        <v>1</v>
      </c>
      <c r="AI65" s="10">
        <f t="shared" si="33"/>
        <v>0</v>
      </c>
      <c r="AJ65" s="10">
        <f t="shared" si="34"/>
        <v>0</v>
      </c>
      <c r="AZ65" s="10">
        <v>44</v>
      </c>
      <c r="BA65">
        <v>2.0609513740055263</v>
      </c>
      <c r="BB65">
        <v>-0.28904651117045432</v>
      </c>
      <c r="BC65">
        <v>8.5451826532792138E-4</v>
      </c>
      <c r="BF65" s="10">
        <v>1</v>
      </c>
      <c r="BG65" s="10">
        <f t="shared" si="6"/>
        <v>9.1786639593690929</v>
      </c>
      <c r="BH65" s="10">
        <f t="shared" si="7"/>
        <v>1.3733559332366703</v>
      </c>
      <c r="BI65" s="10">
        <f t="shared" si="8"/>
        <v>1</v>
      </c>
      <c r="BK65" s="10">
        <f t="shared" si="9"/>
        <v>-93.209804540436352</v>
      </c>
      <c r="BL65" s="10">
        <f t="shared" si="10"/>
        <v>-1</v>
      </c>
      <c r="BM65" s="10">
        <f t="shared" si="11"/>
        <v>-1</v>
      </c>
      <c r="BN65" s="10">
        <f t="shared" si="12"/>
        <v>1</v>
      </c>
    </row>
    <row r="66" spans="2:66" x14ac:dyDescent="0.25">
      <c r="B66" s="10">
        <v>44</v>
      </c>
      <c r="C66">
        <v>1.4072020348976366</v>
      </c>
      <c r="D66">
        <v>1.9446179067017511</v>
      </c>
      <c r="E66">
        <v>0.38779869991149635</v>
      </c>
      <c r="H66" s="10">
        <v>1</v>
      </c>
      <c r="I66" s="10">
        <f t="shared" si="13"/>
        <v>8.2361771577052973</v>
      </c>
      <c r="J66" s="10">
        <f t="shared" si="14"/>
        <v>17.802875005178503</v>
      </c>
      <c r="K66" s="10">
        <f t="shared" si="15"/>
        <v>1</v>
      </c>
      <c r="N66" s="10">
        <f t="shared" si="16"/>
        <v>8.2361771577052973</v>
      </c>
      <c r="O66" s="10">
        <f t="shared" si="17"/>
        <v>17.802875005178503</v>
      </c>
      <c r="P66" s="10">
        <f t="shared" si="18"/>
        <v>-100</v>
      </c>
      <c r="Q66" s="10">
        <f t="shared" si="19"/>
        <v>-100</v>
      </c>
      <c r="S66" s="10">
        <f t="shared" si="20"/>
        <v>120.66383800796514</v>
      </c>
      <c r="T66" s="10">
        <f t="shared" si="21"/>
        <v>1</v>
      </c>
      <c r="U66" s="10">
        <f t="shared" si="22"/>
        <v>0</v>
      </c>
      <c r="V66" s="10">
        <f t="shared" si="23"/>
        <v>0</v>
      </c>
      <c r="Y66" s="10">
        <f t="shared" si="24"/>
        <v>0</v>
      </c>
      <c r="Z66" s="10">
        <f t="shared" si="25"/>
        <v>0</v>
      </c>
      <c r="AA66" s="10">
        <f t="shared" si="25"/>
        <v>0</v>
      </c>
      <c r="AB66" s="10">
        <f t="shared" si="26"/>
        <v>-0.600823999755</v>
      </c>
      <c r="AC66" s="10">
        <f t="shared" si="26"/>
        <v>-11.934914502824579</v>
      </c>
      <c r="AD66" s="10">
        <f t="shared" si="26"/>
        <v>12.332992966090206</v>
      </c>
      <c r="AE66" s="10">
        <f t="shared" si="27"/>
        <v>1</v>
      </c>
      <c r="AF66" s="10">
        <f t="shared" si="28"/>
        <v>0</v>
      </c>
      <c r="AG66" s="10"/>
      <c r="AH66" s="10">
        <f t="shared" si="32"/>
        <v>-1</v>
      </c>
      <c r="AI66" s="10">
        <f t="shared" si="33"/>
        <v>0</v>
      </c>
      <c r="AJ66" s="10">
        <f t="shared" si="34"/>
        <v>0</v>
      </c>
      <c r="AZ66" s="10">
        <v>45</v>
      </c>
      <c r="BA66">
        <v>0.12289774531382136</v>
      </c>
      <c r="BB66">
        <v>-9.5039922598516569E-2</v>
      </c>
      <c r="BC66">
        <v>0.13827936643574329</v>
      </c>
      <c r="BF66" s="10">
        <v>1</v>
      </c>
      <c r="BG66" s="10">
        <f t="shared" si="6"/>
        <v>6.3846420664351209</v>
      </c>
      <c r="BH66" s="10">
        <f t="shared" si="7"/>
        <v>1.7248437450770304</v>
      </c>
      <c r="BI66" s="10">
        <f t="shared" si="8"/>
        <v>1</v>
      </c>
      <c r="BK66" s="10">
        <f t="shared" si="9"/>
        <v>-55.5284954181557</v>
      </c>
      <c r="BL66" s="10">
        <f t="shared" si="10"/>
        <v>-1</v>
      </c>
      <c r="BM66" s="10">
        <f t="shared" si="11"/>
        <v>-1</v>
      </c>
      <c r="BN66" s="10">
        <f t="shared" si="12"/>
        <v>1</v>
      </c>
    </row>
    <row r="67" spans="2:66" x14ac:dyDescent="0.25">
      <c r="B67" s="10">
        <v>45</v>
      </c>
      <c r="C67">
        <v>-0.33474748306616675</v>
      </c>
      <c r="D67">
        <v>0.9619589036446996</v>
      </c>
      <c r="E67">
        <v>8.4353160191656243E-2</v>
      </c>
      <c r="H67" s="10">
        <v>1</v>
      </c>
      <c r="I67" s="10">
        <f t="shared" si="13"/>
        <v>5.7248714757969106</v>
      </c>
      <c r="J67" s="10">
        <f t="shared" si="14"/>
        <v>16.386211024789329</v>
      </c>
      <c r="K67" s="10">
        <f t="shared" si="15"/>
        <v>1</v>
      </c>
      <c r="N67" s="10">
        <f t="shared" si="16"/>
        <v>5.7248714757969106</v>
      </c>
      <c r="O67" s="10">
        <f t="shared" si="17"/>
        <v>16.386211024789329</v>
      </c>
      <c r="P67" s="10">
        <f t="shared" si="18"/>
        <v>-100</v>
      </c>
      <c r="Q67" s="10">
        <f t="shared" si="19"/>
        <v>-100</v>
      </c>
      <c r="S67" s="10">
        <f t="shared" si="20"/>
        <v>133.16434970654626</v>
      </c>
      <c r="T67" s="10">
        <f t="shared" si="21"/>
        <v>1</v>
      </c>
      <c r="U67" s="10">
        <f t="shared" si="22"/>
        <v>0</v>
      </c>
      <c r="V67" s="10">
        <f t="shared" si="23"/>
        <v>0</v>
      </c>
      <c r="Y67" s="10">
        <f t="shared" si="24"/>
        <v>0</v>
      </c>
      <c r="Z67" s="10">
        <f t="shared" si="25"/>
        <v>0</v>
      </c>
      <c r="AA67" s="10">
        <f t="shared" si="25"/>
        <v>0</v>
      </c>
      <c r="AB67" s="10">
        <f t="shared" si="26"/>
        <v>-0.600823999755</v>
      </c>
      <c r="AC67" s="10">
        <f t="shared" si="26"/>
        <v>-11.934914502824579</v>
      </c>
      <c r="AD67" s="10">
        <f t="shared" si="26"/>
        <v>12.332992966090206</v>
      </c>
      <c r="AE67" s="10">
        <f t="shared" si="27"/>
        <v>1</v>
      </c>
      <c r="AF67" s="10">
        <f t="shared" si="28"/>
        <v>0</v>
      </c>
      <c r="AG67" s="10"/>
      <c r="AH67" s="10">
        <f t="shared" si="32"/>
        <v>1</v>
      </c>
      <c r="AI67" s="10">
        <f t="shared" si="33"/>
        <v>0</v>
      </c>
      <c r="AJ67" s="10">
        <f t="shared" si="34"/>
        <v>0</v>
      </c>
      <c r="AZ67" s="10">
        <v>46</v>
      </c>
      <c r="BA67">
        <v>-0.27535406843526289</v>
      </c>
      <c r="BB67">
        <v>-5.4608335631201044E-2</v>
      </c>
      <c r="BC67">
        <v>0.20197149571214942</v>
      </c>
      <c r="BF67" s="10">
        <v>1</v>
      </c>
      <c r="BG67" s="10">
        <f t="shared" si="6"/>
        <v>5.8104968157349353</v>
      </c>
      <c r="BH67" s="10">
        <f t="shared" si="7"/>
        <v>1.7980949173025833</v>
      </c>
      <c r="BI67" s="10">
        <f t="shared" si="8"/>
        <v>1</v>
      </c>
      <c r="BK67" s="10">
        <f t="shared" si="9"/>
        <v>-47.772714747030591</v>
      </c>
      <c r="BL67" s="10">
        <f t="shared" si="10"/>
        <v>-1</v>
      </c>
      <c r="BM67" s="10">
        <f t="shared" si="11"/>
        <v>-1</v>
      </c>
      <c r="BN67" s="10">
        <f t="shared" si="12"/>
        <v>1</v>
      </c>
    </row>
    <row r="68" spans="2:66" x14ac:dyDescent="0.25">
      <c r="B68" s="10">
        <v>46</v>
      </c>
      <c r="C68">
        <v>-1.6214426068472676</v>
      </c>
      <c r="D68">
        <v>-0.24031805878621526</v>
      </c>
      <c r="E68">
        <v>0.54295480208746605</v>
      </c>
      <c r="H68" s="10">
        <v>1</v>
      </c>
      <c r="I68" s="10">
        <f t="shared" si="13"/>
        <v>3.8698896052474119</v>
      </c>
      <c r="J68" s="10">
        <f t="shared" si="14"/>
        <v>14.652931767357341</v>
      </c>
      <c r="K68" s="10">
        <f t="shared" si="15"/>
        <v>1</v>
      </c>
      <c r="N68" s="10">
        <f t="shared" si="16"/>
        <v>3.8698896052474119</v>
      </c>
      <c r="O68" s="10">
        <f t="shared" si="17"/>
        <v>14.652931767357341</v>
      </c>
      <c r="P68" s="10">
        <f t="shared" si="18"/>
        <v>-100</v>
      </c>
      <c r="Q68" s="10">
        <f t="shared" si="19"/>
        <v>-100</v>
      </c>
      <c r="S68" s="10">
        <f t="shared" si="20"/>
        <v>133.92687884566539</v>
      </c>
      <c r="T68" s="10">
        <f t="shared" si="21"/>
        <v>1</v>
      </c>
      <c r="U68" s="10">
        <f t="shared" si="22"/>
        <v>0</v>
      </c>
      <c r="V68" s="10">
        <f t="shared" si="23"/>
        <v>0</v>
      </c>
      <c r="Y68" s="10">
        <f t="shared" si="24"/>
        <v>0</v>
      </c>
      <c r="Z68" s="10">
        <f t="shared" si="25"/>
        <v>0</v>
      </c>
      <c r="AA68" s="10">
        <f t="shared" si="25"/>
        <v>0</v>
      </c>
      <c r="AB68" s="10">
        <f t="shared" si="26"/>
        <v>-0.600823999755</v>
      </c>
      <c r="AC68" s="10">
        <f t="shared" si="26"/>
        <v>-11.934914502824579</v>
      </c>
      <c r="AD68" s="10">
        <f t="shared" si="26"/>
        <v>12.332992966090206</v>
      </c>
      <c r="AE68" s="10">
        <f t="shared" si="27"/>
        <v>1</v>
      </c>
      <c r="AF68" s="10">
        <f t="shared" si="28"/>
        <v>0</v>
      </c>
      <c r="AG68" s="10"/>
      <c r="AH68" s="10">
        <f t="shared" si="32"/>
        <v>1</v>
      </c>
      <c r="AI68" s="10">
        <f t="shared" si="33"/>
        <v>0</v>
      </c>
      <c r="AJ68" s="10">
        <f t="shared" si="34"/>
        <v>0</v>
      </c>
      <c r="AZ68" s="10">
        <v>47</v>
      </c>
      <c r="BA68">
        <v>-0.13377302821027115</v>
      </c>
      <c r="BB68">
        <v>0.82789938460336998</v>
      </c>
      <c r="BC68">
        <v>0.2248908963286233</v>
      </c>
      <c r="BF68" s="10">
        <v>1</v>
      </c>
      <c r="BG68" s="10">
        <f t="shared" si="6"/>
        <v>6.0146090859820864</v>
      </c>
      <c r="BH68" s="10">
        <f t="shared" si="7"/>
        <v>3.3969617898183859</v>
      </c>
      <c r="BI68" s="10">
        <f t="shared" si="8"/>
        <v>1</v>
      </c>
      <c r="BK68" s="10">
        <f t="shared" si="9"/>
        <v>-30.48996334895574</v>
      </c>
      <c r="BL68" s="10">
        <f t="shared" si="10"/>
        <v>-1</v>
      </c>
      <c r="BM68" s="10">
        <f t="shared" si="11"/>
        <v>-1</v>
      </c>
      <c r="BN68" s="10">
        <f t="shared" si="12"/>
        <v>1</v>
      </c>
    </row>
    <row r="69" spans="2:66" x14ac:dyDescent="0.25">
      <c r="B69" s="10">
        <v>47</v>
      </c>
      <c r="C69">
        <v>-0.59784497352666222</v>
      </c>
      <c r="D69">
        <v>-7.0934902396402322E-2</v>
      </c>
      <c r="E69">
        <v>0.16437269203772087</v>
      </c>
      <c r="H69" s="10">
        <v>1</v>
      </c>
      <c r="I69" s="10">
        <f t="shared" si="13"/>
        <v>5.3455733297394943</v>
      </c>
      <c r="J69" s="10">
        <f t="shared" si="14"/>
        <v>14.897125343964854</v>
      </c>
      <c r="K69" s="10">
        <f t="shared" si="15"/>
        <v>1</v>
      </c>
      <c r="N69" s="10">
        <f t="shared" si="16"/>
        <v>5.3455733297394943</v>
      </c>
      <c r="O69" s="10">
        <f t="shared" si="17"/>
        <v>14.897125343964854</v>
      </c>
      <c r="P69" s="10">
        <f t="shared" si="18"/>
        <v>-100</v>
      </c>
      <c r="Q69" s="10">
        <f t="shared" si="19"/>
        <v>-100</v>
      </c>
      <c r="S69" s="10">
        <f t="shared" si="20"/>
        <v>119.32635742330751</v>
      </c>
      <c r="T69" s="10">
        <f t="shared" si="21"/>
        <v>1</v>
      </c>
      <c r="U69" s="10">
        <f t="shared" si="22"/>
        <v>0</v>
      </c>
      <c r="V69" s="10">
        <f t="shared" si="23"/>
        <v>0</v>
      </c>
      <c r="Y69" s="10">
        <f t="shared" si="24"/>
        <v>0</v>
      </c>
      <c r="Z69" s="10">
        <f t="shared" si="25"/>
        <v>0</v>
      </c>
      <c r="AA69" s="10">
        <f t="shared" si="25"/>
        <v>0</v>
      </c>
      <c r="AB69" s="10">
        <f t="shared" si="26"/>
        <v>-0.600823999755</v>
      </c>
      <c r="AC69" s="10">
        <f t="shared" si="26"/>
        <v>-11.934914502824579</v>
      </c>
      <c r="AD69" s="10">
        <f t="shared" si="26"/>
        <v>12.332992966090206</v>
      </c>
      <c r="AE69" s="10">
        <f t="shared" si="27"/>
        <v>1</v>
      </c>
      <c r="AF69" s="10">
        <f t="shared" si="28"/>
        <v>0</v>
      </c>
      <c r="AG69" s="10"/>
      <c r="AH69" s="10">
        <f t="shared" si="32"/>
        <v>1</v>
      </c>
      <c r="AI69" s="10">
        <f t="shared" si="33"/>
        <v>0</v>
      </c>
      <c r="AJ69" s="10">
        <f t="shared" si="34"/>
        <v>0</v>
      </c>
      <c r="AZ69" s="10">
        <v>48</v>
      </c>
      <c r="BA69">
        <v>0.41286170926468913</v>
      </c>
      <c r="BB69">
        <v>0.84221028373576701</v>
      </c>
      <c r="BC69">
        <v>8.7954344309823906E-2</v>
      </c>
      <c r="BF69" s="10">
        <v>1</v>
      </c>
      <c r="BG69" s="10">
        <f t="shared" si="6"/>
        <v>6.8026726366147239</v>
      </c>
      <c r="BH69" s="10">
        <f t="shared" si="7"/>
        <v>3.4228892939229656</v>
      </c>
      <c r="BI69" s="10">
        <f t="shared" si="8"/>
        <v>1</v>
      </c>
      <c r="BK69" s="10">
        <f t="shared" si="9"/>
        <v>-39.57567072279857</v>
      </c>
      <c r="BL69" s="10">
        <f t="shared" si="10"/>
        <v>-1</v>
      </c>
      <c r="BM69" s="10">
        <f t="shared" si="11"/>
        <v>-1</v>
      </c>
      <c r="BN69" s="10">
        <f t="shared" si="12"/>
        <v>1</v>
      </c>
    </row>
    <row r="70" spans="2:66" x14ac:dyDescent="0.25">
      <c r="B70" s="10">
        <v>48</v>
      </c>
      <c r="C70">
        <v>-0.86378349806182086</v>
      </c>
      <c r="D70">
        <v>-0.26773477657116018</v>
      </c>
      <c r="E70">
        <v>0.88232062746055484</v>
      </c>
      <c r="H70" s="10">
        <v>1</v>
      </c>
      <c r="I70" s="10">
        <f t="shared" si="13"/>
        <v>9.4273657227564325</v>
      </c>
      <c r="J70" s="10">
        <f t="shared" si="14"/>
        <v>1.4119670701880878</v>
      </c>
      <c r="K70" s="10">
        <f t="shared" si="15"/>
        <v>-1</v>
      </c>
      <c r="N70" s="10">
        <f t="shared" si="16"/>
        <v>-100</v>
      </c>
      <c r="O70" s="10">
        <f t="shared" si="17"/>
        <v>-100</v>
      </c>
      <c r="P70" s="10">
        <f t="shared" si="18"/>
        <v>9.4273657227564325</v>
      </c>
      <c r="Q70" s="10">
        <f t="shared" si="19"/>
        <v>1.4119670701880878</v>
      </c>
      <c r="S70" s="10">
        <f t="shared" si="20"/>
        <v>-95.701847942731376</v>
      </c>
      <c r="T70" s="10">
        <f t="shared" si="21"/>
        <v>-1</v>
      </c>
      <c r="U70" s="10">
        <f t="shared" si="22"/>
        <v>0</v>
      </c>
      <c r="V70" s="10">
        <f t="shared" si="23"/>
        <v>0</v>
      </c>
      <c r="Y70" s="10">
        <f t="shared" si="24"/>
        <v>0</v>
      </c>
      <c r="Z70" s="10">
        <f t="shared" si="25"/>
        <v>0</v>
      </c>
      <c r="AA70" s="10">
        <f t="shared" si="25"/>
        <v>0</v>
      </c>
      <c r="AB70" s="10">
        <f t="shared" si="26"/>
        <v>-0.600823999755</v>
      </c>
      <c r="AC70" s="10">
        <f t="shared" si="26"/>
        <v>-11.934914502824579</v>
      </c>
      <c r="AD70" s="10">
        <f t="shared" si="26"/>
        <v>12.332992966090206</v>
      </c>
      <c r="AE70" s="10">
        <f t="shared" si="27"/>
        <v>-1</v>
      </c>
      <c r="AF70" s="10">
        <f t="shared" si="28"/>
        <v>0</v>
      </c>
      <c r="AG70" s="10"/>
      <c r="AH70" s="10">
        <f t="shared" si="32"/>
        <v>1</v>
      </c>
      <c r="AI70" s="10">
        <f t="shared" si="33"/>
        <v>0</v>
      </c>
      <c r="AJ70" s="10">
        <f t="shared" si="34"/>
        <v>0</v>
      </c>
      <c r="AZ70" s="10">
        <v>49</v>
      </c>
      <c r="BA70">
        <v>-0.58563273341860622</v>
      </c>
      <c r="BB70">
        <v>-0.35863195080310106</v>
      </c>
      <c r="BC70">
        <v>0.48219244972075564</v>
      </c>
      <c r="BF70" s="10">
        <v>1</v>
      </c>
      <c r="BG70" s="10">
        <f t="shared" si="6"/>
        <v>5.3631792750644998</v>
      </c>
      <c r="BH70" s="10">
        <f t="shared" si="7"/>
        <v>1.2472858131831996</v>
      </c>
      <c r="BI70" s="10">
        <f t="shared" si="8"/>
        <v>1</v>
      </c>
      <c r="BK70" s="10">
        <f t="shared" si="9"/>
        <v>-49.227142950278001</v>
      </c>
      <c r="BL70" s="10">
        <f t="shared" si="10"/>
        <v>-1</v>
      </c>
      <c r="BM70" s="10">
        <f t="shared" si="11"/>
        <v>-1</v>
      </c>
      <c r="BN70" s="10">
        <f t="shared" si="12"/>
        <v>1</v>
      </c>
    </row>
    <row r="71" spans="2:66" x14ac:dyDescent="0.25">
      <c r="B71" s="10">
        <v>49</v>
      </c>
      <c r="C71">
        <v>-0.58554178394842893</v>
      </c>
      <c r="D71">
        <v>1.3021144695812836</v>
      </c>
      <c r="E71">
        <v>0.76076540421765804</v>
      </c>
      <c r="H71" s="10">
        <v>1</v>
      </c>
      <c r="I71" s="10">
        <f t="shared" si="13"/>
        <v>9.9314649493667879</v>
      </c>
      <c r="J71" s="10">
        <f t="shared" si="14"/>
        <v>4.2561121093384475</v>
      </c>
      <c r="K71" s="10">
        <f t="shared" si="15"/>
        <v>-1</v>
      </c>
      <c r="N71" s="10">
        <f t="shared" si="16"/>
        <v>-100</v>
      </c>
      <c r="O71" s="10">
        <f t="shared" si="17"/>
        <v>-100</v>
      </c>
      <c r="P71" s="10">
        <f t="shared" si="18"/>
        <v>9.9314649493667879</v>
      </c>
      <c r="Q71" s="10">
        <f t="shared" si="19"/>
        <v>4.2561121093384475</v>
      </c>
      <c r="S71" s="10">
        <f t="shared" si="20"/>
        <v>-66.641408350884234</v>
      </c>
      <c r="T71" s="10">
        <f t="shared" si="21"/>
        <v>-1</v>
      </c>
      <c r="U71" s="10">
        <f t="shared" si="22"/>
        <v>0</v>
      </c>
      <c r="V71" s="10">
        <f t="shared" si="23"/>
        <v>0</v>
      </c>
      <c r="Y71" s="10">
        <f t="shared" si="24"/>
        <v>0</v>
      </c>
      <c r="Z71" s="10">
        <f t="shared" si="25"/>
        <v>0</v>
      </c>
      <c r="AA71" s="10">
        <f t="shared" si="25"/>
        <v>0</v>
      </c>
      <c r="AB71" s="10">
        <f t="shared" si="26"/>
        <v>-0.600823999755</v>
      </c>
      <c r="AC71" s="10">
        <f t="shared" si="26"/>
        <v>-11.934914502824579</v>
      </c>
      <c r="AD71" s="10">
        <f t="shared" si="26"/>
        <v>12.332992966090206</v>
      </c>
      <c r="AE71" s="10">
        <f t="shared" si="27"/>
        <v>-1</v>
      </c>
      <c r="AF71" s="10">
        <f t="shared" si="28"/>
        <v>0</v>
      </c>
      <c r="AG71" s="10"/>
      <c r="AH71" s="10">
        <f t="shared" si="32"/>
        <v>1</v>
      </c>
      <c r="AI71" s="10">
        <f t="shared" si="33"/>
        <v>0</v>
      </c>
      <c r="AJ71" s="10">
        <f t="shared" si="34"/>
        <v>0</v>
      </c>
      <c r="AZ71" s="10">
        <v>50</v>
      </c>
      <c r="BA71">
        <v>-0.19807998796750326</v>
      </c>
      <c r="BB71">
        <v>-0.66393795350450091</v>
      </c>
      <c r="BC71">
        <v>0.51280251472518079</v>
      </c>
      <c r="BF71" s="10">
        <v>1</v>
      </c>
      <c r="BG71" s="10">
        <f t="shared" si="6"/>
        <v>10.633441618528067</v>
      </c>
      <c r="BH71" s="10">
        <f t="shared" si="7"/>
        <v>0.6941533674186009</v>
      </c>
      <c r="BI71" s="10">
        <f t="shared" si="8"/>
        <v>-1</v>
      </c>
      <c r="BK71" s="10">
        <f t="shared" si="9"/>
        <v>-118.94905198990266</v>
      </c>
      <c r="BL71" s="10">
        <f t="shared" si="10"/>
        <v>-1</v>
      </c>
      <c r="BM71" s="10">
        <f t="shared" si="11"/>
        <v>0</v>
      </c>
      <c r="BN71" s="10">
        <f t="shared" si="12"/>
        <v>0</v>
      </c>
    </row>
    <row r="72" spans="2:66" x14ac:dyDescent="0.25">
      <c r="B72" s="10">
        <v>50</v>
      </c>
      <c r="C72">
        <v>-4.5799879444530234E-2</v>
      </c>
      <c r="D72">
        <v>-1.8414630176266655</v>
      </c>
      <c r="E72">
        <v>0.19226660969878231</v>
      </c>
      <c r="H72" s="10">
        <v>1</v>
      </c>
      <c r="I72" s="10">
        <f t="shared" si="13"/>
        <v>6.1414367960118366</v>
      </c>
      <c r="J72" s="10">
        <f t="shared" si="14"/>
        <v>12.344618930946805</v>
      </c>
      <c r="K72" s="10">
        <f t="shared" si="15"/>
        <v>1</v>
      </c>
      <c r="N72" s="10">
        <f t="shared" si="16"/>
        <v>6.1414367960118366</v>
      </c>
      <c r="O72" s="10">
        <f t="shared" si="17"/>
        <v>12.344618930946805</v>
      </c>
      <c r="P72" s="10">
        <f t="shared" si="18"/>
        <v>-100</v>
      </c>
      <c r="Q72" s="10">
        <f t="shared" si="19"/>
        <v>-100</v>
      </c>
      <c r="S72" s="10">
        <f t="shared" si="20"/>
        <v>78.347751359773767</v>
      </c>
      <c r="T72" s="10">
        <f t="shared" si="21"/>
        <v>1</v>
      </c>
      <c r="U72" s="10">
        <f t="shared" si="22"/>
        <v>0</v>
      </c>
      <c r="V72" s="10">
        <f t="shared" si="23"/>
        <v>0</v>
      </c>
      <c r="Y72" s="10">
        <f t="shared" si="24"/>
        <v>0</v>
      </c>
      <c r="Z72" s="10">
        <f t="shared" si="25"/>
        <v>0</v>
      </c>
      <c r="AA72" s="10">
        <f t="shared" si="25"/>
        <v>0</v>
      </c>
      <c r="AB72" s="10">
        <f t="shared" si="26"/>
        <v>-0.600823999755</v>
      </c>
      <c r="AC72" s="10">
        <f t="shared" si="26"/>
        <v>-11.934914502824579</v>
      </c>
      <c r="AD72" s="10">
        <f t="shared" si="26"/>
        <v>12.332992966090206</v>
      </c>
      <c r="AE72" s="10">
        <f t="shared" si="27"/>
        <v>1</v>
      </c>
      <c r="AF72" s="10">
        <f t="shared" si="28"/>
        <v>0</v>
      </c>
      <c r="AG72" s="10"/>
      <c r="AH72" s="10">
        <f t="shared" si="32"/>
        <v>-1</v>
      </c>
      <c r="AI72" s="10">
        <f t="shared" si="33"/>
        <v>0</v>
      </c>
      <c r="AJ72" s="10">
        <f t="shared" si="34"/>
        <v>0</v>
      </c>
      <c r="AZ72" s="10">
        <v>51</v>
      </c>
      <c r="BA72">
        <v>-0.2001866050704848</v>
      </c>
      <c r="BB72">
        <v>-0.54479528444062453</v>
      </c>
      <c r="BC72">
        <v>0.79027680288094726</v>
      </c>
      <c r="BF72" s="10">
        <v>1</v>
      </c>
      <c r="BG72" s="10">
        <f t="shared" si="6"/>
        <v>10.629624994353792</v>
      </c>
      <c r="BH72" s="10">
        <f t="shared" si="7"/>
        <v>0.91000787191937982</v>
      </c>
      <c r="BI72" s="10">
        <f t="shared" si="8"/>
        <v>-1</v>
      </c>
      <c r="BK72" s="10">
        <f t="shared" si="9"/>
        <v>-116.24136882098628</v>
      </c>
      <c r="BL72" s="10">
        <f t="shared" si="10"/>
        <v>-1</v>
      </c>
      <c r="BM72" s="10">
        <f t="shared" si="11"/>
        <v>0</v>
      </c>
      <c r="BN72" s="10">
        <f t="shared" si="12"/>
        <v>0</v>
      </c>
    </row>
    <row r="73" spans="2:66" x14ac:dyDescent="0.25">
      <c r="B73" s="10">
        <v>51</v>
      </c>
      <c r="C73">
        <v>-1.2671989679802209</v>
      </c>
      <c r="D73">
        <v>-3.6153551263851114E-2</v>
      </c>
      <c r="E73">
        <v>0.70647297585985902</v>
      </c>
      <c r="H73" s="10">
        <v>1</v>
      </c>
      <c r="I73" s="10">
        <f t="shared" si="13"/>
        <v>8.6964852829326524</v>
      </c>
      <c r="J73" s="10">
        <f t="shared" si="14"/>
        <v>1.8315300280532691</v>
      </c>
      <c r="K73" s="10">
        <f t="shared" si="15"/>
        <v>-1</v>
      </c>
      <c r="N73" s="10">
        <f t="shared" si="16"/>
        <v>-100</v>
      </c>
      <c r="O73" s="10">
        <f t="shared" si="17"/>
        <v>-100</v>
      </c>
      <c r="P73" s="10">
        <f t="shared" si="18"/>
        <v>8.6964852829326524</v>
      </c>
      <c r="Q73" s="10">
        <f t="shared" si="19"/>
        <v>1.8315300280532691</v>
      </c>
      <c r="S73" s="10">
        <f t="shared" si="20"/>
        <v>-81.804385373464441</v>
      </c>
      <c r="T73" s="10">
        <f t="shared" si="21"/>
        <v>-1</v>
      </c>
      <c r="U73" s="10">
        <f t="shared" si="22"/>
        <v>0</v>
      </c>
      <c r="V73" s="10">
        <f t="shared" si="23"/>
        <v>0</v>
      </c>
      <c r="Y73" s="10">
        <f t="shared" si="24"/>
        <v>0</v>
      </c>
      <c r="Z73" s="10">
        <f t="shared" si="25"/>
        <v>0</v>
      </c>
      <c r="AA73" s="10">
        <f t="shared" si="25"/>
        <v>0</v>
      </c>
      <c r="AB73" s="10">
        <f t="shared" si="26"/>
        <v>-0.600823999755</v>
      </c>
      <c r="AC73" s="10">
        <f t="shared" si="26"/>
        <v>-11.934914502824579</v>
      </c>
      <c r="AD73" s="10">
        <f t="shared" si="26"/>
        <v>12.332992966090206</v>
      </c>
      <c r="AE73" s="10">
        <f t="shared" si="27"/>
        <v>-1</v>
      </c>
      <c r="AF73" s="10">
        <f t="shared" si="28"/>
        <v>0</v>
      </c>
      <c r="AG73" s="10"/>
      <c r="AH73" s="10">
        <f t="shared" si="32"/>
        <v>-1</v>
      </c>
      <c r="AI73" s="10">
        <f t="shared" si="33"/>
        <v>0</v>
      </c>
      <c r="AJ73" s="10">
        <f t="shared" si="34"/>
        <v>0</v>
      </c>
      <c r="AZ73" s="10">
        <v>52</v>
      </c>
      <c r="BA73">
        <v>1.8138234736397862</v>
      </c>
      <c r="BB73">
        <v>-0.39451947486668359</v>
      </c>
      <c r="BC73">
        <v>0.32224494155705435</v>
      </c>
      <c r="BF73" s="10">
        <v>1</v>
      </c>
      <c r="BG73" s="10">
        <f t="shared" si="6"/>
        <v>8.8223885943562088</v>
      </c>
      <c r="BH73" s="10">
        <f t="shared" si="7"/>
        <v>1.1822672620178631</v>
      </c>
      <c r="BI73" s="10">
        <f t="shared" si="8"/>
        <v>1</v>
      </c>
      <c r="BK73" s="10">
        <f t="shared" si="9"/>
        <v>-91.314383757586029</v>
      </c>
      <c r="BL73" s="10">
        <f t="shared" si="10"/>
        <v>-1</v>
      </c>
      <c r="BM73" s="10">
        <f t="shared" si="11"/>
        <v>-1</v>
      </c>
      <c r="BN73" s="10">
        <f t="shared" si="12"/>
        <v>1</v>
      </c>
    </row>
    <row r="74" spans="2:66" x14ac:dyDescent="0.25">
      <c r="B74" s="10">
        <v>52</v>
      </c>
      <c r="C74">
        <v>0.75761136031360365</v>
      </c>
      <c r="D74">
        <v>-0.15332830116676632</v>
      </c>
      <c r="E74">
        <v>0.20990630817590869</v>
      </c>
      <c r="H74" s="10">
        <v>1</v>
      </c>
      <c r="I74" s="10">
        <f t="shared" si="13"/>
        <v>7.2996857524294052</v>
      </c>
      <c r="J74" s="10">
        <f t="shared" si="14"/>
        <v>14.778341757902252</v>
      </c>
      <c r="K74" s="10">
        <f t="shared" si="15"/>
        <v>1</v>
      </c>
      <c r="N74" s="10">
        <f t="shared" si="16"/>
        <v>7.2996857524294052</v>
      </c>
      <c r="O74" s="10">
        <f t="shared" si="17"/>
        <v>14.778341757902252</v>
      </c>
      <c r="P74" s="10">
        <f t="shared" si="18"/>
        <v>-100</v>
      </c>
      <c r="Q74" s="10">
        <f t="shared" si="19"/>
        <v>-100</v>
      </c>
      <c r="S74" s="10">
        <f t="shared" si="20"/>
        <v>94.539235598198999</v>
      </c>
      <c r="T74" s="10">
        <f t="shared" si="21"/>
        <v>1</v>
      </c>
      <c r="U74" s="10">
        <f t="shared" si="22"/>
        <v>0</v>
      </c>
      <c r="V74" s="10">
        <f t="shared" si="23"/>
        <v>0</v>
      </c>
      <c r="Y74" s="10">
        <f t="shared" si="24"/>
        <v>0</v>
      </c>
      <c r="Z74" s="10">
        <f t="shared" si="25"/>
        <v>0</v>
      </c>
      <c r="AA74" s="10">
        <f t="shared" si="25"/>
        <v>0</v>
      </c>
      <c r="AB74" s="10">
        <f t="shared" si="26"/>
        <v>-0.600823999755</v>
      </c>
      <c r="AC74" s="10">
        <f t="shared" si="26"/>
        <v>-11.934914502824579</v>
      </c>
      <c r="AD74" s="10">
        <f t="shared" si="26"/>
        <v>12.332992966090206</v>
      </c>
      <c r="AE74" s="10">
        <f t="shared" si="27"/>
        <v>1</v>
      </c>
      <c r="AF74" s="10">
        <f t="shared" si="28"/>
        <v>0</v>
      </c>
      <c r="AG74" s="10"/>
      <c r="AH74" s="10">
        <f t="shared" si="32"/>
        <v>1</v>
      </c>
      <c r="AI74" s="10">
        <f t="shared" si="33"/>
        <v>0</v>
      </c>
      <c r="AJ74" s="10">
        <f t="shared" si="34"/>
        <v>0</v>
      </c>
      <c r="AZ74" s="10">
        <v>53</v>
      </c>
      <c r="BA74">
        <v>0.5617334863927681</v>
      </c>
      <c r="BB74">
        <v>-7.9527353591402061E-2</v>
      </c>
      <c r="BC74">
        <v>0.71675771355327</v>
      </c>
      <c r="BF74" s="10">
        <v>1</v>
      </c>
      <c r="BG74" s="10">
        <f t="shared" si="6"/>
        <v>12.010019483617867</v>
      </c>
      <c r="BH74" s="10">
        <f t="shared" si="7"/>
        <v>1.7529483521239788</v>
      </c>
      <c r="BI74" s="10">
        <f t="shared" si="8"/>
        <v>-1</v>
      </c>
      <c r="BK74" s="10">
        <f t="shared" si="9"/>
        <v>-122.32028001732721</v>
      </c>
      <c r="BL74" s="10">
        <f t="shared" si="10"/>
        <v>-1</v>
      </c>
      <c r="BM74" s="10">
        <f t="shared" si="11"/>
        <v>0</v>
      </c>
      <c r="BN74" s="10">
        <f t="shared" si="12"/>
        <v>0</v>
      </c>
    </row>
    <row r="75" spans="2:66" x14ac:dyDescent="0.25">
      <c r="B75" s="10">
        <v>53</v>
      </c>
      <c r="C75">
        <v>0.82348833529977128</v>
      </c>
      <c r="D75">
        <v>-0.38783127820352092</v>
      </c>
      <c r="E75">
        <v>0.64503921628467664</v>
      </c>
      <c r="H75" s="10">
        <v>1</v>
      </c>
      <c r="I75" s="10">
        <f t="shared" si="13"/>
        <v>7.3946582070749809</v>
      </c>
      <c r="J75" s="10">
        <f t="shared" si="14"/>
        <v>14.440267288703387</v>
      </c>
      <c r="K75" s="10">
        <f t="shared" si="15"/>
        <v>1</v>
      </c>
      <c r="N75" s="10">
        <f t="shared" si="16"/>
        <v>7.3946582070749809</v>
      </c>
      <c r="O75" s="10">
        <f t="shared" si="17"/>
        <v>14.440267288703387</v>
      </c>
      <c r="P75" s="10">
        <f t="shared" si="18"/>
        <v>-100</v>
      </c>
      <c r="Q75" s="10">
        <f t="shared" si="19"/>
        <v>-100</v>
      </c>
      <c r="S75" s="10">
        <f t="shared" si="20"/>
        <v>89.236277421236366</v>
      </c>
      <c r="T75" s="10">
        <f t="shared" si="21"/>
        <v>1</v>
      </c>
      <c r="U75" s="10">
        <f t="shared" si="22"/>
        <v>0</v>
      </c>
      <c r="V75" s="10">
        <f t="shared" si="23"/>
        <v>0</v>
      </c>
      <c r="Y75" s="10">
        <f t="shared" si="24"/>
        <v>0</v>
      </c>
      <c r="Z75" s="10">
        <f t="shared" si="25"/>
        <v>0</v>
      </c>
      <c r="AA75" s="10">
        <f t="shared" si="25"/>
        <v>0</v>
      </c>
      <c r="AB75" s="10">
        <f t="shared" si="26"/>
        <v>-0.600823999755</v>
      </c>
      <c r="AC75" s="10">
        <f t="shared" si="26"/>
        <v>-11.934914502824579</v>
      </c>
      <c r="AD75" s="10">
        <f t="shared" si="26"/>
        <v>12.332992966090206</v>
      </c>
      <c r="AE75" s="10">
        <f t="shared" si="27"/>
        <v>1</v>
      </c>
      <c r="AF75" s="10">
        <f t="shared" si="28"/>
        <v>0</v>
      </c>
      <c r="AG75" s="10"/>
      <c r="AH75" s="10">
        <f t="shared" si="32"/>
        <v>1</v>
      </c>
      <c r="AI75" s="10">
        <f t="shared" si="33"/>
        <v>-1</v>
      </c>
      <c r="AJ75" s="10">
        <f t="shared" si="34"/>
        <v>1</v>
      </c>
      <c r="AZ75" s="10">
        <v>54</v>
      </c>
      <c r="BA75">
        <v>2.0648076315410435</v>
      </c>
      <c r="BB75">
        <v>0.21229880076134577</v>
      </c>
      <c r="BC75">
        <v>0.81142612994781338</v>
      </c>
      <c r="BF75" s="10">
        <v>1</v>
      </c>
      <c r="BG75" s="10">
        <f t="shared" si="6"/>
        <v>14.733185981213845</v>
      </c>
      <c r="BH75" s="10">
        <f t="shared" si="7"/>
        <v>2.2816589345132994</v>
      </c>
      <c r="BI75" s="10">
        <f t="shared" si="8"/>
        <v>-1</v>
      </c>
      <c r="BK75" s="10">
        <f t="shared" si="9"/>
        <v>-148.3004554493865</v>
      </c>
      <c r="BL75" s="10">
        <f t="shared" si="10"/>
        <v>-1</v>
      </c>
      <c r="BM75" s="10">
        <f t="shared" si="11"/>
        <v>0</v>
      </c>
      <c r="BN75" s="10">
        <f t="shared" si="12"/>
        <v>0</v>
      </c>
    </row>
    <row r="76" spans="2:66" x14ac:dyDescent="0.25">
      <c r="B76" s="10">
        <v>54</v>
      </c>
      <c r="C76">
        <v>-0.40529243960918393</v>
      </c>
      <c r="D76">
        <v>-0.43865838961210102</v>
      </c>
      <c r="E76">
        <v>0.7526169621875668</v>
      </c>
      <c r="H76" s="10">
        <v>1</v>
      </c>
      <c r="I76" s="10">
        <f t="shared" si="13"/>
        <v>10.258028331022089</v>
      </c>
      <c r="J76" s="10">
        <f t="shared" si="14"/>
        <v>1.102299407961596</v>
      </c>
      <c r="K76" s="10">
        <f t="shared" si="15"/>
        <v>-1</v>
      </c>
      <c r="N76" s="10">
        <f t="shared" si="16"/>
        <v>-100</v>
      </c>
      <c r="O76" s="10">
        <f t="shared" si="17"/>
        <v>-100</v>
      </c>
      <c r="P76" s="10">
        <f t="shared" si="18"/>
        <v>10.258028331022089</v>
      </c>
      <c r="Q76" s="10">
        <f t="shared" si="19"/>
        <v>1.102299407961596</v>
      </c>
      <c r="S76" s="10">
        <f t="shared" si="20"/>
        <v>-109.43486425314018</v>
      </c>
      <c r="T76" s="10">
        <f t="shared" si="21"/>
        <v>-1</v>
      </c>
      <c r="U76" s="10">
        <f t="shared" si="22"/>
        <v>0</v>
      </c>
      <c r="V76" s="10">
        <f t="shared" si="23"/>
        <v>0</v>
      </c>
      <c r="Y76" s="10">
        <f t="shared" si="24"/>
        <v>0</v>
      </c>
      <c r="Z76" s="10">
        <f t="shared" si="25"/>
        <v>0</v>
      </c>
      <c r="AA76" s="10">
        <f t="shared" si="25"/>
        <v>0</v>
      </c>
      <c r="AB76" s="10">
        <f t="shared" si="26"/>
        <v>-0.600823999755</v>
      </c>
      <c r="AC76" s="10">
        <f t="shared" si="26"/>
        <v>-11.934914502824579</v>
      </c>
      <c r="AD76" s="10">
        <f t="shared" si="26"/>
        <v>12.332992966090206</v>
      </c>
      <c r="AE76" s="10">
        <f t="shared" si="27"/>
        <v>-1</v>
      </c>
      <c r="AF76" s="10">
        <f t="shared" si="28"/>
        <v>0</v>
      </c>
      <c r="AG76" s="10"/>
      <c r="AH76" s="10">
        <f t="shared" si="32"/>
        <v>1</v>
      </c>
      <c r="AI76" s="10">
        <f t="shared" si="33"/>
        <v>0</v>
      </c>
      <c r="AJ76" s="10">
        <f t="shared" si="34"/>
        <v>0</v>
      </c>
      <c r="AZ76" s="10">
        <v>55</v>
      </c>
      <c r="BA76">
        <v>-0.1898172286018962</v>
      </c>
      <c r="BB76">
        <v>-0.72747752710711211</v>
      </c>
      <c r="BC76">
        <v>0.44441053498947114</v>
      </c>
      <c r="BF76" s="10">
        <v>1</v>
      </c>
      <c r="BG76" s="10">
        <f t="shared" si="6"/>
        <v>5.9338121872028271</v>
      </c>
      <c r="BH76" s="10">
        <f t="shared" si="7"/>
        <v>0.57903673217829787</v>
      </c>
      <c r="BI76" s="10">
        <f t="shared" si="8"/>
        <v>1</v>
      </c>
      <c r="BK76" s="10">
        <f t="shared" si="9"/>
        <v>-64.279109184776445</v>
      </c>
      <c r="BL76" s="10">
        <f t="shared" si="10"/>
        <v>-1</v>
      </c>
      <c r="BM76" s="10">
        <f t="shared" si="11"/>
        <v>-1</v>
      </c>
      <c r="BN76" s="10">
        <f t="shared" si="12"/>
        <v>1</v>
      </c>
    </row>
    <row r="77" spans="2:66" x14ac:dyDescent="0.25">
      <c r="B77" s="10">
        <v>55</v>
      </c>
      <c r="C77">
        <v>-1.0347389434173238</v>
      </c>
      <c r="D77">
        <v>0.74998979471274652</v>
      </c>
      <c r="E77">
        <v>0.94268623920407724</v>
      </c>
      <c r="H77" s="10">
        <v>1</v>
      </c>
      <c r="I77" s="10">
        <f t="shared" si="13"/>
        <v>9.1176403889288178</v>
      </c>
      <c r="J77" s="10">
        <f t="shared" si="14"/>
        <v>3.2558105460714191</v>
      </c>
      <c r="K77" s="10">
        <f t="shared" si="15"/>
        <v>-1</v>
      </c>
      <c r="N77" s="10">
        <f t="shared" si="16"/>
        <v>-100</v>
      </c>
      <c r="O77" s="10">
        <f t="shared" si="17"/>
        <v>-100</v>
      </c>
      <c r="P77" s="10">
        <f t="shared" si="18"/>
        <v>9.1176403889288178</v>
      </c>
      <c r="Q77" s="10">
        <f t="shared" si="19"/>
        <v>3.2558105460714191</v>
      </c>
      <c r="S77" s="10">
        <f t="shared" si="20"/>
        <v>-69.265193945499561</v>
      </c>
      <c r="T77" s="10">
        <f t="shared" si="21"/>
        <v>-1</v>
      </c>
      <c r="U77" s="10">
        <f t="shared" si="22"/>
        <v>0</v>
      </c>
      <c r="V77" s="10">
        <f t="shared" si="23"/>
        <v>0</v>
      </c>
      <c r="Y77" s="10">
        <f t="shared" si="24"/>
        <v>0</v>
      </c>
      <c r="Z77" s="10">
        <f t="shared" si="25"/>
        <v>0</v>
      </c>
      <c r="AA77" s="10">
        <f t="shared" si="25"/>
        <v>0</v>
      </c>
      <c r="AB77" s="10">
        <f t="shared" si="26"/>
        <v>-0.600823999755</v>
      </c>
      <c r="AC77" s="10">
        <f t="shared" si="26"/>
        <v>-11.934914502824579</v>
      </c>
      <c r="AD77" s="10">
        <f t="shared" si="26"/>
        <v>12.332992966090206</v>
      </c>
      <c r="AE77" s="10">
        <f t="shared" si="27"/>
        <v>-1</v>
      </c>
      <c r="AF77" s="10">
        <f t="shared" si="28"/>
        <v>0</v>
      </c>
      <c r="AG77" s="10"/>
      <c r="AH77" s="10">
        <f t="shared" si="32"/>
        <v>1</v>
      </c>
      <c r="AI77" s="10">
        <f t="shared" si="33"/>
        <v>0</v>
      </c>
      <c r="AJ77" s="10">
        <f t="shared" si="34"/>
        <v>0</v>
      </c>
      <c r="AZ77" s="10">
        <v>56</v>
      </c>
      <c r="BA77">
        <v>-9.7575139079708606E-2</v>
      </c>
      <c r="BB77">
        <v>-0.30912701731722336</v>
      </c>
      <c r="BC77">
        <v>3.9918210394604331E-2</v>
      </c>
      <c r="BF77" s="10">
        <v>1</v>
      </c>
      <c r="BG77" s="10">
        <f t="shared" si="6"/>
        <v>6.0667942748806318</v>
      </c>
      <c r="BH77" s="10">
        <f t="shared" si="7"/>
        <v>1.336975451428664</v>
      </c>
      <c r="BI77" s="10">
        <f t="shared" si="8"/>
        <v>1</v>
      </c>
      <c r="BK77" s="10">
        <f t="shared" si="9"/>
        <v>-56.51858613837598</v>
      </c>
      <c r="BL77" s="10">
        <f t="shared" si="10"/>
        <v>-1</v>
      </c>
      <c r="BM77" s="10">
        <f t="shared" si="11"/>
        <v>-1</v>
      </c>
      <c r="BN77" s="10">
        <f t="shared" si="12"/>
        <v>1</v>
      </c>
    </row>
    <row r="78" spans="2:66" x14ac:dyDescent="0.25">
      <c r="B78" s="10">
        <v>56</v>
      </c>
      <c r="C78">
        <v>1.0655435289663728</v>
      </c>
      <c r="D78">
        <v>0.38058260543039069</v>
      </c>
      <c r="E78">
        <v>7.9866939298684658E-2</v>
      </c>
      <c r="H78" s="10">
        <v>1</v>
      </c>
      <c r="I78" s="10">
        <f t="shared" si="13"/>
        <v>7.7436204341209907</v>
      </c>
      <c r="J78" s="10">
        <f t="shared" si="14"/>
        <v>15.548061821281356</v>
      </c>
      <c r="K78" s="10">
        <f t="shared" si="15"/>
        <v>1</v>
      </c>
      <c r="N78" s="10">
        <f t="shared" si="16"/>
        <v>7.7436204341209907</v>
      </c>
      <c r="O78" s="10">
        <f t="shared" si="17"/>
        <v>15.548061821281356</v>
      </c>
      <c r="P78" s="10">
        <f t="shared" si="18"/>
        <v>-100</v>
      </c>
      <c r="Q78" s="10">
        <f t="shared" si="19"/>
        <v>-100</v>
      </c>
      <c r="S78" s="10">
        <f t="shared" si="20"/>
        <v>98.733865254884279</v>
      </c>
      <c r="T78" s="10">
        <f t="shared" si="21"/>
        <v>1</v>
      </c>
      <c r="U78" s="10">
        <f t="shared" si="22"/>
        <v>0</v>
      </c>
      <c r="V78" s="10">
        <f t="shared" si="23"/>
        <v>0</v>
      </c>
      <c r="Y78" s="10">
        <f t="shared" si="24"/>
        <v>0</v>
      </c>
      <c r="Z78" s="10">
        <f t="shared" si="25"/>
        <v>0</v>
      </c>
      <c r="AA78" s="10">
        <f t="shared" si="25"/>
        <v>0</v>
      </c>
      <c r="AB78" s="10">
        <f t="shared" si="26"/>
        <v>-0.600823999755</v>
      </c>
      <c r="AC78" s="10">
        <f t="shared" si="26"/>
        <v>-11.934914502824579</v>
      </c>
      <c r="AD78" s="10">
        <f t="shared" si="26"/>
        <v>12.332992966090206</v>
      </c>
      <c r="AE78" s="10">
        <f t="shared" si="27"/>
        <v>1</v>
      </c>
      <c r="AF78" s="10">
        <f t="shared" si="28"/>
        <v>0</v>
      </c>
      <c r="AG78" s="10"/>
      <c r="AH78" s="10">
        <f t="shared" si="32"/>
        <v>-1</v>
      </c>
      <c r="AI78" s="10">
        <f t="shared" si="33"/>
        <v>0</v>
      </c>
      <c r="AJ78" s="10">
        <f t="shared" si="34"/>
        <v>0</v>
      </c>
      <c r="AZ78" s="10">
        <v>57</v>
      </c>
      <c r="BA78">
        <v>0.35504399420460686</v>
      </c>
      <c r="BB78">
        <v>1.1695192370098084</v>
      </c>
      <c r="BC78">
        <v>0.53297524948881492</v>
      </c>
      <c r="BF78" s="10">
        <v>1</v>
      </c>
      <c r="BG78" s="10">
        <f t="shared" si="6"/>
        <v>11.635553658130329</v>
      </c>
      <c r="BH78" s="10">
        <f t="shared" si="7"/>
        <v>4.015885174263353</v>
      </c>
      <c r="BI78" s="10">
        <f t="shared" si="8"/>
        <v>-1</v>
      </c>
      <c r="BK78" s="10">
        <f t="shared" si="9"/>
        <v>-89.942278495752376</v>
      </c>
      <c r="BL78" s="10">
        <f t="shared" si="10"/>
        <v>-1</v>
      </c>
      <c r="BM78" s="10">
        <f t="shared" si="11"/>
        <v>0</v>
      </c>
      <c r="BN78" s="10">
        <f t="shared" si="12"/>
        <v>0</v>
      </c>
    </row>
    <row r="79" spans="2:66" x14ac:dyDescent="0.25">
      <c r="B79" s="10">
        <v>57</v>
      </c>
      <c r="C79">
        <v>1.6974991012830287</v>
      </c>
      <c r="D79">
        <v>-1.468938535253983</v>
      </c>
      <c r="E79">
        <v>0.30912198248237555</v>
      </c>
      <c r="H79" s="10">
        <v>1</v>
      </c>
      <c r="I79" s="10">
        <f t="shared" si="13"/>
        <v>8.6546879496294746</v>
      </c>
      <c r="J79" s="10">
        <f t="shared" si="14"/>
        <v>12.881674017552328</v>
      </c>
      <c r="K79" s="10">
        <f t="shared" si="15"/>
        <v>1</v>
      </c>
      <c r="N79" s="10">
        <f t="shared" si="16"/>
        <v>8.6546879496294746</v>
      </c>
      <c r="O79" s="10">
        <f t="shared" si="17"/>
        <v>12.881674017552328</v>
      </c>
      <c r="P79" s="10">
        <f t="shared" si="18"/>
        <v>-100</v>
      </c>
      <c r="Q79" s="10">
        <f t="shared" si="19"/>
        <v>-100</v>
      </c>
      <c r="S79" s="10">
        <f t="shared" si="20"/>
        <v>54.975810322730879</v>
      </c>
      <c r="T79" s="10">
        <f t="shared" si="21"/>
        <v>1</v>
      </c>
      <c r="U79" s="10">
        <f t="shared" si="22"/>
        <v>0</v>
      </c>
      <c r="V79" s="10">
        <f t="shared" si="23"/>
        <v>0</v>
      </c>
      <c r="Y79" s="10">
        <f t="shared" si="24"/>
        <v>0</v>
      </c>
      <c r="Z79" s="10">
        <f t="shared" si="25"/>
        <v>0</v>
      </c>
      <c r="AA79" s="10">
        <f t="shared" si="25"/>
        <v>0</v>
      </c>
      <c r="AB79" s="10">
        <f t="shared" si="26"/>
        <v>-0.600823999755</v>
      </c>
      <c r="AC79" s="10">
        <f t="shared" si="26"/>
        <v>-11.934914502824579</v>
      </c>
      <c r="AD79" s="10">
        <f t="shared" si="26"/>
        <v>12.332992966090206</v>
      </c>
      <c r="AE79" s="10">
        <f t="shared" si="27"/>
        <v>1</v>
      </c>
      <c r="AF79" s="10">
        <f t="shared" si="28"/>
        <v>0</v>
      </c>
      <c r="AG79" s="10"/>
      <c r="AH79" s="10">
        <f t="shared" si="32"/>
        <v>-1</v>
      </c>
      <c r="AI79" s="10">
        <f t="shared" si="33"/>
        <v>0</v>
      </c>
      <c r="AJ79" s="10">
        <f t="shared" si="34"/>
        <v>0</v>
      </c>
      <c r="AZ79" s="10">
        <v>58</v>
      </c>
      <c r="BA79">
        <v>-0.19511617210810073</v>
      </c>
      <c r="BB79">
        <v>5.3842086344957352E-2</v>
      </c>
      <c r="BC79">
        <v>0.42551957762382886</v>
      </c>
      <c r="BF79" s="10">
        <v>1</v>
      </c>
      <c r="BG79" s="10">
        <f t="shared" si="6"/>
        <v>5.9261728918053356</v>
      </c>
      <c r="BH79" s="10">
        <f t="shared" si="7"/>
        <v>1.9945779429263706</v>
      </c>
      <c r="BI79" s="10">
        <f t="shared" si="8"/>
        <v>1</v>
      </c>
      <c r="BK79" s="10">
        <f t="shared" si="9"/>
        <v>-46.730075051978773</v>
      </c>
      <c r="BL79" s="10">
        <f t="shared" si="10"/>
        <v>-1</v>
      </c>
      <c r="BM79" s="10">
        <f t="shared" si="11"/>
        <v>-1</v>
      </c>
      <c r="BN79" s="10">
        <f t="shared" si="12"/>
        <v>1</v>
      </c>
    </row>
    <row r="80" spans="2:66" x14ac:dyDescent="0.25">
      <c r="B80" s="10">
        <v>58</v>
      </c>
      <c r="C80">
        <v>1.12275074570789</v>
      </c>
      <c r="D80">
        <v>0.74503304858808406</v>
      </c>
      <c r="E80">
        <v>0.9090548417615284</v>
      </c>
      <c r="H80" s="10">
        <v>1</v>
      </c>
      <c r="I80" s="10">
        <f t="shared" si="13"/>
        <v>13.026432020598435</v>
      </c>
      <c r="J80" s="10">
        <f t="shared" si="14"/>
        <v>3.2468302538966523</v>
      </c>
      <c r="K80" s="10">
        <f t="shared" si="15"/>
        <v>-1</v>
      </c>
      <c r="N80" s="10">
        <f t="shared" si="16"/>
        <v>-100</v>
      </c>
      <c r="O80" s="10">
        <f t="shared" si="17"/>
        <v>-100</v>
      </c>
      <c r="P80" s="10">
        <f t="shared" si="18"/>
        <v>13.026432020598435</v>
      </c>
      <c r="Q80" s="10">
        <f t="shared" si="19"/>
        <v>3.2468302538966523</v>
      </c>
      <c r="S80" s="10">
        <f t="shared" si="20"/>
        <v>-116.02704175905745</v>
      </c>
      <c r="T80" s="10">
        <f t="shared" si="21"/>
        <v>-1</v>
      </c>
      <c r="U80" s="10">
        <f t="shared" si="22"/>
        <v>0</v>
      </c>
      <c r="V80" s="10">
        <f t="shared" si="23"/>
        <v>0</v>
      </c>
      <c r="Y80" s="10">
        <f t="shared" si="24"/>
        <v>0</v>
      </c>
      <c r="Z80" s="10">
        <f t="shared" si="25"/>
        <v>0</v>
      </c>
      <c r="AA80" s="10">
        <f t="shared" si="25"/>
        <v>0</v>
      </c>
      <c r="AB80" s="10">
        <f t="shared" si="26"/>
        <v>-0.600823999755</v>
      </c>
      <c r="AC80" s="10">
        <f t="shared" si="26"/>
        <v>-11.934914502824579</v>
      </c>
      <c r="AD80" s="10">
        <f t="shared" si="26"/>
        <v>12.332992966090206</v>
      </c>
      <c r="AE80" s="10">
        <f t="shared" si="27"/>
        <v>-1</v>
      </c>
      <c r="AF80" s="10">
        <f t="shared" si="28"/>
        <v>0</v>
      </c>
      <c r="AG80" s="10"/>
      <c r="AH80" s="10">
        <f t="shared" si="32"/>
        <v>1</v>
      </c>
      <c r="AI80" s="10">
        <f t="shared" si="33"/>
        <v>0</v>
      </c>
      <c r="AJ80" s="10">
        <f t="shared" si="34"/>
        <v>0</v>
      </c>
      <c r="AZ80" s="10">
        <v>59</v>
      </c>
      <c r="BA80">
        <v>1.8226182874059305</v>
      </c>
      <c r="BB80">
        <v>-1.1911652109120041</v>
      </c>
      <c r="BC80">
        <v>0.5016327402569658</v>
      </c>
      <c r="BF80" s="10">
        <v>1</v>
      </c>
      <c r="BG80" s="10">
        <f t="shared" si="6"/>
        <v>8.835067759598644</v>
      </c>
      <c r="BH80" s="10">
        <f t="shared" si="7"/>
        <v>-0.26104076497058415</v>
      </c>
      <c r="BI80" s="10">
        <f t="shared" si="8"/>
        <v>1</v>
      </c>
      <c r="BK80" s="10">
        <f t="shared" si="9"/>
        <v>-109.26601625547174</v>
      </c>
      <c r="BL80" s="10">
        <f t="shared" si="10"/>
        <v>-1</v>
      </c>
      <c r="BM80" s="10">
        <f t="shared" si="11"/>
        <v>-1</v>
      </c>
      <c r="BN80" s="10">
        <f t="shared" si="12"/>
        <v>1</v>
      </c>
    </row>
    <row r="81" spans="2:66" x14ac:dyDescent="0.25">
      <c r="B81" s="10">
        <v>59</v>
      </c>
      <c r="C81">
        <v>-7.569042281829752E-2</v>
      </c>
      <c r="D81">
        <v>0.7166568138927687</v>
      </c>
      <c r="E81">
        <v>0.11499374370555743</v>
      </c>
      <c r="H81" s="10">
        <v>1</v>
      </c>
      <c r="I81" s="10">
        <f t="shared" si="13"/>
        <v>6.0983446796010146</v>
      </c>
      <c r="J81" s="10">
        <f t="shared" si="14"/>
        <v>16.032567864970261</v>
      </c>
      <c r="K81" s="10">
        <f t="shared" si="15"/>
        <v>1</v>
      </c>
      <c r="N81" s="10">
        <f t="shared" si="16"/>
        <v>6.0983446796010146</v>
      </c>
      <c r="O81" s="10">
        <f t="shared" si="17"/>
        <v>16.032567864970261</v>
      </c>
      <c r="P81" s="10">
        <f t="shared" si="18"/>
        <v>-100</v>
      </c>
      <c r="Q81" s="10">
        <f t="shared" si="19"/>
        <v>-100</v>
      </c>
      <c r="S81" s="10">
        <f t="shared" si="20"/>
        <v>124.34550034749384</v>
      </c>
      <c r="T81" s="10">
        <f t="shared" si="21"/>
        <v>1</v>
      </c>
      <c r="U81" s="10">
        <f t="shared" si="22"/>
        <v>0</v>
      </c>
      <c r="V81" s="10">
        <f t="shared" si="23"/>
        <v>0</v>
      </c>
      <c r="Y81" s="10">
        <f t="shared" si="24"/>
        <v>0</v>
      </c>
      <c r="Z81" s="10">
        <f t="shared" si="25"/>
        <v>0</v>
      </c>
      <c r="AA81" s="10">
        <f t="shared" si="25"/>
        <v>0</v>
      </c>
      <c r="AB81" s="10">
        <f t="shared" si="26"/>
        <v>-0.600823999755</v>
      </c>
      <c r="AC81" s="10">
        <f t="shared" si="26"/>
        <v>-11.934914502824579</v>
      </c>
      <c r="AD81" s="10">
        <f t="shared" si="26"/>
        <v>12.332992966090206</v>
      </c>
      <c r="AE81" s="10">
        <f t="shared" si="27"/>
        <v>1</v>
      </c>
      <c r="AF81" s="10">
        <f t="shared" si="28"/>
        <v>0</v>
      </c>
      <c r="AG81" s="10"/>
      <c r="AH81" s="10">
        <f t="shared" si="32"/>
        <v>1</v>
      </c>
      <c r="AI81" s="10">
        <f t="shared" si="33"/>
        <v>0</v>
      </c>
      <c r="AJ81" s="10">
        <f t="shared" si="34"/>
        <v>0</v>
      </c>
      <c r="AZ81" s="10">
        <v>60</v>
      </c>
      <c r="BA81">
        <v>0.23308075469685718</v>
      </c>
      <c r="BB81">
        <v>0.6437608135456685</v>
      </c>
      <c r="BC81">
        <v>0.90621662038026063</v>
      </c>
      <c r="BF81" s="10">
        <v>1</v>
      </c>
      <c r="BG81" s="10">
        <f t="shared" si="6"/>
        <v>11.414589037830101</v>
      </c>
      <c r="BH81" s="10">
        <f t="shared" si="7"/>
        <v>3.0633521743259564</v>
      </c>
      <c r="BI81" s="10">
        <f t="shared" si="8"/>
        <v>-1</v>
      </c>
      <c r="BK81" s="10">
        <f t="shared" si="9"/>
        <v>-99.052667432516756</v>
      </c>
      <c r="BL81" s="10">
        <f t="shared" si="10"/>
        <v>-1</v>
      </c>
      <c r="BM81" s="10">
        <f t="shared" si="11"/>
        <v>0</v>
      </c>
      <c r="BN81" s="10">
        <f t="shared" si="12"/>
        <v>0</v>
      </c>
    </row>
    <row r="82" spans="2:66" x14ac:dyDescent="0.25">
      <c r="B82" s="10">
        <v>60</v>
      </c>
      <c r="C82">
        <v>-0.23701318241364788</v>
      </c>
      <c r="D82">
        <v>-0.37984364098520018</v>
      </c>
      <c r="E82">
        <v>0.3741874446852016</v>
      </c>
      <c r="H82" s="10">
        <v>1</v>
      </c>
      <c r="I82" s="10">
        <f t="shared" si="13"/>
        <v>5.8657714858229832</v>
      </c>
      <c r="J82" s="10">
        <f t="shared" si="14"/>
        <v>14.451782776680812</v>
      </c>
      <c r="K82" s="10">
        <f t="shared" si="15"/>
        <v>1</v>
      </c>
      <c r="N82" s="10">
        <f t="shared" si="16"/>
        <v>5.8657714858229832</v>
      </c>
      <c r="O82" s="10">
        <f t="shared" si="17"/>
        <v>14.451782776680812</v>
      </c>
      <c r="P82" s="10">
        <f t="shared" si="18"/>
        <v>-100</v>
      </c>
      <c r="Q82" s="10">
        <f t="shared" si="19"/>
        <v>-100</v>
      </c>
      <c r="S82" s="10">
        <f t="shared" si="20"/>
        <v>107.62543015610943</v>
      </c>
      <c r="T82" s="10">
        <f t="shared" si="21"/>
        <v>1</v>
      </c>
      <c r="U82" s="10">
        <f t="shared" si="22"/>
        <v>0</v>
      </c>
      <c r="V82" s="10">
        <f t="shared" si="23"/>
        <v>0</v>
      </c>
      <c r="X82">
        <f>SUM(V63:V82)</f>
        <v>0</v>
      </c>
      <c r="Y82" s="10">
        <f t="shared" si="24"/>
        <v>0</v>
      </c>
      <c r="Z82" s="10">
        <f t="shared" si="25"/>
        <v>0</v>
      </c>
      <c r="AA82" s="10">
        <f t="shared" si="25"/>
        <v>0</v>
      </c>
      <c r="AB82" s="10">
        <f t="shared" si="26"/>
        <v>-0.600823999755</v>
      </c>
      <c r="AC82" s="10">
        <f t="shared" si="26"/>
        <v>-11.934914502824579</v>
      </c>
      <c r="AD82" s="10">
        <f t="shared" si="26"/>
        <v>12.332992966090206</v>
      </c>
      <c r="AE82" s="10">
        <f t="shared" si="27"/>
        <v>1</v>
      </c>
      <c r="AF82" s="10">
        <f t="shared" si="28"/>
        <v>0</v>
      </c>
      <c r="AG82" s="10"/>
      <c r="AH82" s="10">
        <f t="shared" si="32"/>
        <v>-1</v>
      </c>
      <c r="AI82" s="10">
        <f t="shared" si="33"/>
        <v>0</v>
      </c>
      <c r="AJ82" s="10">
        <f t="shared" si="34"/>
        <v>0</v>
      </c>
      <c r="AZ82" s="10"/>
    </row>
    <row r="83" spans="2:66" x14ac:dyDescent="0.25">
      <c r="B83" s="10">
        <v>61</v>
      </c>
      <c r="C83">
        <v>-1.5974228517734446</v>
      </c>
      <c r="D83">
        <v>-0.44354919737088494</v>
      </c>
      <c r="E83">
        <v>0.78341013824884798</v>
      </c>
      <c r="H83" s="10">
        <v>1</v>
      </c>
      <c r="I83" s="10">
        <f t="shared" si="13"/>
        <v>8.0982083316894879</v>
      </c>
      <c r="J83" s="10">
        <f t="shared" si="14"/>
        <v>1.093438578389154</v>
      </c>
      <c r="K83" s="10">
        <f t="shared" si="15"/>
        <v>-1</v>
      </c>
      <c r="N83" s="10">
        <f t="shared" si="16"/>
        <v>-100</v>
      </c>
      <c r="O83" s="10">
        <f t="shared" si="17"/>
        <v>-100</v>
      </c>
      <c r="P83" s="10">
        <f t="shared" si="18"/>
        <v>8.0982083316894879</v>
      </c>
      <c r="Q83" s="10">
        <f t="shared" si="19"/>
        <v>1.093438578389154</v>
      </c>
      <c r="S83" s="12">
        <f t="shared" si="20"/>
        <v>-83.766877768405593</v>
      </c>
      <c r="T83" s="12">
        <f t="shared" si="21"/>
        <v>-1</v>
      </c>
      <c r="U83" s="12">
        <f t="shared" si="22"/>
        <v>0</v>
      </c>
      <c r="V83" s="12">
        <f t="shared" si="23"/>
        <v>0</v>
      </c>
      <c r="W83" s="12"/>
      <c r="X83" s="12"/>
      <c r="Y83" s="10">
        <f t="shared" si="24"/>
        <v>0</v>
      </c>
      <c r="Z83" s="10">
        <f t="shared" si="25"/>
        <v>0</v>
      </c>
      <c r="AA83" s="10">
        <f t="shared" si="25"/>
        <v>0</v>
      </c>
      <c r="AB83" s="10">
        <f t="shared" si="26"/>
        <v>-0.600823999755</v>
      </c>
      <c r="AC83" s="10">
        <f t="shared" si="26"/>
        <v>-11.934914502824579</v>
      </c>
      <c r="AD83" s="10">
        <f t="shared" si="26"/>
        <v>12.332992966090206</v>
      </c>
      <c r="AE83" s="10">
        <f t="shared" si="27"/>
        <v>-1</v>
      </c>
      <c r="AF83" s="10">
        <f t="shared" si="28"/>
        <v>0</v>
      </c>
      <c r="AG83" s="10"/>
      <c r="AH83" s="10">
        <f t="shared" si="32"/>
        <v>1</v>
      </c>
      <c r="AI83" s="10">
        <f t="shared" si="33"/>
        <v>0</v>
      </c>
      <c r="AJ83" s="10">
        <f t="shared" si="34"/>
        <v>0</v>
      </c>
      <c r="AZ83" s="10"/>
    </row>
    <row r="84" spans="2:66" x14ac:dyDescent="0.25">
      <c r="B84" s="10">
        <v>62</v>
      </c>
      <c r="C84">
        <v>1.0334338185202796</v>
      </c>
      <c r="D84">
        <v>-0.54089468903839588</v>
      </c>
      <c r="E84">
        <v>4.1718802453688163E-2</v>
      </c>
      <c r="H84" s="10">
        <v>1</v>
      </c>
      <c r="I84" s="10">
        <f t="shared" si="13"/>
        <v>7.6973290247224186</v>
      </c>
      <c r="J84" s="10">
        <f t="shared" si="14"/>
        <v>14.219601299615931</v>
      </c>
      <c r="K84" s="10">
        <f t="shared" si="15"/>
        <v>1</v>
      </c>
      <c r="N84" s="10">
        <f t="shared" si="16"/>
        <v>7.6973290247224186</v>
      </c>
      <c r="O84" s="10">
        <f t="shared" si="17"/>
        <v>14.219601299615931</v>
      </c>
      <c r="P84" s="10">
        <f t="shared" si="18"/>
        <v>-100</v>
      </c>
      <c r="Q84" s="10">
        <f t="shared" si="19"/>
        <v>-100</v>
      </c>
      <c r="S84" s="10">
        <f t="shared" si="20"/>
        <v>82.902454998843268</v>
      </c>
      <c r="T84" s="10">
        <f t="shared" si="21"/>
        <v>1</v>
      </c>
      <c r="U84" s="10">
        <f t="shared" si="22"/>
        <v>0</v>
      </c>
      <c r="V84" s="10">
        <f t="shared" si="23"/>
        <v>0</v>
      </c>
      <c r="Y84" s="10">
        <f t="shared" si="24"/>
        <v>0</v>
      </c>
      <c r="Z84" s="10">
        <f t="shared" si="25"/>
        <v>0</v>
      </c>
      <c r="AA84" s="10">
        <f t="shared" si="25"/>
        <v>0</v>
      </c>
      <c r="AB84" s="10">
        <f t="shared" si="26"/>
        <v>-0.600823999755</v>
      </c>
      <c r="AC84" s="10">
        <f t="shared" si="26"/>
        <v>-11.934914502824579</v>
      </c>
      <c r="AD84" s="10">
        <f t="shared" si="26"/>
        <v>12.332992966090206</v>
      </c>
      <c r="AE84" s="10">
        <f t="shared" si="27"/>
        <v>1</v>
      </c>
      <c r="AF84" s="10">
        <f t="shared" si="28"/>
        <v>0</v>
      </c>
      <c r="AG84" s="10"/>
      <c r="AH84" s="10">
        <f t="shared" si="32"/>
        <v>1</v>
      </c>
      <c r="AI84" s="10">
        <f t="shared" si="33"/>
        <v>0</v>
      </c>
      <c r="AJ84" s="10">
        <f t="shared" si="34"/>
        <v>0</v>
      </c>
      <c r="AZ84" s="10"/>
    </row>
    <row r="85" spans="2:66" x14ac:dyDescent="0.25">
      <c r="B85" s="10">
        <v>63</v>
      </c>
      <c r="C85">
        <v>-0.39460246625822037</v>
      </c>
      <c r="D85">
        <v>-0.5107654033054132</v>
      </c>
      <c r="E85">
        <v>0.16953032013916441</v>
      </c>
      <c r="H85" s="10">
        <v>1</v>
      </c>
      <c r="I85" s="10">
        <f t="shared" si="13"/>
        <v>5.638580709141146</v>
      </c>
      <c r="J85" s="10">
        <f t="shared" si="14"/>
        <v>14.263037602260066</v>
      </c>
      <c r="K85" s="10">
        <f t="shared" si="15"/>
        <v>1</v>
      </c>
      <c r="N85" s="10">
        <f t="shared" si="16"/>
        <v>5.638580709141146</v>
      </c>
      <c r="O85" s="10">
        <f t="shared" si="17"/>
        <v>14.263037602260066</v>
      </c>
      <c r="P85" s="10">
        <f t="shared" si="18"/>
        <v>-100</v>
      </c>
      <c r="Q85" s="10">
        <f t="shared" si="19"/>
        <v>-100</v>
      </c>
      <c r="S85" s="10">
        <f t="shared" si="20"/>
        <v>108.00913974312296</v>
      </c>
      <c r="T85" s="10">
        <f t="shared" si="21"/>
        <v>1</v>
      </c>
      <c r="U85" s="10">
        <f t="shared" si="22"/>
        <v>0</v>
      </c>
      <c r="V85" s="10">
        <f t="shared" si="23"/>
        <v>0</v>
      </c>
      <c r="Y85" s="10">
        <f t="shared" si="24"/>
        <v>0</v>
      </c>
      <c r="Z85" s="10">
        <f t="shared" si="25"/>
        <v>0</v>
      </c>
      <c r="AA85" s="10">
        <f t="shared" si="25"/>
        <v>0</v>
      </c>
      <c r="AB85" s="10">
        <f t="shared" si="26"/>
        <v>-0.600823999755</v>
      </c>
      <c r="AC85" s="10">
        <f t="shared" si="26"/>
        <v>-11.934914502824579</v>
      </c>
      <c r="AD85" s="10">
        <f t="shared" si="26"/>
        <v>12.332992966090206</v>
      </c>
      <c r="AE85" s="10">
        <f t="shared" si="27"/>
        <v>1</v>
      </c>
      <c r="AF85" s="10">
        <f t="shared" si="28"/>
        <v>0</v>
      </c>
      <c r="AG85" s="10"/>
      <c r="AH85" s="10">
        <f t="shared" si="32"/>
        <v>1</v>
      </c>
      <c r="AI85" s="10">
        <f t="shared" si="33"/>
        <v>-1</v>
      </c>
      <c r="AJ85" s="10">
        <f t="shared" si="34"/>
        <v>1</v>
      </c>
      <c r="AZ85" s="10"/>
    </row>
    <row r="86" spans="2:66" x14ac:dyDescent="0.25">
      <c r="B86" s="10">
        <v>64</v>
      </c>
      <c r="C86">
        <v>0.6886511982884258</v>
      </c>
      <c r="D86">
        <v>1.4332044884213246</v>
      </c>
      <c r="E86">
        <v>0.49525437177648246</v>
      </c>
      <c r="H86" s="10">
        <v>1</v>
      </c>
      <c r="I86" s="10">
        <f t="shared" si="13"/>
        <v>7.2002683784278982</v>
      </c>
      <c r="J86" s="10">
        <f t="shared" si="14"/>
        <v>17.065588757851952</v>
      </c>
      <c r="K86" s="10">
        <f t="shared" si="15"/>
        <v>1</v>
      </c>
      <c r="N86" s="10">
        <f t="shared" si="16"/>
        <v>7.2002683784278982</v>
      </c>
      <c r="O86" s="10">
        <f t="shared" si="17"/>
        <v>17.065588757851952</v>
      </c>
      <c r="P86" s="10">
        <f t="shared" si="18"/>
        <v>-100</v>
      </c>
      <c r="Q86" s="10">
        <f t="shared" si="19"/>
        <v>-100</v>
      </c>
      <c r="S86" s="10">
        <f t="shared" si="20"/>
        <v>123.93437461909288</v>
      </c>
      <c r="T86" s="10">
        <f t="shared" si="21"/>
        <v>1</v>
      </c>
      <c r="U86" s="10">
        <f t="shared" si="22"/>
        <v>0</v>
      </c>
      <c r="V86" s="10">
        <f t="shared" si="23"/>
        <v>0</v>
      </c>
      <c r="Y86" s="10">
        <f t="shared" si="24"/>
        <v>0</v>
      </c>
      <c r="Z86" s="10">
        <f t="shared" si="25"/>
        <v>0</v>
      </c>
      <c r="AA86" s="10">
        <f t="shared" si="25"/>
        <v>0</v>
      </c>
      <c r="AB86" s="10">
        <f t="shared" si="26"/>
        <v>-0.600823999755</v>
      </c>
      <c r="AC86" s="10">
        <f t="shared" si="26"/>
        <v>-11.934914502824579</v>
      </c>
      <c r="AD86" s="10">
        <f t="shared" si="26"/>
        <v>12.332992966090206</v>
      </c>
      <c r="AE86" s="10">
        <f t="shared" si="27"/>
        <v>1</v>
      </c>
      <c r="AF86" s="10">
        <f t="shared" si="28"/>
        <v>0</v>
      </c>
      <c r="AG86" s="10"/>
      <c r="AH86" s="10">
        <f t="shared" si="32"/>
        <v>1</v>
      </c>
      <c r="AI86" s="10">
        <f t="shared" si="33"/>
        <v>0</v>
      </c>
      <c r="AJ86" s="10">
        <f t="shared" si="34"/>
        <v>0</v>
      </c>
      <c r="AZ86" s="10"/>
    </row>
    <row r="87" spans="2:66" x14ac:dyDescent="0.25">
      <c r="B87" s="10">
        <v>65</v>
      </c>
      <c r="C87">
        <v>1.1945940059376881</v>
      </c>
      <c r="D87">
        <v>-1.9765047909459099</v>
      </c>
      <c r="E87">
        <v>0.63832514419995723</v>
      </c>
      <c r="H87" s="10">
        <v>1</v>
      </c>
      <c r="I87" s="10">
        <f t="shared" si="13"/>
        <v>7.9296678440653849</v>
      </c>
      <c r="J87" s="10">
        <f t="shared" si="14"/>
        <v>12.149934085528312</v>
      </c>
      <c r="K87" s="10">
        <f t="shared" si="15"/>
        <v>1</v>
      </c>
      <c r="N87" s="10">
        <f t="shared" si="16"/>
        <v>7.9296678440653849</v>
      </c>
      <c r="O87" s="10">
        <f t="shared" si="17"/>
        <v>12.149934085528312</v>
      </c>
      <c r="P87" s="10">
        <f t="shared" si="18"/>
        <v>-100</v>
      </c>
      <c r="Q87" s="10">
        <f t="shared" si="19"/>
        <v>-100</v>
      </c>
      <c r="S87" s="10">
        <f t="shared" si="20"/>
        <v>54.604319860807635</v>
      </c>
      <c r="T87" s="10">
        <f t="shared" si="21"/>
        <v>1</v>
      </c>
      <c r="U87" s="10">
        <f t="shared" si="22"/>
        <v>0</v>
      </c>
      <c r="V87" s="10">
        <f t="shared" si="23"/>
        <v>0</v>
      </c>
      <c r="Y87" s="10">
        <f t="shared" si="24"/>
        <v>0</v>
      </c>
      <c r="Z87" s="10">
        <f t="shared" si="25"/>
        <v>0</v>
      </c>
      <c r="AA87" s="10">
        <f t="shared" si="25"/>
        <v>0</v>
      </c>
      <c r="AB87" s="10">
        <f t="shared" si="26"/>
        <v>-0.600823999755</v>
      </c>
      <c r="AC87" s="10">
        <f t="shared" si="26"/>
        <v>-11.934914502824579</v>
      </c>
      <c r="AD87" s="10">
        <f t="shared" si="26"/>
        <v>12.332992966090206</v>
      </c>
      <c r="AE87" s="10">
        <f t="shared" si="27"/>
        <v>1</v>
      </c>
      <c r="AF87" s="10">
        <f t="shared" si="28"/>
        <v>0</v>
      </c>
      <c r="AG87" s="10"/>
      <c r="AH87" s="10">
        <f t="shared" si="32"/>
        <v>1</v>
      </c>
      <c r="AI87" s="10">
        <f t="shared" si="33"/>
        <v>0</v>
      </c>
      <c r="AJ87" s="10">
        <f t="shared" si="34"/>
        <v>0</v>
      </c>
      <c r="AZ87" s="10"/>
    </row>
    <row r="88" spans="2:66" x14ac:dyDescent="0.25">
      <c r="B88" s="10">
        <v>66</v>
      </c>
      <c r="C88">
        <v>0.73577552939241286</v>
      </c>
      <c r="D88">
        <v>1.1028578228433616</v>
      </c>
      <c r="E88">
        <v>0.60579241309854426</v>
      </c>
      <c r="H88" s="10">
        <v>1</v>
      </c>
      <c r="I88" s="10">
        <f t="shared" ref="I88:I151" si="41">IF(K88=1, C88*$C$9+$C$7,C88*$C$12+$C$10)</f>
        <v>7.2682058239377483</v>
      </c>
      <c r="J88" s="10">
        <f t="shared" ref="J88:J151" si="42">IF(K88=1, D88*$C$9+$C$8,D88*$C$12+$C$11)</f>
        <v>16.589339905798443</v>
      </c>
      <c r="K88" s="10">
        <f t="shared" ref="K88:K151" si="43">IF(E88&lt;$C$14,1,-1)</f>
        <v>1</v>
      </c>
      <c r="N88" s="10">
        <f t="shared" ref="N88:N151" si="44">IF($K88=1,I88,-100)</f>
        <v>7.2682058239377483</v>
      </c>
      <c r="O88" s="10">
        <f t="shared" ref="O88:O151" si="45">IF($K88=1,J88,-100)</f>
        <v>16.589339905798443</v>
      </c>
      <c r="P88" s="10">
        <f t="shared" ref="P88:P151" si="46">IF($K88=-1,I88,-100)</f>
        <v>-100</v>
      </c>
      <c r="Q88" s="10">
        <f t="shared" ref="Q88:Q151" si="47">IF($K88=-1,J88,-100)</f>
        <v>-100</v>
      </c>
      <c r="S88" s="10">
        <f t="shared" ref="S88:S151" si="48">SUMPRODUCT(H88:J88,AB87:AD87)</f>
        <v>117.24997327290806</v>
      </c>
      <c r="T88" s="10">
        <f t="shared" ref="T88:T151" si="49">IF(S88&gt;=0,1,-1)</f>
        <v>1</v>
      </c>
      <c r="U88" s="10">
        <f t="shared" ref="U88:U151" si="50">(K88-T88)/2</f>
        <v>0</v>
      </c>
      <c r="V88" s="10">
        <f t="shared" ref="V88:V151" si="51">IF(U88&lt;&gt;0,1,0)</f>
        <v>0</v>
      </c>
      <c r="Y88" s="10">
        <f t="shared" ref="Y88:Y151" si="52">IF($U88=0,0,$C$14*($U88)*H88)</f>
        <v>0</v>
      </c>
      <c r="Z88" s="10">
        <f t="shared" ref="Z88:AA151" si="53">IF($U88=0,0,$C$14*($U88)*I88)</f>
        <v>0</v>
      </c>
      <c r="AA88" s="10">
        <f t="shared" si="53"/>
        <v>0</v>
      </c>
      <c r="AB88" s="10">
        <f t="shared" ref="AB88:AD151" si="54">IF($U88=0,AB87,AB87+$C$14*($U88)*H88)</f>
        <v>-0.600823999755</v>
      </c>
      <c r="AC88" s="10">
        <f t="shared" si="54"/>
        <v>-11.934914502824579</v>
      </c>
      <c r="AD88" s="10">
        <f t="shared" si="54"/>
        <v>12.332992966090206</v>
      </c>
      <c r="AE88" s="10">
        <f t="shared" ref="AE88:AE151" si="55">IF(SUMPRODUCT(H88:J88,$AO$31:$AQ$31)&gt;=0,1,-1)</f>
        <v>1</v>
      </c>
      <c r="AF88" s="10">
        <f t="shared" ref="AF88:AF151" si="56">IF(K88=AE88,0,1)</f>
        <v>0</v>
      </c>
      <c r="AG88" s="10"/>
      <c r="AH88" s="10">
        <f t="shared" si="32"/>
        <v>1</v>
      </c>
      <c r="AI88" s="10">
        <f t="shared" si="33"/>
        <v>0</v>
      </c>
      <c r="AJ88" s="10">
        <f t="shared" si="34"/>
        <v>0</v>
      </c>
      <c r="AZ88" s="10"/>
    </row>
    <row r="89" spans="2:66" x14ac:dyDescent="0.25">
      <c r="B89" s="10">
        <v>67</v>
      </c>
      <c r="C89">
        <v>0.25775761969271116</v>
      </c>
      <c r="D89">
        <v>0.72877355705713853</v>
      </c>
      <c r="E89">
        <v>0.7414777062288278</v>
      </c>
      <c r="H89" s="10">
        <v>1</v>
      </c>
      <c r="I89" s="10">
        <f t="shared" si="41"/>
        <v>11.459296886900168</v>
      </c>
      <c r="J89" s="10">
        <f t="shared" si="42"/>
        <v>3.2173724239233685</v>
      </c>
      <c r="K89" s="10">
        <f t="shared" si="43"/>
        <v>-1</v>
      </c>
      <c r="N89" s="10">
        <f t="shared" si="44"/>
        <v>-100</v>
      </c>
      <c r="O89" s="10">
        <f t="shared" si="45"/>
        <v>-100</v>
      </c>
      <c r="P89" s="10">
        <f t="shared" si="46"/>
        <v>11.459296886900168</v>
      </c>
      <c r="Q89" s="10">
        <f t="shared" si="47"/>
        <v>3.2173724239233685</v>
      </c>
      <c r="S89" s="10">
        <f t="shared" si="48"/>
        <v>-97.686721133852842</v>
      </c>
      <c r="T89" s="10">
        <f t="shared" si="49"/>
        <v>-1</v>
      </c>
      <c r="U89" s="10">
        <f t="shared" si="50"/>
        <v>0</v>
      </c>
      <c r="V89" s="10">
        <f t="shared" si="51"/>
        <v>0</v>
      </c>
      <c r="Y89" s="10">
        <f t="shared" si="52"/>
        <v>0</v>
      </c>
      <c r="Z89" s="10">
        <f t="shared" si="53"/>
        <v>0</v>
      </c>
      <c r="AA89" s="10">
        <f t="shared" si="53"/>
        <v>0</v>
      </c>
      <c r="AB89" s="10">
        <f t="shared" si="54"/>
        <v>-0.600823999755</v>
      </c>
      <c r="AC89" s="10">
        <f t="shared" si="54"/>
        <v>-11.934914502824579</v>
      </c>
      <c r="AD89" s="10">
        <f t="shared" si="54"/>
        <v>12.332992966090206</v>
      </c>
      <c r="AE89" s="10">
        <f t="shared" si="55"/>
        <v>-1</v>
      </c>
      <c r="AF89" s="10">
        <f t="shared" si="56"/>
        <v>0</v>
      </c>
      <c r="AG89" s="10"/>
      <c r="AH89" s="10">
        <f t="shared" si="32"/>
        <v>1</v>
      </c>
      <c r="AI89" s="10">
        <f t="shared" si="33"/>
        <v>0</v>
      </c>
      <c r="AJ89" s="10">
        <f t="shared" si="34"/>
        <v>0</v>
      </c>
      <c r="AZ89" s="10"/>
    </row>
    <row r="90" spans="2:66" x14ac:dyDescent="0.25">
      <c r="B90" s="10">
        <v>68</v>
      </c>
      <c r="C90">
        <v>-0.52862787924823351</v>
      </c>
      <c r="D90">
        <v>0.41386101656826213</v>
      </c>
      <c r="E90">
        <v>3.6072878200628683E-2</v>
      </c>
      <c r="H90" s="10">
        <v>1</v>
      </c>
      <c r="I90" s="10">
        <f t="shared" si="41"/>
        <v>5.445361113687329</v>
      </c>
      <c r="J90" s="10">
        <f t="shared" si="42"/>
        <v>15.596038104241099</v>
      </c>
      <c r="K90" s="10">
        <f t="shared" si="43"/>
        <v>1</v>
      </c>
      <c r="N90" s="10">
        <f t="shared" si="44"/>
        <v>5.445361113687329</v>
      </c>
      <c r="O90" s="10">
        <f t="shared" si="45"/>
        <v>15.596038104241099</v>
      </c>
      <c r="P90" s="10">
        <f t="shared" si="46"/>
        <v>-100</v>
      </c>
      <c r="Q90" s="10">
        <f t="shared" si="47"/>
        <v>-100</v>
      </c>
      <c r="S90" s="10">
        <f t="shared" si="48"/>
        <v>126.75508490986142</v>
      </c>
      <c r="T90" s="10">
        <f t="shared" si="49"/>
        <v>1</v>
      </c>
      <c r="U90" s="10">
        <f t="shared" si="50"/>
        <v>0</v>
      </c>
      <c r="V90" s="10">
        <f t="shared" si="51"/>
        <v>0</v>
      </c>
      <c r="Y90" s="10">
        <f t="shared" si="52"/>
        <v>0</v>
      </c>
      <c r="Z90" s="10">
        <f t="shared" si="53"/>
        <v>0</v>
      </c>
      <c r="AA90" s="10">
        <f t="shared" si="53"/>
        <v>0</v>
      </c>
      <c r="AB90" s="10">
        <f t="shared" si="54"/>
        <v>-0.600823999755</v>
      </c>
      <c r="AC90" s="10">
        <f t="shared" si="54"/>
        <v>-11.934914502824579</v>
      </c>
      <c r="AD90" s="10">
        <f t="shared" si="54"/>
        <v>12.332992966090206</v>
      </c>
      <c r="AE90" s="10">
        <f t="shared" si="55"/>
        <v>1</v>
      </c>
      <c r="AF90" s="10">
        <f t="shared" si="56"/>
        <v>0</v>
      </c>
      <c r="AG90" s="10"/>
      <c r="AH90" s="10">
        <f t="shared" ref="AH90:AH153" si="57">IF(SUMPRODUCT(H88:J88,$AH$21:$AJ$21)&gt;=0,1,-1)</f>
        <v>1</v>
      </c>
      <c r="AI90" s="10">
        <f t="shared" ref="AI90:AI153" si="58">(K88-AH90)/2</f>
        <v>0</v>
      </c>
      <c r="AJ90" s="10">
        <f t="shared" ref="AJ90:AJ153" si="59">IF(AI90&lt;&gt;0,1,0)</f>
        <v>0</v>
      </c>
      <c r="AZ90" s="10"/>
    </row>
    <row r="91" spans="2:66" x14ac:dyDescent="0.25">
      <c r="B91" s="10">
        <v>69</v>
      </c>
      <c r="C91">
        <v>-1.3515500540961511</v>
      </c>
      <c r="D91">
        <v>0.28235263016540557</v>
      </c>
      <c r="E91">
        <v>9.9307229834894858E-2</v>
      </c>
      <c r="H91" s="10">
        <v>1</v>
      </c>
      <c r="I91" s="10">
        <f t="shared" si="41"/>
        <v>4.2589839470977484</v>
      </c>
      <c r="J91" s="10">
        <f t="shared" si="42"/>
        <v>15.406447215075643</v>
      </c>
      <c r="K91" s="10">
        <f t="shared" si="43"/>
        <v>1</v>
      </c>
      <c r="N91" s="10">
        <f t="shared" si="44"/>
        <v>4.2589839470977484</v>
      </c>
      <c r="O91" s="10">
        <f t="shared" si="45"/>
        <v>15.406447215075643</v>
      </c>
      <c r="P91" s="10">
        <f t="shared" si="46"/>
        <v>-100</v>
      </c>
      <c r="Q91" s="10">
        <f t="shared" si="47"/>
        <v>-100</v>
      </c>
      <c r="S91" s="10">
        <f t="shared" si="48"/>
        <v>138.57617185869896</v>
      </c>
      <c r="T91" s="10">
        <f t="shared" si="49"/>
        <v>1</v>
      </c>
      <c r="U91" s="10">
        <f t="shared" si="50"/>
        <v>0</v>
      </c>
      <c r="V91" s="10">
        <f t="shared" si="51"/>
        <v>0</v>
      </c>
      <c r="Y91" s="10">
        <f t="shared" si="52"/>
        <v>0</v>
      </c>
      <c r="Z91" s="10">
        <f t="shared" si="53"/>
        <v>0</v>
      </c>
      <c r="AA91" s="10">
        <f t="shared" si="53"/>
        <v>0</v>
      </c>
      <c r="AB91" s="10">
        <f t="shared" si="54"/>
        <v>-0.600823999755</v>
      </c>
      <c r="AC91" s="10">
        <f t="shared" si="54"/>
        <v>-11.934914502824579</v>
      </c>
      <c r="AD91" s="10">
        <f t="shared" si="54"/>
        <v>12.332992966090206</v>
      </c>
      <c r="AE91" s="10">
        <f t="shared" si="55"/>
        <v>1</v>
      </c>
      <c r="AF91" s="10">
        <f t="shared" si="56"/>
        <v>0</v>
      </c>
      <c r="AG91" s="10"/>
      <c r="AH91" s="10">
        <f t="shared" si="57"/>
        <v>-1</v>
      </c>
      <c r="AI91" s="10">
        <f t="shared" si="58"/>
        <v>0</v>
      </c>
      <c r="AJ91" s="10">
        <f t="shared" si="59"/>
        <v>0</v>
      </c>
      <c r="AZ91" s="10"/>
    </row>
    <row r="92" spans="2:66" x14ac:dyDescent="0.25">
      <c r="B92" s="10">
        <v>70</v>
      </c>
      <c r="C92">
        <v>-1.387702468491625</v>
      </c>
      <c r="D92">
        <v>0.44633679863181897</v>
      </c>
      <c r="E92">
        <v>0.41163365581225014</v>
      </c>
      <c r="H92" s="10">
        <v>1</v>
      </c>
      <c r="I92" s="10">
        <f t="shared" si="41"/>
        <v>4.2068643174817391</v>
      </c>
      <c r="J92" s="10">
        <f t="shared" si="42"/>
        <v>15.642857265864086</v>
      </c>
      <c r="K92" s="10">
        <f t="shared" si="43"/>
        <v>1</v>
      </c>
      <c r="N92" s="10">
        <f t="shared" si="44"/>
        <v>4.2068643174817391</v>
      </c>
      <c r="O92" s="10">
        <f t="shared" si="45"/>
        <v>15.642857265864086</v>
      </c>
      <c r="P92" s="10">
        <f t="shared" si="46"/>
        <v>-100</v>
      </c>
      <c r="Q92" s="10">
        <f t="shared" si="47"/>
        <v>-100</v>
      </c>
      <c r="S92" s="10">
        <f t="shared" si="48"/>
        <v>142.11385867557181</v>
      </c>
      <c r="T92" s="10">
        <f t="shared" si="49"/>
        <v>1</v>
      </c>
      <c r="U92" s="10">
        <f t="shared" si="50"/>
        <v>0</v>
      </c>
      <c r="V92" s="10">
        <f t="shared" si="51"/>
        <v>0</v>
      </c>
      <c r="Y92" s="10">
        <f t="shared" si="52"/>
        <v>0</v>
      </c>
      <c r="Z92" s="10">
        <f t="shared" si="53"/>
        <v>0</v>
      </c>
      <c r="AA92" s="10">
        <f t="shared" si="53"/>
        <v>0</v>
      </c>
      <c r="AB92" s="10">
        <f t="shared" si="54"/>
        <v>-0.600823999755</v>
      </c>
      <c r="AC92" s="10">
        <f t="shared" si="54"/>
        <v>-11.934914502824579</v>
      </c>
      <c r="AD92" s="10">
        <f t="shared" si="54"/>
        <v>12.332992966090206</v>
      </c>
      <c r="AE92" s="10">
        <f t="shared" si="55"/>
        <v>1</v>
      </c>
      <c r="AF92" s="10">
        <f t="shared" si="56"/>
        <v>0</v>
      </c>
      <c r="AG92" s="10"/>
      <c r="AH92" s="10">
        <f t="shared" si="57"/>
        <v>1</v>
      </c>
      <c r="AI92" s="10">
        <f t="shared" si="58"/>
        <v>0</v>
      </c>
      <c r="AJ92" s="10">
        <f t="shared" si="59"/>
        <v>0</v>
      </c>
      <c r="AZ92" s="10"/>
    </row>
    <row r="93" spans="2:66" x14ac:dyDescent="0.25">
      <c r="B93" s="10">
        <v>71</v>
      </c>
      <c r="C93">
        <v>-2.1114919945830479</v>
      </c>
      <c r="D93">
        <v>0.70729129220126197</v>
      </c>
      <c r="E93">
        <v>0.43891720328379163</v>
      </c>
      <c r="H93" s="10">
        <v>1</v>
      </c>
      <c r="I93" s="10">
        <f t="shared" si="41"/>
        <v>3.1634031088562096</v>
      </c>
      <c r="J93" s="10">
        <f t="shared" si="42"/>
        <v>16.019065930731998</v>
      </c>
      <c r="K93" s="10">
        <f t="shared" si="43"/>
        <v>1</v>
      </c>
      <c r="N93" s="10">
        <f t="shared" si="44"/>
        <v>3.1634031088562096</v>
      </c>
      <c r="O93" s="10">
        <f t="shared" si="45"/>
        <v>16.019065930731998</v>
      </c>
      <c r="P93" s="10">
        <f t="shared" si="46"/>
        <v>-100</v>
      </c>
      <c r="Q93" s="10">
        <f t="shared" si="47"/>
        <v>-100</v>
      </c>
      <c r="S93" s="10">
        <f t="shared" si="48"/>
        <v>159.20725780512964</v>
      </c>
      <c r="T93" s="10">
        <f t="shared" si="49"/>
        <v>1</v>
      </c>
      <c r="U93" s="10">
        <f t="shared" si="50"/>
        <v>0</v>
      </c>
      <c r="V93" s="10">
        <f t="shared" si="51"/>
        <v>0</v>
      </c>
      <c r="Y93" s="10">
        <f t="shared" si="52"/>
        <v>0</v>
      </c>
      <c r="Z93" s="10">
        <f t="shared" si="53"/>
        <v>0</v>
      </c>
      <c r="AA93" s="10">
        <f t="shared" si="53"/>
        <v>0</v>
      </c>
      <c r="AB93" s="10">
        <f t="shared" si="54"/>
        <v>-0.600823999755</v>
      </c>
      <c r="AC93" s="10">
        <f t="shared" si="54"/>
        <v>-11.934914502824579</v>
      </c>
      <c r="AD93" s="10">
        <f t="shared" si="54"/>
        <v>12.332992966090206</v>
      </c>
      <c r="AE93" s="10">
        <f t="shared" si="55"/>
        <v>1</v>
      </c>
      <c r="AF93" s="10">
        <f t="shared" si="56"/>
        <v>0</v>
      </c>
      <c r="AG93" s="10"/>
      <c r="AH93" s="10">
        <f t="shared" si="57"/>
        <v>1</v>
      </c>
      <c r="AI93" s="10">
        <f t="shared" si="58"/>
        <v>0</v>
      </c>
      <c r="AJ93" s="10">
        <f t="shared" si="59"/>
        <v>0</v>
      </c>
      <c r="AZ93" s="10"/>
    </row>
    <row r="94" spans="2:66" x14ac:dyDescent="0.25">
      <c r="B94" s="10">
        <v>72</v>
      </c>
      <c r="C94">
        <v>-0.42497049435041845</v>
      </c>
      <c r="D94">
        <v>-0.57152419685735367</v>
      </c>
      <c r="E94">
        <v>0.55378887295144508</v>
      </c>
      <c r="H94" s="10">
        <v>1</v>
      </c>
      <c r="I94" s="10">
        <f t="shared" si="41"/>
        <v>5.5948002202636982</v>
      </c>
      <c r="J94" s="10">
        <f t="shared" si="42"/>
        <v>14.175443844863901</v>
      </c>
      <c r="K94" s="10">
        <f t="shared" si="43"/>
        <v>1</v>
      </c>
      <c r="N94" s="10">
        <f t="shared" si="44"/>
        <v>5.5948002202636982</v>
      </c>
      <c r="O94" s="10">
        <f t="shared" si="45"/>
        <v>14.175443844863901</v>
      </c>
      <c r="P94" s="10">
        <f t="shared" si="46"/>
        <v>-100</v>
      </c>
      <c r="Q94" s="10">
        <f t="shared" si="47"/>
        <v>-100</v>
      </c>
      <c r="S94" s="10">
        <f t="shared" si="48"/>
        <v>107.45136294092686</v>
      </c>
      <c r="T94" s="10">
        <f t="shared" si="49"/>
        <v>1</v>
      </c>
      <c r="U94" s="10">
        <f t="shared" si="50"/>
        <v>0</v>
      </c>
      <c r="V94" s="10">
        <f t="shared" si="51"/>
        <v>0</v>
      </c>
      <c r="Y94" s="10">
        <f t="shared" si="52"/>
        <v>0</v>
      </c>
      <c r="Z94" s="10">
        <f t="shared" si="53"/>
        <v>0</v>
      </c>
      <c r="AA94" s="10">
        <f t="shared" si="53"/>
        <v>0</v>
      </c>
      <c r="AB94" s="10">
        <f t="shared" si="54"/>
        <v>-0.600823999755</v>
      </c>
      <c r="AC94" s="10">
        <f t="shared" si="54"/>
        <v>-11.934914502824579</v>
      </c>
      <c r="AD94" s="10">
        <f t="shared" si="54"/>
        <v>12.332992966090206</v>
      </c>
      <c r="AE94" s="10">
        <f t="shared" si="55"/>
        <v>1</v>
      </c>
      <c r="AF94" s="10">
        <f t="shared" si="56"/>
        <v>0</v>
      </c>
      <c r="AG94" s="10"/>
      <c r="AH94" s="10">
        <f t="shared" si="57"/>
        <v>1</v>
      </c>
      <c r="AI94" s="10">
        <f t="shared" si="58"/>
        <v>0</v>
      </c>
      <c r="AJ94" s="10">
        <f t="shared" si="59"/>
        <v>0</v>
      </c>
      <c r="AZ94" s="10"/>
    </row>
    <row r="95" spans="2:66" x14ac:dyDescent="0.25">
      <c r="B95" s="10">
        <v>73</v>
      </c>
      <c r="C95">
        <v>0.41502858039166313</v>
      </c>
      <c r="D95">
        <v>0.33612423067097552</v>
      </c>
      <c r="E95">
        <v>0.8511612292855617</v>
      </c>
      <c r="H95" s="10">
        <v>1</v>
      </c>
      <c r="I95" s="10">
        <f t="shared" si="41"/>
        <v>11.74422961134529</v>
      </c>
      <c r="J95" s="10">
        <f t="shared" si="42"/>
        <v>2.5059973434791849</v>
      </c>
      <c r="K95" s="10">
        <f t="shared" si="43"/>
        <v>-1</v>
      </c>
      <c r="N95" s="10">
        <f t="shared" si="44"/>
        <v>-100</v>
      </c>
      <c r="O95" s="10">
        <f t="shared" si="45"/>
        <v>-100</v>
      </c>
      <c r="P95" s="10">
        <f t="shared" si="46"/>
        <v>11.74422961134529</v>
      </c>
      <c r="Q95" s="10">
        <f t="shared" si="47"/>
        <v>2.5059973434791849</v>
      </c>
      <c r="S95" s="10">
        <f t="shared" si="48"/>
        <v>-109.86075270253224</v>
      </c>
      <c r="T95" s="10">
        <f t="shared" si="49"/>
        <v>-1</v>
      </c>
      <c r="U95" s="10">
        <f t="shared" si="50"/>
        <v>0</v>
      </c>
      <c r="V95" s="10">
        <f t="shared" si="51"/>
        <v>0</v>
      </c>
      <c r="Y95" s="10">
        <f t="shared" si="52"/>
        <v>0</v>
      </c>
      <c r="Z95" s="10">
        <f t="shared" si="53"/>
        <v>0</v>
      </c>
      <c r="AA95" s="10">
        <f t="shared" si="53"/>
        <v>0</v>
      </c>
      <c r="AB95" s="10">
        <f t="shared" si="54"/>
        <v>-0.600823999755</v>
      </c>
      <c r="AC95" s="10">
        <f t="shared" si="54"/>
        <v>-11.934914502824579</v>
      </c>
      <c r="AD95" s="10">
        <f t="shared" si="54"/>
        <v>12.332992966090206</v>
      </c>
      <c r="AE95" s="10">
        <f t="shared" si="55"/>
        <v>-1</v>
      </c>
      <c r="AF95" s="10">
        <f t="shared" si="56"/>
        <v>0</v>
      </c>
      <c r="AG95" s="10"/>
      <c r="AH95" s="10">
        <f t="shared" si="57"/>
        <v>1</v>
      </c>
      <c r="AI95" s="10">
        <f t="shared" si="58"/>
        <v>0</v>
      </c>
      <c r="AJ95" s="10">
        <f t="shared" si="59"/>
        <v>0</v>
      </c>
      <c r="AZ95" s="10"/>
    </row>
    <row r="96" spans="2:66" x14ac:dyDescent="0.25">
      <c r="B96" s="10">
        <v>74</v>
      </c>
      <c r="C96">
        <v>0.27019382287107874</v>
      </c>
      <c r="D96">
        <v>1.5777322914800607</v>
      </c>
      <c r="E96">
        <v>0.83727530747398293</v>
      </c>
      <c r="H96" s="10">
        <v>1</v>
      </c>
      <c r="I96" s="10">
        <f t="shared" si="41"/>
        <v>11.481827945638649</v>
      </c>
      <c r="J96" s="10">
        <f t="shared" si="42"/>
        <v>4.7554575482562882</v>
      </c>
      <c r="K96" s="10">
        <f t="shared" si="43"/>
        <v>-1</v>
      </c>
      <c r="N96" s="10">
        <f t="shared" si="44"/>
        <v>-100</v>
      </c>
      <c r="O96" s="10">
        <f t="shared" si="45"/>
        <v>-100</v>
      </c>
      <c r="P96" s="10">
        <f t="shared" si="46"/>
        <v>11.481827945638649</v>
      </c>
      <c r="Q96" s="10">
        <f t="shared" si="47"/>
        <v>4.7554575482562882</v>
      </c>
      <c r="S96" s="10">
        <f t="shared" si="48"/>
        <v>-78.986434373908878</v>
      </c>
      <c r="T96" s="10">
        <f t="shared" si="49"/>
        <v>-1</v>
      </c>
      <c r="U96" s="10">
        <f t="shared" si="50"/>
        <v>0</v>
      </c>
      <c r="V96" s="10">
        <f t="shared" si="51"/>
        <v>0</v>
      </c>
      <c r="Y96" s="10">
        <f t="shared" si="52"/>
        <v>0</v>
      </c>
      <c r="Z96" s="10">
        <f t="shared" si="53"/>
        <v>0</v>
      </c>
      <c r="AA96" s="10">
        <f t="shared" si="53"/>
        <v>0</v>
      </c>
      <c r="AB96" s="10">
        <f t="shared" si="54"/>
        <v>-0.600823999755</v>
      </c>
      <c r="AC96" s="10">
        <f t="shared" si="54"/>
        <v>-11.934914502824579</v>
      </c>
      <c r="AD96" s="10">
        <f t="shared" si="54"/>
        <v>12.332992966090206</v>
      </c>
      <c r="AE96" s="10">
        <f t="shared" si="55"/>
        <v>-1</v>
      </c>
      <c r="AF96" s="10">
        <f t="shared" si="56"/>
        <v>0</v>
      </c>
      <c r="AG96" s="10"/>
      <c r="AH96" s="10">
        <f t="shared" si="57"/>
        <v>1</v>
      </c>
      <c r="AI96" s="10">
        <f t="shared" si="58"/>
        <v>0</v>
      </c>
      <c r="AJ96" s="10">
        <f t="shared" si="59"/>
        <v>0</v>
      </c>
      <c r="AZ96" s="10"/>
    </row>
    <row r="97" spans="2:52" x14ac:dyDescent="0.25">
      <c r="B97" s="10">
        <v>75</v>
      </c>
      <c r="C97">
        <v>1.2135456017858814</v>
      </c>
      <c r="D97">
        <v>-3.7377958506112918E-2</v>
      </c>
      <c r="E97">
        <v>0.33170567949461349</v>
      </c>
      <c r="H97" s="10">
        <v>1</v>
      </c>
      <c r="I97" s="10">
        <f t="shared" si="41"/>
        <v>7.9569896750622044</v>
      </c>
      <c r="J97" s="10">
        <f t="shared" si="42"/>
        <v>14.94550317753013</v>
      </c>
      <c r="K97" s="10">
        <f t="shared" si="43"/>
        <v>1</v>
      </c>
      <c r="N97" s="10">
        <f t="shared" si="44"/>
        <v>7.9569896750622044</v>
      </c>
      <c r="O97" s="10">
        <f t="shared" si="45"/>
        <v>14.94550317753013</v>
      </c>
      <c r="P97" s="10">
        <f t="shared" si="46"/>
        <v>-100</v>
      </c>
      <c r="Q97" s="10">
        <f t="shared" si="47"/>
        <v>-100</v>
      </c>
      <c r="S97" s="10">
        <f t="shared" si="48"/>
        <v>88.755970091677568</v>
      </c>
      <c r="T97" s="10">
        <f t="shared" si="49"/>
        <v>1</v>
      </c>
      <c r="U97" s="10">
        <f t="shared" si="50"/>
        <v>0</v>
      </c>
      <c r="V97" s="10">
        <f t="shared" si="51"/>
        <v>0</v>
      </c>
      <c r="Y97" s="10">
        <f t="shared" si="52"/>
        <v>0</v>
      </c>
      <c r="Z97" s="10">
        <f t="shared" si="53"/>
        <v>0</v>
      </c>
      <c r="AA97" s="10">
        <f t="shared" si="53"/>
        <v>0</v>
      </c>
      <c r="AB97" s="10">
        <f t="shared" si="54"/>
        <v>-0.600823999755</v>
      </c>
      <c r="AC97" s="10">
        <f t="shared" si="54"/>
        <v>-11.934914502824579</v>
      </c>
      <c r="AD97" s="10">
        <f t="shared" si="54"/>
        <v>12.332992966090206</v>
      </c>
      <c r="AE97" s="10">
        <f t="shared" si="55"/>
        <v>1</v>
      </c>
      <c r="AF97" s="10">
        <f t="shared" si="56"/>
        <v>0</v>
      </c>
      <c r="AG97" s="10"/>
      <c r="AH97" s="10">
        <f t="shared" si="57"/>
        <v>-1</v>
      </c>
      <c r="AI97" s="10">
        <f t="shared" si="58"/>
        <v>0</v>
      </c>
      <c r="AJ97" s="10">
        <f t="shared" si="59"/>
        <v>0</v>
      </c>
      <c r="AZ97" s="10"/>
    </row>
    <row r="98" spans="2:52" x14ac:dyDescent="0.25">
      <c r="B98" s="10">
        <v>76</v>
      </c>
      <c r="C98">
        <v>-2.0831976144108921</v>
      </c>
      <c r="D98">
        <v>-1.4622173694078811</v>
      </c>
      <c r="E98">
        <v>0.72780541398358101</v>
      </c>
      <c r="H98" s="10">
        <v>1</v>
      </c>
      <c r="I98" s="10">
        <f t="shared" si="41"/>
        <v>7.2181149821618522</v>
      </c>
      <c r="J98" s="10">
        <f t="shared" si="42"/>
        <v>-0.75211444852744735</v>
      </c>
      <c r="K98" s="10">
        <f t="shared" si="43"/>
        <v>-1</v>
      </c>
      <c r="N98" s="10">
        <f t="shared" si="44"/>
        <v>-100</v>
      </c>
      <c r="O98" s="10">
        <f t="shared" si="45"/>
        <v>-100</v>
      </c>
      <c r="P98" s="10">
        <f t="shared" si="46"/>
        <v>7.2181149821618522</v>
      </c>
      <c r="Q98" s="10">
        <f t="shared" si="47"/>
        <v>-0.75211444852744735</v>
      </c>
      <c r="S98" s="10">
        <f t="shared" si="48"/>
        <v>-96.024231386797695</v>
      </c>
      <c r="T98" s="10">
        <f t="shared" si="49"/>
        <v>-1</v>
      </c>
      <c r="U98" s="10">
        <f t="shared" si="50"/>
        <v>0</v>
      </c>
      <c r="V98" s="10">
        <f t="shared" si="51"/>
        <v>0</v>
      </c>
      <c r="Y98" s="10">
        <f t="shared" si="52"/>
        <v>0</v>
      </c>
      <c r="Z98" s="10">
        <f t="shared" si="53"/>
        <v>0</v>
      </c>
      <c r="AA98" s="10">
        <f t="shared" si="53"/>
        <v>0</v>
      </c>
      <c r="AB98" s="10">
        <f t="shared" si="54"/>
        <v>-0.600823999755</v>
      </c>
      <c r="AC98" s="10">
        <f t="shared" si="54"/>
        <v>-11.934914502824579</v>
      </c>
      <c r="AD98" s="10">
        <f t="shared" si="54"/>
        <v>12.332992966090206</v>
      </c>
      <c r="AE98" s="10">
        <f t="shared" si="55"/>
        <v>-1</v>
      </c>
      <c r="AF98" s="10">
        <f t="shared" si="56"/>
        <v>0</v>
      </c>
      <c r="AG98" s="10"/>
      <c r="AH98" s="10">
        <f t="shared" si="57"/>
        <v>-1</v>
      </c>
      <c r="AI98" s="10">
        <f t="shared" si="58"/>
        <v>0</v>
      </c>
      <c r="AJ98" s="10">
        <f t="shared" si="59"/>
        <v>0</v>
      </c>
      <c r="AZ98" s="10"/>
    </row>
    <row r="99" spans="2:52" x14ac:dyDescent="0.25">
      <c r="B99" s="10">
        <v>77</v>
      </c>
      <c r="C99">
        <v>0.1349303602182772</v>
      </c>
      <c r="D99">
        <v>1.1491465556900948</v>
      </c>
      <c r="E99">
        <v>0.68785668507950071</v>
      </c>
      <c r="H99" s="10">
        <v>1</v>
      </c>
      <c r="I99" s="10">
        <f t="shared" si="41"/>
        <v>6.4019890525941099</v>
      </c>
      <c r="J99" s="10">
        <f t="shared" si="42"/>
        <v>16.656072699491695</v>
      </c>
      <c r="K99" s="10">
        <f t="shared" si="43"/>
        <v>1</v>
      </c>
      <c r="N99" s="10">
        <f t="shared" si="44"/>
        <v>6.4019890525941099</v>
      </c>
      <c r="O99" s="10">
        <f t="shared" si="45"/>
        <v>16.656072699491695</v>
      </c>
      <c r="P99" s="10">
        <f t="shared" si="46"/>
        <v>-100</v>
      </c>
      <c r="Q99" s="10">
        <f t="shared" si="47"/>
        <v>-100</v>
      </c>
      <c r="S99" s="10">
        <f t="shared" si="48"/>
        <v>128.41121145503354</v>
      </c>
      <c r="T99" s="10">
        <f t="shared" si="49"/>
        <v>1</v>
      </c>
      <c r="U99" s="10">
        <f t="shared" si="50"/>
        <v>0</v>
      </c>
      <c r="V99" s="10">
        <f t="shared" si="51"/>
        <v>0</v>
      </c>
      <c r="Y99" s="10">
        <f t="shared" si="52"/>
        <v>0</v>
      </c>
      <c r="Z99" s="10">
        <f t="shared" si="53"/>
        <v>0</v>
      </c>
      <c r="AA99" s="10">
        <f t="shared" si="53"/>
        <v>0</v>
      </c>
      <c r="AB99" s="10">
        <f t="shared" si="54"/>
        <v>-0.600823999755</v>
      </c>
      <c r="AC99" s="10">
        <f t="shared" si="54"/>
        <v>-11.934914502824579</v>
      </c>
      <c r="AD99" s="10">
        <f t="shared" si="54"/>
        <v>12.332992966090206</v>
      </c>
      <c r="AE99" s="10">
        <f t="shared" si="55"/>
        <v>1</v>
      </c>
      <c r="AF99" s="10">
        <f t="shared" si="56"/>
        <v>0</v>
      </c>
      <c r="AG99" s="10"/>
      <c r="AH99" s="10">
        <f t="shared" si="57"/>
        <v>1</v>
      </c>
      <c r="AI99" s="10">
        <f t="shared" si="58"/>
        <v>0</v>
      </c>
      <c r="AJ99" s="10">
        <f t="shared" si="59"/>
        <v>0</v>
      </c>
      <c r="AZ99" s="10"/>
    </row>
    <row r="100" spans="2:52" x14ac:dyDescent="0.25">
      <c r="B100" s="10">
        <v>78</v>
      </c>
      <c r="C100">
        <v>-1.7612956071388908</v>
      </c>
      <c r="D100">
        <v>-0.30191358746378683</v>
      </c>
      <c r="E100">
        <v>0.50285348063600577</v>
      </c>
      <c r="H100" s="10">
        <v>1</v>
      </c>
      <c r="I100" s="10">
        <f t="shared" si="41"/>
        <v>3.6682685877366241</v>
      </c>
      <c r="J100" s="10">
        <f t="shared" si="42"/>
        <v>14.564131719162516</v>
      </c>
      <c r="K100" s="10">
        <f t="shared" si="43"/>
        <v>1</v>
      </c>
      <c r="N100" s="10">
        <f t="shared" si="44"/>
        <v>3.6682685877366241</v>
      </c>
      <c r="O100" s="10">
        <f t="shared" si="45"/>
        <v>14.564131719162516</v>
      </c>
      <c r="P100" s="10">
        <f t="shared" si="46"/>
        <v>-100</v>
      </c>
      <c r="Q100" s="10">
        <f t="shared" si="47"/>
        <v>-100</v>
      </c>
      <c r="S100" s="10">
        <f t="shared" si="48"/>
        <v>135.23803808185389</v>
      </c>
      <c r="T100" s="10">
        <f t="shared" si="49"/>
        <v>1</v>
      </c>
      <c r="U100" s="10">
        <f t="shared" si="50"/>
        <v>0</v>
      </c>
      <c r="V100" s="10">
        <f t="shared" si="51"/>
        <v>0</v>
      </c>
      <c r="Y100" s="10">
        <f t="shared" si="52"/>
        <v>0</v>
      </c>
      <c r="Z100" s="10">
        <f t="shared" si="53"/>
        <v>0</v>
      </c>
      <c r="AA100" s="10">
        <f t="shared" si="53"/>
        <v>0</v>
      </c>
      <c r="AB100" s="10">
        <f t="shared" si="54"/>
        <v>-0.600823999755</v>
      </c>
      <c r="AC100" s="10">
        <f t="shared" si="54"/>
        <v>-11.934914502824579</v>
      </c>
      <c r="AD100" s="10">
        <f t="shared" si="54"/>
        <v>12.332992966090206</v>
      </c>
      <c r="AE100" s="10">
        <f t="shared" si="55"/>
        <v>1</v>
      </c>
      <c r="AF100" s="10">
        <f t="shared" si="56"/>
        <v>0</v>
      </c>
      <c r="AG100" s="10"/>
      <c r="AH100" s="10">
        <f t="shared" si="57"/>
        <v>1</v>
      </c>
      <c r="AI100" s="10">
        <f t="shared" si="58"/>
        <v>-1</v>
      </c>
      <c r="AJ100" s="10">
        <f t="shared" si="59"/>
        <v>1</v>
      </c>
      <c r="AZ100" s="10"/>
    </row>
    <row r="101" spans="2:52" x14ac:dyDescent="0.25">
      <c r="B101" s="10">
        <v>79</v>
      </c>
      <c r="C101">
        <v>0.5065862751507666</v>
      </c>
      <c r="D101">
        <v>0.53453049986273982</v>
      </c>
      <c r="E101">
        <v>5.1789910580767234E-2</v>
      </c>
      <c r="H101" s="10">
        <v>1</v>
      </c>
      <c r="I101" s="10">
        <f t="shared" si="41"/>
        <v>6.9377919569031974</v>
      </c>
      <c r="J101" s="10">
        <f t="shared" si="42"/>
        <v>15.770002938414136</v>
      </c>
      <c r="K101" s="10">
        <f t="shared" si="43"/>
        <v>1</v>
      </c>
      <c r="N101" s="10">
        <f t="shared" si="44"/>
        <v>6.9377919569031974</v>
      </c>
      <c r="O101" s="10">
        <f t="shared" si="45"/>
        <v>15.770002938414136</v>
      </c>
      <c r="P101" s="10">
        <f t="shared" si="46"/>
        <v>-100</v>
      </c>
      <c r="Q101" s="10">
        <f t="shared" si="47"/>
        <v>-100</v>
      </c>
      <c r="S101" s="10">
        <f t="shared" si="48"/>
        <v>111.08855747090475</v>
      </c>
      <c r="T101" s="10">
        <f t="shared" si="49"/>
        <v>1</v>
      </c>
      <c r="U101" s="10">
        <f t="shared" si="50"/>
        <v>0</v>
      </c>
      <c r="V101" s="10">
        <f t="shared" si="51"/>
        <v>0</v>
      </c>
      <c r="Y101" s="10">
        <f t="shared" si="52"/>
        <v>0</v>
      </c>
      <c r="Z101" s="10">
        <f t="shared" si="53"/>
        <v>0</v>
      </c>
      <c r="AA101" s="10">
        <f t="shared" si="53"/>
        <v>0</v>
      </c>
      <c r="AB101" s="10">
        <f t="shared" si="54"/>
        <v>-0.600823999755</v>
      </c>
      <c r="AC101" s="10">
        <f t="shared" si="54"/>
        <v>-11.934914502824579</v>
      </c>
      <c r="AD101" s="10">
        <f t="shared" si="54"/>
        <v>12.332992966090206</v>
      </c>
      <c r="AE101" s="10">
        <f t="shared" si="55"/>
        <v>1</v>
      </c>
      <c r="AF101" s="10">
        <f t="shared" si="56"/>
        <v>0</v>
      </c>
      <c r="AG101" s="10"/>
      <c r="AH101" s="10">
        <f t="shared" si="57"/>
        <v>1</v>
      </c>
      <c r="AI101" s="10">
        <f t="shared" si="58"/>
        <v>0</v>
      </c>
      <c r="AJ101" s="10">
        <f t="shared" si="59"/>
        <v>0</v>
      </c>
      <c r="AZ101" s="10"/>
    </row>
    <row r="102" spans="2:52" x14ac:dyDescent="0.25">
      <c r="B102" s="10">
        <v>80</v>
      </c>
      <c r="C102">
        <v>-0.15038722267490812</v>
      </c>
      <c r="D102">
        <v>0.28330873647064436</v>
      </c>
      <c r="E102">
        <v>0.68437757499923701</v>
      </c>
      <c r="H102" s="10">
        <v>1</v>
      </c>
      <c r="I102" s="10">
        <f t="shared" si="41"/>
        <v>5.9906570021076089</v>
      </c>
      <c r="J102" s="10">
        <f t="shared" si="42"/>
        <v>15.407825598990959</v>
      </c>
      <c r="K102" s="10">
        <f t="shared" si="43"/>
        <v>1</v>
      </c>
      <c r="N102" s="10">
        <f t="shared" si="44"/>
        <v>5.9906570021076089</v>
      </c>
      <c r="O102" s="10">
        <f t="shared" si="45"/>
        <v>15.407825598990959</v>
      </c>
      <c r="P102" s="10">
        <f t="shared" si="46"/>
        <v>-100</v>
      </c>
      <c r="Q102" s="10">
        <f t="shared" si="47"/>
        <v>-100</v>
      </c>
      <c r="S102" s="10">
        <f t="shared" si="48"/>
        <v>117.92580159944339</v>
      </c>
      <c r="T102" s="10">
        <f t="shared" si="49"/>
        <v>1</v>
      </c>
      <c r="U102" s="10">
        <f t="shared" si="50"/>
        <v>0</v>
      </c>
      <c r="V102" s="10">
        <f t="shared" si="51"/>
        <v>0</v>
      </c>
      <c r="X102">
        <f>SUM(V83:V102)</f>
        <v>0</v>
      </c>
      <c r="Y102" s="10">
        <f t="shared" si="52"/>
        <v>0</v>
      </c>
      <c r="Z102" s="10">
        <f t="shared" si="53"/>
        <v>0</v>
      </c>
      <c r="AA102" s="10">
        <f t="shared" si="53"/>
        <v>0</v>
      </c>
      <c r="AB102" s="10">
        <f t="shared" si="54"/>
        <v>-0.600823999755</v>
      </c>
      <c r="AC102" s="10">
        <f t="shared" si="54"/>
        <v>-11.934914502824579</v>
      </c>
      <c r="AD102" s="10">
        <f t="shared" si="54"/>
        <v>12.332992966090206</v>
      </c>
      <c r="AE102" s="10">
        <f t="shared" si="55"/>
        <v>1</v>
      </c>
      <c r="AF102" s="10">
        <f t="shared" si="56"/>
        <v>0</v>
      </c>
      <c r="AG102" s="10"/>
      <c r="AH102" s="10">
        <f t="shared" si="57"/>
        <v>1</v>
      </c>
      <c r="AI102" s="10">
        <f t="shared" si="58"/>
        <v>0</v>
      </c>
      <c r="AJ102" s="10">
        <f t="shared" si="59"/>
        <v>0</v>
      </c>
      <c r="AZ102" s="10"/>
    </row>
    <row r="103" spans="2:52" x14ac:dyDescent="0.25">
      <c r="B103" s="10">
        <v>81</v>
      </c>
      <c r="C103">
        <v>-0.21339474187698215</v>
      </c>
      <c r="D103">
        <v>-0.98356849775882438</v>
      </c>
      <c r="E103">
        <v>0.66484572893459881</v>
      </c>
      <c r="H103" s="10">
        <v>1</v>
      </c>
      <c r="I103" s="10">
        <f t="shared" si="41"/>
        <v>5.8998213381900468</v>
      </c>
      <c r="J103" s="10">
        <f t="shared" si="42"/>
        <v>13.581414463770589</v>
      </c>
      <c r="K103" s="10">
        <f t="shared" si="43"/>
        <v>1</v>
      </c>
      <c r="N103" s="10">
        <f t="shared" si="44"/>
        <v>5.8998213381900468</v>
      </c>
      <c r="O103" s="10">
        <f t="shared" si="45"/>
        <v>13.581414463770589</v>
      </c>
      <c r="P103" s="10">
        <f t="shared" si="46"/>
        <v>-100</v>
      </c>
      <c r="Q103" s="10">
        <f t="shared" si="47"/>
        <v>-100</v>
      </c>
      <c r="S103" s="12">
        <f t="shared" si="48"/>
        <v>96.484801798245172</v>
      </c>
      <c r="T103" s="12">
        <f t="shared" si="49"/>
        <v>1</v>
      </c>
      <c r="U103" s="12">
        <f t="shared" si="50"/>
        <v>0</v>
      </c>
      <c r="V103" s="12">
        <f t="shared" si="51"/>
        <v>0</v>
      </c>
      <c r="W103" s="12"/>
      <c r="X103" s="12"/>
      <c r="Y103" s="10">
        <f t="shared" si="52"/>
        <v>0</v>
      </c>
      <c r="Z103" s="10">
        <f t="shared" si="53"/>
        <v>0</v>
      </c>
      <c r="AA103" s="10">
        <f t="shared" si="53"/>
        <v>0</v>
      </c>
      <c r="AB103" s="10">
        <f t="shared" si="54"/>
        <v>-0.600823999755</v>
      </c>
      <c r="AC103" s="10">
        <f t="shared" si="54"/>
        <v>-11.934914502824579</v>
      </c>
      <c r="AD103" s="10">
        <f t="shared" si="54"/>
        <v>12.332992966090206</v>
      </c>
      <c r="AE103" s="10">
        <f t="shared" si="55"/>
        <v>1</v>
      </c>
      <c r="AF103" s="10">
        <f t="shared" si="56"/>
        <v>0</v>
      </c>
      <c r="AG103" s="10"/>
      <c r="AH103" s="10">
        <f t="shared" si="57"/>
        <v>1</v>
      </c>
      <c r="AI103" s="10">
        <f t="shared" si="58"/>
        <v>0</v>
      </c>
      <c r="AJ103" s="10">
        <f t="shared" si="59"/>
        <v>0</v>
      </c>
      <c r="AZ103" s="10"/>
    </row>
    <row r="104" spans="2:52" x14ac:dyDescent="0.25">
      <c r="B104" s="10">
        <v>82</v>
      </c>
      <c r="C104">
        <v>0.26765519578475505</v>
      </c>
      <c r="D104">
        <v>-0.70876694735488854</v>
      </c>
      <c r="E104">
        <v>0.44013794366283149</v>
      </c>
      <c r="H104" s="10">
        <v>1</v>
      </c>
      <c r="I104" s="10">
        <f t="shared" si="41"/>
        <v>6.5933336525674022</v>
      </c>
      <c r="J104" s="10">
        <f t="shared" si="42"/>
        <v>13.977585930170672</v>
      </c>
      <c r="K104" s="10">
        <f t="shared" si="43"/>
        <v>1</v>
      </c>
      <c r="N104" s="10">
        <f t="shared" si="44"/>
        <v>6.5933336525674022</v>
      </c>
      <c r="O104" s="10">
        <f t="shared" si="45"/>
        <v>13.977585930170672</v>
      </c>
      <c r="P104" s="10">
        <f t="shared" si="46"/>
        <v>-100</v>
      </c>
      <c r="Q104" s="10">
        <f t="shared" si="47"/>
        <v>-100</v>
      </c>
      <c r="S104" s="10">
        <f t="shared" si="48"/>
        <v>93.093771527973288</v>
      </c>
      <c r="T104" s="10">
        <f t="shared" si="49"/>
        <v>1</v>
      </c>
      <c r="U104" s="10">
        <f t="shared" si="50"/>
        <v>0</v>
      </c>
      <c r="V104" s="10">
        <f t="shared" si="51"/>
        <v>0</v>
      </c>
      <c r="Y104" s="10">
        <f t="shared" si="52"/>
        <v>0</v>
      </c>
      <c r="Z104" s="10">
        <f t="shared" si="53"/>
        <v>0</v>
      </c>
      <c r="AA104" s="10">
        <f t="shared" si="53"/>
        <v>0</v>
      </c>
      <c r="AB104" s="10">
        <f t="shared" si="54"/>
        <v>-0.600823999755</v>
      </c>
      <c r="AC104" s="10">
        <f t="shared" si="54"/>
        <v>-11.934914502824579</v>
      </c>
      <c r="AD104" s="10">
        <f t="shared" si="54"/>
        <v>12.332992966090206</v>
      </c>
      <c r="AE104" s="10">
        <f t="shared" si="55"/>
        <v>1</v>
      </c>
      <c r="AF104" s="10">
        <f t="shared" si="56"/>
        <v>0</v>
      </c>
      <c r="AG104" s="10"/>
      <c r="AH104" s="10">
        <f t="shared" si="57"/>
        <v>1</v>
      </c>
      <c r="AI104" s="10">
        <f t="shared" si="58"/>
        <v>0</v>
      </c>
      <c r="AJ104" s="10">
        <f t="shared" si="59"/>
        <v>0</v>
      </c>
      <c r="AZ104" s="10"/>
    </row>
    <row r="105" spans="2:52" x14ac:dyDescent="0.25">
      <c r="B105" s="10">
        <v>83</v>
      </c>
      <c r="C105">
        <v>1.317084752372466</v>
      </c>
      <c r="D105">
        <v>-0.41894963942468166</v>
      </c>
      <c r="E105">
        <v>0.41093173009430217</v>
      </c>
      <c r="H105" s="10">
        <v>1</v>
      </c>
      <c r="I105" s="10">
        <f t="shared" si="41"/>
        <v>8.1062583275039799</v>
      </c>
      <c r="J105" s="10">
        <f t="shared" si="42"/>
        <v>14.395405071664097</v>
      </c>
      <c r="K105" s="10">
        <f t="shared" si="43"/>
        <v>1</v>
      </c>
      <c r="N105" s="10">
        <f t="shared" si="44"/>
        <v>8.1062583275039799</v>
      </c>
      <c r="O105" s="10">
        <f t="shared" si="45"/>
        <v>14.395405071664097</v>
      </c>
      <c r="P105" s="10">
        <f t="shared" si="46"/>
        <v>-100</v>
      </c>
      <c r="Q105" s="10">
        <f t="shared" si="47"/>
        <v>-100</v>
      </c>
      <c r="S105" s="10">
        <f t="shared" si="48"/>
        <v>80.190105416527842</v>
      </c>
      <c r="T105" s="10">
        <f t="shared" si="49"/>
        <v>1</v>
      </c>
      <c r="U105" s="10">
        <f t="shared" si="50"/>
        <v>0</v>
      </c>
      <c r="V105" s="10">
        <f t="shared" si="51"/>
        <v>0</v>
      </c>
      <c r="Y105" s="10">
        <f t="shared" si="52"/>
        <v>0</v>
      </c>
      <c r="Z105" s="10">
        <f t="shared" si="53"/>
        <v>0</v>
      </c>
      <c r="AA105" s="10">
        <f t="shared" si="53"/>
        <v>0</v>
      </c>
      <c r="AB105" s="10">
        <f t="shared" si="54"/>
        <v>-0.600823999755</v>
      </c>
      <c r="AC105" s="10">
        <f t="shared" si="54"/>
        <v>-11.934914502824579</v>
      </c>
      <c r="AD105" s="10">
        <f t="shared" si="54"/>
        <v>12.332992966090206</v>
      </c>
      <c r="AE105" s="10">
        <f t="shared" si="55"/>
        <v>1</v>
      </c>
      <c r="AF105" s="10">
        <f t="shared" si="56"/>
        <v>0</v>
      </c>
      <c r="AG105" s="10"/>
      <c r="AH105" s="10">
        <f t="shared" si="57"/>
        <v>1</v>
      </c>
      <c r="AI105" s="10">
        <f t="shared" si="58"/>
        <v>0</v>
      </c>
      <c r="AJ105" s="10">
        <f t="shared" si="59"/>
        <v>0</v>
      </c>
      <c r="AZ105" s="10"/>
    </row>
    <row r="106" spans="2:52" x14ac:dyDescent="0.25">
      <c r="B106" s="10">
        <v>84</v>
      </c>
      <c r="C106">
        <v>0.98617874755291268</v>
      </c>
      <c r="D106">
        <v>-0.92284153652144596</v>
      </c>
      <c r="E106">
        <v>0.76812036500137337</v>
      </c>
      <c r="H106" s="10">
        <v>1</v>
      </c>
      <c r="I106" s="10">
        <f t="shared" si="41"/>
        <v>12.779000254783126</v>
      </c>
      <c r="J106" s="10">
        <f t="shared" si="42"/>
        <v>0.22508963849007713</v>
      </c>
      <c r="K106" s="10">
        <f t="shared" si="43"/>
        <v>-1</v>
      </c>
      <c r="N106" s="10">
        <f t="shared" si="44"/>
        <v>-100</v>
      </c>
      <c r="O106" s="10">
        <f t="shared" si="45"/>
        <v>-100</v>
      </c>
      <c r="P106" s="10">
        <f t="shared" si="46"/>
        <v>12.779000254783126</v>
      </c>
      <c r="Q106" s="10">
        <f t="shared" si="47"/>
        <v>0.22508963849007713</v>
      </c>
      <c r="S106" s="10">
        <f t="shared" si="48"/>
        <v>-150.3410705439272</v>
      </c>
      <c r="T106" s="10">
        <f t="shared" si="49"/>
        <v>-1</v>
      </c>
      <c r="U106" s="10">
        <f t="shared" si="50"/>
        <v>0</v>
      </c>
      <c r="V106" s="10">
        <f t="shared" si="51"/>
        <v>0</v>
      </c>
      <c r="Y106" s="10">
        <f t="shared" si="52"/>
        <v>0</v>
      </c>
      <c r="Z106" s="10">
        <f t="shared" si="53"/>
        <v>0</v>
      </c>
      <c r="AA106" s="10">
        <f t="shared" si="53"/>
        <v>0</v>
      </c>
      <c r="AB106" s="10">
        <f t="shared" si="54"/>
        <v>-0.600823999755</v>
      </c>
      <c r="AC106" s="10">
        <f t="shared" si="54"/>
        <v>-11.934914502824579</v>
      </c>
      <c r="AD106" s="10">
        <f t="shared" si="54"/>
        <v>12.332992966090206</v>
      </c>
      <c r="AE106" s="10">
        <f t="shared" si="55"/>
        <v>-1</v>
      </c>
      <c r="AF106" s="10">
        <f t="shared" si="56"/>
        <v>0</v>
      </c>
      <c r="AG106" s="10"/>
      <c r="AH106" s="10">
        <f t="shared" si="57"/>
        <v>1</v>
      </c>
      <c r="AI106" s="10">
        <f t="shared" si="58"/>
        <v>0</v>
      </c>
      <c r="AJ106" s="10">
        <f t="shared" si="59"/>
        <v>0</v>
      </c>
      <c r="AZ106" s="10"/>
    </row>
    <row r="107" spans="2:52" x14ac:dyDescent="0.25">
      <c r="B107" s="10">
        <v>85</v>
      </c>
      <c r="C107">
        <v>-0.10972712516377214</v>
      </c>
      <c r="D107">
        <v>0.70817577579873614</v>
      </c>
      <c r="E107">
        <v>0.90890224921414842</v>
      </c>
      <c r="H107" s="10">
        <v>1</v>
      </c>
      <c r="I107" s="10">
        <f t="shared" si="41"/>
        <v>10.793513266843247</v>
      </c>
      <c r="J107" s="10">
        <f t="shared" si="42"/>
        <v>3.1800547785971238</v>
      </c>
      <c r="K107" s="10">
        <f t="shared" si="43"/>
        <v>-1</v>
      </c>
      <c r="N107" s="10">
        <f t="shared" si="44"/>
        <v>-100</v>
      </c>
      <c r="O107" s="10">
        <f t="shared" si="45"/>
        <v>-100</v>
      </c>
      <c r="P107" s="10">
        <f t="shared" si="46"/>
        <v>10.793513266843247</v>
      </c>
      <c r="Q107" s="10">
        <f t="shared" si="47"/>
        <v>3.1800547785971238</v>
      </c>
      <c r="S107" s="10">
        <f t="shared" si="48"/>
        <v>-90.200888808412074</v>
      </c>
      <c r="T107" s="10">
        <f t="shared" si="49"/>
        <v>-1</v>
      </c>
      <c r="U107" s="10">
        <f t="shared" si="50"/>
        <v>0</v>
      </c>
      <c r="V107" s="10">
        <f t="shared" si="51"/>
        <v>0</v>
      </c>
      <c r="Y107" s="10">
        <f t="shared" si="52"/>
        <v>0</v>
      </c>
      <c r="Z107" s="10">
        <f t="shared" si="53"/>
        <v>0</v>
      </c>
      <c r="AA107" s="10">
        <f t="shared" si="53"/>
        <v>0</v>
      </c>
      <c r="AB107" s="10">
        <f t="shared" si="54"/>
        <v>-0.600823999755</v>
      </c>
      <c r="AC107" s="10">
        <f t="shared" si="54"/>
        <v>-11.934914502824579</v>
      </c>
      <c r="AD107" s="10">
        <f t="shared" si="54"/>
        <v>12.332992966090206</v>
      </c>
      <c r="AE107" s="10">
        <f t="shared" si="55"/>
        <v>-1</v>
      </c>
      <c r="AF107" s="10">
        <f t="shared" si="56"/>
        <v>0</v>
      </c>
      <c r="AG107" s="10"/>
      <c r="AH107" s="10">
        <f t="shared" si="57"/>
        <v>1</v>
      </c>
      <c r="AI107" s="10">
        <f t="shared" si="58"/>
        <v>0</v>
      </c>
      <c r="AJ107" s="10">
        <f t="shared" si="59"/>
        <v>0</v>
      </c>
      <c r="AZ107" s="10"/>
    </row>
    <row r="108" spans="2:52" x14ac:dyDescent="0.25">
      <c r="B108" s="10">
        <v>86</v>
      </c>
      <c r="C108">
        <v>0.94090864877216518</v>
      </c>
      <c r="D108">
        <v>-2.6395719032734632</v>
      </c>
      <c r="E108">
        <v>0.28659932248908965</v>
      </c>
      <c r="H108" s="10">
        <v>1</v>
      </c>
      <c r="I108" s="10">
        <f t="shared" si="41"/>
        <v>7.5639388305108284</v>
      </c>
      <c r="J108" s="10">
        <f t="shared" si="42"/>
        <v>11.194014186872916</v>
      </c>
      <c r="K108" s="10">
        <f t="shared" si="43"/>
        <v>1</v>
      </c>
      <c r="N108" s="10">
        <f t="shared" si="44"/>
        <v>7.5639388305108284</v>
      </c>
      <c r="O108" s="10">
        <f t="shared" si="45"/>
        <v>11.194014186872916</v>
      </c>
      <c r="P108" s="10">
        <f t="shared" si="46"/>
        <v>-100</v>
      </c>
      <c r="Q108" s="10">
        <f t="shared" si="47"/>
        <v>-100</v>
      </c>
      <c r="S108" s="10">
        <f t="shared" si="48"/>
        <v>47.17991098252098</v>
      </c>
      <c r="T108" s="10">
        <f t="shared" si="49"/>
        <v>1</v>
      </c>
      <c r="U108" s="10">
        <f t="shared" si="50"/>
        <v>0</v>
      </c>
      <c r="V108" s="10">
        <f t="shared" si="51"/>
        <v>0</v>
      </c>
      <c r="Y108" s="10">
        <f t="shared" si="52"/>
        <v>0</v>
      </c>
      <c r="Z108" s="10">
        <f t="shared" si="53"/>
        <v>0</v>
      </c>
      <c r="AA108" s="10">
        <f t="shared" si="53"/>
        <v>0</v>
      </c>
      <c r="AB108" s="10">
        <f t="shared" si="54"/>
        <v>-0.600823999755</v>
      </c>
      <c r="AC108" s="10">
        <f t="shared" si="54"/>
        <v>-11.934914502824579</v>
      </c>
      <c r="AD108" s="10">
        <f t="shared" si="54"/>
        <v>12.332992966090206</v>
      </c>
      <c r="AE108" s="10">
        <f t="shared" si="55"/>
        <v>1</v>
      </c>
      <c r="AF108" s="10">
        <f t="shared" si="56"/>
        <v>0</v>
      </c>
      <c r="AG108" s="10"/>
      <c r="AH108" s="10">
        <f t="shared" si="57"/>
        <v>-1</v>
      </c>
      <c r="AI108" s="10">
        <f t="shared" si="58"/>
        <v>0</v>
      </c>
      <c r="AJ108" s="10">
        <f t="shared" si="59"/>
        <v>0</v>
      </c>
      <c r="AZ108" s="10"/>
    </row>
    <row r="109" spans="2:52" x14ac:dyDescent="0.25">
      <c r="B109" s="10">
        <v>87</v>
      </c>
      <c r="C109">
        <v>1.3323506209417246</v>
      </c>
      <c r="D109">
        <v>0.50154767450294457</v>
      </c>
      <c r="E109">
        <v>0.94222846156193729</v>
      </c>
      <c r="H109" s="10">
        <v>1</v>
      </c>
      <c r="I109" s="10">
        <f t="shared" si="41"/>
        <v>13.406170678188589</v>
      </c>
      <c r="J109" s="10">
        <f t="shared" si="42"/>
        <v>2.8057001769117496</v>
      </c>
      <c r="K109" s="10">
        <f t="shared" si="43"/>
        <v>-1</v>
      </c>
      <c r="N109" s="10">
        <f t="shared" si="44"/>
        <v>-100</v>
      </c>
      <c r="O109" s="10">
        <f t="shared" si="45"/>
        <v>-100</v>
      </c>
      <c r="P109" s="10">
        <f t="shared" si="46"/>
        <v>13.406170678188589</v>
      </c>
      <c r="Q109" s="10">
        <f t="shared" si="47"/>
        <v>2.8057001769117496</v>
      </c>
      <c r="S109" s="10">
        <f t="shared" si="48"/>
        <v>-125.99964430739897</v>
      </c>
      <c r="T109" s="10">
        <f t="shared" si="49"/>
        <v>-1</v>
      </c>
      <c r="U109" s="10">
        <f t="shared" si="50"/>
        <v>0</v>
      </c>
      <c r="V109" s="10">
        <f t="shared" si="51"/>
        <v>0</v>
      </c>
      <c r="Y109" s="10">
        <f t="shared" si="52"/>
        <v>0</v>
      </c>
      <c r="Z109" s="10">
        <f t="shared" si="53"/>
        <v>0</v>
      </c>
      <c r="AA109" s="10">
        <f t="shared" si="53"/>
        <v>0</v>
      </c>
      <c r="AB109" s="10">
        <f t="shared" si="54"/>
        <v>-0.600823999755</v>
      </c>
      <c r="AC109" s="10">
        <f t="shared" si="54"/>
        <v>-11.934914502824579</v>
      </c>
      <c r="AD109" s="10">
        <f t="shared" si="54"/>
        <v>12.332992966090206</v>
      </c>
      <c r="AE109" s="10">
        <f t="shared" si="55"/>
        <v>-1</v>
      </c>
      <c r="AF109" s="10">
        <f t="shared" si="56"/>
        <v>0</v>
      </c>
      <c r="AG109" s="10"/>
      <c r="AH109" s="10">
        <f t="shared" si="57"/>
        <v>-1</v>
      </c>
      <c r="AI109" s="10">
        <f t="shared" si="58"/>
        <v>0</v>
      </c>
      <c r="AJ109" s="10">
        <f t="shared" si="59"/>
        <v>0</v>
      </c>
      <c r="AZ109" s="10"/>
    </row>
    <row r="110" spans="2:52" x14ac:dyDescent="0.25">
      <c r="B110" s="10">
        <v>88</v>
      </c>
      <c r="C110">
        <v>1.4553461369359866</v>
      </c>
      <c r="D110">
        <v>0.63887455326039344</v>
      </c>
      <c r="E110">
        <v>0.54210028382213815</v>
      </c>
      <c r="H110" s="10">
        <v>1</v>
      </c>
      <c r="I110" s="10">
        <f t="shared" si="41"/>
        <v>8.3055847701260141</v>
      </c>
      <c r="J110" s="10">
        <f t="shared" si="42"/>
        <v>15.920431990156796</v>
      </c>
      <c r="K110" s="10">
        <f t="shared" si="43"/>
        <v>1</v>
      </c>
      <c r="N110" s="10">
        <f t="shared" si="44"/>
        <v>8.3055847701260141</v>
      </c>
      <c r="O110" s="10">
        <f t="shared" si="45"/>
        <v>15.920431990156796</v>
      </c>
      <c r="P110" s="10">
        <f t="shared" si="46"/>
        <v>-100</v>
      </c>
      <c r="Q110" s="10">
        <f t="shared" si="47"/>
        <v>-100</v>
      </c>
      <c r="S110" s="10">
        <f t="shared" si="48"/>
        <v>96.619307624550359</v>
      </c>
      <c r="T110" s="10">
        <f t="shared" si="49"/>
        <v>1</v>
      </c>
      <c r="U110" s="10">
        <f t="shared" si="50"/>
        <v>0</v>
      </c>
      <c r="V110" s="10">
        <f t="shared" si="51"/>
        <v>0</v>
      </c>
      <c r="Y110" s="10">
        <f t="shared" si="52"/>
        <v>0</v>
      </c>
      <c r="Z110" s="10">
        <f t="shared" si="53"/>
        <v>0</v>
      </c>
      <c r="AA110" s="10">
        <f t="shared" si="53"/>
        <v>0</v>
      </c>
      <c r="AB110" s="10">
        <f t="shared" si="54"/>
        <v>-0.600823999755</v>
      </c>
      <c r="AC110" s="10">
        <f t="shared" si="54"/>
        <v>-11.934914502824579</v>
      </c>
      <c r="AD110" s="10">
        <f t="shared" si="54"/>
        <v>12.332992966090206</v>
      </c>
      <c r="AE110" s="10">
        <f t="shared" si="55"/>
        <v>1</v>
      </c>
      <c r="AF110" s="10">
        <f t="shared" si="56"/>
        <v>0</v>
      </c>
      <c r="AG110" s="10"/>
      <c r="AH110" s="10">
        <f t="shared" si="57"/>
        <v>1</v>
      </c>
      <c r="AI110" s="10">
        <f t="shared" si="58"/>
        <v>0</v>
      </c>
      <c r="AJ110" s="10">
        <f t="shared" si="59"/>
        <v>0</v>
      </c>
      <c r="AZ110" s="10"/>
    </row>
    <row r="111" spans="2:52" x14ac:dyDescent="0.25">
      <c r="B111" s="10">
        <v>89</v>
      </c>
      <c r="C111">
        <v>-0.16409558156738058</v>
      </c>
      <c r="D111">
        <v>-0.22310928216029424</v>
      </c>
      <c r="E111">
        <v>0.74297311319315162</v>
      </c>
      <c r="H111" s="10">
        <v>1</v>
      </c>
      <c r="I111" s="10">
        <f t="shared" si="41"/>
        <v>10.695012231826302</v>
      </c>
      <c r="J111" s="10">
        <f t="shared" si="42"/>
        <v>1.4928164758615108</v>
      </c>
      <c r="K111" s="10">
        <f t="shared" si="43"/>
        <v>-1</v>
      </c>
      <c r="N111" s="10">
        <f t="shared" si="44"/>
        <v>-100</v>
      </c>
      <c r="O111" s="10">
        <f t="shared" si="45"/>
        <v>-100</v>
      </c>
      <c r="P111" s="10">
        <f t="shared" si="46"/>
        <v>10.695012231826302</v>
      </c>
      <c r="Q111" s="10">
        <f t="shared" si="47"/>
        <v>1.4928164758615108</v>
      </c>
      <c r="S111" s="10">
        <f t="shared" si="48"/>
        <v>-109.83398549680143</v>
      </c>
      <c r="T111" s="10">
        <f t="shared" si="49"/>
        <v>-1</v>
      </c>
      <c r="U111" s="10">
        <f t="shared" si="50"/>
        <v>0</v>
      </c>
      <c r="V111" s="10">
        <f t="shared" si="51"/>
        <v>0</v>
      </c>
      <c r="Y111" s="10">
        <f t="shared" si="52"/>
        <v>0</v>
      </c>
      <c r="Z111" s="10">
        <f t="shared" si="53"/>
        <v>0</v>
      </c>
      <c r="AA111" s="10">
        <f t="shared" si="53"/>
        <v>0</v>
      </c>
      <c r="AB111" s="10">
        <f t="shared" si="54"/>
        <v>-0.600823999755</v>
      </c>
      <c r="AC111" s="10">
        <f t="shared" si="54"/>
        <v>-11.934914502824579</v>
      </c>
      <c r="AD111" s="10">
        <f t="shared" si="54"/>
        <v>12.332992966090206</v>
      </c>
      <c r="AE111" s="10">
        <f t="shared" si="55"/>
        <v>-1</v>
      </c>
      <c r="AF111" s="10">
        <f t="shared" si="56"/>
        <v>0</v>
      </c>
      <c r="AG111" s="10"/>
      <c r="AH111" s="10">
        <f t="shared" si="57"/>
        <v>-1</v>
      </c>
      <c r="AI111" s="10">
        <f t="shared" si="58"/>
        <v>0</v>
      </c>
      <c r="AJ111" s="10">
        <f t="shared" si="59"/>
        <v>0</v>
      </c>
      <c r="AZ111" s="10"/>
    </row>
    <row r="112" spans="2:52" x14ac:dyDescent="0.25">
      <c r="B112" s="10">
        <v>90</v>
      </c>
      <c r="C112">
        <v>-0.21731011656811461</v>
      </c>
      <c r="D112">
        <v>0.57476995607430581</v>
      </c>
      <c r="E112">
        <v>0.53679006317331457</v>
      </c>
      <c r="H112" s="10">
        <v>1</v>
      </c>
      <c r="I112" s="10">
        <f t="shared" si="41"/>
        <v>5.8941766839637086</v>
      </c>
      <c r="J112" s="10">
        <f t="shared" si="42"/>
        <v>15.828014708548055</v>
      </c>
      <c r="K112" s="10">
        <f t="shared" si="43"/>
        <v>1</v>
      </c>
      <c r="N112" s="10">
        <f t="shared" si="44"/>
        <v>5.8941766839637086</v>
      </c>
      <c r="O112" s="10">
        <f t="shared" si="45"/>
        <v>15.828014708548055</v>
      </c>
      <c r="P112" s="10">
        <f t="shared" si="46"/>
        <v>-100</v>
      </c>
      <c r="Q112" s="10">
        <f t="shared" si="47"/>
        <v>-100</v>
      </c>
      <c r="S112" s="10">
        <f t="shared" si="48"/>
        <v>124.25947528029154</v>
      </c>
      <c r="T112" s="10">
        <f t="shared" si="49"/>
        <v>1</v>
      </c>
      <c r="U112" s="10">
        <f t="shared" si="50"/>
        <v>0</v>
      </c>
      <c r="V112" s="10">
        <f t="shared" si="51"/>
        <v>0</v>
      </c>
      <c r="Y112" s="10">
        <f t="shared" si="52"/>
        <v>0</v>
      </c>
      <c r="Z112" s="10">
        <f t="shared" si="53"/>
        <v>0</v>
      </c>
      <c r="AA112" s="10">
        <f t="shared" si="53"/>
        <v>0</v>
      </c>
      <c r="AB112" s="10">
        <f t="shared" si="54"/>
        <v>-0.600823999755</v>
      </c>
      <c r="AC112" s="10">
        <f t="shared" si="54"/>
        <v>-11.934914502824579</v>
      </c>
      <c r="AD112" s="10">
        <f t="shared" si="54"/>
        <v>12.332992966090206</v>
      </c>
      <c r="AE112" s="10">
        <f t="shared" si="55"/>
        <v>1</v>
      </c>
      <c r="AF112" s="10">
        <f t="shared" si="56"/>
        <v>0</v>
      </c>
      <c r="AG112" s="10"/>
      <c r="AH112" s="10">
        <f t="shared" si="57"/>
        <v>1</v>
      </c>
      <c r="AI112" s="10">
        <f t="shared" si="58"/>
        <v>0</v>
      </c>
      <c r="AJ112" s="10">
        <f t="shared" si="59"/>
        <v>0</v>
      </c>
      <c r="AZ112" s="10"/>
    </row>
    <row r="113" spans="2:52" x14ac:dyDescent="0.25">
      <c r="B113" s="10">
        <v>91</v>
      </c>
      <c r="C113">
        <v>-1.6396552382502705</v>
      </c>
      <c r="D113">
        <v>-0.52098926062171813</v>
      </c>
      <c r="E113">
        <v>0.27204199346903896</v>
      </c>
      <c r="H113" s="10">
        <v>1</v>
      </c>
      <c r="I113" s="10">
        <f t="shared" si="41"/>
        <v>3.8436331125917995</v>
      </c>
      <c r="J113" s="10">
        <f t="shared" si="42"/>
        <v>14.248298236563942</v>
      </c>
      <c r="K113" s="10">
        <f t="shared" si="43"/>
        <v>1</v>
      </c>
      <c r="N113" s="10">
        <f t="shared" si="44"/>
        <v>3.8436331125917995</v>
      </c>
      <c r="O113" s="10">
        <f t="shared" si="45"/>
        <v>14.248298236563942</v>
      </c>
      <c r="P113" s="10">
        <f t="shared" si="46"/>
        <v>-100</v>
      </c>
      <c r="Q113" s="10">
        <f t="shared" si="47"/>
        <v>-100</v>
      </c>
      <c r="S113" s="10">
        <f t="shared" si="48"/>
        <v>129.24990535153492</v>
      </c>
      <c r="T113" s="10">
        <f t="shared" si="49"/>
        <v>1</v>
      </c>
      <c r="U113" s="10">
        <f t="shared" si="50"/>
        <v>0</v>
      </c>
      <c r="V113" s="10">
        <f t="shared" si="51"/>
        <v>0</v>
      </c>
      <c r="Y113" s="10">
        <f t="shared" si="52"/>
        <v>0</v>
      </c>
      <c r="Z113" s="10">
        <f t="shared" si="53"/>
        <v>0</v>
      </c>
      <c r="AA113" s="10">
        <f t="shared" si="53"/>
        <v>0</v>
      </c>
      <c r="AB113" s="10">
        <f t="shared" si="54"/>
        <v>-0.600823999755</v>
      </c>
      <c r="AC113" s="10">
        <f t="shared" si="54"/>
        <v>-11.934914502824579</v>
      </c>
      <c r="AD113" s="10">
        <f t="shared" si="54"/>
        <v>12.332992966090206</v>
      </c>
      <c r="AE113" s="10">
        <f t="shared" si="55"/>
        <v>1</v>
      </c>
      <c r="AF113" s="10">
        <f t="shared" si="56"/>
        <v>0</v>
      </c>
      <c r="AG113" s="10"/>
      <c r="AH113" s="10">
        <f t="shared" si="57"/>
        <v>-1</v>
      </c>
      <c r="AI113" s="10">
        <f t="shared" si="58"/>
        <v>0</v>
      </c>
      <c r="AJ113" s="10">
        <f t="shared" si="59"/>
        <v>0</v>
      </c>
      <c r="AZ113" s="10"/>
    </row>
    <row r="114" spans="2:52" x14ac:dyDescent="0.25">
      <c r="B114" s="10">
        <v>92</v>
      </c>
      <c r="C114">
        <v>-0.36369442568684462</v>
      </c>
      <c r="D114">
        <v>0.20448169379960746</v>
      </c>
      <c r="E114">
        <v>0.29776909695730458</v>
      </c>
      <c r="H114" s="10">
        <v>1</v>
      </c>
      <c r="I114" s="10">
        <f t="shared" si="41"/>
        <v>5.6831397144987079</v>
      </c>
      <c r="J114" s="10">
        <f t="shared" si="42"/>
        <v>15.294183499661234</v>
      </c>
      <c r="K114" s="10">
        <f t="shared" si="43"/>
        <v>1</v>
      </c>
      <c r="N114" s="10">
        <f t="shared" si="44"/>
        <v>5.6831397144987079</v>
      </c>
      <c r="O114" s="10">
        <f t="shared" si="45"/>
        <v>15.294183499661234</v>
      </c>
      <c r="P114" s="10">
        <f t="shared" si="46"/>
        <v>-100</v>
      </c>
      <c r="Q114" s="10">
        <f t="shared" si="47"/>
        <v>-100</v>
      </c>
      <c r="S114" s="10">
        <f t="shared" si="48"/>
        <v>120.19444692351091</v>
      </c>
      <c r="T114" s="10">
        <f t="shared" si="49"/>
        <v>1</v>
      </c>
      <c r="U114" s="10">
        <f t="shared" si="50"/>
        <v>0</v>
      </c>
      <c r="V114" s="10">
        <f t="shared" si="51"/>
        <v>0</v>
      </c>
      <c r="Y114" s="10">
        <f t="shared" si="52"/>
        <v>0</v>
      </c>
      <c r="Z114" s="10">
        <f t="shared" si="53"/>
        <v>0</v>
      </c>
      <c r="AA114" s="10">
        <f t="shared" si="53"/>
        <v>0</v>
      </c>
      <c r="AB114" s="10">
        <f t="shared" si="54"/>
        <v>-0.600823999755</v>
      </c>
      <c r="AC114" s="10">
        <f t="shared" si="54"/>
        <v>-11.934914502824579</v>
      </c>
      <c r="AD114" s="10">
        <f t="shared" si="54"/>
        <v>12.332992966090206</v>
      </c>
      <c r="AE114" s="10">
        <f t="shared" si="55"/>
        <v>1</v>
      </c>
      <c r="AF114" s="10">
        <f t="shared" si="56"/>
        <v>0</v>
      </c>
      <c r="AG114" s="10"/>
      <c r="AH114" s="10">
        <f t="shared" si="57"/>
        <v>1</v>
      </c>
      <c r="AI114" s="10">
        <f t="shared" si="58"/>
        <v>0</v>
      </c>
      <c r="AJ114" s="10">
        <f t="shared" si="59"/>
        <v>0</v>
      </c>
      <c r="AZ114" s="10"/>
    </row>
    <row r="115" spans="2:52" x14ac:dyDescent="0.25">
      <c r="B115" s="10">
        <v>93</v>
      </c>
      <c r="C115">
        <v>0.74553781814756803</v>
      </c>
      <c r="D115">
        <v>2.8396607376635075</v>
      </c>
      <c r="E115">
        <v>0.28153324991607409</v>
      </c>
      <c r="H115" s="10">
        <v>1</v>
      </c>
      <c r="I115" s="10">
        <f t="shared" si="41"/>
        <v>7.2822797629161347</v>
      </c>
      <c r="J115" s="10">
        <f t="shared" si="42"/>
        <v>19.093225915905833</v>
      </c>
      <c r="K115" s="10">
        <f t="shared" si="43"/>
        <v>1</v>
      </c>
      <c r="N115" s="10">
        <f t="shared" si="44"/>
        <v>7.2822797629161347</v>
      </c>
      <c r="O115" s="10">
        <f t="shared" si="45"/>
        <v>19.093225915905833</v>
      </c>
      <c r="P115" s="10">
        <f t="shared" si="46"/>
        <v>-100</v>
      </c>
      <c r="Q115" s="10">
        <f t="shared" si="47"/>
        <v>-100</v>
      </c>
      <c r="S115" s="10">
        <f t="shared" si="48"/>
        <v>147.96241056502913</v>
      </c>
      <c r="T115" s="10">
        <f t="shared" si="49"/>
        <v>1</v>
      </c>
      <c r="U115" s="10">
        <f t="shared" si="50"/>
        <v>0</v>
      </c>
      <c r="V115" s="10">
        <f t="shared" si="51"/>
        <v>0</v>
      </c>
      <c r="Y115" s="10">
        <f t="shared" si="52"/>
        <v>0</v>
      </c>
      <c r="Z115" s="10">
        <f t="shared" si="53"/>
        <v>0</v>
      </c>
      <c r="AA115" s="10">
        <f t="shared" si="53"/>
        <v>0</v>
      </c>
      <c r="AB115" s="10">
        <f t="shared" si="54"/>
        <v>-0.600823999755</v>
      </c>
      <c r="AC115" s="10">
        <f t="shared" si="54"/>
        <v>-11.934914502824579</v>
      </c>
      <c r="AD115" s="10">
        <f t="shared" si="54"/>
        <v>12.332992966090206</v>
      </c>
      <c r="AE115" s="10">
        <f t="shared" si="55"/>
        <v>1</v>
      </c>
      <c r="AF115" s="10">
        <f t="shared" si="56"/>
        <v>0</v>
      </c>
      <c r="AG115" s="10"/>
      <c r="AH115" s="10">
        <f t="shared" si="57"/>
        <v>1</v>
      </c>
      <c r="AI115" s="10">
        <f t="shared" si="58"/>
        <v>0</v>
      </c>
      <c r="AJ115" s="10">
        <f t="shared" si="59"/>
        <v>0</v>
      </c>
      <c r="AZ115" s="10"/>
    </row>
    <row r="116" spans="2:52" x14ac:dyDescent="0.25">
      <c r="B116" s="10">
        <v>94</v>
      </c>
      <c r="C116">
        <v>-0.55565351431141607</v>
      </c>
      <c r="D116">
        <v>1.3693079381482676</v>
      </c>
      <c r="E116">
        <v>0.38120670186468092</v>
      </c>
      <c r="H116" s="10">
        <v>1</v>
      </c>
      <c r="I116" s="10">
        <f t="shared" si="41"/>
        <v>5.4063992320762662</v>
      </c>
      <c r="J116" s="10">
        <f t="shared" si="42"/>
        <v>16.973471409960815</v>
      </c>
      <c r="K116" s="10">
        <f t="shared" si="43"/>
        <v>1</v>
      </c>
      <c r="N116" s="10">
        <f t="shared" si="44"/>
        <v>5.4063992320762662</v>
      </c>
      <c r="O116" s="10">
        <f t="shared" si="45"/>
        <v>16.973471409960815</v>
      </c>
      <c r="P116" s="10">
        <f t="shared" si="46"/>
        <v>-100</v>
      </c>
      <c r="Q116" s="10">
        <f t="shared" si="47"/>
        <v>-100</v>
      </c>
      <c r="S116" s="10">
        <f t="shared" si="48"/>
        <v>144.20796690645824</v>
      </c>
      <c r="T116" s="10">
        <f t="shared" si="49"/>
        <v>1</v>
      </c>
      <c r="U116" s="10">
        <f t="shared" si="50"/>
        <v>0</v>
      </c>
      <c r="V116" s="10">
        <f t="shared" si="51"/>
        <v>0</v>
      </c>
      <c r="Y116" s="10">
        <f t="shared" si="52"/>
        <v>0</v>
      </c>
      <c r="Z116" s="10">
        <f t="shared" si="53"/>
        <v>0</v>
      </c>
      <c r="AA116" s="10">
        <f t="shared" si="53"/>
        <v>0</v>
      </c>
      <c r="AB116" s="10">
        <f t="shared" si="54"/>
        <v>-0.600823999755</v>
      </c>
      <c r="AC116" s="10">
        <f t="shared" si="54"/>
        <v>-11.934914502824579</v>
      </c>
      <c r="AD116" s="10">
        <f t="shared" si="54"/>
        <v>12.332992966090206</v>
      </c>
      <c r="AE116" s="10">
        <f t="shared" si="55"/>
        <v>1</v>
      </c>
      <c r="AF116" s="10">
        <f t="shared" si="56"/>
        <v>0</v>
      </c>
      <c r="AG116" s="10"/>
      <c r="AH116" s="10">
        <f t="shared" si="57"/>
        <v>1</v>
      </c>
      <c r="AI116" s="10">
        <f t="shared" si="58"/>
        <v>0</v>
      </c>
      <c r="AJ116" s="10">
        <f t="shared" si="59"/>
        <v>0</v>
      </c>
      <c r="AZ116" s="10"/>
    </row>
    <row r="117" spans="2:52" x14ac:dyDescent="0.25">
      <c r="B117" s="10">
        <v>95</v>
      </c>
      <c r="C117">
        <v>0.92202071755309589</v>
      </c>
      <c r="D117">
        <v>-0.246701574724284</v>
      </c>
      <c r="E117">
        <v>0.727866451002533</v>
      </c>
      <c r="H117" s="10">
        <v>1</v>
      </c>
      <c r="I117" s="10">
        <f t="shared" si="41"/>
        <v>12.662763142721015</v>
      </c>
      <c r="J117" s="10">
        <f t="shared" si="42"/>
        <v>1.4500735806296845</v>
      </c>
      <c r="K117" s="10">
        <f t="shared" si="43"/>
        <v>-1</v>
      </c>
      <c r="N117" s="10">
        <f t="shared" si="44"/>
        <v>-100</v>
      </c>
      <c r="O117" s="10">
        <f t="shared" si="45"/>
        <v>-100</v>
      </c>
      <c r="P117" s="10">
        <f t="shared" si="46"/>
        <v>12.662763142721015</v>
      </c>
      <c r="Q117" s="10">
        <f t="shared" si="47"/>
        <v>1.4500735806296845</v>
      </c>
      <c r="S117" s="10">
        <f t="shared" si="48"/>
        <v>-133.84607220742944</v>
      </c>
      <c r="T117" s="10">
        <f t="shared" si="49"/>
        <v>-1</v>
      </c>
      <c r="U117" s="10">
        <f t="shared" si="50"/>
        <v>0</v>
      </c>
      <c r="V117" s="10">
        <f t="shared" si="51"/>
        <v>0</v>
      </c>
      <c r="Y117" s="10">
        <f t="shared" si="52"/>
        <v>0</v>
      </c>
      <c r="Z117" s="10">
        <f t="shared" si="53"/>
        <v>0</v>
      </c>
      <c r="AA117" s="10">
        <f t="shared" si="53"/>
        <v>0</v>
      </c>
      <c r="AB117" s="10">
        <f t="shared" si="54"/>
        <v>-0.600823999755</v>
      </c>
      <c r="AC117" s="10">
        <f t="shared" si="54"/>
        <v>-11.934914502824579</v>
      </c>
      <c r="AD117" s="10">
        <f t="shared" si="54"/>
        <v>12.332992966090206</v>
      </c>
      <c r="AE117" s="10">
        <f t="shared" si="55"/>
        <v>-1</v>
      </c>
      <c r="AF117" s="10">
        <f t="shared" si="56"/>
        <v>0</v>
      </c>
      <c r="AG117" s="10"/>
      <c r="AH117" s="10">
        <f t="shared" si="57"/>
        <v>1</v>
      </c>
      <c r="AI117" s="10">
        <f t="shared" si="58"/>
        <v>0</v>
      </c>
      <c r="AJ117" s="10">
        <f t="shared" si="59"/>
        <v>0</v>
      </c>
      <c r="AZ117" s="10"/>
    </row>
    <row r="118" spans="2:52" x14ac:dyDescent="0.25">
      <c r="B118" s="10">
        <v>96</v>
      </c>
      <c r="C118">
        <v>-0.53232497521094047</v>
      </c>
      <c r="D118">
        <v>0.1723208242765395</v>
      </c>
      <c r="E118">
        <v>0.85592211676381724</v>
      </c>
      <c r="H118" s="10">
        <v>1</v>
      </c>
      <c r="I118" s="10">
        <f t="shared" si="41"/>
        <v>10.027879508243126</v>
      </c>
      <c r="J118" s="10">
        <f t="shared" si="42"/>
        <v>2.2092295826037405</v>
      </c>
      <c r="K118" s="10">
        <f t="shared" si="43"/>
        <v>-1</v>
      </c>
      <c r="N118" s="10">
        <f t="shared" si="44"/>
        <v>-100</v>
      </c>
      <c r="O118" s="10">
        <f t="shared" si="45"/>
        <v>-100</v>
      </c>
      <c r="P118" s="10">
        <f t="shared" si="46"/>
        <v>10.027879508243126</v>
      </c>
      <c r="Q118" s="10">
        <f t="shared" si="47"/>
        <v>2.2092295826037405</v>
      </c>
      <c r="S118" s="10">
        <f t="shared" si="48"/>
        <v>-93.036295672532958</v>
      </c>
      <c r="T118" s="10">
        <f t="shared" si="49"/>
        <v>-1</v>
      </c>
      <c r="U118" s="10">
        <f t="shared" si="50"/>
        <v>0</v>
      </c>
      <c r="V118" s="10">
        <f t="shared" si="51"/>
        <v>0</v>
      </c>
      <c r="Y118" s="10">
        <f t="shared" si="52"/>
        <v>0</v>
      </c>
      <c r="Z118" s="10">
        <f t="shared" si="53"/>
        <v>0</v>
      </c>
      <c r="AA118" s="10">
        <f t="shared" si="53"/>
        <v>0</v>
      </c>
      <c r="AB118" s="10">
        <f t="shared" si="54"/>
        <v>-0.600823999755</v>
      </c>
      <c r="AC118" s="10">
        <f t="shared" si="54"/>
        <v>-11.934914502824579</v>
      </c>
      <c r="AD118" s="10">
        <f t="shared" si="54"/>
        <v>12.332992966090206</v>
      </c>
      <c r="AE118" s="10">
        <f t="shared" si="55"/>
        <v>-1</v>
      </c>
      <c r="AF118" s="10">
        <f t="shared" si="56"/>
        <v>0</v>
      </c>
      <c r="AG118" s="10"/>
      <c r="AH118" s="10">
        <f t="shared" si="57"/>
        <v>1</v>
      </c>
      <c r="AI118" s="10">
        <f t="shared" si="58"/>
        <v>0</v>
      </c>
      <c r="AJ118" s="10">
        <f t="shared" si="59"/>
        <v>0</v>
      </c>
      <c r="AZ118" s="10"/>
    </row>
    <row r="119" spans="2:52" x14ac:dyDescent="0.25">
      <c r="B119" s="10">
        <v>97</v>
      </c>
      <c r="C119">
        <v>0.8042070476221852</v>
      </c>
      <c r="D119">
        <v>0.9291829883295577</v>
      </c>
      <c r="E119">
        <v>0.15265358439893795</v>
      </c>
      <c r="H119" s="10">
        <v>1</v>
      </c>
      <c r="I119" s="10">
        <f t="shared" si="41"/>
        <v>7.366861071279776</v>
      </c>
      <c r="J119" s="10">
        <f t="shared" si="42"/>
        <v>16.338959171901607</v>
      </c>
      <c r="K119" s="10">
        <f t="shared" si="43"/>
        <v>1</v>
      </c>
      <c r="N119" s="10">
        <f t="shared" si="44"/>
        <v>7.366861071279776</v>
      </c>
      <c r="O119" s="10">
        <f t="shared" si="45"/>
        <v>16.338959171901607</v>
      </c>
      <c r="P119" s="10">
        <f t="shared" si="46"/>
        <v>-100</v>
      </c>
      <c r="Q119" s="10">
        <f t="shared" si="47"/>
        <v>-100</v>
      </c>
      <c r="S119" s="10">
        <f t="shared" si="48"/>
        <v>112.98458750063176</v>
      </c>
      <c r="T119" s="10">
        <f t="shared" si="49"/>
        <v>1</v>
      </c>
      <c r="U119" s="10">
        <f t="shared" si="50"/>
        <v>0</v>
      </c>
      <c r="V119" s="10">
        <f t="shared" si="51"/>
        <v>0</v>
      </c>
      <c r="Y119" s="10">
        <f t="shared" si="52"/>
        <v>0</v>
      </c>
      <c r="Z119" s="10">
        <f t="shared" si="53"/>
        <v>0</v>
      </c>
      <c r="AA119" s="10">
        <f t="shared" si="53"/>
        <v>0</v>
      </c>
      <c r="AB119" s="10">
        <f t="shared" si="54"/>
        <v>-0.600823999755</v>
      </c>
      <c r="AC119" s="10">
        <f t="shared" si="54"/>
        <v>-11.934914502824579</v>
      </c>
      <c r="AD119" s="10">
        <f t="shared" si="54"/>
        <v>12.332992966090206</v>
      </c>
      <c r="AE119" s="10">
        <f t="shared" si="55"/>
        <v>1</v>
      </c>
      <c r="AF119" s="10">
        <f t="shared" si="56"/>
        <v>0</v>
      </c>
      <c r="AG119" s="10"/>
      <c r="AH119" s="10">
        <f t="shared" si="57"/>
        <v>-1</v>
      </c>
      <c r="AI119" s="10">
        <f t="shared" si="58"/>
        <v>0</v>
      </c>
      <c r="AJ119" s="10">
        <f t="shared" si="59"/>
        <v>0</v>
      </c>
      <c r="AZ119" s="10"/>
    </row>
    <row r="120" spans="2:52" x14ac:dyDescent="0.25">
      <c r="B120" s="10">
        <v>98</v>
      </c>
      <c r="C120">
        <v>0.60858155848109163</v>
      </c>
      <c r="D120">
        <v>-0.86689851741539314</v>
      </c>
      <c r="E120">
        <v>0.16434217352824487</v>
      </c>
      <c r="H120" s="10">
        <v>1</v>
      </c>
      <c r="I120" s="10">
        <f t="shared" si="41"/>
        <v>7.0848348717028813</v>
      </c>
      <c r="J120" s="10">
        <f t="shared" si="42"/>
        <v>13.749613359044595</v>
      </c>
      <c r="K120" s="10">
        <f t="shared" si="43"/>
        <v>1</v>
      </c>
      <c r="N120" s="10">
        <f t="shared" si="44"/>
        <v>7.0848348717028813</v>
      </c>
      <c r="O120" s="10">
        <f t="shared" si="45"/>
        <v>13.749613359044595</v>
      </c>
      <c r="P120" s="10">
        <f t="shared" si="46"/>
        <v>-100</v>
      </c>
      <c r="Q120" s="10">
        <f t="shared" si="47"/>
        <v>-100</v>
      </c>
      <c r="S120" s="10">
        <f t="shared" si="48"/>
        <v>84.416162383397889</v>
      </c>
      <c r="T120" s="10">
        <f t="shared" si="49"/>
        <v>1</v>
      </c>
      <c r="U120" s="10">
        <f t="shared" si="50"/>
        <v>0</v>
      </c>
      <c r="V120" s="10">
        <f t="shared" si="51"/>
        <v>0</v>
      </c>
      <c r="Y120" s="10">
        <f t="shared" si="52"/>
        <v>0</v>
      </c>
      <c r="Z120" s="10">
        <f t="shared" si="53"/>
        <v>0</v>
      </c>
      <c r="AA120" s="10">
        <f t="shared" si="53"/>
        <v>0</v>
      </c>
      <c r="AB120" s="10">
        <f t="shared" si="54"/>
        <v>-0.600823999755</v>
      </c>
      <c r="AC120" s="10">
        <f t="shared" si="54"/>
        <v>-11.934914502824579</v>
      </c>
      <c r="AD120" s="10">
        <f t="shared" si="54"/>
        <v>12.332992966090206</v>
      </c>
      <c r="AE120" s="10">
        <f t="shared" si="55"/>
        <v>1</v>
      </c>
      <c r="AF120" s="10">
        <f t="shared" si="56"/>
        <v>0</v>
      </c>
      <c r="AG120" s="10"/>
      <c r="AH120" s="10">
        <f t="shared" si="57"/>
        <v>-1</v>
      </c>
      <c r="AI120" s="10">
        <f t="shared" si="58"/>
        <v>0</v>
      </c>
      <c r="AJ120" s="10">
        <f t="shared" si="59"/>
        <v>0</v>
      </c>
      <c r="AZ120" s="10"/>
    </row>
    <row r="121" spans="2:52" x14ac:dyDescent="0.25">
      <c r="B121" s="10">
        <v>99</v>
      </c>
      <c r="C121">
        <v>-1.0211169865215197</v>
      </c>
      <c r="D121">
        <v>-1.8258469935972244</v>
      </c>
      <c r="E121">
        <v>8.8961455122531813E-2</v>
      </c>
      <c r="H121" s="10">
        <v>1</v>
      </c>
      <c r="I121" s="10">
        <f t="shared" si="41"/>
        <v>4.7353573617880773</v>
      </c>
      <c r="J121" s="10">
        <f t="shared" si="42"/>
        <v>12.36713198856962</v>
      </c>
      <c r="K121" s="10">
        <f t="shared" si="43"/>
        <v>1</v>
      </c>
      <c r="N121" s="10">
        <f t="shared" si="44"/>
        <v>4.7353573617880773</v>
      </c>
      <c r="O121" s="10">
        <f t="shared" si="45"/>
        <v>12.36713198856962</v>
      </c>
      <c r="P121" s="10">
        <f t="shared" si="46"/>
        <v>-100</v>
      </c>
      <c r="Q121" s="10">
        <f t="shared" si="47"/>
        <v>-100</v>
      </c>
      <c r="S121" s="10">
        <f t="shared" si="48"/>
        <v>95.406842572721615</v>
      </c>
      <c r="T121" s="10">
        <f t="shared" si="49"/>
        <v>1</v>
      </c>
      <c r="U121" s="10">
        <f t="shared" si="50"/>
        <v>0</v>
      </c>
      <c r="V121" s="10">
        <f t="shared" si="51"/>
        <v>0</v>
      </c>
      <c r="Y121" s="10">
        <f t="shared" si="52"/>
        <v>0</v>
      </c>
      <c r="Z121" s="10">
        <f t="shared" si="53"/>
        <v>0</v>
      </c>
      <c r="AA121" s="10">
        <f t="shared" si="53"/>
        <v>0</v>
      </c>
      <c r="AB121" s="10">
        <f t="shared" si="54"/>
        <v>-0.600823999755</v>
      </c>
      <c r="AC121" s="10">
        <f t="shared" si="54"/>
        <v>-11.934914502824579</v>
      </c>
      <c r="AD121" s="10">
        <f t="shared" si="54"/>
        <v>12.332992966090206</v>
      </c>
      <c r="AE121" s="10">
        <f t="shared" si="55"/>
        <v>1</v>
      </c>
      <c r="AF121" s="10">
        <f t="shared" si="56"/>
        <v>0</v>
      </c>
      <c r="AG121" s="10"/>
      <c r="AH121" s="10">
        <f t="shared" si="57"/>
        <v>1</v>
      </c>
      <c r="AI121" s="10">
        <f t="shared" si="58"/>
        <v>0</v>
      </c>
      <c r="AJ121" s="10">
        <f t="shared" si="59"/>
        <v>0</v>
      </c>
      <c r="AZ121" s="10"/>
    </row>
    <row r="122" spans="2:52" x14ac:dyDescent="0.25">
      <c r="B122" s="10">
        <v>100</v>
      </c>
      <c r="C122">
        <v>-1.1013139555871021</v>
      </c>
      <c r="D122">
        <v>-2.1136293071322143</v>
      </c>
      <c r="E122">
        <v>0.9396649067659536</v>
      </c>
      <c r="H122" s="10">
        <v>1</v>
      </c>
      <c r="I122" s="10">
        <f t="shared" si="41"/>
        <v>8.997024354581491</v>
      </c>
      <c r="J122" s="10">
        <f t="shared" si="42"/>
        <v>-1.9322978550951846</v>
      </c>
      <c r="K122" s="10">
        <f t="shared" si="43"/>
        <v>-1</v>
      </c>
      <c r="N122" s="10">
        <f t="shared" si="44"/>
        <v>-100</v>
      </c>
      <c r="O122" s="10">
        <f t="shared" si="45"/>
        <v>-100</v>
      </c>
      <c r="P122" s="10">
        <f t="shared" si="46"/>
        <v>8.997024354581491</v>
      </c>
      <c r="Q122" s="10">
        <f t="shared" si="47"/>
        <v>-1.9322978550951846</v>
      </c>
      <c r="S122" s="10">
        <f t="shared" si="48"/>
        <v>-131.81055630679569</v>
      </c>
      <c r="T122" s="10">
        <f t="shared" si="49"/>
        <v>-1</v>
      </c>
      <c r="U122" s="10">
        <f t="shared" si="50"/>
        <v>0</v>
      </c>
      <c r="V122" s="10">
        <f t="shared" si="51"/>
        <v>0</v>
      </c>
      <c r="X122" s="10">
        <f>SUM(V103:V122)</f>
        <v>0</v>
      </c>
      <c r="Y122" s="10">
        <f t="shared" si="52"/>
        <v>0</v>
      </c>
      <c r="Z122" s="10">
        <f t="shared" si="53"/>
        <v>0</v>
      </c>
      <c r="AA122" s="10">
        <f t="shared" si="53"/>
        <v>0</v>
      </c>
      <c r="AB122" s="10">
        <f t="shared" si="54"/>
        <v>-0.600823999755</v>
      </c>
      <c r="AC122" s="10">
        <f t="shared" si="54"/>
        <v>-11.934914502824579</v>
      </c>
      <c r="AD122" s="10">
        <f t="shared" si="54"/>
        <v>12.332992966090206</v>
      </c>
      <c r="AE122" s="10">
        <f t="shared" si="55"/>
        <v>-1</v>
      </c>
      <c r="AF122" s="10">
        <f t="shared" si="56"/>
        <v>0</v>
      </c>
      <c r="AG122" s="10"/>
      <c r="AH122" s="10">
        <f t="shared" si="57"/>
        <v>1</v>
      </c>
      <c r="AI122" s="10">
        <f t="shared" si="58"/>
        <v>0</v>
      </c>
      <c r="AJ122" s="10">
        <f t="shared" si="59"/>
        <v>0</v>
      </c>
      <c r="AZ122" s="10"/>
    </row>
    <row r="123" spans="2:52" x14ac:dyDescent="0.25">
      <c r="B123" s="10">
        <v>101</v>
      </c>
      <c r="C123">
        <v>-1.4599936548620462</v>
      </c>
      <c r="D123">
        <v>7.0398300522356294E-2</v>
      </c>
      <c r="E123">
        <v>0.50379955442976165</v>
      </c>
      <c r="H123" s="10">
        <v>1</v>
      </c>
      <c r="I123" s="10">
        <f t="shared" si="41"/>
        <v>4.1026447260344803</v>
      </c>
      <c r="J123" s="10">
        <f t="shared" si="42"/>
        <v>15.100880316122183</v>
      </c>
      <c r="K123" s="10">
        <f t="shared" si="43"/>
        <v>1</v>
      </c>
      <c r="N123" s="10">
        <f t="shared" si="44"/>
        <v>4.1026447260344803</v>
      </c>
      <c r="O123" s="10">
        <f t="shared" si="45"/>
        <v>15.100880316122183</v>
      </c>
      <c r="P123" s="10">
        <f t="shared" si="46"/>
        <v>-100</v>
      </c>
      <c r="Q123" s="10">
        <f t="shared" si="47"/>
        <v>-100</v>
      </c>
      <c r="S123" s="12">
        <f t="shared" si="48"/>
        <v>136.67351268006425</v>
      </c>
      <c r="T123" s="12">
        <f t="shared" si="49"/>
        <v>1</v>
      </c>
      <c r="U123" s="12">
        <f t="shared" si="50"/>
        <v>0</v>
      </c>
      <c r="V123" s="12">
        <f t="shared" si="51"/>
        <v>0</v>
      </c>
      <c r="W123" s="12"/>
      <c r="X123" s="12"/>
      <c r="Y123" s="10">
        <f t="shared" si="52"/>
        <v>0</v>
      </c>
      <c r="Z123" s="10">
        <f t="shared" si="53"/>
        <v>0</v>
      </c>
      <c r="AA123" s="10">
        <f t="shared" si="53"/>
        <v>0</v>
      </c>
      <c r="AB123" s="10">
        <f t="shared" si="54"/>
        <v>-0.600823999755</v>
      </c>
      <c r="AC123" s="10">
        <f t="shared" si="54"/>
        <v>-11.934914502824579</v>
      </c>
      <c r="AD123" s="10">
        <f t="shared" si="54"/>
        <v>12.332992966090206</v>
      </c>
      <c r="AE123" s="10">
        <f t="shared" si="55"/>
        <v>1</v>
      </c>
      <c r="AF123" s="10">
        <f t="shared" si="56"/>
        <v>0</v>
      </c>
      <c r="AG123" s="10"/>
      <c r="AH123" s="10">
        <f t="shared" si="57"/>
        <v>1</v>
      </c>
      <c r="AI123" s="10">
        <f t="shared" si="58"/>
        <v>0</v>
      </c>
      <c r="AJ123" s="10">
        <f t="shared" si="59"/>
        <v>0</v>
      </c>
      <c r="AZ123" s="10"/>
    </row>
    <row r="124" spans="2:52" x14ac:dyDescent="0.25">
      <c r="B124" s="10">
        <v>102</v>
      </c>
      <c r="C124">
        <v>0.33839114621514454</v>
      </c>
      <c r="D124">
        <v>-0.24725295588723384</v>
      </c>
      <c r="E124">
        <v>0.99346903897213656</v>
      </c>
      <c r="H124" s="10">
        <v>1</v>
      </c>
      <c r="I124" s="10">
        <f t="shared" si="41"/>
        <v>11.605383171943176</v>
      </c>
      <c r="J124" s="10">
        <f t="shared" si="42"/>
        <v>1.4490746261102436</v>
      </c>
      <c r="K124" s="10">
        <f t="shared" si="43"/>
        <v>-1</v>
      </c>
      <c r="N124" s="10">
        <f t="shared" si="44"/>
        <v>-100</v>
      </c>
      <c r="O124" s="10">
        <f t="shared" si="45"/>
        <v>-100</v>
      </c>
      <c r="P124" s="10">
        <f t="shared" si="46"/>
        <v>11.605383171943176</v>
      </c>
      <c r="Q124" s="10">
        <f t="shared" si="47"/>
        <v>1.4490746261102436</v>
      </c>
      <c r="S124" s="10">
        <f t="shared" si="48"/>
        <v>-121.2386527582585</v>
      </c>
      <c r="T124" s="10">
        <f t="shared" si="49"/>
        <v>-1</v>
      </c>
      <c r="U124" s="10">
        <f t="shared" si="50"/>
        <v>0</v>
      </c>
      <c r="V124" s="10">
        <f t="shared" si="51"/>
        <v>0</v>
      </c>
      <c r="Y124" s="10">
        <f t="shared" si="52"/>
        <v>0</v>
      </c>
      <c r="Z124" s="10">
        <f t="shared" si="53"/>
        <v>0</v>
      </c>
      <c r="AA124" s="10">
        <f t="shared" si="53"/>
        <v>0</v>
      </c>
      <c r="AB124" s="10">
        <f t="shared" si="54"/>
        <v>-0.600823999755</v>
      </c>
      <c r="AC124" s="10">
        <f t="shared" si="54"/>
        <v>-11.934914502824579</v>
      </c>
      <c r="AD124" s="10">
        <f t="shared" si="54"/>
        <v>12.332992966090206</v>
      </c>
      <c r="AE124" s="10">
        <f t="shared" si="55"/>
        <v>-1</v>
      </c>
      <c r="AF124" s="10">
        <f t="shared" si="56"/>
        <v>0</v>
      </c>
      <c r="AG124" s="10"/>
      <c r="AH124" s="10">
        <f t="shared" si="57"/>
        <v>-1</v>
      </c>
      <c r="AI124" s="10">
        <f t="shared" si="58"/>
        <v>0</v>
      </c>
      <c r="AJ124" s="10">
        <f t="shared" si="59"/>
        <v>0</v>
      </c>
      <c r="AZ124" s="10"/>
    </row>
    <row r="125" spans="2:52" x14ac:dyDescent="0.25">
      <c r="B125" s="10">
        <v>103</v>
      </c>
      <c r="C125">
        <v>1.0148232831852511</v>
      </c>
      <c r="D125">
        <v>0.69409225034178235</v>
      </c>
      <c r="E125">
        <v>0.88589129306924652</v>
      </c>
      <c r="H125" s="10">
        <v>1</v>
      </c>
      <c r="I125" s="10">
        <f t="shared" si="41"/>
        <v>12.830896456993086</v>
      </c>
      <c r="J125" s="10">
        <f t="shared" si="42"/>
        <v>3.154539214500562</v>
      </c>
      <c r="K125" s="10">
        <f t="shared" si="43"/>
        <v>-1</v>
      </c>
      <c r="N125" s="10">
        <f t="shared" si="44"/>
        <v>-100</v>
      </c>
      <c r="O125" s="10">
        <f t="shared" si="45"/>
        <v>-100</v>
      </c>
      <c r="P125" s="10">
        <f t="shared" si="46"/>
        <v>12.830896456993086</v>
      </c>
      <c r="Q125" s="10">
        <f t="shared" si="47"/>
        <v>3.154539214500562</v>
      </c>
      <c r="S125" s="10">
        <f t="shared" si="48"/>
        <v>-114.83156626487114</v>
      </c>
      <c r="T125" s="10">
        <f t="shared" si="49"/>
        <v>-1</v>
      </c>
      <c r="U125" s="10">
        <f t="shared" si="50"/>
        <v>0</v>
      </c>
      <c r="V125" s="10">
        <f t="shared" si="51"/>
        <v>0</v>
      </c>
      <c r="Y125" s="10">
        <f t="shared" si="52"/>
        <v>0</v>
      </c>
      <c r="Z125" s="10">
        <f t="shared" si="53"/>
        <v>0</v>
      </c>
      <c r="AA125" s="10">
        <f t="shared" si="53"/>
        <v>0</v>
      </c>
      <c r="AB125" s="10">
        <f t="shared" si="54"/>
        <v>-0.600823999755</v>
      </c>
      <c r="AC125" s="10">
        <f t="shared" si="54"/>
        <v>-11.934914502824579</v>
      </c>
      <c r="AD125" s="10">
        <f t="shared" si="54"/>
        <v>12.332992966090206</v>
      </c>
      <c r="AE125" s="10">
        <f t="shared" si="55"/>
        <v>-1</v>
      </c>
      <c r="AF125" s="10">
        <f t="shared" si="56"/>
        <v>0</v>
      </c>
      <c r="AG125" s="10"/>
      <c r="AH125" s="10">
        <f t="shared" si="57"/>
        <v>1</v>
      </c>
      <c r="AI125" s="10">
        <f t="shared" si="58"/>
        <v>0</v>
      </c>
      <c r="AJ125" s="10">
        <f t="shared" si="59"/>
        <v>0</v>
      </c>
      <c r="AZ125" s="10"/>
    </row>
    <row r="126" spans="2:52" x14ac:dyDescent="0.25">
      <c r="B126" s="10">
        <v>104</v>
      </c>
      <c r="C126">
        <v>-0.4710670964414021</v>
      </c>
      <c r="D126">
        <v>-0.83449094745446928</v>
      </c>
      <c r="E126">
        <v>0.90130314035462511</v>
      </c>
      <c r="H126" s="10">
        <v>1</v>
      </c>
      <c r="I126" s="10">
        <f t="shared" si="41"/>
        <v>10.138862325502981</v>
      </c>
      <c r="J126" s="10">
        <f t="shared" si="42"/>
        <v>0.3851571674051768</v>
      </c>
      <c r="K126" s="10">
        <f t="shared" si="43"/>
        <v>-1</v>
      </c>
      <c r="N126" s="10">
        <f t="shared" si="44"/>
        <v>-100</v>
      </c>
      <c r="O126" s="10">
        <f t="shared" si="45"/>
        <v>-100</v>
      </c>
      <c r="P126" s="10">
        <f t="shared" si="46"/>
        <v>10.138862325502981</v>
      </c>
      <c r="Q126" s="10">
        <f t="shared" si="47"/>
        <v>0.3851571674051768</v>
      </c>
      <c r="S126" s="10">
        <f t="shared" si="48"/>
        <v>-116.85713837409499</v>
      </c>
      <c r="T126" s="10">
        <f t="shared" si="49"/>
        <v>-1</v>
      </c>
      <c r="U126" s="10">
        <f t="shared" si="50"/>
        <v>0</v>
      </c>
      <c r="V126" s="10">
        <f t="shared" si="51"/>
        <v>0</v>
      </c>
      <c r="Y126" s="10">
        <f t="shared" si="52"/>
        <v>0</v>
      </c>
      <c r="Z126" s="10">
        <f t="shared" si="53"/>
        <v>0</v>
      </c>
      <c r="AA126" s="10">
        <f t="shared" si="53"/>
        <v>0</v>
      </c>
      <c r="AB126" s="10">
        <f t="shared" si="54"/>
        <v>-0.600823999755</v>
      </c>
      <c r="AC126" s="10">
        <f t="shared" si="54"/>
        <v>-11.934914502824579</v>
      </c>
      <c r="AD126" s="10">
        <f t="shared" si="54"/>
        <v>12.332992966090206</v>
      </c>
      <c r="AE126" s="10">
        <f t="shared" si="55"/>
        <v>-1</v>
      </c>
      <c r="AF126" s="10">
        <f t="shared" si="56"/>
        <v>0</v>
      </c>
      <c r="AG126" s="10"/>
      <c r="AH126" s="10">
        <f t="shared" si="57"/>
        <v>-1</v>
      </c>
      <c r="AI126" s="10">
        <f t="shared" si="58"/>
        <v>0</v>
      </c>
      <c r="AJ126" s="10">
        <f t="shared" si="59"/>
        <v>0</v>
      </c>
      <c r="AZ126" s="10"/>
    </row>
    <row r="127" spans="2:52" x14ac:dyDescent="0.25">
      <c r="B127" s="10">
        <v>105</v>
      </c>
      <c r="C127">
        <v>1.7252887118957005</v>
      </c>
      <c r="D127">
        <v>0.301672571367817</v>
      </c>
      <c r="E127">
        <v>0.94647053437910089</v>
      </c>
      <c r="H127" s="10">
        <v>1</v>
      </c>
      <c r="I127" s="10">
        <f t="shared" si="41"/>
        <v>14.118068922442955</v>
      </c>
      <c r="J127" s="10">
        <f t="shared" si="42"/>
        <v>2.443580193464475</v>
      </c>
      <c r="K127" s="10">
        <f t="shared" si="43"/>
        <v>-1</v>
      </c>
      <c r="N127" s="10">
        <f t="shared" si="44"/>
        <v>-100</v>
      </c>
      <c r="O127" s="10">
        <f t="shared" si="45"/>
        <v>-100</v>
      </c>
      <c r="P127" s="10">
        <f t="shared" si="46"/>
        <v>14.118068922442955</v>
      </c>
      <c r="Q127" s="10">
        <f t="shared" si="47"/>
        <v>2.443580193464475</v>
      </c>
      <c r="S127" s="10">
        <f t="shared" si="48"/>
        <v>-138.96211219602168</v>
      </c>
      <c r="T127" s="10">
        <f t="shared" si="49"/>
        <v>-1</v>
      </c>
      <c r="U127" s="10">
        <f t="shared" si="50"/>
        <v>0</v>
      </c>
      <c r="V127" s="10">
        <f t="shared" si="51"/>
        <v>0</v>
      </c>
      <c r="Y127" s="10">
        <f t="shared" si="52"/>
        <v>0</v>
      </c>
      <c r="Z127" s="10">
        <f t="shared" si="53"/>
        <v>0</v>
      </c>
      <c r="AA127" s="10">
        <f t="shared" si="53"/>
        <v>0</v>
      </c>
      <c r="AB127" s="10">
        <f t="shared" si="54"/>
        <v>-0.600823999755</v>
      </c>
      <c r="AC127" s="10">
        <f t="shared" si="54"/>
        <v>-11.934914502824579</v>
      </c>
      <c r="AD127" s="10">
        <f t="shared" si="54"/>
        <v>12.332992966090206</v>
      </c>
      <c r="AE127" s="10">
        <f t="shared" si="55"/>
        <v>-1</v>
      </c>
      <c r="AF127" s="10">
        <f t="shared" si="56"/>
        <v>0</v>
      </c>
      <c r="AG127" s="10"/>
      <c r="AH127" s="10">
        <f t="shared" si="57"/>
        <v>-1</v>
      </c>
      <c r="AI127" s="10">
        <f t="shared" si="58"/>
        <v>0</v>
      </c>
      <c r="AJ127" s="10">
        <f t="shared" si="59"/>
        <v>0</v>
      </c>
      <c r="AZ127" s="10"/>
    </row>
    <row r="128" spans="2:52" x14ac:dyDescent="0.25">
      <c r="B128" s="10">
        <v>106</v>
      </c>
      <c r="C128">
        <v>1.4043234841665253</v>
      </c>
      <c r="D128">
        <v>-9.7497832030057907E-2</v>
      </c>
      <c r="E128">
        <v>0.52845851008636735</v>
      </c>
      <c r="H128" s="10">
        <v>1</v>
      </c>
      <c r="I128" s="10">
        <f t="shared" si="41"/>
        <v>8.2320272551207765</v>
      </c>
      <c r="J128" s="10">
        <f t="shared" si="42"/>
        <v>14.858830528053593</v>
      </c>
      <c r="K128" s="10">
        <f t="shared" si="43"/>
        <v>1</v>
      </c>
      <c r="N128" s="10">
        <f t="shared" si="44"/>
        <v>8.2320272551207765</v>
      </c>
      <c r="O128" s="10">
        <f t="shared" si="45"/>
        <v>14.858830528053593</v>
      </c>
      <c r="P128" s="10">
        <f t="shared" si="46"/>
        <v>-100</v>
      </c>
      <c r="Q128" s="10">
        <f t="shared" si="47"/>
        <v>-100</v>
      </c>
      <c r="S128" s="10">
        <f t="shared" si="48"/>
        <v>84.404486912268226</v>
      </c>
      <c r="T128" s="10">
        <f t="shared" si="49"/>
        <v>1</v>
      </c>
      <c r="U128" s="10">
        <f t="shared" si="50"/>
        <v>0</v>
      </c>
      <c r="V128" s="10">
        <f t="shared" si="51"/>
        <v>0</v>
      </c>
      <c r="Y128" s="10">
        <f t="shared" si="52"/>
        <v>0</v>
      </c>
      <c r="Z128" s="10">
        <f t="shared" si="53"/>
        <v>0</v>
      </c>
      <c r="AA128" s="10">
        <f t="shared" si="53"/>
        <v>0</v>
      </c>
      <c r="AB128" s="10">
        <f t="shared" si="54"/>
        <v>-0.600823999755</v>
      </c>
      <c r="AC128" s="10">
        <f t="shared" si="54"/>
        <v>-11.934914502824579</v>
      </c>
      <c r="AD128" s="10">
        <f t="shared" si="54"/>
        <v>12.332992966090206</v>
      </c>
      <c r="AE128" s="10">
        <f t="shared" si="55"/>
        <v>1</v>
      </c>
      <c r="AF128" s="10">
        <f t="shared" si="56"/>
        <v>0</v>
      </c>
      <c r="AG128" s="10"/>
      <c r="AH128" s="10">
        <f t="shared" si="57"/>
        <v>-1</v>
      </c>
      <c r="AI128" s="10">
        <f t="shared" si="58"/>
        <v>0</v>
      </c>
      <c r="AJ128" s="10">
        <f t="shared" si="59"/>
        <v>0</v>
      </c>
      <c r="AZ128" s="10"/>
    </row>
    <row r="129" spans="2:52" x14ac:dyDescent="0.25">
      <c r="B129" s="10">
        <v>107</v>
      </c>
      <c r="C129">
        <v>-1.2138661986682564</v>
      </c>
      <c r="D129">
        <v>-3.1583476811647415</v>
      </c>
      <c r="E129">
        <v>0.15485091708120977</v>
      </c>
      <c r="H129" s="10">
        <v>1</v>
      </c>
      <c r="I129" s="10">
        <f t="shared" si="41"/>
        <v>4.4574777868315758</v>
      </c>
      <c r="J129" s="10">
        <f t="shared" si="42"/>
        <v>10.446113891703812</v>
      </c>
      <c r="K129" s="10">
        <f t="shared" si="43"/>
        <v>1</v>
      </c>
      <c r="N129" s="10">
        <f t="shared" si="44"/>
        <v>4.4574777868315758</v>
      </c>
      <c r="O129" s="10">
        <f t="shared" si="45"/>
        <v>10.446113891703812</v>
      </c>
      <c r="P129" s="10">
        <f t="shared" si="46"/>
        <v>-100</v>
      </c>
      <c r="Q129" s="10">
        <f t="shared" si="47"/>
        <v>-100</v>
      </c>
      <c r="S129" s="10">
        <f t="shared" si="48"/>
        <v>75.031408865530722</v>
      </c>
      <c r="T129" s="10">
        <f t="shared" si="49"/>
        <v>1</v>
      </c>
      <c r="U129" s="10">
        <f t="shared" si="50"/>
        <v>0</v>
      </c>
      <c r="V129" s="10">
        <f t="shared" si="51"/>
        <v>0</v>
      </c>
      <c r="Y129" s="10">
        <f t="shared" si="52"/>
        <v>0</v>
      </c>
      <c r="Z129" s="10">
        <f t="shared" si="53"/>
        <v>0</v>
      </c>
      <c r="AA129" s="10">
        <f t="shared" si="53"/>
        <v>0</v>
      </c>
      <c r="AB129" s="10">
        <f t="shared" si="54"/>
        <v>-0.600823999755</v>
      </c>
      <c r="AC129" s="10">
        <f t="shared" si="54"/>
        <v>-11.934914502824579</v>
      </c>
      <c r="AD129" s="10">
        <f t="shared" si="54"/>
        <v>12.332992966090206</v>
      </c>
      <c r="AE129" s="10">
        <f t="shared" si="55"/>
        <v>1</v>
      </c>
      <c r="AF129" s="10">
        <f t="shared" si="56"/>
        <v>0</v>
      </c>
      <c r="AG129" s="10"/>
      <c r="AH129" s="10">
        <f t="shared" si="57"/>
        <v>-1</v>
      </c>
      <c r="AI129" s="10">
        <f t="shared" si="58"/>
        <v>0</v>
      </c>
      <c r="AJ129" s="10">
        <f t="shared" si="59"/>
        <v>0</v>
      </c>
      <c r="AZ129" s="10"/>
    </row>
    <row r="130" spans="2:52" x14ac:dyDescent="0.25">
      <c r="B130" s="10">
        <v>108</v>
      </c>
      <c r="C130">
        <v>-0.50536868911876809</v>
      </c>
      <c r="D130">
        <v>-4.1894736568792723E-2</v>
      </c>
      <c r="E130">
        <v>8.3712271492660292E-2</v>
      </c>
      <c r="H130" s="10">
        <v>1</v>
      </c>
      <c r="I130" s="10">
        <f t="shared" si="41"/>
        <v>5.4788930477223587</v>
      </c>
      <c r="J130" s="10">
        <f t="shared" si="42"/>
        <v>14.938991501792254</v>
      </c>
      <c r="K130" s="10">
        <f t="shared" si="43"/>
        <v>1</v>
      </c>
      <c r="N130" s="10">
        <f t="shared" si="44"/>
        <v>5.4788930477223587</v>
      </c>
      <c r="O130" s="10">
        <f t="shared" si="45"/>
        <v>14.938991501792254</v>
      </c>
      <c r="P130" s="10">
        <f t="shared" si="46"/>
        <v>-100</v>
      </c>
      <c r="Q130" s="10">
        <f t="shared" si="47"/>
        <v>-100</v>
      </c>
      <c r="S130" s="10">
        <f t="shared" si="48"/>
        <v>118.25153301764389</v>
      </c>
      <c r="T130" s="10">
        <f t="shared" si="49"/>
        <v>1</v>
      </c>
      <c r="U130" s="10">
        <f t="shared" si="50"/>
        <v>0</v>
      </c>
      <c r="V130" s="10">
        <f t="shared" si="51"/>
        <v>0</v>
      </c>
      <c r="Y130" s="10">
        <f t="shared" si="52"/>
        <v>0</v>
      </c>
      <c r="Z130" s="10">
        <f t="shared" si="53"/>
        <v>0</v>
      </c>
      <c r="AA130" s="10">
        <f t="shared" si="53"/>
        <v>0</v>
      </c>
      <c r="AB130" s="10">
        <f t="shared" si="54"/>
        <v>-0.600823999755</v>
      </c>
      <c r="AC130" s="10">
        <f t="shared" si="54"/>
        <v>-11.934914502824579</v>
      </c>
      <c r="AD130" s="10">
        <f t="shared" si="54"/>
        <v>12.332992966090206</v>
      </c>
      <c r="AE130" s="10">
        <f t="shared" si="55"/>
        <v>1</v>
      </c>
      <c r="AF130" s="10">
        <f t="shared" si="56"/>
        <v>0</v>
      </c>
      <c r="AG130" s="10"/>
      <c r="AH130" s="10">
        <f t="shared" si="57"/>
        <v>1</v>
      </c>
      <c r="AI130" s="10">
        <f t="shared" si="58"/>
        <v>0</v>
      </c>
      <c r="AJ130" s="10">
        <f t="shared" si="59"/>
        <v>0</v>
      </c>
      <c r="AZ130" s="10"/>
    </row>
    <row r="131" spans="2:52" x14ac:dyDescent="0.25">
      <c r="B131" s="10">
        <v>109</v>
      </c>
      <c r="C131">
        <v>-1.0412941264803521</v>
      </c>
      <c r="D131">
        <v>0.33571950552868657</v>
      </c>
      <c r="E131">
        <v>0.59703360087893309</v>
      </c>
      <c r="H131" s="10">
        <v>1</v>
      </c>
      <c r="I131" s="10">
        <f t="shared" si="41"/>
        <v>4.7062687081269159</v>
      </c>
      <c r="J131" s="10">
        <f t="shared" si="42"/>
        <v>15.483384311095604</v>
      </c>
      <c r="K131" s="10">
        <f t="shared" si="43"/>
        <v>1</v>
      </c>
      <c r="N131" s="10">
        <f t="shared" si="44"/>
        <v>4.7062687081269159</v>
      </c>
      <c r="O131" s="10">
        <f t="shared" si="45"/>
        <v>15.483384311095604</v>
      </c>
      <c r="P131" s="10">
        <f t="shared" si="46"/>
        <v>-100</v>
      </c>
      <c r="Q131" s="10">
        <f t="shared" si="47"/>
        <v>-100</v>
      </c>
      <c r="S131" s="10">
        <f t="shared" si="48"/>
        <v>134.18673114144511</v>
      </c>
      <c r="T131" s="10">
        <f t="shared" si="49"/>
        <v>1</v>
      </c>
      <c r="U131" s="10">
        <f t="shared" si="50"/>
        <v>0</v>
      </c>
      <c r="V131" s="10">
        <f t="shared" si="51"/>
        <v>0</v>
      </c>
      <c r="Y131" s="10">
        <f t="shared" si="52"/>
        <v>0</v>
      </c>
      <c r="Z131" s="10">
        <f t="shared" si="53"/>
        <v>0</v>
      </c>
      <c r="AA131" s="10">
        <f t="shared" si="53"/>
        <v>0</v>
      </c>
      <c r="AB131" s="10">
        <f t="shared" si="54"/>
        <v>-0.600823999755</v>
      </c>
      <c r="AC131" s="10">
        <f t="shared" si="54"/>
        <v>-11.934914502824579</v>
      </c>
      <c r="AD131" s="10">
        <f t="shared" si="54"/>
        <v>12.332992966090206</v>
      </c>
      <c r="AE131" s="10">
        <f t="shared" si="55"/>
        <v>1</v>
      </c>
      <c r="AF131" s="10">
        <f t="shared" si="56"/>
        <v>0</v>
      </c>
      <c r="AG131" s="10"/>
      <c r="AH131" s="10">
        <f t="shared" si="57"/>
        <v>1</v>
      </c>
      <c r="AI131" s="10">
        <f t="shared" si="58"/>
        <v>0</v>
      </c>
      <c r="AJ131" s="10">
        <f t="shared" si="59"/>
        <v>0</v>
      </c>
      <c r="AZ131" s="10"/>
    </row>
    <row r="132" spans="2:52" x14ac:dyDescent="0.25">
      <c r="B132" s="10">
        <v>110</v>
      </c>
      <c r="C132">
        <v>-1.6635885913274251</v>
      </c>
      <c r="D132">
        <v>0.83600980360643007</v>
      </c>
      <c r="E132">
        <v>0.48512222663045135</v>
      </c>
      <c r="H132" s="10">
        <v>1</v>
      </c>
      <c r="I132" s="10">
        <f t="shared" si="41"/>
        <v>3.8091292621931756</v>
      </c>
      <c r="J132" s="10">
        <f t="shared" si="42"/>
        <v>16.20463475791388</v>
      </c>
      <c r="K132" s="10">
        <f t="shared" si="43"/>
        <v>1</v>
      </c>
      <c r="N132" s="10">
        <f t="shared" si="44"/>
        <v>3.8091292621931756</v>
      </c>
      <c r="O132" s="10">
        <f t="shared" si="45"/>
        <v>16.20463475791388</v>
      </c>
      <c r="P132" s="10">
        <f t="shared" si="46"/>
        <v>-100</v>
      </c>
      <c r="Q132" s="10">
        <f t="shared" si="47"/>
        <v>-100</v>
      </c>
      <c r="S132" s="10">
        <f t="shared" si="48"/>
        <v>153.78919041317494</v>
      </c>
      <c r="T132" s="10">
        <f t="shared" si="49"/>
        <v>1</v>
      </c>
      <c r="U132" s="10">
        <f t="shared" si="50"/>
        <v>0</v>
      </c>
      <c r="V132" s="10">
        <f t="shared" si="51"/>
        <v>0</v>
      </c>
      <c r="Y132" s="10">
        <f t="shared" si="52"/>
        <v>0</v>
      </c>
      <c r="Z132" s="10">
        <f t="shared" si="53"/>
        <v>0</v>
      </c>
      <c r="AA132" s="10">
        <f t="shared" si="53"/>
        <v>0</v>
      </c>
      <c r="AB132" s="10">
        <f t="shared" si="54"/>
        <v>-0.600823999755</v>
      </c>
      <c r="AC132" s="10">
        <f t="shared" si="54"/>
        <v>-11.934914502824579</v>
      </c>
      <c r="AD132" s="10">
        <f t="shared" si="54"/>
        <v>12.332992966090206</v>
      </c>
      <c r="AE132" s="10">
        <f t="shared" si="55"/>
        <v>1</v>
      </c>
      <c r="AF132" s="10">
        <f t="shared" si="56"/>
        <v>0</v>
      </c>
      <c r="AG132" s="10"/>
      <c r="AH132" s="10">
        <f t="shared" si="57"/>
        <v>1</v>
      </c>
      <c r="AI132" s="10">
        <f t="shared" si="58"/>
        <v>0</v>
      </c>
      <c r="AJ132" s="10">
        <f t="shared" si="59"/>
        <v>0</v>
      </c>
      <c r="AZ132" s="10"/>
    </row>
    <row r="133" spans="2:52" x14ac:dyDescent="0.25">
      <c r="B133" s="10">
        <v>111</v>
      </c>
      <c r="C133">
        <v>-0.62244907894637436</v>
      </c>
      <c r="D133">
        <v>-1.718553903629072</v>
      </c>
      <c r="E133">
        <v>5.3773613696707051E-2</v>
      </c>
      <c r="H133" s="10">
        <v>1</v>
      </c>
      <c r="I133" s="10">
        <f t="shared" si="41"/>
        <v>5.3101024799234668</v>
      </c>
      <c r="J133" s="10">
        <f t="shared" si="42"/>
        <v>12.521812559784731</v>
      </c>
      <c r="K133" s="10">
        <f t="shared" si="43"/>
        <v>1</v>
      </c>
      <c r="N133" s="10">
        <f t="shared" si="44"/>
        <v>5.3101024799234668</v>
      </c>
      <c r="O133" s="10">
        <f t="shared" si="45"/>
        <v>12.521812559784731</v>
      </c>
      <c r="P133" s="10">
        <f t="shared" si="46"/>
        <v>-100</v>
      </c>
      <c r="Q133" s="10">
        <f t="shared" si="47"/>
        <v>-100</v>
      </c>
      <c r="S133" s="10">
        <f t="shared" si="48"/>
        <v>90.454983123646741</v>
      </c>
      <c r="T133" s="10">
        <f t="shared" si="49"/>
        <v>1</v>
      </c>
      <c r="U133" s="10">
        <f t="shared" si="50"/>
        <v>0</v>
      </c>
      <c r="V133" s="10">
        <f t="shared" si="51"/>
        <v>0</v>
      </c>
      <c r="Y133" s="10">
        <f t="shared" si="52"/>
        <v>0</v>
      </c>
      <c r="Z133" s="10">
        <f t="shared" si="53"/>
        <v>0</v>
      </c>
      <c r="AA133" s="10">
        <f t="shared" si="53"/>
        <v>0</v>
      </c>
      <c r="AB133" s="10">
        <f t="shared" si="54"/>
        <v>-0.600823999755</v>
      </c>
      <c r="AC133" s="10">
        <f t="shared" si="54"/>
        <v>-11.934914502824579</v>
      </c>
      <c r="AD133" s="10">
        <f t="shared" si="54"/>
        <v>12.332992966090206</v>
      </c>
      <c r="AE133" s="10">
        <f t="shared" si="55"/>
        <v>1</v>
      </c>
      <c r="AF133" s="10">
        <f t="shared" si="56"/>
        <v>0</v>
      </c>
      <c r="AG133" s="10"/>
      <c r="AH133" s="10">
        <f t="shared" si="57"/>
        <v>1</v>
      </c>
      <c r="AI133" s="10">
        <f t="shared" si="58"/>
        <v>0</v>
      </c>
      <c r="AJ133" s="10">
        <f t="shared" si="59"/>
        <v>0</v>
      </c>
      <c r="AZ133" s="10"/>
    </row>
    <row r="134" spans="2:52" x14ac:dyDescent="0.25">
      <c r="B134" s="10">
        <v>112</v>
      </c>
      <c r="C134">
        <v>0.39327915146714076</v>
      </c>
      <c r="D134">
        <v>-1.5343539416790009</v>
      </c>
      <c r="E134">
        <v>0.597827082125309</v>
      </c>
      <c r="H134" s="10">
        <v>1</v>
      </c>
      <c r="I134" s="10">
        <f t="shared" si="41"/>
        <v>6.774441170572719</v>
      </c>
      <c r="J134" s="10">
        <f t="shared" si="42"/>
        <v>12.787366989624491</v>
      </c>
      <c r="K134" s="10">
        <f t="shared" si="43"/>
        <v>1</v>
      </c>
      <c r="N134" s="10">
        <f t="shared" si="44"/>
        <v>6.774441170572719</v>
      </c>
      <c r="O134" s="10">
        <f t="shared" si="45"/>
        <v>12.787366989624491</v>
      </c>
      <c r="P134" s="10">
        <f t="shared" si="46"/>
        <v>-100</v>
      </c>
      <c r="Q134" s="10">
        <f t="shared" si="47"/>
        <v>-100</v>
      </c>
      <c r="S134" s="10">
        <f t="shared" si="48"/>
        <v>76.253306962897696</v>
      </c>
      <c r="T134" s="10">
        <f t="shared" si="49"/>
        <v>1</v>
      </c>
      <c r="U134" s="10">
        <f t="shared" si="50"/>
        <v>0</v>
      </c>
      <c r="V134" s="10">
        <f t="shared" si="51"/>
        <v>0</v>
      </c>
      <c r="Y134" s="10">
        <f t="shared" si="52"/>
        <v>0</v>
      </c>
      <c r="Z134" s="10">
        <f t="shared" si="53"/>
        <v>0</v>
      </c>
      <c r="AA134" s="10">
        <f t="shared" si="53"/>
        <v>0</v>
      </c>
      <c r="AB134" s="10">
        <f t="shared" si="54"/>
        <v>-0.600823999755</v>
      </c>
      <c r="AC134" s="10">
        <f t="shared" si="54"/>
        <v>-11.934914502824579</v>
      </c>
      <c r="AD134" s="10">
        <f t="shared" si="54"/>
        <v>12.332992966090206</v>
      </c>
      <c r="AE134" s="10">
        <f t="shared" si="55"/>
        <v>1</v>
      </c>
      <c r="AF134" s="10">
        <f t="shared" si="56"/>
        <v>0</v>
      </c>
      <c r="AG134" s="10"/>
      <c r="AH134" s="10">
        <f t="shared" si="57"/>
        <v>1</v>
      </c>
      <c r="AI134" s="10">
        <f t="shared" si="58"/>
        <v>0</v>
      </c>
      <c r="AJ134" s="10">
        <f t="shared" si="59"/>
        <v>0</v>
      </c>
      <c r="AZ134" s="10"/>
    </row>
    <row r="135" spans="2:52" x14ac:dyDescent="0.25">
      <c r="B135" s="10">
        <v>113</v>
      </c>
      <c r="C135">
        <v>-0.12089344636478927</v>
      </c>
      <c r="D135">
        <v>1.3867020243196748</v>
      </c>
      <c r="E135">
        <v>0.86938077944273207</v>
      </c>
      <c r="H135" s="10">
        <v>1</v>
      </c>
      <c r="I135" s="10">
        <f t="shared" si="41"/>
        <v>10.77328289304954</v>
      </c>
      <c r="J135" s="10">
        <f t="shared" si="42"/>
        <v>4.4093620311208683</v>
      </c>
      <c r="K135" s="10">
        <f t="shared" si="43"/>
        <v>-1</v>
      </c>
      <c r="N135" s="10">
        <f t="shared" si="44"/>
        <v>-100</v>
      </c>
      <c r="O135" s="10">
        <f t="shared" si="45"/>
        <v>-100</v>
      </c>
      <c r="P135" s="10">
        <f t="shared" si="46"/>
        <v>10.77328289304954</v>
      </c>
      <c r="Q135" s="10">
        <f t="shared" si="47"/>
        <v>4.4093620311208683</v>
      </c>
      <c r="S135" s="10">
        <f t="shared" si="48"/>
        <v>-74.798403328285005</v>
      </c>
      <c r="T135" s="10">
        <f t="shared" si="49"/>
        <v>-1</v>
      </c>
      <c r="U135" s="10">
        <f t="shared" si="50"/>
        <v>0</v>
      </c>
      <c r="V135" s="10">
        <f t="shared" si="51"/>
        <v>0</v>
      </c>
      <c r="Y135" s="10">
        <f t="shared" si="52"/>
        <v>0</v>
      </c>
      <c r="Z135" s="10">
        <f t="shared" si="53"/>
        <v>0</v>
      </c>
      <c r="AA135" s="10">
        <f t="shared" si="53"/>
        <v>0</v>
      </c>
      <c r="AB135" s="10">
        <f t="shared" si="54"/>
        <v>-0.600823999755</v>
      </c>
      <c r="AC135" s="10">
        <f t="shared" si="54"/>
        <v>-11.934914502824579</v>
      </c>
      <c r="AD135" s="10">
        <f t="shared" si="54"/>
        <v>12.332992966090206</v>
      </c>
      <c r="AE135" s="10">
        <f t="shared" si="55"/>
        <v>-1</v>
      </c>
      <c r="AF135" s="10">
        <f t="shared" si="56"/>
        <v>0</v>
      </c>
      <c r="AG135" s="10"/>
      <c r="AH135" s="10">
        <f t="shared" si="57"/>
        <v>1</v>
      </c>
      <c r="AI135" s="10">
        <f t="shared" si="58"/>
        <v>0</v>
      </c>
      <c r="AJ135" s="10">
        <f t="shared" si="59"/>
        <v>0</v>
      </c>
      <c r="AZ135" s="10"/>
    </row>
    <row r="136" spans="2:52" x14ac:dyDescent="0.25">
      <c r="B136" s="10">
        <v>114</v>
      </c>
      <c r="C136">
        <v>0.40471149986842647</v>
      </c>
      <c r="D136">
        <v>-0.20213860807416495</v>
      </c>
      <c r="E136">
        <v>0.88225959044160285</v>
      </c>
      <c r="H136" s="10">
        <v>1</v>
      </c>
      <c r="I136" s="10">
        <f t="shared" si="41"/>
        <v>11.725537833481525</v>
      </c>
      <c r="J136" s="10">
        <f t="shared" si="42"/>
        <v>1.5308097028009031</v>
      </c>
      <c r="K136" s="10">
        <f t="shared" si="43"/>
        <v>-1</v>
      </c>
      <c r="N136" s="10">
        <f t="shared" si="44"/>
        <v>-100</v>
      </c>
      <c r="O136" s="10">
        <f t="shared" si="45"/>
        <v>-100</v>
      </c>
      <c r="P136" s="10">
        <f t="shared" si="46"/>
        <v>11.725537833481525</v>
      </c>
      <c r="Q136" s="10">
        <f t="shared" si="47"/>
        <v>1.5308097028009031</v>
      </c>
      <c r="S136" s="10">
        <f t="shared" si="48"/>
        <v>-121.66465024492577</v>
      </c>
      <c r="T136" s="10">
        <f t="shared" si="49"/>
        <v>-1</v>
      </c>
      <c r="U136" s="10">
        <f t="shared" si="50"/>
        <v>0</v>
      </c>
      <c r="V136" s="10">
        <f t="shared" si="51"/>
        <v>0</v>
      </c>
      <c r="Y136" s="10">
        <f t="shared" si="52"/>
        <v>0</v>
      </c>
      <c r="Z136" s="10">
        <f t="shared" si="53"/>
        <v>0</v>
      </c>
      <c r="AA136" s="10">
        <f t="shared" si="53"/>
        <v>0</v>
      </c>
      <c r="AB136" s="10">
        <f t="shared" si="54"/>
        <v>-0.600823999755</v>
      </c>
      <c r="AC136" s="10">
        <f t="shared" si="54"/>
        <v>-11.934914502824579</v>
      </c>
      <c r="AD136" s="10">
        <f t="shared" si="54"/>
        <v>12.332992966090206</v>
      </c>
      <c r="AE136" s="10">
        <f t="shared" si="55"/>
        <v>-1</v>
      </c>
      <c r="AF136" s="10">
        <f t="shared" si="56"/>
        <v>0</v>
      </c>
      <c r="AG136" s="10"/>
      <c r="AH136" s="10">
        <f t="shared" si="57"/>
        <v>1</v>
      </c>
      <c r="AI136" s="10">
        <f t="shared" si="58"/>
        <v>0</v>
      </c>
      <c r="AJ136" s="10">
        <f t="shared" si="59"/>
        <v>0</v>
      </c>
      <c r="AZ136" s="10"/>
    </row>
    <row r="137" spans="2:52" x14ac:dyDescent="0.25">
      <c r="B137" s="10">
        <v>115</v>
      </c>
      <c r="C137">
        <v>3.385707714187447E-2</v>
      </c>
      <c r="D137">
        <v>0.248910509981215</v>
      </c>
      <c r="E137">
        <v>0.24546037171544541</v>
      </c>
      <c r="H137" s="10">
        <v>1</v>
      </c>
      <c r="I137" s="10">
        <f t="shared" si="41"/>
        <v>6.2562753522478411</v>
      </c>
      <c r="J137" s="10">
        <f t="shared" si="42"/>
        <v>15.35823491869877</v>
      </c>
      <c r="K137" s="10">
        <f t="shared" si="43"/>
        <v>1</v>
      </c>
      <c r="N137" s="10">
        <f t="shared" si="44"/>
        <v>6.2562753522478411</v>
      </c>
      <c r="O137" s="10">
        <f t="shared" si="45"/>
        <v>15.35823491869877</v>
      </c>
      <c r="P137" s="10">
        <f t="shared" si="46"/>
        <v>-100</v>
      </c>
      <c r="Q137" s="10">
        <f t="shared" si="47"/>
        <v>-100</v>
      </c>
      <c r="S137" s="10">
        <f t="shared" si="48"/>
        <v>114.14406778891122</v>
      </c>
      <c r="T137" s="10">
        <f t="shared" si="49"/>
        <v>1</v>
      </c>
      <c r="U137" s="10">
        <f t="shared" si="50"/>
        <v>0</v>
      </c>
      <c r="V137" s="10">
        <f t="shared" si="51"/>
        <v>0</v>
      </c>
      <c r="Y137" s="10">
        <f t="shared" si="52"/>
        <v>0</v>
      </c>
      <c r="Z137" s="10">
        <f t="shared" si="53"/>
        <v>0</v>
      </c>
      <c r="AA137" s="10">
        <f t="shared" si="53"/>
        <v>0</v>
      </c>
      <c r="AB137" s="10">
        <f t="shared" si="54"/>
        <v>-0.600823999755</v>
      </c>
      <c r="AC137" s="10">
        <f t="shared" si="54"/>
        <v>-11.934914502824579</v>
      </c>
      <c r="AD137" s="10">
        <f t="shared" si="54"/>
        <v>12.332992966090206</v>
      </c>
      <c r="AE137" s="10">
        <f t="shared" si="55"/>
        <v>1</v>
      </c>
      <c r="AF137" s="10">
        <f t="shared" si="56"/>
        <v>0</v>
      </c>
      <c r="AG137" s="10"/>
      <c r="AH137" s="10">
        <f t="shared" si="57"/>
        <v>-1</v>
      </c>
      <c r="AI137" s="10">
        <f t="shared" si="58"/>
        <v>0</v>
      </c>
      <c r="AJ137" s="10">
        <f t="shared" si="59"/>
        <v>0</v>
      </c>
      <c r="AZ137" s="10"/>
    </row>
    <row r="138" spans="2:52" x14ac:dyDescent="0.25">
      <c r="B138" s="10">
        <v>116</v>
      </c>
      <c r="C138">
        <v>-0.79430947153014131</v>
      </c>
      <c r="D138">
        <v>-0.35806124287773855</v>
      </c>
      <c r="E138">
        <v>0.79735709707937863</v>
      </c>
      <c r="H138" s="10">
        <v>1</v>
      </c>
      <c r="I138" s="10">
        <f t="shared" si="41"/>
        <v>9.5532339922059748</v>
      </c>
      <c r="J138" s="10">
        <f t="shared" si="42"/>
        <v>1.2483197826033217</v>
      </c>
      <c r="K138" s="10">
        <f t="shared" si="43"/>
        <v>-1</v>
      </c>
      <c r="N138" s="10">
        <f t="shared" si="44"/>
        <v>-100</v>
      </c>
      <c r="O138" s="10">
        <f t="shared" si="45"/>
        <v>-100</v>
      </c>
      <c r="P138" s="10">
        <f t="shared" si="46"/>
        <v>9.5532339922059748</v>
      </c>
      <c r="Q138" s="10">
        <f t="shared" si="47"/>
        <v>1.2483197826033217</v>
      </c>
      <c r="S138" s="10">
        <f t="shared" si="48"/>
        <v>-99.222335823932823</v>
      </c>
      <c r="T138" s="10">
        <f t="shared" si="49"/>
        <v>-1</v>
      </c>
      <c r="U138" s="10">
        <f t="shared" si="50"/>
        <v>0</v>
      </c>
      <c r="V138" s="10">
        <f t="shared" si="51"/>
        <v>0</v>
      </c>
      <c r="Y138" s="10">
        <f t="shared" si="52"/>
        <v>0</v>
      </c>
      <c r="Z138" s="10">
        <f t="shared" si="53"/>
        <v>0</v>
      </c>
      <c r="AA138" s="10">
        <f t="shared" si="53"/>
        <v>0</v>
      </c>
      <c r="AB138" s="10">
        <f t="shared" si="54"/>
        <v>-0.600823999755</v>
      </c>
      <c r="AC138" s="10">
        <f t="shared" si="54"/>
        <v>-11.934914502824579</v>
      </c>
      <c r="AD138" s="10">
        <f t="shared" si="54"/>
        <v>12.332992966090206</v>
      </c>
      <c r="AE138" s="10">
        <f t="shared" si="55"/>
        <v>-1</v>
      </c>
      <c r="AF138" s="10">
        <f t="shared" si="56"/>
        <v>0</v>
      </c>
      <c r="AG138" s="10"/>
      <c r="AH138" s="10">
        <f t="shared" si="57"/>
        <v>-1</v>
      </c>
      <c r="AI138" s="10">
        <f t="shared" si="58"/>
        <v>0</v>
      </c>
      <c r="AJ138" s="10">
        <f t="shared" si="59"/>
        <v>0</v>
      </c>
      <c r="AZ138" s="10"/>
    </row>
    <row r="139" spans="2:52" x14ac:dyDescent="0.25">
      <c r="B139" s="10">
        <v>117</v>
      </c>
      <c r="C139">
        <v>0.35863195080310106</v>
      </c>
      <c r="D139">
        <v>-1.6396552382502705</v>
      </c>
      <c r="E139">
        <v>0.17548142948698386</v>
      </c>
      <c r="H139" s="10">
        <v>1</v>
      </c>
      <c r="I139" s="10">
        <f t="shared" si="41"/>
        <v>6.7244915532086456</v>
      </c>
      <c r="J139" s="10">
        <f t="shared" si="42"/>
        <v>12.635557914984449</v>
      </c>
      <c r="K139" s="10">
        <f t="shared" si="43"/>
        <v>1</v>
      </c>
      <c r="N139" s="10">
        <f t="shared" si="44"/>
        <v>6.7244915532086456</v>
      </c>
      <c r="O139" s="10">
        <f t="shared" si="45"/>
        <v>12.635557914984449</v>
      </c>
      <c r="P139" s="10">
        <f t="shared" si="46"/>
        <v>-100</v>
      </c>
      <c r="Q139" s="10">
        <f t="shared" si="47"/>
        <v>-100</v>
      </c>
      <c r="S139" s="10">
        <f t="shared" si="48"/>
        <v>74.97719112586239</v>
      </c>
      <c r="T139" s="10">
        <f t="shared" si="49"/>
        <v>1</v>
      </c>
      <c r="U139" s="10">
        <f t="shared" si="50"/>
        <v>0</v>
      </c>
      <c r="V139" s="10">
        <f t="shared" si="51"/>
        <v>0</v>
      </c>
      <c r="Y139" s="10">
        <f t="shared" si="52"/>
        <v>0</v>
      </c>
      <c r="Z139" s="10">
        <f t="shared" si="53"/>
        <v>0</v>
      </c>
      <c r="AA139" s="10">
        <f t="shared" si="53"/>
        <v>0</v>
      </c>
      <c r="AB139" s="10">
        <f t="shared" si="54"/>
        <v>-0.600823999755</v>
      </c>
      <c r="AC139" s="10">
        <f t="shared" si="54"/>
        <v>-11.934914502824579</v>
      </c>
      <c r="AD139" s="10">
        <f t="shared" si="54"/>
        <v>12.332992966090206</v>
      </c>
      <c r="AE139" s="10">
        <f t="shared" si="55"/>
        <v>1</v>
      </c>
      <c r="AF139" s="10">
        <f t="shared" si="56"/>
        <v>0</v>
      </c>
      <c r="AG139" s="10"/>
      <c r="AH139" s="10">
        <f t="shared" si="57"/>
        <v>1</v>
      </c>
      <c r="AI139" s="10">
        <f t="shared" si="58"/>
        <v>0</v>
      </c>
      <c r="AJ139" s="10">
        <f t="shared" si="59"/>
        <v>0</v>
      </c>
      <c r="AZ139" s="10"/>
    </row>
    <row r="140" spans="2:52" x14ac:dyDescent="0.25">
      <c r="B140" s="10">
        <v>118</v>
      </c>
      <c r="C140">
        <v>-0.41444536691415124</v>
      </c>
      <c r="D140">
        <v>0.25230519895558245</v>
      </c>
      <c r="E140">
        <v>0.56422620319223604</v>
      </c>
      <c r="H140" s="10">
        <v>1</v>
      </c>
      <c r="I140" s="10">
        <f t="shared" si="41"/>
        <v>5.6099739162066236</v>
      </c>
      <c r="J140" s="10">
        <f t="shared" si="42"/>
        <v>15.363128919140072</v>
      </c>
      <c r="K140" s="10">
        <f t="shared" si="43"/>
        <v>1</v>
      </c>
      <c r="N140" s="10">
        <f t="shared" si="44"/>
        <v>5.6099739162066236</v>
      </c>
      <c r="O140" s="10">
        <f t="shared" si="45"/>
        <v>15.363128919140072</v>
      </c>
      <c r="P140" s="10">
        <f t="shared" si="46"/>
        <v>-100</v>
      </c>
      <c r="Q140" s="10">
        <f t="shared" si="47"/>
        <v>-100</v>
      </c>
      <c r="S140" s="10">
        <f t="shared" si="48"/>
        <v>121.91797784413451</v>
      </c>
      <c r="T140" s="10">
        <f t="shared" si="49"/>
        <v>1</v>
      </c>
      <c r="U140" s="10">
        <f t="shared" si="50"/>
        <v>0</v>
      </c>
      <c r="V140" s="10">
        <f t="shared" si="51"/>
        <v>0</v>
      </c>
      <c r="Y140" s="10">
        <f t="shared" si="52"/>
        <v>0</v>
      </c>
      <c r="Z140" s="10">
        <f t="shared" si="53"/>
        <v>0</v>
      </c>
      <c r="AA140" s="10">
        <f t="shared" si="53"/>
        <v>0</v>
      </c>
      <c r="AB140" s="10">
        <f t="shared" si="54"/>
        <v>-0.600823999755</v>
      </c>
      <c r="AC140" s="10">
        <f t="shared" si="54"/>
        <v>-11.934914502824579</v>
      </c>
      <c r="AD140" s="10">
        <f t="shared" si="54"/>
        <v>12.332992966090206</v>
      </c>
      <c r="AE140" s="10">
        <f t="shared" si="55"/>
        <v>1</v>
      </c>
      <c r="AF140" s="10">
        <f t="shared" si="56"/>
        <v>0</v>
      </c>
      <c r="AG140" s="10"/>
      <c r="AH140" s="10">
        <f t="shared" si="57"/>
        <v>-1</v>
      </c>
      <c r="AI140" s="10">
        <f t="shared" si="58"/>
        <v>0</v>
      </c>
      <c r="AJ140" s="10">
        <f t="shared" si="59"/>
        <v>0</v>
      </c>
      <c r="AZ140" s="10"/>
    </row>
    <row r="141" spans="2:52" x14ac:dyDescent="0.25">
      <c r="B141" s="10">
        <v>119</v>
      </c>
      <c r="C141">
        <v>1.1661904864013195</v>
      </c>
      <c r="D141">
        <v>-1.6765488908276893</v>
      </c>
      <c r="E141">
        <v>0.45509201330607013</v>
      </c>
      <c r="H141" s="10">
        <v>1</v>
      </c>
      <c r="I141" s="10">
        <f t="shared" si="41"/>
        <v>7.8887195161934853</v>
      </c>
      <c r="J141" s="10">
        <f t="shared" si="42"/>
        <v>12.582369669063105</v>
      </c>
      <c r="K141" s="10">
        <f t="shared" si="43"/>
        <v>1</v>
      </c>
      <c r="N141" s="10">
        <f t="shared" si="44"/>
        <v>7.8887195161934853</v>
      </c>
      <c r="O141" s="10">
        <f t="shared" si="45"/>
        <v>12.582369669063105</v>
      </c>
      <c r="P141" s="10">
        <f t="shared" si="46"/>
        <v>-100</v>
      </c>
      <c r="Q141" s="10">
        <f t="shared" si="47"/>
        <v>-100</v>
      </c>
      <c r="S141" s="10">
        <f t="shared" si="48"/>
        <v>60.426259663014108</v>
      </c>
      <c r="T141" s="10">
        <f t="shared" si="49"/>
        <v>1</v>
      </c>
      <c r="U141" s="10">
        <f t="shared" si="50"/>
        <v>0</v>
      </c>
      <c r="V141" s="10">
        <f t="shared" si="51"/>
        <v>0</v>
      </c>
      <c r="Y141" s="10">
        <f t="shared" si="52"/>
        <v>0</v>
      </c>
      <c r="Z141" s="10">
        <f t="shared" si="53"/>
        <v>0</v>
      </c>
      <c r="AA141" s="10">
        <f t="shared" si="53"/>
        <v>0</v>
      </c>
      <c r="AB141" s="10">
        <f t="shared" si="54"/>
        <v>-0.600823999755</v>
      </c>
      <c r="AC141" s="10">
        <f t="shared" si="54"/>
        <v>-11.934914502824579</v>
      </c>
      <c r="AD141" s="10">
        <f t="shared" si="54"/>
        <v>12.332992966090206</v>
      </c>
      <c r="AE141" s="10">
        <f t="shared" si="55"/>
        <v>1</v>
      </c>
      <c r="AF141" s="10">
        <f t="shared" si="56"/>
        <v>0</v>
      </c>
      <c r="AG141" s="10"/>
      <c r="AH141" s="10">
        <f t="shared" si="57"/>
        <v>1</v>
      </c>
      <c r="AI141" s="10">
        <f t="shared" si="58"/>
        <v>0</v>
      </c>
      <c r="AJ141" s="10">
        <f t="shared" si="59"/>
        <v>0</v>
      </c>
      <c r="AZ141" s="10"/>
    </row>
    <row r="142" spans="2:52" x14ac:dyDescent="0.25">
      <c r="B142" s="10">
        <v>120</v>
      </c>
      <c r="C142">
        <v>-5.4608335631201044E-2</v>
      </c>
      <c r="D142">
        <v>-2.0495645003393292</v>
      </c>
      <c r="E142">
        <v>0.23200170903653067</v>
      </c>
      <c r="H142" s="10">
        <v>1</v>
      </c>
      <c r="I142" s="10">
        <f t="shared" si="41"/>
        <v>6.1287379629846406</v>
      </c>
      <c r="J142" s="10">
        <f t="shared" si="42"/>
        <v>12.044606542206196</v>
      </c>
      <c r="K142" s="10">
        <f t="shared" si="43"/>
        <v>1</v>
      </c>
      <c r="N142" s="10">
        <f t="shared" si="44"/>
        <v>6.1287379629846406</v>
      </c>
      <c r="O142" s="10">
        <f t="shared" si="45"/>
        <v>12.044606542206196</v>
      </c>
      <c r="P142" s="10">
        <f t="shared" si="46"/>
        <v>-100</v>
      </c>
      <c r="Q142" s="10">
        <f t="shared" si="47"/>
        <v>-100</v>
      </c>
      <c r="S142" s="10">
        <f t="shared" si="48"/>
        <v>74.799260166161147</v>
      </c>
      <c r="T142" s="10">
        <f t="shared" si="49"/>
        <v>1</v>
      </c>
      <c r="U142" s="10">
        <f t="shared" si="50"/>
        <v>0</v>
      </c>
      <c r="V142" s="10">
        <f t="shared" si="51"/>
        <v>0</v>
      </c>
      <c r="X142" s="10">
        <f>SUM(V123:V142)</f>
        <v>0</v>
      </c>
      <c r="Y142" s="10">
        <f t="shared" si="52"/>
        <v>0</v>
      </c>
      <c r="Z142" s="10">
        <f t="shared" si="53"/>
        <v>0</v>
      </c>
      <c r="AA142" s="10">
        <f t="shared" si="53"/>
        <v>0</v>
      </c>
      <c r="AB142" s="10">
        <f t="shared" si="54"/>
        <v>-0.600823999755</v>
      </c>
      <c r="AC142" s="10">
        <f t="shared" si="54"/>
        <v>-11.934914502824579</v>
      </c>
      <c r="AD142" s="10">
        <f t="shared" si="54"/>
        <v>12.332992966090206</v>
      </c>
      <c r="AE142" s="10">
        <f t="shared" si="55"/>
        <v>1</v>
      </c>
      <c r="AF142" s="10">
        <f t="shared" si="56"/>
        <v>0</v>
      </c>
      <c r="AG142" s="10"/>
      <c r="AH142" s="10">
        <f t="shared" si="57"/>
        <v>1</v>
      </c>
      <c r="AI142" s="10">
        <f t="shared" si="58"/>
        <v>0</v>
      </c>
      <c r="AJ142" s="10">
        <f t="shared" si="59"/>
        <v>0</v>
      </c>
      <c r="AZ142" s="10"/>
    </row>
    <row r="143" spans="2:52" x14ac:dyDescent="0.25">
      <c r="B143" s="10">
        <v>121</v>
      </c>
      <c r="C143">
        <v>-0.14621036825701594</v>
      </c>
      <c r="D143">
        <v>1.1059546523028985</v>
      </c>
      <c r="E143">
        <v>0.19098483230079044</v>
      </c>
      <c r="H143" s="10">
        <v>1</v>
      </c>
      <c r="I143" s="10">
        <f t="shared" si="41"/>
        <v>5.9966786222085275</v>
      </c>
      <c r="J143" s="10">
        <f t="shared" si="42"/>
        <v>16.593804492939135</v>
      </c>
      <c r="K143" s="10">
        <f t="shared" si="43"/>
        <v>1</v>
      </c>
      <c r="N143" s="10">
        <f t="shared" si="44"/>
        <v>5.9966786222085275</v>
      </c>
      <c r="O143" s="10">
        <f t="shared" si="45"/>
        <v>16.593804492939135</v>
      </c>
      <c r="P143" s="10">
        <f t="shared" si="46"/>
        <v>-100</v>
      </c>
      <c r="Q143" s="10">
        <f t="shared" si="47"/>
        <v>-100</v>
      </c>
      <c r="S143" s="12">
        <f t="shared" si="48"/>
        <v>132.48060343536474</v>
      </c>
      <c r="T143" s="12">
        <f t="shared" si="49"/>
        <v>1</v>
      </c>
      <c r="U143" s="12">
        <f t="shared" si="50"/>
        <v>0</v>
      </c>
      <c r="V143" s="12">
        <f t="shared" si="51"/>
        <v>0</v>
      </c>
      <c r="W143" s="12"/>
      <c r="X143" s="12"/>
      <c r="Y143" s="10">
        <f t="shared" si="52"/>
        <v>0</v>
      </c>
      <c r="Z143" s="10">
        <f t="shared" si="53"/>
        <v>0</v>
      </c>
      <c r="AA143" s="10">
        <f t="shared" si="53"/>
        <v>0</v>
      </c>
      <c r="AB143" s="10">
        <f t="shared" si="54"/>
        <v>-0.600823999755</v>
      </c>
      <c r="AC143" s="10">
        <f t="shared" si="54"/>
        <v>-11.934914502824579</v>
      </c>
      <c r="AD143" s="10">
        <f t="shared" si="54"/>
        <v>12.332992966090206</v>
      </c>
      <c r="AE143" s="10">
        <f t="shared" si="55"/>
        <v>1</v>
      </c>
      <c r="AF143" s="10">
        <f t="shared" si="56"/>
        <v>0</v>
      </c>
      <c r="AG143" s="10"/>
      <c r="AH143" s="10">
        <f t="shared" si="57"/>
        <v>1</v>
      </c>
      <c r="AI143" s="10">
        <f t="shared" si="58"/>
        <v>0</v>
      </c>
      <c r="AJ143" s="10">
        <f t="shared" si="59"/>
        <v>0</v>
      </c>
      <c r="AZ143" s="10"/>
    </row>
    <row r="144" spans="2:52" x14ac:dyDescent="0.25">
      <c r="B144" s="10">
        <v>122</v>
      </c>
      <c r="C144">
        <v>8.4286284618428908E-2</v>
      </c>
      <c r="D144">
        <v>-0.85592205323337112</v>
      </c>
      <c r="E144">
        <v>3.0243842890713218E-2</v>
      </c>
      <c r="H144" s="10">
        <v>1</v>
      </c>
      <c r="I144" s="10">
        <f t="shared" si="41"/>
        <v>6.3289773186159852</v>
      </c>
      <c r="J144" s="10">
        <f t="shared" si="42"/>
        <v>13.765437730866688</v>
      </c>
      <c r="K144" s="10">
        <f t="shared" si="43"/>
        <v>1</v>
      </c>
      <c r="N144" s="10">
        <f t="shared" si="44"/>
        <v>6.3289773186159852</v>
      </c>
      <c r="O144" s="10">
        <f t="shared" si="45"/>
        <v>13.765437730866688</v>
      </c>
      <c r="P144" s="10">
        <f t="shared" si="46"/>
        <v>-100</v>
      </c>
      <c r="Q144" s="10">
        <f t="shared" si="47"/>
        <v>-100</v>
      </c>
      <c r="S144" s="10">
        <f t="shared" si="48"/>
        <v>93.63241952217885</v>
      </c>
      <c r="T144" s="10">
        <f t="shared" si="49"/>
        <v>1</v>
      </c>
      <c r="U144" s="10">
        <f t="shared" si="50"/>
        <v>0</v>
      </c>
      <c r="V144" s="10">
        <f t="shared" si="51"/>
        <v>0</v>
      </c>
      <c r="Y144" s="10">
        <f t="shared" si="52"/>
        <v>0</v>
      </c>
      <c r="Z144" s="10">
        <f t="shared" si="53"/>
        <v>0</v>
      </c>
      <c r="AA144" s="10">
        <f t="shared" si="53"/>
        <v>0</v>
      </c>
      <c r="AB144" s="10">
        <f t="shared" si="54"/>
        <v>-0.600823999755</v>
      </c>
      <c r="AC144" s="10">
        <f t="shared" si="54"/>
        <v>-11.934914502824579</v>
      </c>
      <c r="AD144" s="10">
        <f t="shared" si="54"/>
        <v>12.332992966090206</v>
      </c>
      <c r="AE144" s="10">
        <f t="shared" si="55"/>
        <v>1</v>
      </c>
      <c r="AF144" s="10">
        <f t="shared" si="56"/>
        <v>0</v>
      </c>
      <c r="AG144" s="10"/>
      <c r="AH144" s="10">
        <f t="shared" si="57"/>
        <v>1</v>
      </c>
      <c r="AI144" s="10">
        <f t="shared" si="58"/>
        <v>0</v>
      </c>
      <c r="AJ144" s="10">
        <f t="shared" si="59"/>
        <v>0</v>
      </c>
      <c r="AZ144" s="10"/>
    </row>
    <row r="145" spans="2:52" x14ac:dyDescent="0.25">
      <c r="B145" s="10">
        <v>123</v>
      </c>
      <c r="C145">
        <v>-0.64979531089193188</v>
      </c>
      <c r="D145">
        <v>-0.58427076510270126</v>
      </c>
      <c r="E145">
        <v>0.10730307931760613</v>
      </c>
      <c r="H145" s="10">
        <v>1</v>
      </c>
      <c r="I145" s="10">
        <f t="shared" si="41"/>
        <v>5.2706784053705267</v>
      </c>
      <c r="J145" s="10">
        <f t="shared" si="42"/>
        <v>14.1570675779691</v>
      </c>
      <c r="K145" s="10">
        <f t="shared" si="43"/>
        <v>1</v>
      </c>
      <c r="N145" s="10">
        <f t="shared" si="44"/>
        <v>5.2706784053705267</v>
      </c>
      <c r="O145" s="10">
        <f t="shared" si="45"/>
        <v>14.1570675779691</v>
      </c>
      <c r="P145" s="10">
        <f t="shared" si="46"/>
        <v>-100</v>
      </c>
      <c r="Q145" s="10">
        <f t="shared" si="47"/>
        <v>-100</v>
      </c>
      <c r="S145" s="10">
        <f t="shared" si="48"/>
        <v>111.09309471982058</v>
      </c>
      <c r="T145" s="10">
        <f t="shared" si="49"/>
        <v>1</v>
      </c>
      <c r="U145" s="10">
        <f t="shared" si="50"/>
        <v>0</v>
      </c>
      <c r="V145" s="10">
        <f t="shared" si="51"/>
        <v>0</v>
      </c>
      <c r="Y145" s="10">
        <f t="shared" si="52"/>
        <v>0</v>
      </c>
      <c r="Z145" s="10">
        <f t="shared" si="53"/>
        <v>0</v>
      </c>
      <c r="AA145" s="10">
        <f t="shared" si="53"/>
        <v>0</v>
      </c>
      <c r="AB145" s="10">
        <f t="shared" si="54"/>
        <v>-0.600823999755</v>
      </c>
      <c r="AC145" s="10">
        <f t="shared" si="54"/>
        <v>-11.934914502824579</v>
      </c>
      <c r="AD145" s="10">
        <f t="shared" si="54"/>
        <v>12.332992966090206</v>
      </c>
      <c r="AE145" s="10">
        <f t="shared" si="55"/>
        <v>1</v>
      </c>
      <c r="AF145" s="10">
        <f t="shared" si="56"/>
        <v>0</v>
      </c>
      <c r="AG145" s="10"/>
      <c r="AH145" s="10">
        <f t="shared" si="57"/>
        <v>1</v>
      </c>
      <c r="AI145" s="10">
        <f t="shared" si="58"/>
        <v>0</v>
      </c>
      <c r="AJ145" s="10">
        <f t="shared" si="59"/>
        <v>0</v>
      </c>
      <c r="AZ145" s="10"/>
    </row>
    <row r="146" spans="2:52" x14ac:dyDescent="0.25">
      <c r="B146" s="10">
        <v>124</v>
      </c>
      <c r="C146">
        <v>-1.9145954865962267</v>
      </c>
      <c r="D146">
        <v>9.7268184617860243E-2</v>
      </c>
      <c r="E146">
        <v>0.36048463393047886</v>
      </c>
      <c r="H146" s="10">
        <v>1</v>
      </c>
      <c r="I146" s="10">
        <f t="shared" si="41"/>
        <v>3.4472616903799818</v>
      </c>
      <c r="J146" s="10">
        <f t="shared" si="42"/>
        <v>15.139617657190561</v>
      </c>
      <c r="K146" s="10">
        <f t="shared" si="43"/>
        <v>1</v>
      </c>
      <c r="N146" s="10">
        <f t="shared" si="44"/>
        <v>3.4472616903799818</v>
      </c>
      <c r="O146" s="10">
        <f t="shared" si="45"/>
        <v>15.139617657190561</v>
      </c>
      <c r="P146" s="10">
        <f t="shared" si="46"/>
        <v>-100</v>
      </c>
      <c r="Q146" s="10">
        <f t="shared" si="47"/>
        <v>-100</v>
      </c>
      <c r="S146" s="10">
        <f t="shared" si="48"/>
        <v>144.97320053212366</v>
      </c>
      <c r="T146" s="10">
        <f t="shared" si="49"/>
        <v>1</v>
      </c>
      <c r="U146" s="10">
        <f t="shared" si="50"/>
        <v>0</v>
      </c>
      <c r="V146" s="10">
        <f t="shared" si="51"/>
        <v>0</v>
      </c>
      <c r="Y146" s="10">
        <f t="shared" si="52"/>
        <v>0</v>
      </c>
      <c r="Z146" s="10">
        <f t="shared" si="53"/>
        <v>0</v>
      </c>
      <c r="AA146" s="10">
        <f t="shared" si="53"/>
        <v>0</v>
      </c>
      <c r="AB146" s="10">
        <f t="shared" si="54"/>
        <v>-0.600823999755</v>
      </c>
      <c r="AC146" s="10">
        <f t="shared" si="54"/>
        <v>-11.934914502824579</v>
      </c>
      <c r="AD146" s="10">
        <f t="shared" si="54"/>
        <v>12.332992966090206</v>
      </c>
      <c r="AE146" s="10">
        <f t="shared" si="55"/>
        <v>1</v>
      </c>
      <c r="AF146" s="10">
        <f t="shared" si="56"/>
        <v>0</v>
      </c>
      <c r="AG146" s="10"/>
      <c r="AH146" s="10">
        <f t="shared" si="57"/>
        <v>1</v>
      </c>
      <c r="AI146" s="10">
        <f t="shared" si="58"/>
        <v>0</v>
      </c>
      <c r="AJ146" s="10">
        <f t="shared" si="59"/>
        <v>0</v>
      </c>
      <c r="AZ146" s="10"/>
    </row>
    <row r="147" spans="2:52" x14ac:dyDescent="0.25">
      <c r="B147" s="10">
        <v>125</v>
      </c>
      <c r="C147">
        <v>0.39683641261945013</v>
      </c>
      <c r="D147">
        <v>-1.1952192835451569</v>
      </c>
      <c r="E147">
        <v>0.84084597308267461</v>
      </c>
      <c r="H147" s="10">
        <v>1</v>
      </c>
      <c r="I147" s="10">
        <f t="shared" si="41"/>
        <v>11.711270291303862</v>
      </c>
      <c r="J147" s="10">
        <f t="shared" si="42"/>
        <v>-0.26838565531352421</v>
      </c>
      <c r="K147" s="10">
        <f t="shared" si="43"/>
        <v>-1</v>
      </c>
      <c r="N147" s="10">
        <f t="shared" si="44"/>
        <v>-100</v>
      </c>
      <c r="O147" s="10">
        <f t="shared" si="45"/>
        <v>-100</v>
      </c>
      <c r="P147" s="10">
        <f t="shared" si="46"/>
        <v>11.711270291303862</v>
      </c>
      <c r="Q147" s="10">
        <f t="shared" si="47"/>
        <v>-0.26838565531352421</v>
      </c>
      <c r="S147" s="10">
        <f t="shared" si="48"/>
        <v>-143.6838320451173</v>
      </c>
      <c r="T147" s="10">
        <f t="shared" si="49"/>
        <v>-1</v>
      </c>
      <c r="U147" s="10">
        <f t="shared" si="50"/>
        <v>0</v>
      </c>
      <c r="V147" s="10">
        <f t="shared" si="51"/>
        <v>0</v>
      </c>
      <c r="Y147" s="10">
        <f t="shared" si="52"/>
        <v>0</v>
      </c>
      <c r="Z147" s="10">
        <f t="shared" si="53"/>
        <v>0</v>
      </c>
      <c r="AA147" s="10">
        <f t="shared" si="53"/>
        <v>0</v>
      </c>
      <c r="AB147" s="10">
        <f t="shared" si="54"/>
        <v>-0.600823999755</v>
      </c>
      <c r="AC147" s="10">
        <f t="shared" si="54"/>
        <v>-11.934914502824579</v>
      </c>
      <c r="AD147" s="10">
        <f t="shared" si="54"/>
        <v>12.332992966090206</v>
      </c>
      <c r="AE147" s="10">
        <f t="shared" si="55"/>
        <v>-1</v>
      </c>
      <c r="AF147" s="10">
        <f t="shared" si="56"/>
        <v>0</v>
      </c>
      <c r="AG147" s="10"/>
      <c r="AH147" s="10">
        <f t="shared" si="57"/>
        <v>1</v>
      </c>
      <c r="AI147" s="10">
        <f t="shared" si="58"/>
        <v>0</v>
      </c>
      <c r="AJ147" s="10">
        <f t="shared" si="59"/>
        <v>0</v>
      </c>
      <c r="AZ147" s="10"/>
    </row>
    <row r="148" spans="2:52" x14ac:dyDescent="0.25">
      <c r="B148" s="10">
        <v>126</v>
      </c>
      <c r="C148">
        <v>0.1141916072811</v>
      </c>
      <c r="D148">
        <v>0.23717007024970371</v>
      </c>
      <c r="E148">
        <v>0.10153508102664266</v>
      </c>
      <c r="H148" s="10">
        <v>1</v>
      </c>
      <c r="I148" s="10">
        <f t="shared" si="41"/>
        <v>6.372090741793631</v>
      </c>
      <c r="J148" s="10">
        <f t="shared" si="42"/>
        <v>15.341309150930075</v>
      </c>
      <c r="K148" s="10">
        <f t="shared" si="43"/>
        <v>1</v>
      </c>
      <c r="N148" s="10">
        <f t="shared" si="44"/>
        <v>6.372090741793631</v>
      </c>
      <c r="O148" s="10">
        <f t="shared" si="45"/>
        <v>15.341309150930075</v>
      </c>
      <c r="P148" s="10">
        <f t="shared" si="46"/>
        <v>-100</v>
      </c>
      <c r="Q148" s="10">
        <f t="shared" si="47"/>
        <v>-100</v>
      </c>
      <c r="S148" s="10">
        <f t="shared" si="48"/>
        <v>112.55307564173388</v>
      </c>
      <c r="T148" s="10">
        <f t="shared" si="49"/>
        <v>1</v>
      </c>
      <c r="U148" s="10">
        <f t="shared" si="50"/>
        <v>0</v>
      </c>
      <c r="V148" s="10">
        <f t="shared" si="51"/>
        <v>0</v>
      </c>
      <c r="Y148" s="10">
        <f t="shared" si="52"/>
        <v>0</v>
      </c>
      <c r="Z148" s="10">
        <f t="shared" si="53"/>
        <v>0</v>
      </c>
      <c r="AA148" s="10">
        <f t="shared" si="53"/>
        <v>0</v>
      </c>
      <c r="AB148" s="10">
        <f t="shared" si="54"/>
        <v>-0.600823999755</v>
      </c>
      <c r="AC148" s="10">
        <f t="shared" si="54"/>
        <v>-11.934914502824579</v>
      </c>
      <c r="AD148" s="10">
        <f t="shared" si="54"/>
        <v>12.332992966090206</v>
      </c>
      <c r="AE148" s="10">
        <f t="shared" si="55"/>
        <v>1</v>
      </c>
      <c r="AF148" s="10">
        <f t="shared" si="56"/>
        <v>0</v>
      </c>
      <c r="AG148" s="10"/>
      <c r="AH148" s="10">
        <f t="shared" si="57"/>
        <v>1</v>
      </c>
      <c r="AI148" s="10">
        <f t="shared" si="58"/>
        <v>0</v>
      </c>
      <c r="AJ148" s="10">
        <f t="shared" si="59"/>
        <v>0</v>
      </c>
      <c r="AZ148" s="10"/>
    </row>
    <row r="149" spans="2:52" x14ac:dyDescent="0.25">
      <c r="B149" s="10">
        <v>127</v>
      </c>
      <c r="C149">
        <v>0.24473024495819118</v>
      </c>
      <c r="D149">
        <v>-0.94843926490284503</v>
      </c>
      <c r="E149">
        <v>0.45014801477095856</v>
      </c>
      <c r="H149" s="10">
        <v>1</v>
      </c>
      <c r="I149" s="10">
        <f t="shared" si="41"/>
        <v>6.5602835792590106</v>
      </c>
      <c r="J149" s="10">
        <f t="shared" si="42"/>
        <v>13.632059009529542</v>
      </c>
      <c r="K149" s="10">
        <f t="shared" si="43"/>
        <v>1</v>
      </c>
      <c r="N149" s="10">
        <f t="shared" si="44"/>
        <v>6.5602835792590106</v>
      </c>
      <c r="O149" s="10">
        <f t="shared" si="45"/>
        <v>13.632059009529542</v>
      </c>
      <c r="P149" s="10">
        <f t="shared" si="46"/>
        <v>-100</v>
      </c>
      <c r="Q149" s="10">
        <f t="shared" si="47"/>
        <v>-100</v>
      </c>
      <c r="S149" s="10">
        <f t="shared" si="48"/>
        <v>89.22684024535917</v>
      </c>
      <c r="T149" s="10">
        <f t="shared" si="49"/>
        <v>1</v>
      </c>
      <c r="U149" s="10">
        <f t="shared" si="50"/>
        <v>0</v>
      </c>
      <c r="V149" s="10">
        <f t="shared" si="51"/>
        <v>0</v>
      </c>
      <c r="Y149" s="10">
        <f t="shared" si="52"/>
        <v>0</v>
      </c>
      <c r="Z149" s="10">
        <f t="shared" si="53"/>
        <v>0</v>
      </c>
      <c r="AA149" s="10">
        <f t="shared" si="53"/>
        <v>0</v>
      </c>
      <c r="AB149" s="10">
        <f t="shared" si="54"/>
        <v>-0.600823999755</v>
      </c>
      <c r="AC149" s="10">
        <f t="shared" si="54"/>
        <v>-11.934914502824579</v>
      </c>
      <c r="AD149" s="10">
        <f t="shared" si="54"/>
        <v>12.332992966090206</v>
      </c>
      <c r="AE149" s="10">
        <f t="shared" si="55"/>
        <v>1</v>
      </c>
      <c r="AF149" s="10">
        <f t="shared" si="56"/>
        <v>0</v>
      </c>
      <c r="AG149" s="10"/>
      <c r="AH149" s="10">
        <f t="shared" si="57"/>
        <v>-1</v>
      </c>
      <c r="AI149" s="10">
        <f t="shared" si="58"/>
        <v>0</v>
      </c>
      <c r="AJ149" s="10">
        <f t="shared" si="59"/>
        <v>0</v>
      </c>
      <c r="AZ149" s="10"/>
    </row>
    <row r="150" spans="2:52" x14ac:dyDescent="0.25">
      <c r="B150" s="10">
        <v>128</v>
      </c>
      <c r="C150">
        <v>-1.19568767331657</v>
      </c>
      <c r="D150">
        <v>4.4803982746088877E-2</v>
      </c>
      <c r="E150">
        <v>0.80471205786309397</v>
      </c>
      <c r="H150" s="10">
        <v>1</v>
      </c>
      <c r="I150" s="10">
        <f t="shared" si="41"/>
        <v>8.8260445348540237</v>
      </c>
      <c r="J150" s="10">
        <f t="shared" si="42"/>
        <v>1.9782033276077016</v>
      </c>
      <c r="K150" s="10">
        <f t="shared" si="43"/>
        <v>-1</v>
      </c>
      <c r="N150" s="10">
        <f t="shared" si="44"/>
        <v>-100</v>
      </c>
      <c r="O150" s="10">
        <f t="shared" si="45"/>
        <v>-100</v>
      </c>
      <c r="P150" s="10">
        <f t="shared" si="46"/>
        <v>8.8260445348540237</v>
      </c>
      <c r="Q150" s="10">
        <f t="shared" si="47"/>
        <v>1.9782033276077016</v>
      </c>
      <c r="S150" s="10">
        <f t="shared" si="48"/>
        <v>-81.541743196477881</v>
      </c>
      <c r="T150" s="10">
        <f t="shared" si="49"/>
        <v>-1</v>
      </c>
      <c r="U150" s="10">
        <f t="shared" si="50"/>
        <v>0</v>
      </c>
      <c r="V150" s="10">
        <f t="shared" si="51"/>
        <v>0</v>
      </c>
      <c r="Y150" s="10">
        <f t="shared" si="52"/>
        <v>0</v>
      </c>
      <c r="Z150" s="10">
        <f t="shared" si="53"/>
        <v>0</v>
      </c>
      <c r="AA150" s="10">
        <f t="shared" si="53"/>
        <v>0</v>
      </c>
      <c r="AB150" s="10">
        <f t="shared" si="54"/>
        <v>-0.600823999755</v>
      </c>
      <c r="AC150" s="10">
        <f t="shared" si="54"/>
        <v>-11.934914502824579</v>
      </c>
      <c r="AD150" s="10">
        <f t="shared" si="54"/>
        <v>12.332992966090206</v>
      </c>
      <c r="AE150" s="10">
        <f t="shared" si="55"/>
        <v>-1</v>
      </c>
      <c r="AF150" s="10">
        <f t="shared" si="56"/>
        <v>0</v>
      </c>
      <c r="AG150" s="10"/>
      <c r="AH150" s="10">
        <f t="shared" si="57"/>
        <v>1</v>
      </c>
      <c r="AI150" s="10">
        <f t="shared" si="58"/>
        <v>0</v>
      </c>
      <c r="AJ150" s="10">
        <f t="shared" si="59"/>
        <v>0</v>
      </c>
      <c r="AZ150" s="10"/>
    </row>
    <row r="151" spans="2:52" x14ac:dyDescent="0.25">
      <c r="B151" s="10">
        <v>129</v>
      </c>
      <c r="C151">
        <v>-0.30303453968372196</v>
      </c>
      <c r="D151">
        <v>0.70680016506230459</v>
      </c>
      <c r="E151">
        <v>0.6624652851954711</v>
      </c>
      <c r="H151" s="10">
        <v>1</v>
      </c>
      <c r="I151" s="10">
        <f t="shared" si="41"/>
        <v>5.770590880455357</v>
      </c>
      <c r="J151" s="10">
        <f t="shared" si="42"/>
        <v>16.018357890480612</v>
      </c>
      <c r="K151" s="10">
        <f t="shared" si="43"/>
        <v>1</v>
      </c>
      <c r="N151" s="10">
        <f t="shared" si="44"/>
        <v>5.770590880455357</v>
      </c>
      <c r="O151" s="10">
        <f t="shared" si="45"/>
        <v>16.018357890480612</v>
      </c>
      <c r="P151" s="10">
        <f t="shared" si="46"/>
        <v>-100</v>
      </c>
      <c r="Q151" s="10">
        <f t="shared" si="47"/>
        <v>-100</v>
      </c>
      <c r="S151" s="10">
        <f t="shared" si="48"/>
        <v>128.08196240284406</v>
      </c>
      <c r="T151" s="10">
        <f t="shared" si="49"/>
        <v>1</v>
      </c>
      <c r="U151" s="10">
        <f t="shared" si="50"/>
        <v>0</v>
      </c>
      <c r="V151" s="10">
        <f t="shared" si="51"/>
        <v>0</v>
      </c>
      <c r="Y151" s="10">
        <f t="shared" si="52"/>
        <v>0</v>
      </c>
      <c r="Z151" s="10">
        <f t="shared" si="53"/>
        <v>0</v>
      </c>
      <c r="AA151" s="10">
        <f t="shared" si="53"/>
        <v>0</v>
      </c>
      <c r="AB151" s="10">
        <f t="shared" si="54"/>
        <v>-0.600823999755</v>
      </c>
      <c r="AC151" s="10">
        <f t="shared" si="54"/>
        <v>-11.934914502824579</v>
      </c>
      <c r="AD151" s="10">
        <f t="shared" si="54"/>
        <v>12.332992966090206</v>
      </c>
      <c r="AE151" s="10">
        <f t="shared" si="55"/>
        <v>1</v>
      </c>
      <c r="AF151" s="10">
        <f t="shared" si="56"/>
        <v>0</v>
      </c>
      <c r="AG151" s="10"/>
      <c r="AH151" s="10">
        <f t="shared" si="57"/>
        <v>1</v>
      </c>
      <c r="AI151" s="10">
        <f t="shared" si="58"/>
        <v>0</v>
      </c>
      <c r="AJ151" s="10">
        <f t="shared" si="59"/>
        <v>0</v>
      </c>
      <c r="AZ151" s="10"/>
    </row>
    <row r="152" spans="2:52" x14ac:dyDescent="0.25">
      <c r="B152" s="10">
        <v>130</v>
      </c>
      <c r="C152">
        <v>0.49929440137930214</v>
      </c>
      <c r="D152">
        <v>-0.61365199144347571</v>
      </c>
      <c r="E152">
        <v>0.45735038300729391</v>
      </c>
      <c r="H152" s="10">
        <v>1</v>
      </c>
      <c r="I152" s="10">
        <f t="shared" ref="I152:I215" si="60">IF(K152=1, C152*$C$9+$C$7,C152*$C$12+$C$10)</f>
        <v>6.9272795259485722</v>
      </c>
      <c r="J152" s="10">
        <f t="shared" ref="J152:J215" si="61">IF(K152=1, D152*$C$9+$C$8,D152*$C$12+$C$11)</f>
        <v>14.11470972552268</v>
      </c>
      <c r="K152" s="10">
        <f t="shared" ref="K152:K215" si="62">IF(E152&lt;$C$14,1,-1)</f>
        <v>1</v>
      </c>
      <c r="N152" s="10">
        <f t="shared" ref="N152:N215" si="63">IF($K152=1,I152,-100)</f>
        <v>6.9272795259485722</v>
      </c>
      <c r="O152" s="10">
        <f t="shared" ref="O152:O215" si="64">IF($K152=1,J152,-100)</f>
        <v>14.11470972552268</v>
      </c>
      <c r="P152" s="10">
        <f t="shared" ref="P152:P215" si="65">IF($K152=-1,I152,-100)</f>
        <v>-100</v>
      </c>
      <c r="Q152" s="10">
        <f t="shared" ref="Q152:Q215" si="66">IF($K152=-1,J152,-100)</f>
        <v>-100</v>
      </c>
      <c r="S152" s="10">
        <f t="shared" ref="S152:S215" si="67">SUMPRODUCT(H152:J152,AB151:AD151)</f>
        <v>90.799302884157854</v>
      </c>
      <c r="T152" s="10">
        <f t="shared" ref="T152:T215" si="68">IF(S152&gt;=0,1,-1)</f>
        <v>1</v>
      </c>
      <c r="U152" s="10">
        <f t="shared" ref="U152:U215" si="69">(K152-T152)/2</f>
        <v>0</v>
      </c>
      <c r="V152" s="10">
        <f t="shared" ref="V152:V215" si="70">IF(U152&lt;&gt;0,1,0)</f>
        <v>0</v>
      </c>
      <c r="Y152" s="10">
        <f t="shared" ref="Y152:Y215" si="71">IF($U152=0,0,$C$14*($U152)*H152)</f>
        <v>0</v>
      </c>
      <c r="Z152" s="10">
        <f t="shared" ref="Z152:AA215" si="72">IF($U152=0,0,$C$14*($U152)*I152)</f>
        <v>0</v>
      </c>
      <c r="AA152" s="10">
        <f t="shared" si="72"/>
        <v>0</v>
      </c>
      <c r="AB152" s="10">
        <f t="shared" ref="AB152:AD215" si="73">IF($U152=0,AB151,AB151+$C$14*($U152)*H152)</f>
        <v>-0.600823999755</v>
      </c>
      <c r="AC152" s="10">
        <f t="shared" si="73"/>
        <v>-11.934914502824579</v>
      </c>
      <c r="AD152" s="10">
        <f t="shared" si="73"/>
        <v>12.332992966090206</v>
      </c>
      <c r="AE152" s="10">
        <f t="shared" ref="AE152:AE215" si="74">IF(SUMPRODUCT(H152:J152,$AO$31:$AQ$31)&gt;=0,1,-1)</f>
        <v>1</v>
      </c>
      <c r="AF152" s="10">
        <f t="shared" ref="AF152:AF215" si="75">IF(K152=AE152,0,1)</f>
        <v>0</v>
      </c>
      <c r="AG152" s="10"/>
      <c r="AH152" s="10">
        <f t="shared" si="57"/>
        <v>-1</v>
      </c>
      <c r="AI152" s="10">
        <f t="shared" si="58"/>
        <v>0</v>
      </c>
      <c r="AJ152" s="10">
        <f t="shared" si="59"/>
        <v>0</v>
      </c>
      <c r="AZ152" s="10"/>
    </row>
    <row r="153" spans="2:52" x14ac:dyDescent="0.25">
      <c r="B153" s="10">
        <v>131</v>
      </c>
      <c r="C153">
        <v>-0.89212562670581974</v>
      </c>
      <c r="D153">
        <v>0.46585910240537487</v>
      </c>
      <c r="E153">
        <v>7.101657155064546E-2</v>
      </c>
      <c r="H153" s="10">
        <v>1</v>
      </c>
      <c r="I153" s="10">
        <f t="shared" si="60"/>
        <v>4.9213195446651756</v>
      </c>
      <c r="J153" s="10">
        <f t="shared" si="61"/>
        <v>15.671001865856731</v>
      </c>
      <c r="K153" s="10">
        <f t="shared" si="62"/>
        <v>1</v>
      </c>
      <c r="N153" s="10">
        <f t="shared" si="63"/>
        <v>4.9213195446651756</v>
      </c>
      <c r="O153" s="10">
        <f t="shared" si="64"/>
        <v>15.671001865856731</v>
      </c>
      <c r="P153" s="10">
        <f t="shared" si="65"/>
        <v>-100</v>
      </c>
      <c r="Q153" s="10">
        <f t="shared" si="66"/>
        <v>-100</v>
      </c>
      <c r="S153" s="10">
        <f t="shared" si="67"/>
        <v>133.9340037767841</v>
      </c>
      <c r="T153" s="10">
        <f t="shared" si="68"/>
        <v>1</v>
      </c>
      <c r="U153" s="10">
        <f t="shared" si="69"/>
        <v>0</v>
      </c>
      <c r="V153" s="10">
        <f t="shared" si="70"/>
        <v>0</v>
      </c>
      <c r="Y153" s="10">
        <f t="shared" si="71"/>
        <v>0</v>
      </c>
      <c r="Z153" s="10">
        <f t="shared" si="72"/>
        <v>0</v>
      </c>
      <c r="AA153" s="10">
        <f t="shared" si="72"/>
        <v>0</v>
      </c>
      <c r="AB153" s="10">
        <f t="shared" si="73"/>
        <v>-0.600823999755</v>
      </c>
      <c r="AC153" s="10">
        <f t="shared" si="73"/>
        <v>-11.934914502824579</v>
      </c>
      <c r="AD153" s="10">
        <f t="shared" si="73"/>
        <v>12.332992966090206</v>
      </c>
      <c r="AE153" s="10">
        <f t="shared" si="74"/>
        <v>1</v>
      </c>
      <c r="AF153" s="10">
        <f t="shared" si="75"/>
        <v>0</v>
      </c>
      <c r="AG153" s="10"/>
      <c r="AH153" s="10">
        <f t="shared" si="57"/>
        <v>1</v>
      </c>
      <c r="AI153" s="10">
        <f t="shared" si="58"/>
        <v>0</v>
      </c>
      <c r="AJ153" s="10">
        <f t="shared" si="59"/>
        <v>0</v>
      </c>
      <c r="AZ153" s="10"/>
    </row>
    <row r="154" spans="2:52" x14ac:dyDescent="0.25">
      <c r="B154" s="10">
        <v>132</v>
      </c>
      <c r="C154">
        <v>-0.31523086363449693</v>
      </c>
      <c r="D154">
        <v>0.11234419616812374</v>
      </c>
      <c r="E154">
        <v>0.42573320719016083</v>
      </c>
      <c r="H154" s="10">
        <v>1</v>
      </c>
      <c r="I154" s="10">
        <f t="shared" si="60"/>
        <v>5.7530078808792382</v>
      </c>
      <c r="J154" s="10">
        <f t="shared" si="61"/>
        <v>15.161352198333262</v>
      </c>
      <c r="K154" s="10">
        <f t="shared" si="62"/>
        <v>1</v>
      </c>
      <c r="N154" s="10">
        <f t="shared" si="63"/>
        <v>5.7530078808792382</v>
      </c>
      <c r="O154" s="10">
        <f t="shared" si="64"/>
        <v>15.161352198333262</v>
      </c>
      <c r="P154" s="10">
        <f t="shared" si="65"/>
        <v>-100</v>
      </c>
      <c r="Q154" s="10">
        <f t="shared" si="66"/>
        <v>-100</v>
      </c>
      <c r="S154" s="10">
        <f t="shared" si="67"/>
        <v>117.7223688263357</v>
      </c>
      <c r="T154" s="10">
        <f t="shared" si="68"/>
        <v>1</v>
      </c>
      <c r="U154" s="10">
        <f t="shared" si="69"/>
        <v>0</v>
      </c>
      <c r="V154" s="10">
        <f t="shared" si="70"/>
        <v>0</v>
      </c>
      <c r="Y154" s="10">
        <f t="shared" si="71"/>
        <v>0</v>
      </c>
      <c r="Z154" s="10">
        <f t="shared" si="72"/>
        <v>0</v>
      </c>
      <c r="AA154" s="10">
        <f t="shared" si="72"/>
        <v>0</v>
      </c>
      <c r="AB154" s="10">
        <f t="shared" si="73"/>
        <v>-0.600823999755</v>
      </c>
      <c r="AC154" s="10">
        <f t="shared" si="73"/>
        <v>-11.934914502824579</v>
      </c>
      <c r="AD154" s="10">
        <f t="shared" si="73"/>
        <v>12.332992966090206</v>
      </c>
      <c r="AE154" s="10">
        <f t="shared" si="74"/>
        <v>1</v>
      </c>
      <c r="AF154" s="10">
        <f t="shared" si="75"/>
        <v>0</v>
      </c>
      <c r="AG154" s="10"/>
      <c r="AH154" s="10">
        <f t="shared" ref="AH154:AH217" si="76">IF(SUMPRODUCT(H152:J152,$AH$21:$AJ$21)&gt;=0,1,-1)</f>
        <v>1</v>
      </c>
      <c r="AI154" s="10">
        <f t="shared" ref="AI154:AI217" si="77">(K152-AH154)/2</f>
        <v>0</v>
      </c>
      <c r="AJ154" s="10">
        <f t="shared" ref="AJ154:AJ217" si="78">IF(AI154&lt;&gt;0,1,0)</f>
        <v>0</v>
      </c>
      <c r="AZ154" s="10"/>
    </row>
    <row r="155" spans="2:52" x14ac:dyDescent="0.25">
      <c r="B155" s="10">
        <v>133</v>
      </c>
      <c r="C155">
        <v>-0.2644856067490764</v>
      </c>
      <c r="D155">
        <v>1.1325755622237921</v>
      </c>
      <c r="E155">
        <v>0.70171208838160348</v>
      </c>
      <c r="H155" s="10">
        <v>1</v>
      </c>
      <c r="I155" s="10">
        <f t="shared" si="60"/>
        <v>10.513132479486712</v>
      </c>
      <c r="J155" s="10">
        <f t="shared" si="61"/>
        <v>3.948953161760778</v>
      </c>
      <c r="K155" s="10">
        <f t="shared" si="62"/>
        <v>-1</v>
      </c>
      <c r="N155" s="10">
        <f t="shared" si="63"/>
        <v>-100</v>
      </c>
      <c r="O155" s="10">
        <f t="shared" si="64"/>
        <v>-100</v>
      </c>
      <c r="P155" s="10">
        <f t="shared" si="65"/>
        <v>10.513132479486712</v>
      </c>
      <c r="Q155" s="10">
        <f t="shared" si="66"/>
        <v>3.948953161760778</v>
      </c>
      <c r="S155" s="10">
        <f t="shared" si="67"/>
        <v>-77.371749731881735</v>
      </c>
      <c r="T155" s="10">
        <f t="shared" si="68"/>
        <v>-1</v>
      </c>
      <c r="U155" s="10">
        <f t="shared" si="69"/>
        <v>0</v>
      </c>
      <c r="V155" s="10">
        <f t="shared" si="70"/>
        <v>0</v>
      </c>
      <c r="Y155" s="10">
        <f t="shared" si="71"/>
        <v>0</v>
      </c>
      <c r="Z155" s="10">
        <f t="shared" si="72"/>
        <v>0</v>
      </c>
      <c r="AA155" s="10">
        <f t="shared" si="72"/>
        <v>0</v>
      </c>
      <c r="AB155" s="10">
        <f t="shared" si="73"/>
        <v>-0.600823999755</v>
      </c>
      <c r="AC155" s="10">
        <f t="shared" si="73"/>
        <v>-11.934914502824579</v>
      </c>
      <c r="AD155" s="10">
        <f t="shared" si="73"/>
        <v>12.332992966090206</v>
      </c>
      <c r="AE155" s="10">
        <f t="shared" si="74"/>
        <v>-1</v>
      </c>
      <c r="AF155" s="10">
        <f t="shared" si="75"/>
        <v>0</v>
      </c>
      <c r="AG155" s="10"/>
      <c r="AH155" s="10">
        <f t="shared" si="76"/>
        <v>1</v>
      </c>
      <c r="AI155" s="10">
        <f t="shared" si="77"/>
        <v>0</v>
      </c>
      <c r="AJ155" s="10">
        <f t="shared" si="78"/>
        <v>0</v>
      </c>
      <c r="AZ155" s="10"/>
    </row>
    <row r="156" spans="2:52" x14ac:dyDescent="0.25">
      <c r="B156" s="10">
        <v>134</v>
      </c>
      <c r="C156">
        <v>0.16983676687232219</v>
      </c>
      <c r="D156">
        <v>2.1648884285241365</v>
      </c>
      <c r="E156">
        <v>0.57194738608966333</v>
      </c>
      <c r="H156" s="10">
        <v>1</v>
      </c>
      <c r="I156" s="10">
        <f t="shared" si="60"/>
        <v>6.452312357868637</v>
      </c>
      <c r="J156" s="10">
        <f t="shared" si="61"/>
        <v>18.120431057925707</v>
      </c>
      <c r="K156" s="10">
        <f t="shared" si="62"/>
        <v>1</v>
      </c>
      <c r="N156" s="10">
        <f t="shared" si="63"/>
        <v>6.452312357868637</v>
      </c>
      <c r="O156" s="10">
        <f t="shared" si="64"/>
        <v>18.120431057925707</v>
      </c>
      <c r="P156" s="10">
        <f t="shared" si="65"/>
        <v>-100</v>
      </c>
      <c r="Q156" s="10">
        <f t="shared" si="66"/>
        <v>-100</v>
      </c>
      <c r="S156" s="10">
        <f t="shared" si="67"/>
        <v>145.8705284434846</v>
      </c>
      <c r="T156" s="10">
        <f t="shared" si="68"/>
        <v>1</v>
      </c>
      <c r="U156" s="10">
        <f t="shared" si="69"/>
        <v>0</v>
      </c>
      <c r="V156" s="10">
        <f t="shared" si="70"/>
        <v>0</v>
      </c>
      <c r="Y156" s="10">
        <f t="shared" si="71"/>
        <v>0</v>
      </c>
      <c r="Z156" s="10">
        <f t="shared" si="72"/>
        <v>0</v>
      </c>
      <c r="AA156" s="10">
        <f t="shared" si="72"/>
        <v>0</v>
      </c>
      <c r="AB156" s="10">
        <f t="shared" si="73"/>
        <v>-0.600823999755</v>
      </c>
      <c r="AC156" s="10">
        <f t="shared" si="73"/>
        <v>-11.934914502824579</v>
      </c>
      <c r="AD156" s="10">
        <f t="shared" si="73"/>
        <v>12.332992966090206</v>
      </c>
      <c r="AE156" s="10">
        <f t="shared" si="74"/>
        <v>1</v>
      </c>
      <c r="AF156" s="10">
        <f t="shared" si="75"/>
        <v>0</v>
      </c>
      <c r="AG156" s="10"/>
      <c r="AH156" s="10">
        <f t="shared" si="76"/>
        <v>1</v>
      </c>
      <c r="AI156" s="10">
        <f t="shared" si="77"/>
        <v>0</v>
      </c>
      <c r="AJ156" s="10">
        <f t="shared" si="78"/>
        <v>0</v>
      </c>
      <c r="AZ156" s="10"/>
    </row>
    <row r="157" spans="2:52" x14ac:dyDescent="0.25">
      <c r="B157" s="10">
        <v>135</v>
      </c>
      <c r="C157">
        <v>-1.3297540135681629</v>
      </c>
      <c r="D157">
        <v>0.16161493476829492</v>
      </c>
      <c r="E157">
        <v>0.2119815668202765</v>
      </c>
      <c r="H157" s="10">
        <v>1</v>
      </c>
      <c r="I157" s="10">
        <f t="shared" si="60"/>
        <v>4.2904065112171867</v>
      </c>
      <c r="J157" s="10">
        <f t="shared" si="61"/>
        <v>15.232384041978804</v>
      </c>
      <c r="K157" s="10">
        <f t="shared" si="62"/>
        <v>1</v>
      </c>
      <c r="N157" s="10">
        <f t="shared" si="63"/>
        <v>4.2904065112171867</v>
      </c>
      <c r="O157" s="10">
        <f t="shared" si="64"/>
        <v>15.232384041978804</v>
      </c>
      <c r="P157" s="10">
        <f t="shared" si="65"/>
        <v>-100</v>
      </c>
      <c r="Q157" s="10">
        <f t="shared" si="66"/>
        <v>-100</v>
      </c>
      <c r="S157" s="10">
        <f t="shared" si="67"/>
        <v>136.05442635301529</v>
      </c>
      <c r="T157" s="10">
        <f t="shared" si="68"/>
        <v>1</v>
      </c>
      <c r="U157" s="10">
        <f t="shared" si="69"/>
        <v>0</v>
      </c>
      <c r="V157" s="10">
        <f t="shared" si="70"/>
        <v>0</v>
      </c>
      <c r="Y157" s="10">
        <f t="shared" si="71"/>
        <v>0</v>
      </c>
      <c r="Z157" s="10">
        <f t="shared" si="72"/>
        <v>0</v>
      </c>
      <c r="AA157" s="10">
        <f t="shared" si="72"/>
        <v>0</v>
      </c>
      <c r="AB157" s="10">
        <f t="shared" si="73"/>
        <v>-0.600823999755</v>
      </c>
      <c r="AC157" s="10">
        <f t="shared" si="73"/>
        <v>-11.934914502824579</v>
      </c>
      <c r="AD157" s="10">
        <f t="shared" si="73"/>
        <v>12.332992966090206</v>
      </c>
      <c r="AE157" s="10">
        <f t="shared" si="74"/>
        <v>1</v>
      </c>
      <c r="AF157" s="10">
        <f t="shared" si="75"/>
        <v>0</v>
      </c>
      <c r="AG157" s="10"/>
      <c r="AH157" s="10">
        <f t="shared" si="76"/>
        <v>-1</v>
      </c>
      <c r="AI157" s="10">
        <f t="shared" si="77"/>
        <v>0</v>
      </c>
      <c r="AJ157" s="10">
        <f t="shared" si="78"/>
        <v>0</v>
      </c>
      <c r="AZ157" s="10"/>
    </row>
    <row r="158" spans="2:52" x14ac:dyDescent="0.25">
      <c r="B158" s="10">
        <v>136</v>
      </c>
      <c r="C158">
        <v>0.39816086427890696</v>
      </c>
      <c r="D158">
        <v>0.51102688303217292</v>
      </c>
      <c r="E158">
        <v>3.9368877224036378E-3</v>
      </c>
      <c r="H158" s="10">
        <v>1</v>
      </c>
      <c r="I158" s="10">
        <f t="shared" si="60"/>
        <v>6.7814789595529437</v>
      </c>
      <c r="J158" s="10">
        <f t="shared" si="61"/>
        <v>15.736118623235475</v>
      </c>
      <c r="K158" s="10">
        <f t="shared" si="62"/>
        <v>1</v>
      </c>
      <c r="N158" s="10">
        <f t="shared" si="63"/>
        <v>6.7814789595529437</v>
      </c>
      <c r="O158" s="10">
        <f t="shared" si="64"/>
        <v>15.736118623235475</v>
      </c>
      <c r="P158" s="10">
        <f t="shared" si="65"/>
        <v>-100</v>
      </c>
      <c r="Q158" s="10">
        <f t="shared" si="66"/>
        <v>-100</v>
      </c>
      <c r="S158" s="10">
        <f t="shared" si="67"/>
        <v>112.53624470920106</v>
      </c>
      <c r="T158" s="10">
        <f t="shared" si="68"/>
        <v>1</v>
      </c>
      <c r="U158" s="10">
        <f t="shared" si="69"/>
        <v>0</v>
      </c>
      <c r="V158" s="10">
        <f t="shared" si="70"/>
        <v>0</v>
      </c>
      <c r="Y158" s="10">
        <f t="shared" si="71"/>
        <v>0</v>
      </c>
      <c r="Z158" s="10">
        <f t="shared" si="72"/>
        <v>0</v>
      </c>
      <c r="AA158" s="10">
        <f t="shared" si="72"/>
        <v>0</v>
      </c>
      <c r="AB158" s="10">
        <f t="shared" si="73"/>
        <v>-0.600823999755</v>
      </c>
      <c r="AC158" s="10">
        <f t="shared" si="73"/>
        <v>-11.934914502824579</v>
      </c>
      <c r="AD158" s="10">
        <f t="shared" si="73"/>
        <v>12.332992966090206</v>
      </c>
      <c r="AE158" s="10">
        <f t="shared" si="74"/>
        <v>1</v>
      </c>
      <c r="AF158" s="10">
        <f t="shared" si="75"/>
        <v>0</v>
      </c>
      <c r="AG158" s="10"/>
      <c r="AH158" s="10">
        <f t="shared" si="76"/>
        <v>1</v>
      </c>
      <c r="AI158" s="10">
        <f t="shared" si="77"/>
        <v>0</v>
      </c>
      <c r="AJ158" s="10">
        <f t="shared" si="78"/>
        <v>0</v>
      </c>
      <c r="AZ158" s="10"/>
    </row>
    <row r="159" spans="2:52" x14ac:dyDescent="0.25">
      <c r="B159" s="10">
        <v>137</v>
      </c>
      <c r="C159">
        <v>0.33345372685289476</v>
      </c>
      <c r="D159">
        <v>-0.94377128334599547</v>
      </c>
      <c r="E159">
        <v>0.59852900784325691</v>
      </c>
      <c r="H159" s="10">
        <v>1</v>
      </c>
      <c r="I159" s="10">
        <f t="shared" si="60"/>
        <v>6.6881930174506028</v>
      </c>
      <c r="J159" s="10">
        <f t="shared" si="61"/>
        <v>13.638788669881848</v>
      </c>
      <c r="K159" s="10">
        <f t="shared" si="62"/>
        <v>1</v>
      </c>
      <c r="N159" s="10">
        <f t="shared" si="63"/>
        <v>6.6881930174506028</v>
      </c>
      <c r="O159" s="10">
        <f t="shared" si="64"/>
        <v>13.638788669881848</v>
      </c>
      <c r="P159" s="10">
        <f t="shared" si="65"/>
        <v>-100</v>
      </c>
      <c r="Q159" s="10">
        <f t="shared" si="66"/>
        <v>-100</v>
      </c>
      <c r="S159" s="10">
        <f t="shared" si="67"/>
        <v>87.783248890227341</v>
      </c>
      <c r="T159" s="10">
        <f t="shared" si="68"/>
        <v>1</v>
      </c>
      <c r="U159" s="10">
        <f t="shared" si="69"/>
        <v>0</v>
      </c>
      <c r="V159" s="10">
        <f t="shared" si="70"/>
        <v>0</v>
      </c>
      <c r="Y159" s="10">
        <f t="shared" si="71"/>
        <v>0</v>
      </c>
      <c r="Z159" s="10">
        <f t="shared" si="72"/>
        <v>0</v>
      </c>
      <c r="AA159" s="10">
        <f t="shared" si="72"/>
        <v>0</v>
      </c>
      <c r="AB159" s="10">
        <f t="shared" si="73"/>
        <v>-0.600823999755</v>
      </c>
      <c r="AC159" s="10">
        <f t="shared" si="73"/>
        <v>-11.934914502824579</v>
      </c>
      <c r="AD159" s="10">
        <f t="shared" si="73"/>
        <v>12.332992966090206</v>
      </c>
      <c r="AE159" s="10">
        <f t="shared" si="74"/>
        <v>1</v>
      </c>
      <c r="AF159" s="10">
        <f t="shared" si="75"/>
        <v>0</v>
      </c>
      <c r="AG159" s="10"/>
      <c r="AH159" s="10">
        <f t="shared" si="76"/>
        <v>1</v>
      </c>
      <c r="AI159" s="10">
        <f t="shared" si="77"/>
        <v>0</v>
      </c>
      <c r="AJ159" s="10">
        <f t="shared" si="78"/>
        <v>0</v>
      </c>
      <c r="AZ159" s="10"/>
    </row>
    <row r="160" spans="2:52" x14ac:dyDescent="0.25">
      <c r="B160" s="10">
        <v>138</v>
      </c>
      <c r="C160">
        <v>-0.13632075024361257</v>
      </c>
      <c r="D160">
        <v>0.25293616090493742</v>
      </c>
      <c r="E160">
        <v>8.2552568132572404E-2</v>
      </c>
      <c r="H160" s="10">
        <v>1</v>
      </c>
      <c r="I160" s="10">
        <f t="shared" si="60"/>
        <v>6.010936127178014</v>
      </c>
      <c r="J160" s="10">
        <f t="shared" si="61"/>
        <v>15.364038554185258</v>
      </c>
      <c r="K160" s="10">
        <f t="shared" si="62"/>
        <v>1</v>
      </c>
      <c r="N160" s="10">
        <f t="shared" si="63"/>
        <v>6.010936127178014</v>
      </c>
      <c r="O160" s="10">
        <f t="shared" si="64"/>
        <v>15.364038554185258</v>
      </c>
      <c r="P160" s="10">
        <f t="shared" si="65"/>
        <v>-100</v>
      </c>
      <c r="Q160" s="10">
        <f t="shared" si="66"/>
        <v>-100</v>
      </c>
      <c r="S160" s="10">
        <f t="shared" si="67"/>
        <v>117.14374665994146</v>
      </c>
      <c r="T160" s="10">
        <f t="shared" si="68"/>
        <v>1</v>
      </c>
      <c r="U160" s="10">
        <f t="shared" si="69"/>
        <v>0</v>
      </c>
      <c r="V160" s="10">
        <f t="shared" si="70"/>
        <v>0</v>
      </c>
      <c r="Y160" s="10">
        <f t="shared" si="71"/>
        <v>0</v>
      </c>
      <c r="Z160" s="10">
        <f t="shared" si="72"/>
        <v>0</v>
      </c>
      <c r="AA160" s="10">
        <f t="shared" si="72"/>
        <v>0</v>
      </c>
      <c r="AB160" s="10">
        <f t="shared" si="73"/>
        <v>-0.600823999755</v>
      </c>
      <c r="AC160" s="10">
        <f t="shared" si="73"/>
        <v>-11.934914502824579</v>
      </c>
      <c r="AD160" s="10">
        <f t="shared" si="73"/>
        <v>12.332992966090206</v>
      </c>
      <c r="AE160" s="10">
        <f t="shared" si="74"/>
        <v>1</v>
      </c>
      <c r="AF160" s="10">
        <f t="shared" si="75"/>
        <v>0</v>
      </c>
      <c r="AG160" s="10"/>
      <c r="AH160" s="10">
        <f t="shared" si="76"/>
        <v>1</v>
      </c>
      <c r="AI160" s="10">
        <f t="shared" si="77"/>
        <v>0</v>
      </c>
      <c r="AJ160" s="10">
        <f t="shared" si="78"/>
        <v>0</v>
      </c>
      <c r="AZ160" s="10"/>
    </row>
    <row r="161" spans="2:52" x14ac:dyDescent="0.25">
      <c r="B161" s="10">
        <v>139</v>
      </c>
      <c r="C161">
        <v>0.53364829000202008</v>
      </c>
      <c r="D161">
        <v>0.64065943661262281</v>
      </c>
      <c r="E161">
        <v>0.78969695120090333</v>
      </c>
      <c r="H161" s="10">
        <v>1</v>
      </c>
      <c r="I161" s="10">
        <f t="shared" si="60"/>
        <v>11.959136653827629</v>
      </c>
      <c r="J161" s="10">
        <f t="shared" si="61"/>
        <v>3.0577333126166066</v>
      </c>
      <c r="K161" s="10">
        <f t="shared" si="62"/>
        <v>-1</v>
      </c>
      <c r="N161" s="10">
        <f t="shared" si="63"/>
        <v>-100</v>
      </c>
      <c r="O161" s="10">
        <f t="shared" si="64"/>
        <v>-100</v>
      </c>
      <c r="P161" s="10">
        <f t="shared" si="65"/>
        <v>11.959136653827629</v>
      </c>
      <c r="Q161" s="10">
        <f t="shared" si="66"/>
        <v>3.0577333126166066</v>
      </c>
      <c r="S161" s="10">
        <f t="shared" si="67"/>
        <v>-105.62109405410307</v>
      </c>
      <c r="T161" s="10">
        <f t="shared" si="68"/>
        <v>-1</v>
      </c>
      <c r="U161" s="10">
        <f t="shared" si="69"/>
        <v>0</v>
      </c>
      <c r="V161" s="10">
        <f t="shared" si="70"/>
        <v>0</v>
      </c>
      <c r="Y161" s="10">
        <f t="shared" si="71"/>
        <v>0</v>
      </c>
      <c r="Z161" s="10">
        <f t="shared" si="72"/>
        <v>0</v>
      </c>
      <c r="AA161" s="10">
        <f t="shared" si="72"/>
        <v>0</v>
      </c>
      <c r="AB161" s="10">
        <f t="shared" si="73"/>
        <v>-0.600823999755</v>
      </c>
      <c r="AC161" s="10">
        <f t="shared" si="73"/>
        <v>-11.934914502824579</v>
      </c>
      <c r="AD161" s="10">
        <f t="shared" si="73"/>
        <v>12.332992966090206</v>
      </c>
      <c r="AE161" s="10">
        <f t="shared" si="74"/>
        <v>-1</v>
      </c>
      <c r="AF161" s="10">
        <f t="shared" si="75"/>
        <v>0</v>
      </c>
      <c r="AG161" s="10"/>
      <c r="AH161" s="10">
        <f t="shared" si="76"/>
        <v>1</v>
      </c>
      <c r="AI161" s="10">
        <f t="shared" si="77"/>
        <v>0</v>
      </c>
      <c r="AJ161" s="10">
        <f t="shared" si="78"/>
        <v>0</v>
      </c>
      <c r="AZ161" s="10"/>
    </row>
    <row r="162" spans="2:52" x14ac:dyDescent="0.25">
      <c r="B162" s="10">
        <v>140</v>
      </c>
      <c r="C162">
        <v>1.8254422684549354</v>
      </c>
      <c r="D162">
        <v>0.42212604967062362</v>
      </c>
      <c r="E162">
        <v>0.80349131748405411</v>
      </c>
      <c r="H162" s="10">
        <v>1</v>
      </c>
      <c r="I162" s="10">
        <f t="shared" si="60"/>
        <v>14.299520257174207</v>
      </c>
      <c r="J162" s="10">
        <f t="shared" si="61"/>
        <v>2.6618095321114708</v>
      </c>
      <c r="K162" s="10">
        <f t="shared" si="62"/>
        <v>-1</v>
      </c>
      <c r="N162" s="10">
        <f t="shared" si="63"/>
        <v>-100</v>
      </c>
      <c r="O162" s="10">
        <f t="shared" si="64"/>
        <v>-100</v>
      </c>
      <c r="P162" s="10">
        <f t="shared" si="65"/>
        <v>14.299520257174207</v>
      </c>
      <c r="Q162" s="10">
        <f t="shared" si="66"/>
        <v>2.6618095321114708</v>
      </c>
      <c r="S162" s="10">
        <f t="shared" si="67"/>
        <v>-138.43629746393466</v>
      </c>
      <c r="T162" s="10">
        <f t="shared" si="68"/>
        <v>-1</v>
      </c>
      <c r="U162" s="10">
        <f t="shared" si="69"/>
        <v>0</v>
      </c>
      <c r="V162" s="10">
        <f t="shared" si="70"/>
        <v>0</v>
      </c>
      <c r="X162">
        <f>SUM(V143:V162)</f>
        <v>0</v>
      </c>
      <c r="Y162" s="10">
        <f t="shared" si="71"/>
        <v>0</v>
      </c>
      <c r="Z162" s="10">
        <f t="shared" si="72"/>
        <v>0</v>
      </c>
      <c r="AA162" s="10">
        <f t="shared" si="72"/>
        <v>0</v>
      </c>
      <c r="AB162" s="10">
        <f t="shared" si="73"/>
        <v>-0.600823999755</v>
      </c>
      <c r="AC162" s="10">
        <f t="shared" si="73"/>
        <v>-11.934914502824579</v>
      </c>
      <c r="AD162" s="10">
        <f t="shared" si="73"/>
        <v>12.332992966090206</v>
      </c>
      <c r="AE162" s="10">
        <f t="shared" si="74"/>
        <v>-1</v>
      </c>
      <c r="AF162" s="10">
        <f t="shared" si="75"/>
        <v>0</v>
      </c>
      <c r="AG162" s="10"/>
      <c r="AH162" s="10">
        <f t="shared" si="76"/>
        <v>1</v>
      </c>
      <c r="AI162" s="10">
        <f t="shared" si="77"/>
        <v>0</v>
      </c>
      <c r="AJ162" s="10">
        <f t="shared" si="78"/>
        <v>0</v>
      </c>
      <c r="AZ162" s="10"/>
    </row>
    <row r="163" spans="2:52" x14ac:dyDescent="0.25">
      <c r="B163" s="10">
        <v>141</v>
      </c>
      <c r="C163">
        <v>0.8042070476221852</v>
      </c>
      <c r="D163">
        <v>-0.84975908976048231</v>
      </c>
      <c r="E163">
        <v>1.8189031647694327E-2</v>
      </c>
      <c r="H163" s="10">
        <v>1</v>
      </c>
      <c r="I163" s="10">
        <f t="shared" si="60"/>
        <v>7.366861071279776</v>
      </c>
      <c r="J163" s="10">
        <f t="shared" si="61"/>
        <v>13.77432265263236</v>
      </c>
      <c r="K163" s="10">
        <f t="shared" si="62"/>
        <v>1</v>
      </c>
      <c r="N163" s="10">
        <f t="shared" si="63"/>
        <v>7.366861071279776</v>
      </c>
      <c r="O163" s="10">
        <f t="shared" si="64"/>
        <v>13.77432265263236</v>
      </c>
      <c r="P163" s="10">
        <f t="shared" si="65"/>
        <v>-100</v>
      </c>
      <c r="Q163" s="10">
        <f t="shared" si="66"/>
        <v>-100</v>
      </c>
      <c r="S163" s="12">
        <f t="shared" si="67"/>
        <v>81.354943347906072</v>
      </c>
      <c r="T163" s="12">
        <f t="shared" si="68"/>
        <v>1</v>
      </c>
      <c r="U163" s="12">
        <f t="shared" si="69"/>
        <v>0</v>
      </c>
      <c r="V163" s="12">
        <f t="shared" si="70"/>
        <v>0</v>
      </c>
      <c r="W163" s="12"/>
      <c r="X163" s="12"/>
      <c r="Y163" s="10">
        <f t="shared" si="71"/>
        <v>0</v>
      </c>
      <c r="Z163" s="10">
        <f t="shared" si="72"/>
        <v>0</v>
      </c>
      <c r="AA163" s="10">
        <f t="shared" si="72"/>
        <v>0</v>
      </c>
      <c r="AB163" s="10">
        <f t="shared" si="73"/>
        <v>-0.600823999755</v>
      </c>
      <c r="AC163" s="10">
        <f t="shared" si="73"/>
        <v>-11.934914502824579</v>
      </c>
      <c r="AD163" s="10">
        <f t="shared" si="73"/>
        <v>12.332992966090206</v>
      </c>
      <c r="AE163" s="10">
        <f t="shared" si="74"/>
        <v>1</v>
      </c>
      <c r="AF163" s="10">
        <f t="shared" si="75"/>
        <v>0</v>
      </c>
      <c r="AG163" s="10"/>
      <c r="AH163" s="10">
        <f t="shared" si="76"/>
        <v>-1</v>
      </c>
      <c r="AI163" s="10">
        <f t="shared" si="77"/>
        <v>0</v>
      </c>
      <c r="AJ163" s="10">
        <f t="shared" si="78"/>
        <v>0</v>
      </c>
      <c r="AZ163" s="10"/>
    </row>
    <row r="164" spans="2:52" x14ac:dyDescent="0.25">
      <c r="B164" s="10">
        <v>142</v>
      </c>
      <c r="C164">
        <v>0.81450252764625475</v>
      </c>
      <c r="D164">
        <v>4.4115040509495884E-2</v>
      </c>
      <c r="E164">
        <v>0.12082277901547288</v>
      </c>
      <c r="H164" s="10">
        <v>1</v>
      </c>
      <c r="I164" s="10">
        <f t="shared" si="60"/>
        <v>7.3817036928458943</v>
      </c>
      <c r="J164" s="10">
        <f t="shared" si="61"/>
        <v>15.062988689798519</v>
      </c>
      <c r="K164" s="10">
        <f t="shared" si="62"/>
        <v>1</v>
      </c>
      <c r="N164" s="10">
        <f t="shared" si="63"/>
        <v>7.3817036928458943</v>
      </c>
      <c r="O164" s="10">
        <f t="shared" si="64"/>
        <v>15.062988689798519</v>
      </c>
      <c r="P164" s="10">
        <f t="shared" si="65"/>
        <v>-100</v>
      </c>
      <c r="Q164" s="10">
        <f t="shared" si="66"/>
        <v>-100</v>
      </c>
      <c r="S164" s="10">
        <f t="shared" si="67"/>
        <v>97.070907100526256</v>
      </c>
      <c r="T164" s="10">
        <f t="shared" si="68"/>
        <v>1</v>
      </c>
      <c r="U164" s="10">
        <f t="shared" si="69"/>
        <v>0</v>
      </c>
      <c r="V164" s="10">
        <f t="shared" si="70"/>
        <v>0</v>
      </c>
      <c r="Y164" s="10">
        <f t="shared" si="71"/>
        <v>0</v>
      </c>
      <c r="Z164" s="10">
        <f t="shared" si="72"/>
        <v>0</v>
      </c>
      <c r="AA164" s="10">
        <f t="shared" si="72"/>
        <v>0</v>
      </c>
      <c r="AB164" s="10">
        <f t="shared" si="73"/>
        <v>-0.600823999755</v>
      </c>
      <c r="AC164" s="10">
        <f t="shared" si="73"/>
        <v>-11.934914502824579</v>
      </c>
      <c r="AD164" s="10">
        <f t="shared" si="73"/>
        <v>12.332992966090206</v>
      </c>
      <c r="AE164" s="10">
        <f t="shared" si="74"/>
        <v>1</v>
      </c>
      <c r="AF164" s="10">
        <f t="shared" si="75"/>
        <v>0</v>
      </c>
      <c r="AG164" s="10"/>
      <c r="AH164" s="10">
        <f t="shared" si="76"/>
        <v>-1</v>
      </c>
      <c r="AI164" s="10">
        <f t="shared" si="77"/>
        <v>0</v>
      </c>
      <c r="AJ164" s="10">
        <f t="shared" si="78"/>
        <v>0</v>
      </c>
      <c r="AZ164" s="10"/>
    </row>
    <row r="165" spans="2:52" x14ac:dyDescent="0.25">
      <c r="B165" s="10">
        <v>143</v>
      </c>
      <c r="C165">
        <v>-0.22718950276612304</v>
      </c>
      <c r="D165">
        <v>-0.70072474045446143</v>
      </c>
      <c r="E165">
        <v>0.52699362163151953</v>
      </c>
      <c r="H165" s="10">
        <v>1</v>
      </c>
      <c r="I165" s="10">
        <f t="shared" si="60"/>
        <v>5.8799339298327933</v>
      </c>
      <c r="J165" s="10">
        <f t="shared" si="61"/>
        <v>13.989180089287139</v>
      </c>
      <c r="K165" s="10">
        <f t="shared" si="62"/>
        <v>1</v>
      </c>
      <c r="N165" s="10">
        <f t="shared" si="63"/>
        <v>5.8799339298327933</v>
      </c>
      <c r="O165" s="10">
        <f t="shared" si="64"/>
        <v>13.989180089287139</v>
      </c>
      <c r="P165" s="10">
        <f t="shared" si="65"/>
        <v>-100</v>
      </c>
      <c r="Q165" s="10">
        <f t="shared" si="66"/>
        <v>-100</v>
      </c>
      <c r="S165" s="10">
        <f t="shared" si="67"/>
        <v>101.75112690798071</v>
      </c>
      <c r="T165" s="10">
        <f t="shared" si="68"/>
        <v>1</v>
      </c>
      <c r="U165" s="10">
        <f t="shared" si="69"/>
        <v>0</v>
      </c>
      <c r="V165" s="10">
        <f t="shared" si="70"/>
        <v>0</v>
      </c>
      <c r="Y165" s="10">
        <f t="shared" si="71"/>
        <v>0</v>
      </c>
      <c r="Z165" s="10">
        <f t="shared" si="72"/>
        <v>0</v>
      </c>
      <c r="AA165" s="10">
        <f t="shared" si="72"/>
        <v>0</v>
      </c>
      <c r="AB165" s="10">
        <f t="shared" si="73"/>
        <v>-0.600823999755</v>
      </c>
      <c r="AC165" s="10">
        <f t="shared" si="73"/>
        <v>-11.934914502824579</v>
      </c>
      <c r="AD165" s="10">
        <f t="shared" si="73"/>
        <v>12.332992966090206</v>
      </c>
      <c r="AE165" s="10">
        <f t="shared" si="74"/>
        <v>1</v>
      </c>
      <c r="AF165" s="10">
        <f t="shared" si="75"/>
        <v>0</v>
      </c>
      <c r="AG165" s="10"/>
      <c r="AH165" s="10">
        <f t="shared" si="76"/>
        <v>1</v>
      </c>
      <c r="AI165" s="10">
        <f t="shared" si="77"/>
        <v>0</v>
      </c>
      <c r="AJ165" s="10">
        <f t="shared" si="78"/>
        <v>0</v>
      </c>
      <c r="AZ165" s="10"/>
    </row>
    <row r="166" spans="2:52" x14ac:dyDescent="0.25">
      <c r="B166" s="10">
        <v>144</v>
      </c>
      <c r="C166">
        <v>0.1918431280500954</v>
      </c>
      <c r="D166">
        <v>3.7225618143565953E-2</v>
      </c>
      <c r="E166">
        <v>0.8026673177282021</v>
      </c>
      <c r="H166" s="10">
        <v>1</v>
      </c>
      <c r="I166" s="10">
        <f t="shared" si="60"/>
        <v>11.339877538276129</v>
      </c>
      <c r="J166" s="10">
        <f t="shared" si="61"/>
        <v>1.9644733671405008</v>
      </c>
      <c r="K166" s="10">
        <f t="shared" si="62"/>
        <v>-1</v>
      </c>
      <c r="N166" s="10">
        <f t="shared" si="63"/>
        <v>-100</v>
      </c>
      <c r="O166" s="10">
        <f t="shared" si="64"/>
        <v>-100</v>
      </c>
      <c r="P166" s="10">
        <f t="shared" si="65"/>
        <v>11.339877538276129</v>
      </c>
      <c r="Q166" s="10">
        <f t="shared" si="66"/>
        <v>1.9644733671405008</v>
      </c>
      <c r="S166" s="10">
        <f t="shared" si="67"/>
        <v>-111.7134566725661</v>
      </c>
      <c r="T166" s="10">
        <f t="shared" si="68"/>
        <v>-1</v>
      </c>
      <c r="U166" s="10">
        <f t="shared" si="69"/>
        <v>0</v>
      </c>
      <c r="V166" s="10">
        <f t="shared" si="70"/>
        <v>0</v>
      </c>
      <c r="Y166" s="10">
        <f t="shared" si="71"/>
        <v>0</v>
      </c>
      <c r="Z166" s="10">
        <f t="shared" si="72"/>
        <v>0</v>
      </c>
      <c r="AA166" s="10">
        <f t="shared" si="72"/>
        <v>0</v>
      </c>
      <c r="AB166" s="10">
        <f t="shared" si="73"/>
        <v>-0.600823999755</v>
      </c>
      <c r="AC166" s="10">
        <f t="shared" si="73"/>
        <v>-11.934914502824579</v>
      </c>
      <c r="AD166" s="10">
        <f t="shared" si="73"/>
        <v>12.332992966090206</v>
      </c>
      <c r="AE166" s="10">
        <f t="shared" si="74"/>
        <v>-1</v>
      </c>
      <c r="AF166" s="10">
        <f t="shared" si="75"/>
        <v>0</v>
      </c>
      <c r="AG166" s="10"/>
      <c r="AH166" s="10">
        <f t="shared" si="76"/>
        <v>1</v>
      </c>
      <c r="AI166" s="10">
        <f t="shared" si="77"/>
        <v>0</v>
      </c>
      <c r="AJ166" s="10">
        <f t="shared" si="78"/>
        <v>0</v>
      </c>
      <c r="AZ166" s="10"/>
    </row>
    <row r="167" spans="2:52" x14ac:dyDescent="0.25">
      <c r="B167" s="10">
        <v>145</v>
      </c>
      <c r="C167">
        <v>-1.3689168554265052</v>
      </c>
      <c r="D167">
        <v>-1.4372790246852674</v>
      </c>
      <c r="E167">
        <v>8.4566789757988217E-2</v>
      </c>
      <c r="H167" s="10">
        <v>1</v>
      </c>
      <c r="I167" s="10">
        <f t="shared" si="60"/>
        <v>4.2339468570973029</v>
      </c>
      <c r="J167" s="10">
        <f t="shared" si="61"/>
        <v>12.927316390053793</v>
      </c>
      <c r="K167" s="10">
        <f t="shared" si="62"/>
        <v>1</v>
      </c>
      <c r="N167" s="10">
        <f t="shared" si="63"/>
        <v>4.2339468570973029</v>
      </c>
      <c r="O167" s="10">
        <f t="shared" si="64"/>
        <v>12.927316390053793</v>
      </c>
      <c r="P167" s="10">
        <f t="shared" si="65"/>
        <v>-100</v>
      </c>
      <c r="Q167" s="10">
        <f t="shared" si="66"/>
        <v>-100</v>
      </c>
      <c r="S167" s="10">
        <f t="shared" si="67"/>
        <v>108.29988436024192</v>
      </c>
      <c r="T167" s="10">
        <f t="shared" si="68"/>
        <v>1</v>
      </c>
      <c r="U167" s="10">
        <f t="shared" si="69"/>
        <v>0</v>
      </c>
      <c r="V167" s="10">
        <f t="shared" si="70"/>
        <v>0</v>
      </c>
      <c r="Y167" s="10">
        <f t="shared" si="71"/>
        <v>0</v>
      </c>
      <c r="Z167" s="10">
        <f t="shared" si="72"/>
        <v>0</v>
      </c>
      <c r="AA167" s="10">
        <f t="shared" si="72"/>
        <v>0</v>
      </c>
      <c r="AB167" s="10">
        <f t="shared" si="73"/>
        <v>-0.600823999755</v>
      </c>
      <c r="AC167" s="10">
        <f t="shared" si="73"/>
        <v>-11.934914502824579</v>
      </c>
      <c r="AD167" s="10">
        <f t="shared" si="73"/>
        <v>12.332992966090206</v>
      </c>
      <c r="AE167" s="10">
        <f t="shared" si="74"/>
        <v>1</v>
      </c>
      <c r="AF167" s="10">
        <f t="shared" si="75"/>
        <v>0</v>
      </c>
      <c r="AG167" s="10"/>
      <c r="AH167" s="10">
        <f t="shared" si="76"/>
        <v>1</v>
      </c>
      <c r="AI167" s="10">
        <f t="shared" si="77"/>
        <v>0</v>
      </c>
      <c r="AJ167" s="10">
        <f t="shared" si="78"/>
        <v>0</v>
      </c>
      <c r="AZ167" s="10"/>
    </row>
    <row r="168" spans="2:52" x14ac:dyDescent="0.25">
      <c r="B168" s="10">
        <v>146</v>
      </c>
      <c r="C168">
        <v>1.3534599929698743</v>
      </c>
      <c r="D168">
        <v>0.67024529926129617</v>
      </c>
      <c r="E168">
        <v>0.63801995910519727</v>
      </c>
      <c r="H168" s="10">
        <v>1</v>
      </c>
      <c r="I168" s="10">
        <f t="shared" si="60"/>
        <v>8.1586991976044168</v>
      </c>
      <c r="J168" s="10">
        <f t="shared" si="61"/>
        <v>15.96565806121416</v>
      </c>
      <c r="K168" s="10">
        <f t="shared" si="62"/>
        <v>1</v>
      </c>
      <c r="N168" s="10">
        <f t="shared" si="63"/>
        <v>8.1586991976044168</v>
      </c>
      <c r="O168" s="10">
        <f t="shared" si="64"/>
        <v>15.96565806121416</v>
      </c>
      <c r="P168" s="10">
        <f t="shared" si="65"/>
        <v>-100</v>
      </c>
      <c r="Q168" s="10">
        <f t="shared" si="66"/>
        <v>-100</v>
      </c>
      <c r="S168" s="10">
        <f t="shared" si="67"/>
        <v>98.930147190528416</v>
      </c>
      <c r="T168" s="10">
        <f t="shared" si="68"/>
        <v>1</v>
      </c>
      <c r="U168" s="10">
        <f t="shared" si="69"/>
        <v>0</v>
      </c>
      <c r="V168" s="10">
        <f t="shared" si="70"/>
        <v>0</v>
      </c>
      <c r="Y168" s="10">
        <f t="shared" si="71"/>
        <v>0</v>
      </c>
      <c r="Z168" s="10">
        <f t="shared" si="72"/>
        <v>0</v>
      </c>
      <c r="AA168" s="10">
        <f t="shared" si="72"/>
        <v>0</v>
      </c>
      <c r="AB168" s="10">
        <f t="shared" si="73"/>
        <v>-0.600823999755</v>
      </c>
      <c r="AC168" s="10">
        <f t="shared" si="73"/>
        <v>-11.934914502824579</v>
      </c>
      <c r="AD168" s="10">
        <f t="shared" si="73"/>
        <v>12.332992966090206</v>
      </c>
      <c r="AE168" s="10">
        <f t="shared" si="74"/>
        <v>1</v>
      </c>
      <c r="AF168" s="10">
        <f t="shared" si="75"/>
        <v>0</v>
      </c>
      <c r="AG168" s="10"/>
      <c r="AH168" s="10">
        <f t="shared" si="76"/>
        <v>-1</v>
      </c>
      <c r="AI168" s="10">
        <f t="shared" si="77"/>
        <v>0</v>
      </c>
      <c r="AJ168" s="10">
        <f t="shared" si="78"/>
        <v>0</v>
      </c>
      <c r="AZ168" s="10"/>
    </row>
    <row r="169" spans="2:52" x14ac:dyDescent="0.25">
      <c r="B169" s="10">
        <v>147</v>
      </c>
      <c r="C169">
        <v>-0.24473024495819118</v>
      </c>
      <c r="D169">
        <v>0.96208168542943895</v>
      </c>
      <c r="E169">
        <v>0.10193182164983063</v>
      </c>
      <c r="H169" s="10">
        <v>1</v>
      </c>
      <c r="I169" s="10">
        <f t="shared" si="60"/>
        <v>5.8546460755766478</v>
      </c>
      <c r="J169" s="10">
        <f t="shared" si="61"/>
        <v>16.386388034852175</v>
      </c>
      <c r="K169" s="10">
        <f t="shared" si="62"/>
        <v>1</v>
      </c>
      <c r="N169" s="10">
        <f t="shared" si="63"/>
        <v>5.8546460755766478</v>
      </c>
      <c r="O169" s="10">
        <f t="shared" si="64"/>
        <v>16.386388034852175</v>
      </c>
      <c r="P169" s="10">
        <f t="shared" si="65"/>
        <v>-100</v>
      </c>
      <c r="Q169" s="10">
        <f t="shared" si="66"/>
        <v>-100</v>
      </c>
      <c r="S169" s="10">
        <f t="shared" si="67"/>
        <v>131.61768401739684</v>
      </c>
      <c r="T169" s="10">
        <f t="shared" si="68"/>
        <v>1</v>
      </c>
      <c r="U169" s="10">
        <f t="shared" si="69"/>
        <v>0</v>
      </c>
      <c r="V169" s="10">
        <f t="shared" si="70"/>
        <v>0</v>
      </c>
      <c r="Y169" s="10">
        <f t="shared" si="71"/>
        <v>0</v>
      </c>
      <c r="Z169" s="10">
        <f t="shared" si="72"/>
        <v>0</v>
      </c>
      <c r="AA169" s="10">
        <f t="shared" si="72"/>
        <v>0</v>
      </c>
      <c r="AB169" s="10">
        <f t="shared" si="73"/>
        <v>-0.600823999755</v>
      </c>
      <c r="AC169" s="10">
        <f t="shared" si="73"/>
        <v>-11.934914502824579</v>
      </c>
      <c r="AD169" s="10">
        <f t="shared" si="73"/>
        <v>12.332992966090206</v>
      </c>
      <c r="AE169" s="10">
        <f t="shared" si="74"/>
        <v>1</v>
      </c>
      <c r="AF169" s="10">
        <f t="shared" si="75"/>
        <v>0</v>
      </c>
      <c r="AG169" s="10"/>
      <c r="AH169" s="10">
        <f t="shared" si="76"/>
        <v>1</v>
      </c>
      <c r="AI169" s="10">
        <f t="shared" si="77"/>
        <v>0</v>
      </c>
      <c r="AJ169" s="10">
        <f t="shared" si="78"/>
        <v>0</v>
      </c>
      <c r="AZ169" s="10"/>
    </row>
    <row r="170" spans="2:52" x14ac:dyDescent="0.25">
      <c r="B170" s="10">
        <v>148</v>
      </c>
      <c r="C170">
        <v>-0.81003463492379524</v>
      </c>
      <c r="D170">
        <v>-1.5109435480553657</v>
      </c>
      <c r="E170">
        <v>0.87215796380504773</v>
      </c>
      <c r="H170" s="10">
        <v>1</v>
      </c>
      <c r="I170" s="10">
        <f t="shared" si="60"/>
        <v>9.524744221251531</v>
      </c>
      <c r="J170" s="10">
        <f t="shared" si="61"/>
        <v>-0.84039319224545395</v>
      </c>
      <c r="K170" s="10">
        <f t="shared" si="62"/>
        <v>-1</v>
      </c>
      <c r="N170" s="10">
        <f t="shared" si="63"/>
        <v>-100</v>
      </c>
      <c r="O170" s="10">
        <f t="shared" si="64"/>
        <v>-100</v>
      </c>
      <c r="P170" s="10">
        <f t="shared" si="65"/>
        <v>9.524744221251531</v>
      </c>
      <c r="Q170" s="10">
        <f t="shared" si="66"/>
        <v>-0.84039319224545395</v>
      </c>
      <c r="S170" s="10">
        <f t="shared" si="67"/>
        <v>-124.64239527037776</v>
      </c>
      <c r="T170" s="10">
        <f t="shared" si="68"/>
        <v>-1</v>
      </c>
      <c r="U170" s="10">
        <f t="shared" si="69"/>
        <v>0</v>
      </c>
      <c r="V170" s="10">
        <f t="shared" si="70"/>
        <v>0</v>
      </c>
      <c r="Y170" s="10">
        <f t="shared" si="71"/>
        <v>0</v>
      </c>
      <c r="Z170" s="10">
        <f t="shared" si="72"/>
        <v>0</v>
      </c>
      <c r="AA170" s="10">
        <f t="shared" si="72"/>
        <v>0</v>
      </c>
      <c r="AB170" s="10">
        <f t="shared" si="73"/>
        <v>-0.600823999755</v>
      </c>
      <c r="AC170" s="10">
        <f t="shared" si="73"/>
        <v>-11.934914502824579</v>
      </c>
      <c r="AD170" s="10">
        <f t="shared" si="73"/>
        <v>12.332992966090206</v>
      </c>
      <c r="AE170" s="10">
        <f t="shared" si="74"/>
        <v>-1</v>
      </c>
      <c r="AF170" s="10">
        <f t="shared" si="75"/>
        <v>0</v>
      </c>
      <c r="AG170" s="10"/>
      <c r="AH170" s="10">
        <f t="shared" si="76"/>
        <v>1</v>
      </c>
      <c r="AI170" s="10">
        <f t="shared" si="77"/>
        <v>0</v>
      </c>
      <c r="AJ170" s="10">
        <f t="shared" si="78"/>
        <v>0</v>
      </c>
      <c r="AZ170" s="10"/>
    </row>
    <row r="171" spans="2:52" x14ac:dyDescent="0.25">
      <c r="B171" s="10">
        <v>149</v>
      </c>
      <c r="C171">
        <v>-1.248802163900109</v>
      </c>
      <c r="D171">
        <v>1.55222096509533</v>
      </c>
      <c r="E171">
        <v>0.97152623065889465</v>
      </c>
      <c r="H171" s="10">
        <v>1</v>
      </c>
      <c r="I171" s="10">
        <f t="shared" si="60"/>
        <v>8.729815348981294</v>
      </c>
      <c r="J171" s="10">
        <f t="shared" si="61"/>
        <v>4.7092378793567997</v>
      </c>
      <c r="K171" s="10">
        <f t="shared" si="62"/>
        <v>-1</v>
      </c>
      <c r="N171" s="10">
        <f t="shared" si="63"/>
        <v>-100</v>
      </c>
      <c r="O171" s="10">
        <f t="shared" si="64"/>
        <v>-100</v>
      </c>
      <c r="P171" s="10">
        <f t="shared" si="65"/>
        <v>8.729815348981294</v>
      </c>
      <c r="Q171" s="10">
        <f t="shared" si="66"/>
        <v>4.7092378793567997</v>
      </c>
      <c r="S171" s="10">
        <f t="shared" si="67"/>
        <v>-46.711426173539486</v>
      </c>
      <c r="T171" s="10">
        <f t="shared" si="68"/>
        <v>-1</v>
      </c>
      <c r="U171" s="10">
        <f t="shared" si="69"/>
        <v>0</v>
      </c>
      <c r="V171" s="10">
        <f t="shared" si="70"/>
        <v>0</v>
      </c>
      <c r="Y171" s="10">
        <f t="shared" si="71"/>
        <v>0</v>
      </c>
      <c r="Z171" s="10">
        <f t="shared" si="72"/>
        <v>0</v>
      </c>
      <c r="AA171" s="10">
        <f t="shared" si="72"/>
        <v>0</v>
      </c>
      <c r="AB171" s="10">
        <f t="shared" si="73"/>
        <v>-0.600823999755</v>
      </c>
      <c r="AC171" s="10">
        <f t="shared" si="73"/>
        <v>-11.934914502824579</v>
      </c>
      <c r="AD171" s="10">
        <f t="shared" si="73"/>
        <v>12.332992966090206</v>
      </c>
      <c r="AE171" s="10">
        <f t="shared" si="74"/>
        <v>-1</v>
      </c>
      <c r="AF171" s="10">
        <f t="shared" si="75"/>
        <v>0</v>
      </c>
      <c r="AG171" s="10"/>
      <c r="AH171" s="10">
        <f t="shared" si="76"/>
        <v>1</v>
      </c>
      <c r="AI171" s="10">
        <f t="shared" si="77"/>
        <v>0</v>
      </c>
      <c r="AJ171" s="10">
        <f t="shared" si="78"/>
        <v>0</v>
      </c>
      <c r="AZ171" s="10"/>
    </row>
    <row r="172" spans="2:52" x14ac:dyDescent="0.25">
      <c r="B172" s="10">
        <v>150</v>
      </c>
      <c r="C172">
        <v>0.57856368584907614</v>
      </c>
      <c r="D172">
        <v>0.26131829145015217</v>
      </c>
      <c r="E172">
        <v>0.25562303537095249</v>
      </c>
      <c r="H172" s="10">
        <v>1</v>
      </c>
      <c r="I172" s="10">
        <f t="shared" si="60"/>
        <v>7.0415591893009584</v>
      </c>
      <c r="J172" s="10">
        <f t="shared" si="61"/>
        <v>15.37612276893868</v>
      </c>
      <c r="K172" s="10">
        <f t="shared" si="62"/>
        <v>1</v>
      </c>
      <c r="N172" s="10">
        <f t="shared" si="63"/>
        <v>7.0415591893009584</v>
      </c>
      <c r="O172" s="10">
        <f t="shared" si="64"/>
        <v>15.37612276893868</v>
      </c>
      <c r="P172" s="10">
        <f t="shared" si="65"/>
        <v>-100</v>
      </c>
      <c r="Q172" s="10">
        <f t="shared" si="66"/>
        <v>-100</v>
      </c>
      <c r="S172" s="10">
        <f t="shared" si="67"/>
        <v>104.99238306441953</v>
      </c>
      <c r="T172" s="10">
        <f t="shared" si="68"/>
        <v>1</v>
      </c>
      <c r="U172" s="10">
        <f t="shared" si="69"/>
        <v>0</v>
      </c>
      <c r="V172" s="10">
        <f t="shared" si="70"/>
        <v>0</v>
      </c>
      <c r="Y172" s="10">
        <f t="shared" si="71"/>
        <v>0</v>
      </c>
      <c r="Z172" s="10">
        <f t="shared" si="72"/>
        <v>0</v>
      </c>
      <c r="AA172" s="10">
        <f t="shared" si="72"/>
        <v>0</v>
      </c>
      <c r="AB172" s="10">
        <f t="shared" si="73"/>
        <v>-0.600823999755</v>
      </c>
      <c r="AC172" s="10">
        <f t="shared" si="73"/>
        <v>-11.934914502824579</v>
      </c>
      <c r="AD172" s="10">
        <f t="shared" si="73"/>
        <v>12.332992966090206</v>
      </c>
      <c r="AE172" s="10">
        <f t="shared" si="74"/>
        <v>1</v>
      </c>
      <c r="AF172" s="10">
        <f t="shared" si="75"/>
        <v>0</v>
      </c>
      <c r="AG172" s="10"/>
      <c r="AH172" s="10">
        <f t="shared" si="76"/>
        <v>-1</v>
      </c>
      <c r="AI172" s="10">
        <f t="shared" si="77"/>
        <v>0</v>
      </c>
      <c r="AJ172" s="10">
        <f t="shared" si="78"/>
        <v>0</v>
      </c>
      <c r="AZ172" s="10"/>
    </row>
    <row r="173" spans="2:52" x14ac:dyDescent="0.25">
      <c r="B173" s="10">
        <v>151</v>
      </c>
      <c r="C173">
        <v>0.25380586521350779</v>
      </c>
      <c r="D173">
        <v>-0.7899120646470692</v>
      </c>
      <c r="E173">
        <v>0.72072511978514975</v>
      </c>
      <c r="H173" s="10">
        <v>1</v>
      </c>
      <c r="I173" s="10">
        <f t="shared" si="60"/>
        <v>11.452137369560836</v>
      </c>
      <c r="J173" s="10">
        <f t="shared" si="61"/>
        <v>0.46592212537695632</v>
      </c>
      <c r="K173" s="10">
        <f t="shared" si="62"/>
        <v>-1</v>
      </c>
      <c r="N173" s="10">
        <f t="shared" si="63"/>
        <v>-100</v>
      </c>
      <c r="O173" s="10">
        <f t="shared" si="64"/>
        <v>-100</v>
      </c>
      <c r="P173" s="10">
        <f t="shared" si="65"/>
        <v>11.452137369560836</v>
      </c>
      <c r="Q173" s="10">
        <f t="shared" si="66"/>
        <v>0.46592212537695632</v>
      </c>
      <c r="S173" s="10">
        <f t="shared" si="67"/>
        <v>-131.53489008504616</v>
      </c>
      <c r="T173" s="10">
        <f t="shared" si="68"/>
        <v>-1</v>
      </c>
      <c r="U173" s="10">
        <f t="shared" si="69"/>
        <v>0</v>
      </c>
      <c r="V173" s="10">
        <f t="shared" si="70"/>
        <v>0</v>
      </c>
      <c r="Y173" s="10">
        <f t="shared" si="71"/>
        <v>0</v>
      </c>
      <c r="Z173" s="10">
        <f t="shared" si="72"/>
        <v>0</v>
      </c>
      <c r="AA173" s="10">
        <f t="shared" si="72"/>
        <v>0</v>
      </c>
      <c r="AB173" s="10">
        <f t="shared" si="73"/>
        <v>-0.600823999755</v>
      </c>
      <c r="AC173" s="10">
        <f t="shared" si="73"/>
        <v>-11.934914502824579</v>
      </c>
      <c r="AD173" s="10">
        <f t="shared" si="73"/>
        <v>12.332992966090206</v>
      </c>
      <c r="AE173" s="10">
        <f t="shared" si="74"/>
        <v>-1</v>
      </c>
      <c r="AF173" s="10">
        <f t="shared" si="75"/>
        <v>0</v>
      </c>
      <c r="AG173" s="10"/>
      <c r="AH173" s="10">
        <f t="shared" si="76"/>
        <v>1</v>
      </c>
      <c r="AI173" s="10">
        <f t="shared" si="77"/>
        <v>-1</v>
      </c>
      <c r="AJ173" s="10">
        <f t="shared" si="78"/>
        <v>1</v>
      </c>
      <c r="AZ173" s="10"/>
    </row>
    <row r="174" spans="2:52" x14ac:dyDescent="0.25">
      <c r="B174" s="10">
        <v>152</v>
      </c>
      <c r="C174">
        <v>-0.30848468668409623</v>
      </c>
      <c r="D174">
        <v>1.2048053577018436</v>
      </c>
      <c r="E174">
        <v>0.6811120944853053</v>
      </c>
      <c r="H174" s="10">
        <v>1</v>
      </c>
      <c r="I174" s="10">
        <f t="shared" si="60"/>
        <v>5.7627336004434335</v>
      </c>
      <c r="J174" s="10">
        <f t="shared" si="61"/>
        <v>16.736313983351462</v>
      </c>
      <c r="K174" s="10">
        <f t="shared" si="62"/>
        <v>1</v>
      </c>
      <c r="N174" s="10">
        <f t="shared" si="63"/>
        <v>5.7627336004434335</v>
      </c>
      <c r="O174" s="10">
        <f t="shared" si="64"/>
        <v>16.736313983351462</v>
      </c>
      <c r="P174" s="10">
        <f t="shared" si="65"/>
        <v>-100</v>
      </c>
      <c r="Q174" s="10">
        <f t="shared" si="66"/>
        <v>-100</v>
      </c>
      <c r="S174" s="10">
        <f t="shared" si="67"/>
        <v>137.0302858113489</v>
      </c>
      <c r="T174" s="10">
        <f t="shared" si="68"/>
        <v>1</v>
      </c>
      <c r="U174" s="10">
        <f t="shared" si="69"/>
        <v>0</v>
      </c>
      <c r="V174" s="10">
        <f t="shared" si="70"/>
        <v>0</v>
      </c>
      <c r="Y174" s="10">
        <f t="shared" si="71"/>
        <v>0</v>
      </c>
      <c r="Z174" s="10">
        <f t="shared" si="72"/>
        <v>0</v>
      </c>
      <c r="AA174" s="10">
        <f t="shared" si="72"/>
        <v>0</v>
      </c>
      <c r="AB174" s="10">
        <f t="shared" si="73"/>
        <v>-0.600823999755</v>
      </c>
      <c r="AC174" s="10">
        <f t="shared" si="73"/>
        <v>-11.934914502824579</v>
      </c>
      <c r="AD174" s="10">
        <f t="shared" si="73"/>
        <v>12.332992966090206</v>
      </c>
      <c r="AE174" s="10">
        <f t="shared" si="74"/>
        <v>1</v>
      </c>
      <c r="AF174" s="10">
        <f t="shared" si="75"/>
        <v>0</v>
      </c>
      <c r="AG174" s="10"/>
      <c r="AH174" s="10">
        <f t="shared" si="76"/>
        <v>1</v>
      </c>
      <c r="AI174" s="10">
        <f t="shared" si="77"/>
        <v>0</v>
      </c>
      <c r="AJ174" s="10">
        <f t="shared" si="78"/>
        <v>0</v>
      </c>
      <c r="AZ174" s="10"/>
    </row>
    <row r="175" spans="2:52" x14ac:dyDescent="0.25">
      <c r="B175" s="10">
        <v>153</v>
      </c>
      <c r="C175">
        <v>0.83666009231819771</v>
      </c>
      <c r="D175">
        <v>1.8218088371213526</v>
      </c>
      <c r="E175">
        <v>0.3086642048402356</v>
      </c>
      <c r="H175" s="10">
        <v>1</v>
      </c>
      <c r="I175" s="10">
        <f t="shared" si="60"/>
        <v>7.4136474532614933</v>
      </c>
      <c r="J175" s="10">
        <f t="shared" si="61"/>
        <v>17.625825606762156</v>
      </c>
      <c r="K175" s="10">
        <f t="shared" si="62"/>
        <v>1</v>
      </c>
      <c r="N175" s="10">
        <f t="shared" si="63"/>
        <v>7.4136474532614933</v>
      </c>
      <c r="O175" s="10">
        <f t="shared" si="64"/>
        <v>17.625825606762156</v>
      </c>
      <c r="P175" s="10">
        <f t="shared" si="65"/>
        <v>-100</v>
      </c>
      <c r="Q175" s="10">
        <f t="shared" si="66"/>
        <v>-100</v>
      </c>
      <c r="S175" s="10">
        <f t="shared" si="67"/>
        <v>128.2971107212162</v>
      </c>
      <c r="T175" s="10">
        <f t="shared" si="68"/>
        <v>1</v>
      </c>
      <c r="U175" s="10">
        <f t="shared" si="69"/>
        <v>0</v>
      </c>
      <c r="V175" s="10">
        <f t="shared" si="70"/>
        <v>0</v>
      </c>
      <c r="Y175" s="10">
        <f t="shared" si="71"/>
        <v>0</v>
      </c>
      <c r="Z175" s="10">
        <f t="shared" si="72"/>
        <v>0</v>
      </c>
      <c r="AA175" s="10">
        <f t="shared" si="72"/>
        <v>0</v>
      </c>
      <c r="AB175" s="10">
        <f t="shared" si="73"/>
        <v>-0.600823999755</v>
      </c>
      <c r="AC175" s="10">
        <f t="shared" si="73"/>
        <v>-11.934914502824579</v>
      </c>
      <c r="AD175" s="10">
        <f t="shared" si="73"/>
        <v>12.332992966090206</v>
      </c>
      <c r="AE175" s="10">
        <f t="shared" si="74"/>
        <v>1</v>
      </c>
      <c r="AF175" s="10">
        <f t="shared" si="75"/>
        <v>0</v>
      </c>
      <c r="AG175" s="10"/>
      <c r="AH175" s="10">
        <f t="shared" si="76"/>
        <v>-1</v>
      </c>
      <c r="AI175" s="10">
        <f t="shared" si="77"/>
        <v>0</v>
      </c>
      <c r="AJ175" s="10">
        <f t="shared" si="78"/>
        <v>0</v>
      </c>
      <c r="AZ175" s="10"/>
    </row>
    <row r="176" spans="2:52" x14ac:dyDescent="0.25">
      <c r="B176" s="10">
        <v>154</v>
      </c>
      <c r="C176">
        <v>0.32771708902146202</v>
      </c>
      <c r="D176">
        <v>-2.4641667550895363</v>
      </c>
      <c r="E176">
        <v>0.67290261543626206</v>
      </c>
      <c r="H176" s="10">
        <v>1</v>
      </c>
      <c r="I176" s="10">
        <f t="shared" si="60"/>
        <v>6.6799227139587041</v>
      </c>
      <c r="J176" s="10">
        <f t="shared" si="61"/>
        <v>11.446889451470241</v>
      </c>
      <c r="K176" s="10">
        <f t="shared" si="62"/>
        <v>1</v>
      </c>
      <c r="N176" s="10">
        <f t="shared" si="63"/>
        <v>6.6799227139587041</v>
      </c>
      <c r="O176" s="10">
        <f t="shared" si="64"/>
        <v>11.446889451470241</v>
      </c>
      <c r="P176" s="10">
        <f t="shared" si="65"/>
        <v>-100</v>
      </c>
      <c r="Q176" s="10">
        <f t="shared" si="66"/>
        <v>-100</v>
      </c>
      <c r="S176" s="10">
        <f t="shared" si="67"/>
        <v>60.849276612266593</v>
      </c>
      <c r="T176" s="10">
        <f t="shared" si="68"/>
        <v>1</v>
      </c>
      <c r="U176" s="10">
        <f t="shared" si="69"/>
        <v>0</v>
      </c>
      <c r="V176" s="10">
        <f t="shared" si="70"/>
        <v>0</v>
      </c>
      <c r="Y176" s="10">
        <f t="shared" si="71"/>
        <v>0</v>
      </c>
      <c r="Z176" s="10">
        <f t="shared" si="72"/>
        <v>0</v>
      </c>
      <c r="AA176" s="10">
        <f t="shared" si="72"/>
        <v>0</v>
      </c>
      <c r="AB176" s="10">
        <f t="shared" si="73"/>
        <v>-0.600823999755</v>
      </c>
      <c r="AC176" s="10">
        <f t="shared" si="73"/>
        <v>-11.934914502824579</v>
      </c>
      <c r="AD176" s="10">
        <f t="shared" si="73"/>
        <v>12.332992966090206</v>
      </c>
      <c r="AE176" s="10">
        <f t="shared" si="74"/>
        <v>1</v>
      </c>
      <c r="AF176" s="10">
        <f t="shared" si="75"/>
        <v>0</v>
      </c>
      <c r="AG176" s="10"/>
      <c r="AH176" s="10">
        <f t="shared" si="76"/>
        <v>1</v>
      </c>
      <c r="AI176" s="10">
        <f t="shared" si="77"/>
        <v>0</v>
      </c>
      <c r="AJ176" s="10">
        <f t="shared" si="78"/>
        <v>0</v>
      </c>
      <c r="AZ176" s="10"/>
    </row>
    <row r="177" spans="2:52" x14ac:dyDescent="0.25">
      <c r="B177" s="10">
        <v>155</v>
      </c>
      <c r="C177">
        <v>0.51146230362064671</v>
      </c>
      <c r="D177">
        <v>1.2143436833866872</v>
      </c>
      <c r="E177">
        <v>2.0477919858394117E-2</v>
      </c>
      <c r="H177" s="10">
        <v>1</v>
      </c>
      <c r="I177" s="10">
        <f t="shared" si="60"/>
        <v>6.9448215509731055</v>
      </c>
      <c r="J177" s="10">
        <f t="shared" si="61"/>
        <v>16.750065042863358</v>
      </c>
      <c r="K177" s="10">
        <f t="shared" si="62"/>
        <v>1</v>
      </c>
      <c r="N177" s="10">
        <f t="shared" si="63"/>
        <v>6.9448215509731055</v>
      </c>
      <c r="O177" s="10">
        <f t="shared" si="64"/>
        <v>16.750065042863358</v>
      </c>
      <c r="P177" s="10">
        <f t="shared" si="65"/>
        <v>-100</v>
      </c>
      <c r="Q177" s="10">
        <f t="shared" si="66"/>
        <v>-100</v>
      </c>
      <c r="S177" s="10">
        <f t="shared" si="67"/>
        <v>123.09175890719466</v>
      </c>
      <c r="T177" s="10">
        <f t="shared" si="68"/>
        <v>1</v>
      </c>
      <c r="U177" s="10">
        <f t="shared" si="69"/>
        <v>0</v>
      </c>
      <c r="V177" s="10">
        <f t="shared" si="70"/>
        <v>0</v>
      </c>
      <c r="Y177" s="10">
        <f t="shared" si="71"/>
        <v>0</v>
      </c>
      <c r="Z177" s="10">
        <f t="shared" si="72"/>
        <v>0</v>
      </c>
      <c r="AA177" s="10">
        <f t="shared" si="72"/>
        <v>0</v>
      </c>
      <c r="AB177" s="10">
        <f t="shared" si="73"/>
        <v>-0.600823999755</v>
      </c>
      <c r="AC177" s="10">
        <f t="shared" si="73"/>
        <v>-11.934914502824579</v>
      </c>
      <c r="AD177" s="10">
        <f t="shared" si="73"/>
        <v>12.332992966090206</v>
      </c>
      <c r="AE177" s="10">
        <f t="shared" si="74"/>
        <v>1</v>
      </c>
      <c r="AF177" s="10">
        <f t="shared" si="75"/>
        <v>0</v>
      </c>
      <c r="AG177" s="10"/>
      <c r="AH177" s="10">
        <f t="shared" si="76"/>
        <v>1</v>
      </c>
      <c r="AI177" s="10">
        <f t="shared" si="77"/>
        <v>0</v>
      </c>
      <c r="AJ177" s="10">
        <f t="shared" si="78"/>
        <v>0</v>
      </c>
      <c r="AZ177" s="10"/>
    </row>
    <row r="178" spans="2:52" x14ac:dyDescent="0.25">
      <c r="B178" s="10">
        <v>156</v>
      </c>
      <c r="C178">
        <v>1.0244730219710618</v>
      </c>
      <c r="D178">
        <v>1.4777697288081981</v>
      </c>
      <c r="E178">
        <v>0.61336100344859157</v>
      </c>
      <c r="H178" s="10">
        <v>1</v>
      </c>
      <c r="I178" s="10">
        <f t="shared" si="60"/>
        <v>7.6844105680987269</v>
      </c>
      <c r="J178" s="10">
        <f t="shared" si="61"/>
        <v>17.129836854737096</v>
      </c>
      <c r="K178" s="10">
        <f t="shared" si="62"/>
        <v>1</v>
      </c>
      <c r="N178" s="10">
        <f t="shared" si="63"/>
        <v>7.6844105680987269</v>
      </c>
      <c r="O178" s="10">
        <f t="shared" si="64"/>
        <v>17.129836854737096</v>
      </c>
      <c r="P178" s="10">
        <f t="shared" si="65"/>
        <v>-100</v>
      </c>
      <c r="Q178" s="10">
        <f t="shared" si="66"/>
        <v>-100</v>
      </c>
      <c r="S178" s="10">
        <f t="shared" si="67"/>
        <v>118.94855030513042</v>
      </c>
      <c r="T178" s="10">
        <f t="shared" si="68"/>
        <v>1</v>
      </c>
      <c r="U178" s="10">
        <f t="shared" si="69"/>
        <v>0</v>
      </c>
      <c r="V178" s="10">
        <f t="shared" si="70"/>
        <v>0</v>
      </c>
      <c r="Y178" s="10">
        <f t="shared" si="71"/>
        <v>0</v>
      </c>
      <c r="Z178" s="10">
        <f t="shared" si="72"/>
        <v>0</v>
      </c>
      <c r="AA178" s="10">
        <f t="shared" si="72"/>
        <v>0</v>
      </c>
      <c r="AB178" s="10">
        <f t="shared" si="73"/>
        <v>-0.600823999755</v>
      </c>
      <c r="AC178" s="10">
        <f t="shared" si="73"/>
        <v>-11.934914502824579</v>
      </c>
      <c r="AD178" s="10">
        <f t="shared" si="73"/>
        <v>12.332992966090206</v>
      </c>
      <c r="AE178" s="10">
        <f t="shared" si="74"/>
        <v>1</v>
      </c>
      <c r="AF178" s="10">
        <f t="shared" si="75"/>
        <v>0</v>
      </c>
      <c r="AG178" s="10"/>
      <c r="AH178" s="10">
        <f t="shared" si="76"/>
        <v>1</v>
      </c>
      <c r="AI178" s="10">
        <f t="shared" si="77"/>
        <v>0</v>
      </c>
      <c r="AJ178" s="10">
        <f t="shared" si="78"/>
        <v>0</v>
      </c>
      <c r="AZ178" s="10"/>
    </row>
    <row r="179" spans="2:52" x14ac:dyDescent="0.25">
      <c r="B179" s="10">
        <v>157</v>
      </c>
      <c r="C179">
        <v>0.21887672119191848</v>
      </c>
      <c r="D179">
        <v>-1.8921309674624354</v>
      </c>
      <c r="E179">
        <v>0.55827509384441665</v>
      </c>
      <c r="H179" s="10">
        <v>1</v>
      </c>
      <c r="I179" s="10">
        <f t="shared" si="60"/>
        <v>6.5230114881553103</v>
      </c>
      <c r="J179" s="10">
        <f t="shared" si="61"/>
        <v>12.271572778345348</v>
      </c>
      <c r="K179" s="10">
        <f t="shared" si="62"/>
        <v>1</v>
      </c>
      <c r="N179" s="10">
        <f t="shared" si="63"/>
        <v>6.5230114881553103</v>
      </c>
      <c r="O179" s="10">
        <f t="shared" si="64"/>
        <v>12.271572778345348</v>
      </c>
      <c r="P179" s="10">
        <f t="shared" si="65"/>
        <v>-100</v>
      </c>
      <c r="Q179" s="10">
        <f t="shared" si="66"/>
        <v>-100</v>
      </c>
      <c r="S179" s="10">
        <f t="shared" si="67"/>
        <v>72.892812346366085</v>
      </c>
      <c r="T179" s="10">
        <f t="shared" si="68"/>
        <v>1</v>
      </c>
      <c r="U179" s="10">
        <f t="shared" si="69"/>
        <v>0</v>
      </c>
      <c r="V179" s="10">
        <f t="shared" si="70"/>
        <v>0</v>
      </c>
      <c r="Y179" s="10">
        <f t="shared" si="71"/>
        <v>0</v>
      </c>
      <c r="Z179" s="10">
        <f t="shared" si="72"/>
        <v>0</v>
      </c>
      <c r="AA179" s="10">
        <f t="shared" si="72"/>
        <v>0</v>
      </c>
      <c r="AB179" s="10">
        <f t="shared" si="73"/>
        <v>-0.600823999755</v>
      </c>
      <c r="AC179" s="10">
        <f t="shared" si="73"/>
        <v>-11.934914502824579</v>
      </c>
      <c r="AD179" s="10">
        <f t="shared" si="73"/>
        <v>12.332992966090206</v>
      </c>
      <c r="AE179" s="10">
        <f t="shared" si="74"/>
        <v>1</v>
      </c>
      <c r="AF179" s="10">
        <f t="shared" si="75"/>
        <v>0</v>
      </c>
      <c r="AG179" s="10"/>
      <c r="AH179" s="10">
        <f t="shared" si="76"/>
        <v>1</v>
      </c>
      <c r="AI179" s="10">
        <f t="shared" si="77"/>
        <v>0</v>
      </c>
      <c r="AJ179" s="10">
        <f t="shared" si="78"/>
        <v>0</v>
      </c>
      <c r="AZ179" s="10"/>
    </row>
    <row r="180" spans="2:52" x14ac:dyDescent="0.25">
      <c r="B180" s="10">
        <v>158</v>
      </c>
      <c r="C180">
        <v>0.20416905499587301</v>
      </c>
      <c r="D180">
        <v>-0.14280885807238519</v>
      </c>
      <c r="E180">
        <v>0.1619617297891171</v>
      </c>
      <c r="H180" s="10">
        <v>1</v>
      </c>
      <c r="I180" s="10">
        <f t="shared" si="60"/>
        <v>6.5018079772011488</v>
      </c>
      <c r="J180" s="10">
        <f t="shared" si="61"/>
        <v>14.793507258934861</v>
      </c>
      <c r="K180" s="10">
        <f t="shared" si="62"/>
        <v>1</v>
      </c>
      <c r="N180" s="10">
        <f t="shared" si="63"/>
        <v>6.5018079772011488</v>
      </c>
      <c r="O180" s="10">
        <f t="shared" si="64"/>
        <v>14.793507258934861</v>
      </c>
      <c r="P180" s="10">
        <f t="shared" si="65"/>
        <v>-100</v>
      </c>
      <c r="Q180" s="10">
        <f t="shared" si="66"/>
        <v>-100</v>
      </c>
      <c r="S180" s="10">
        <f t="shared" si="67"/>
        <v>104.24887464681453</v>
      </c>
      <c r="T180" s="10">
        <f t="shared" si="68"/>
        <v>1</v>
      </c>
      <c r="U180" s="10">
        <f t="shared" si="69"/>
        <v>0</v>
      </c>
      <c r="V180" s="10">
        <f t="shared" si="70"/>
        <v>0</v>
      </c>
      <c r="Y180" s="10">
        <f t="shared" si="71"/>
        <v>0</v>
      </c>
      <c r="Z180" s="10">
        <f t="shared" si="72"/>
        <v>0</v>
      </c>
      <c r="AA180" s="10">
        <f t="shared" si="72"/>
        <v>0</v>
      </c>
      <c r="AB180" s="10">
        <f t="shared" si="73"/>
        <v>-0.600823999755</v>
      </c>
      <c r="AC180" s="10">
        <f t="shared" si="73"/>
        <v>-11.934914502824579</v>
      </c>
      <c r="AD180" s="10">
        <f t="shared" si="73"/>
        <v>12.332992966090206</v>
      </c>
      <c r="AE180" s="10">
        <f t="shared" si="74"/>
        <v>1</v>
      </c>
      <c r="AF180" s="10">
        <f t="shared" si="75"/>
        <v>0</v>
      </c>
      <c r="AG180" s="10"/>
      <c r="AH180" s="10">
        <f t="shared" si="76"/>
        <v>1</v>
      </c>
      <c r="AI180" s="10">
        <f t="shared" si="77"/>
        <v>0</v>
      </c>
      <c r="AJ180" s="10">
        <f t="shared" si="78"/>
        <v>0</v>
      </c>
      <c r="AZ180" s="10"/>
    </row>
    <row r="181" spans="2:52" x14ac:dyDescent="0.25">
      <c r="B181" s="10">
        <v>159</v>
      </c>
      <c r="C181">
        <v>-0.41970224629039876</v>
      </c>
      <c r="D181">
        <v>0.28800968721043319</v>
      </c>
      <c r="E181">
        <v>0.70876186407055874</v>
      </c>
      <c r="H181" s="10">
        <v>1</v>
      </c>
      <c r="I181" s="10">
        <f t="shared" si="60"/>
        <v>10.231921633014023</v>
      </c>
      <c r="J181" s="10">
        <f t="shared" si="61"/>
        <v>2.4188267183827437</v>
      </c>
      <c r="K181" s="10">
        <f t="shared" si="62"/>
        <v>-1</v>
      </c>
      <c r="N181" s="10">
        <f t="shared" si="63"/>
        <v>-100</v>
      </c>
      <c r="O181" s="10">
        <f t="shared" si="64"/>
        <v>-100</v>
      </c>
      <c r="P181" s="10">
        <f t="shared" si="65"/>
        <v>10.231921633014023</v>
      </c>
      <c r="Q181" s="10">
        <f t="shared" si="66"/>
        <v>2.4188267183827437</v>
      </c>
      <c r="S181" s="10">
        <f t="shared" si="67"/>
        <v>-92.88656098537318</v>
      </c>
      <c r="T181" s="10">
        <f t="shared" si="68"/>
        <v>-1</v>
      </c>
      <c r="U181" s="10">
        <f t="shared" si="69"/>
        <v>0</v>
      </c>
      <c r="V181" s="10">
        <f t="shared" si="70"/>
        <v>0</v>
      </c>
      <c r="Y181" s="10">
        <f t="shared" si="71"/>
        <v>0</v>
      </c>
      <c r="Z181" s="10">
        <f t="shared" si="72"/>
        <v>0</v>
      </c>
      <c r="AA181" s="10">
        <f t="shared" si="72"/>
        <v>0</v>
      </c>
      <c r="AB181" s="10">
        <f t="shared" si="73"/>
        <v>-0.600823999755</v>
      </c>
      <c r="AC181" s="10">
        <f t="shared" si="73"/>
        <v>-11.934914502824579</v>
      </c>
      <c r="AD181" s="10">
        <f t="shared" si="73"/>
        <v>12.332992966090206</v>
      </c>
      <c r="AE181" s="10">
        <f t="shared" si="74"/>
        <v>-1</v>
      </c>
      <c r="AF181" s="10">
        <f t="shared" si="75"/>
        <v>0</v>
      </c>
      <c r="AG181" s="10"/>
      <c r="AH181" s="10">
        <f t="shared" si="76"/>
        <v>1</v>
      </c>
      <c r="AI181" s="10">
        <f t="shared" si="77"/>
        <v>0</v>
      </c>
      <c r="AJ181" s="10">
        <f t="shared" si="78"/>
        <v>0</v>
      </c>
      <c r="AZ181" s="10"/>
    </row>
    <row r="182" spans="2:52" x14ac:dyDescent="0.25">
      <c r="B182" s="10">
        <v>160</v>
      </c>
      <c r="C182">
        <v>-0.82542328527779318</v>
      </c>
      <c r="D182">
        <v>0.80663994594942778</v>
      </c>
      <c r="E182">
        <v>0.47462385937070833</v>
      </c>
      <c r="H182" s="10">
        <v>1</v>
      </c>
      <c r="I182" s="10">
        <f t="shared" si="60"/>
        <v>5.0174819002887769</v>
      </c>
      <c r="J182" s="10">
        <f t="shared" si="61"/>
        <v>16.162293295288094</v>
      </c>
      <c r="K182" s="10">
        <f t="shared" si="62"/>
        <v>1</v>
      </c>
      <c r="N182" s="10">
        <f t="shared" si="63"/>
        <v>5.0174819002887769</v>
      </c>
      <c r="O182" s="10">
        <f t="shared" si="64"/>
        <v>16.162293295288094</v>
      </c>
      <c r="P182" s="10">
        <f t="shared" si="65"/>
        <v>-100</v>
      </c>
      <c r="Q182" s="10">
        <f t="shared" si="66"/>
        <v>-100</v>
      </c>
      <c r="S182" s="10">
        <f t="shared" si="67"/>
        <v>138.84540802750362</v>
      </c>
      <c r="T182" s="10">
        <f t="shared" si="68"/>
        <v>1</v>
      </c>
      <c r="U182" s="10">
        <f t="shared" si="69"/>
        <v>0</v>
      </c>
      <c r="V182" s="10">
        <f t="shared" si="70"/>
        <v>0</v>
      </c>
      <c r="X182">
        <f>SUM(V163:V182)</f>
        <v>0</v>
      </c>
      <c r="Y182" s="10">
        <f t="shared" si="71"/>
        <v>0</v>
      </c>
      <c r="Z182" s="10">
        <f t="shared" si="72"/>
        <v>0</v>
      </c>
      <c r="AA182" s="10">
        <f t="shared" si="72"/>
        <v>0</v>
      </c>
      <c r="AB182" s="10">
        <f t="shared" si="73"/>
        <v>-0.600823999755</v>
      </c>
      <c r="AC182" s="10">
        <f t="shared" si="73"/>
        <v>-11.934914502824579</v>
      </c>
      <c r="AD182" s="10">
        <f t="shared" si="73"/>
        <v>12.332992966090206</v>
      </c>
      <c r="AE182" s="10">
        <f t="shared" si="74"/>
        <v>1</v>
      </c>
      <c r="AF182" s="10">
        <f t="shared" si="75"/>
        <v>0</v>
      </c>
      <c r="AG182" s="10"/>
      <c r="AH182" s="10">
        <f t="shared" si="76"/>
        <v>1</v>
      </c>
      <c r="AI182" s="10">
        <f t="shared" si="77"/>
        <v>0</v>
      </c>
      <c r="AJ182" s="10">
        <f t="shared" si="78"/>
        <v>0</v>
      </c>
      <c r="AZ182" s="10"/>
    </row>
    <row r="183" spans="2:52" x14ac:dyDescent="0.25">
      <c r="B183" s="10">
        <v>161</v>
      </c>
      <c r="C183">
        <v>0.26868633540289011</v>
      </c>
      <c r="D183">
        <v>2.4049586500041187</v>
      </c>
      <c r="E183">
        <v>1.84636982329783E-2</v>
      </c>
      <c r="H183" s="10">
        <v>1</v>
      </c>
      <c r="I183" s="10">
        <f t="shared" si="60"/>
        <v>6.5948202092989021</v>
      </c>
      <c r="J183" s="10">
        <f t="shared" si="61"/>
        <v>18.466531622289025</v>
      </c>
      <c r="K183" s="10">
        <f t="shared" si="62"/>
        <v>1</v>
      </c>
      <c r="N183" s="10">
        <f t="shared" si="63"/>
        <v>6.5948202092989021</v>
      </c>
      <c r="O183" s="10">
        <f t="shared" si="64"/>
        <v>18.466531622289025</v>
      </c>
      <c r="P183" s="10">
        <f t="shared" si="65"/>
        <v>-100</v>
      </c>
      <c r="Q183" s="10">
        <f t="shared" si="66"/>
        <v>-100</v>
      </c>
      <c r="S183" s="12">
        <f t="shared" si="67"/>
        <v>148.43816524653585</v>
      </c>
      <c r="T183" s="12">
        <f t="shared" si="68"/>
        <v>1</v>
      </c>
      <c r="U183" s="12">
        <f t="shared" si="69"/>
        <v>0</v>
      </c>
      <c r="V183" s="12">
        <f t="shared" si="70"/>
        <v>0</v>
      </c>
      <c r="W183" s="12"/>
      <c r="X183" s="12"/>
      <c r="Y183" s="10">
        <f t="shared" si="71"/>
        <v>0</v>
      </c>
      <c r="Z183" s="10">
        <f t="shared" si="72"/>
        <v>0</v>
      </c>
      <c r="AA183" s="10">
        <f t="shared" si="72"/>
        <v>0</v>
      </c>
      <c r="AB183" s="10">
        <f t="shared" si="73"/>
        <v>-0.600823999755</v>
      </c>
      <c r="AC183" s="10">
        <f t="shared" si="73"/>
        <v>-11.934914502824579</v>
      </c>
      <c r="AD183" s="10">
        <f t="shared" si="73"/>
        <v>12.332992966090206</v>
      </c>
      <c r="AE183" s="10">
        <f t="shared" si="74"/>
        <v>1</v>
      </c>
      <c r="AF183" s="10">
        <f t="shared" si="75"/>
        <v>0</v>
      </c>
      <c r="AG183" s="10"/>
      <c r="AH183" s="10">
        <f t="shared" si="76"/>
        <v>-1</v>
      </c>
      <c r="AI183" s="10">
        <f t="shared" si="77"/>
        <v>0</v>
      </c>
      <c r="AJ183" s="10">
        <f t="shared" si="78"/>
        <v>0</v>
      </c>
      <c r="AZ183" s="10"/>
    </row>
    <row r="184" spans="2:52" x14ac:dyDescent="0.25">
      <c r="B184" s="10">
        <v>162</v>
      </c>
      <c r="C184">
        <v>-0.90691401055664755</v>
      </c>
      <c r="D184">
        <v>4.7484718379564583E-2</v>
      </c>
      <c r="E184">
        <v>0.18228705710013124</v>
      </c>
      <c r="H184" s="10">
        <v>1</v>
      </c>
      <c r="I184" s="10">
        <f t="shared" si="60"/>
        <v>4.8999996659845131</v>
      </c>
      <c r="J184" s="10">
        <f t="shared" si="61"/>
        <v>15.067846632634426</v>
      </c>
      <c r="K184" s="10">
        <f t="shared" si="62"/>
        <v>1</v>
      </c>
      <c r="N184" s="10">
        <f t="shared" si="63"/>
        <v>4.8999996659845131</v>
      </c>
      <c r="O184" s="10">
        <f t="shared" si="64"/>
        <v>15.067846632634426</v>
      </c>
      <c r="P184" s="10">
        <f t="shared" si="65"/>
        <v>-100</v>
      </c>
      <c r="Q184" s="10">
        <f t="shared" si="66"/>
        <v>-100</v>
      </c>
      <c r="S184" s="10">
        <f t="shared" si="67"/>
        <v>126.74974545725721</v>
      </c>
      <c r="T184" s="10">
        <f t="shared" si="68"/>
        <v>1</v>
      </c>
      <c r="U184" s="10">
        <f t="shared" si="69"/>
        <v>0</v>
      </c>
      <c r="V184" s="10">
        <f t="shared" si="70"/>
        <v>0</v>
      </c>
      <c r="Y184" s="10">
        <f t="shared" si="71"/>
        <v>0</v>
      </c>
      <c r="Z184" s="10">
        <f t="shared" si="72"/>
        <v>0</v>
      </c>
      <c r="AA184" s="10">
        <f t="shared" si="72"/>
        <v>0</v>
      </c>
      <c r="AB184" s="10">
        <f t="shared" si="73"/>
        <v>-0.600823999755</v>
      </c>
      <c r="AC184" s="10">
        <f t="shared" si="73"/>
        <v>-11.934914502824579</v>
      </c>
      <c r="AD184" s="10">
        <f t="shared" si="73"/>
        <v>12.332992966090206</v>
      </c>
      <c r="AE184" s="10">
        <f t="shared" si="74"/>
        <v>1</v>
      </c>
      <c r="AF184" s="10">
        <f t="shared" si="75"/>
        <v>0</v>
      </c>
      <c r="AG184" s="10"/>
      <c r="AH184" s="10">
        <f t="shared" si="76"/>
        <v>1</v>
      </c>
      <c r="AI184" s="10">
        <f t="shared" si="77"/>
        <v>0</v>
      </c>
      <c r="AJ184" s="10">
        <f t="shared" si="78"/>
        <v>0</v>
      </c>
      <c r="AZ184" s="10"/>
    </row>
    <row r="185" spans="2:52" x14ac:dyDescent="0.25">
      <c r="B185" s="10">
        <v>163</v>
      </c>
      <c r="C185">
        <v>-0.18164541870646644</v>
      </c>
      <c r="D185">
        <v>4.3809222916024737E-2</v>
      </c>
      <c r="E185">
        <v>0.8452101199377422</v>
      </c>
      <c r="H185" s="10">
        <v>1</v>
      </c>
      <c r="I185" s="10">
        <f t="shared" si="60"/>
        <v>10.663216642307523</v>
      </c>
      <c r="J185" s="10">
        <f t="shared" si="61"/>
        <v>1.9764010900726281</v>
      </c>
      <c r="K185" s="10">
        <f t="shared" si="62"/>
        <v>-1</v>
      </c>
      <c r="N185" s="10">
        <f t="shared" si="63"/>
        <v>-100</v>
      </c>
      <c r="O185" s="10">
        <f t="shared" si="64"/>
        <v>-100</v>
      </c>
      <c r="P185" s="10">
        <f t="shared" si="65"/>
        <v>10.663216642307523</v>
      </c>
      <c r="Q185" s="10">
        <f t="shared" si="66"/>
        <v>1.9764010900726281</v>
      </c>
      <c r="S185" s="10">
        <f t="shared" si="67"/>
        <v>-103.49046220875272</v>
      </c>
      <c r="T185" s="10">
        <f t="shared" si="68"/>
        <v>-1</v>
      </c>
      <c r="U185" s="10">
        <f t="shared" si="69"/>
        <v>0</v>
      </c>
      <c r="V185" s="10">
        <f t="shared" si="70"/>
        <v>0</v>
      </c>
      <c r="Y185" s="10">
        <f t="shared" si="71"/>
        <v>0</v>
      </c>
      <c r="Z185" s="10">
        <f t="shared" si="72"/>
        <v>0</v>
      </c>
      <c r="AA185" s="10">
        <f t="shared" si="72"/>
        <v>0</v>
      </c>
      <c r="AB185" s="10">
        <f t="shared" si="73"/>
        <v>-0.600823999755</v>
      </c>
      <c r="AC185" s="10">
        <f t="shared" si="73"/>
        <v>-11.934914502824579</v>
      </c>
      <c r="AD185" s="10">
        <f t="shared" si="73"/>
        <v>12.332992966090206</v>
      </c>
      <c r="AE185" s="10">
        <f t="shared" si="74"/>
        <v>-1</v>
      </c>
      <c r="AF185" s="10">
        <f t="shared" si="75"/>
        <v>0</v>
      </c>
      <c r="AG185" s="10"/>
      <c r="AH185" s="10">
        <f t="shared" si="76"/>
        <v>1</v>
      </c>
      <c r="AI185" s="10">
        <f t="shared" si="77"/>
        <v>0</v>
      </c>
      <c r="AJ185" s="10">
        <f t="shared" si="78"/>
        <v>0</v>
      </c>
      <c r="AZ185" s="10"/>
    </row>
    <row r="186" spans="2:52" x14ac:dyDescent="0.25">
      <c r="B186" s="10">
        <v>164</v>
      </c>
      <c r="C186">
        <v>0.1965986484719906</v>
      </c>
      <c r="D186">
        <v>0.18359060049988329</v>
      </c>
      <c r="E186">
        <v>0.27191991943113497</v>
      </c>
      <c r="H186" s="10">
        <v>1</v>
      </c>
      <c r="I186" s="10">
        <f t="shared" si="60"/>
        <v>6.4908939956409917</v>
      </c>
      <c r="J186" s="10">
        <f t="shared" si="61"/>
        <v>15.264065565264259</v>
      </c>
      <c r="K186" s="10">
        <f t="shared" si="62"/>
        <v>1</v>
      </c>
      <c r="N186" s="10">
        <f t="shared" si="63"/>
        <v>6.4908939956409917</v>
      </c>
      <c r="O186" s="10">
        <f t="shared" si="64"/>
        <v>15.264065565264259</v>
      </c>
      <c r="P186" s="10">
        <f t="shared" si="65"/>
        <v>-100</v>
      </c>
      <c r="Q186" s="10">
        <f t="shared" si="66"/>
        <v>-100</v>
      </c>
      <c r="S186" s="10">
        <f t="shared" si="67"/>
        <v>110.18252436571619</v>
      </c>
      <c r="T186" s="10">
        <f t="shared" si="68"/>
        <v>1</v>
      </c>
      <c r="U186" s="10">
        <f t="shared" si="69"/>
        <v>0</v>
      </c>
      <c r="V186" s="10">
        <f t="shared" si="70"/>
        <v>0</v>
      </c>
      <c r="Y186" s="10">
        <f t="shared" si="71"/>
        <v>0</v>
      </c>
      <c r="Z186" s="10">
        <f t="shared" si="72"/>
        <v>0</v>
      </c>
      <c r="AA186" s="10">
        <f t="shared" si="72"/>
        <v>0</v>
      </c>
      <c r="AB186" s="10">
        <f t="shared" si="73"/>
        <v>-0.600823999755</v>
      </c>
      <c r="AC186" s="10">
        <f t="shared" si="73"/>
        <v>-11.934914502824579</v>
      </c>
      <c r="AD186" s="10">
        <f t="shared" si="73"/>
        <v>12.332992966090206</v>
      </c>
      <c r="AE186" s="10">
        <f t="shared" si="74"/>
        <v>1</v>
      </c>
      <c r="AF186" s="10">
        <f t="shared" si="75"/>
        <v>0</v>
      </c>
      <c r="AG186" s="10"/>
      <c r="AH186" s="10">
        <f t="shared" si="76"/>
        <v>1</v>
      </c>
      <c r="AI186" s="10">
        <f t="shared" si="77"/>
        <v>0</v>
      </c>
      <c r="AJ186" s="10">
        <f t="shared" si="78"/>
        <v>0</v>
      </c>
      <c r="AZ186" s="10"/>
    </row>
    <row r="187" spans="2:52" x14ac:dyDescent="0.25">
      <c r="B187" s="10">
        <v>165</v>
      </c>
      <c r="C187">
        <v>-1.4857960195513442</v>
      </c>
      <c r="D187">
        <v>0.28322915568423923</v>
      </c>
      <c r="E187">
        <v>0.61027863399151583</v>
      </c>
      <c r="H187" s="10">
        <v>1</v>
      </c>
      <c r="I187" s="10">
        <f t="shared" si="60"/>
        <v>4.0654463891236325</v>
      </c>
      <c r="J187" s="10">
        <f t="shared" si="61"/>
        <v>15.407710870246522</v>
      </c>
      <c r="K187" s="10">
        <f t="shared" si="62"/>
        <v>1</v>
      </c>
      <c r="N187" s="10">
        <f t="shared" si="63"/>
        <v>4.0654463891236325</v>
      </c>
      <c r="O187" s="10">
        <f t="shared" si="64"/>
        <v>15.407710870246522</v>
      </c>
      <c r="P187" s="10">
        <f t="shared" si="65"/>
        <v>-100</v>
      </c>
      <c r="Q187" s="10">
        <f t="shared" si="66"/>
        <v>-100</v>
      </c>
      <c r="S187" s="10">
        <f t="shared" si="67"/>
        <v>140.90161071653949</v>
      </c>
      <c r="T187" s="10">
        <f t="shared" si="68"/>
        <v>1</v>
      </c>
      <c r="U187" s="10">
        <f t="shared" si="69"/>
        <v>0</v>
      </c>
      <c r="V187" s="10">
        <f t="shared" si="70"/>
        <v>0</v>
      </c>
      <c r="Y187" s="10">
        <f t="shared" si="71"/>
        <v>0</v>
      </c>
      <c r="Z187" s="10">
        <f t="shared" si="72"/>
        <v>0</v>
      </c>
      <c r="AA187" s="10">
        <f t="shared" si="72"/>
        <v>0</v>
      </c>
      <c r="AB187" s="10">
        <f t="shared" si="73"/>
        <v>-0.600823999755</v>
      </c>
      <c r="AC187" s="10">
        <f t="shared" si="73"/>
        <v>-11.934914502824579</v>
      </c>
      <c r="AD187" s="10">
        <f t="shared" si="73"/>
        <v>12.332992966090206</v>
      </c>
      <c r="AE187" s="10">
        <f t="shared" si="74"/>
        <v>1</v>
      </c>
      <c r="AF187" s="10">
        <f t="shared" si="75"/>
        <v>0</v>
      </c>
      <c r="AG187" s="10"/>
      <c r="AH187" s="10">
        <f t="shared" si="76"/>
        <v>-1</v>
      </c>
      <c r="AI187" s="10">
        <f t="shared" si="77"/>
        <v>0</v>
      </c>
      <c r="AJ187" s="10">
        <f t="shared" si="78"/>
        <v>0</v>
      </c>
      <c r="AZ187" s="10"/>
    </row>
    <row r="188" spans="2:52" x14ac:dyDescent="0.25">
      <c r="B188" s="10">
        <v>166</v>
      </c>
      <c r="C188">
        <v>1.9679464458022267</v>
      </c>
      <c r="D188">
        <v>-1.0113717507920228</v>
      </c>
      <c r="E188">
        <v>0.6453749198889126</v>
      </c>
      <c r="H188" s="10">
        <v>1</v>
      </c>
      <c r="I188" s="10">
        <f t="shared" si="60"/>
        <v>9.0445821147267491</v>
      </c>
      <c r="J188" s="10">
        <f t="shared" si="61"/>
        <v>13.541331518428164</v>
      </c>
      <c r="K188" s="10">
        <f t="shared" si="62"/>
        <v>1</v>
      </c>
      <c r="N188" s="10">
        <f t="shared" si="63"/>
        <v>9.0445821147267491</v>
      </c>
      <c r="O188" s="10">
        <f t="shared" si="64"/>
        <v>13.541331518428164</v>
      </c>
      <c r="P188" s="10">
        <f t="shared" si="65"/>
        <v>-100</v>
      </c>
      <c r="Q188" s="10">
        <f t="shared" si="66"/>
        <v>-100</v>
      </c>
      <c r="S188" s="10">
        <f t="shared" si="67"/>
        <v>58.458008115475067</v>
      </c>
      <c r="T188" s="10">
        <f t="shared" si="68"/>
        <v>1</v>
      </c>
      <c r="U188" s="10">
        <f t="shared" si="69"/>
        <v>0</v>
      </c>
      <c r="V188" s="10">
        <f t="shared" si="70"/>
        <v>0</v>
      </c>
      <c r="Y188" s="10">
        <f t="shared" si="71"/>
        <v>0</v>
      </c>
      <c r="Z188" s="10">
        <f t="shared" si="72"/>
        <v>0</v>
      </c>
      <c r="AA188" s="10">
        <f t="shared" si="72"/>
        <v>0</v>
      </c>
      <c r="AB188" s="10">
        <f t="shared" si="73"/>
        <v>-0.600823999755</v>
      </c>
      <c r="AC188" s="10">
        <f t="shared" si="73"/>
        <v>-11.934914502824579</v>
      </c>
      <c r="AD188" s="10">
        <f t="shared" si="73"/>
        <v>12.332992966090206</v>
      </c>
      <c r="AE188" s="10">
        <f t="shared" si="74"/>
        <v>1</v>
      </c>
      <c r="AF188" s="10">
        <f t="shared" si="75"/>
        <v>0</v>
      </c>
      <c r="AG188" s="10"/>
      <c r="AH188" s="10">
        <f t="shared" si="76"/>
        <v>1</v>
      </c>
      <c r="AI188" s="10">
        <f t="shared" si="77"/>
        <v>0</v>
      </c>
      <c r="AJ188" s="10">
        <f t="shared" si="78"/>
        <v>0</v>
      </c>
      <c r="AZ188" s="10"/>
    </row>
    <row r="189" spans="2:52" x14ac:dyDescent="0.25">
      <c r="B189" s="10">
        <v>167</v>
      </c>
      <c r="C189">
        <v>0.12335931387497112</v>
      </c>
      <c r="D189">
        <v>0.88293745648115873</v>
      </c>
      <c r="E189">
        <v>0.17236854152043216</v>
      </c>
      <c r="H189" s="10">
        <v>1</v>
      </c>
      <c r="I189" s="10">
        <f t="shared" si="60"/>
        <v>6.3853074931528599</v>
      </c>
      <c r="J189" s="10">
        <f t="shared" si="61"/>
        <v>16.272288659526762</v>
      </c>
      <c r="K189" s="10">
        <f t="shared" si="62"/>
        <v>1</v>
      </c>
      <c r="N189" s="10">
        <f t="shared" si="63"/>
        <v>6.3853074931528599</v>
      </c>
      <c r="O189" s="10">
        <f t="shared" si="64"/>
        <v>16.272288659526762</v>
      </c>
      <c r="P189" s="10">
        <f t="shared" si="65"/>
        <v>-100</v>
      </c>
      <c r="Q189" s="10">
        <f t="shared" si="66"/>
        <v>-100</v>
      </c>
      <c r="S189" s="10">
        <f t="shared" si="67"/>
        <v>123.87709857535346</v>
      </c>
      <c r="T189" s="10">
        <f t="shared" si="68"/>
        <v>1</v>
      </c>
      <c r="U189" s="10">
        <f t="shared" si="69"/>
        <v>0</v>
      </c>
      <c r="V189" s="10">
        <f t="shared" si="70"/>
        <v>0</v>
      </c>
      <c r="Y189" s="10">
        <f t="shared" si="71"/>
        <v>0</v>
      </c>
      <c r="Z189" s="10">
        <f t="shared" si="72"/>
        <v>0</v>
      </c>
      <c r="AA189" s="10">
        <f t="shared" si="72"/>
        <v>0</v>
      </c>
      <c r="AB189" s="10">
        <f t="shared" si="73"/>
        <v>-0.600823999755</v>
      </c>
      <c r="AC189" s="10">
        <f t="shared" si="73"/>
        <v>-11.934914502824579</v>
      </c>
      <c r="AD189" s="10">
        <f t="shared" si="73"/>
        <v>12.332992966090206</v>
      </c>
      <c r="AE189" s="10">
        <f t="shared" si="74"/>
        <v>1</v>
      </c>
      <c r="AF189" s="10">
        <f t="shared" si="75"/>
        <v>0</v>
      </c>
      <c r="AG189" s="10"/>
      <c r="AH189" s="10">
        <f t="shared" si="76"/>
        <v>1</v>
      </c>
      <c r="AI189" s="10">
        <f t="shared" si="77"/>
        <v>0</v>
      </c>
      <c r="AJ189" s="10">
        <f t="shared" si="78"/>
        <v>0</v>
      </c>
      <c r="AZ189" s="10"/>
    </row>
    <row r="190" spans="2:52" x14ac:dyDescent="0.25">
      <c r="B190" s="10">
        <v>168</v>
      </c>
      <c r="C190">
        <v>-9.4501046987716109E-2</v>
      </c>
      <c r="D190">
        <v>-0.23677671379118692</v>
      </c>
      <c r="E190">
        <v>0.84643086031678216</v>
      </c>
      <c r="H190" s="10">
        <v>1</v>
      </c>
      <c r="I190" s="10">
        <f t="shared" si="60"/>
        <v>10.821098829480094</v>
      </c>
      <c r="J190" s="10">
        <f t="shared" si="61"/>
        <v>1.4680547619796191</v>
      </c>
      <c r="K190" s="10">
        <f t="shared" si="62"/>
        <v>-1</v>
      </c>
      <c r="N190" s="10">
        <f t="shared" si="63"/>
        <v>-100</v>
      </c>
      <c r="O190" s="10">
        <f t="shared" si="64"/>
        <v>-100</v>
      </c>
      <c r="P190" s="10">
        <f t="shared" si="65"/>
        <v>10.821098829480094</v>
      </c>
      <c r="Q190" s="10">
        <f t="shared" si="66"/>
        <v>1.4680547619796191</v>
      </c>
      <c r="S190" s="10">
        <f t="shared" si="67"/>
        <v>-111.64420430288516</v>
      </c>
      <c r="T190" s="10">
        <f t="shared" si="68"/>
        <v>-1</v>
      </c>
      <c r="U190" s="10">
        <f t="shared" si="69"/>
        <v>0</v>
      </c>
      <c r="V190" s="10">
        <f t="shared" si="70"/>
        <v>0</v>
      </c>
      <c r="Y190" s="10">
        <f t="shared" si="71"/>
        <v>0</v>
      </c>
      <c r="Z190" s="10">
        <f t="shared" si="72"/>
        <v>0</v>
      </c>
      <c r="AA190" s="10">
        <f t="shared" si="72"/>
        <v>0</v>
      </c>
      <c r="AB190" s="10">
        <f t="shared" si="73"/>
        <v>-0.600823999755</v>
      </c>
      <c r="AC190" s="10">
        <f t="shared" si="73"/>
        <v>-11.934914502824579</v>
      </c>
      <c r="AD190" s="10">
        <f t="shared" si="73"/>
        <v>12.332992966090206</v>
      </c>
      <c r="AE190" s="10">
        <f t="shared" si="74"/>
        <v>-1</v>
      </c>
      <c r="AF190" s="10">
        <f t="shared" si="75"/>
        <v>0</v>
      </c>
      <c r="AG190" s="10"/>
      <c r="AH190" s="10">
        <f t="shared" si="76"/>
        <v>1</v>
      </c>
      <c r="AI190" s="10">
        <f t="shared" si="77"/>
        <v>0</v>
      </c>
      <c r="AJ190" s="10">
        <f t="shared" si="78"/>
        <v>0</v>
      </c>
      <c r="AZ190" s="10"/>
    </row>
    <row r="191" spans="2:52" x14ac:dyDescent="0.25">
      <c r="B191" s="10">
        <v>169</v>
      </c>
      <c r="C191">
        <v>0.68004624154127669</v>
      </c>
      <c r="D191">
        <v>-1.4245006241253577</v>
      </c>
      <c r="E191">
        <v>0.10351878414258248</v>
      </c>
      <c r="H191" s="10">
        <v>1</v>
      </c>
      <c r="I191" s="10">
        <f t="shared" si="60"/>
        <v>7.1878629231900506</v>
      </c>
      <c r="J191" s="10">
        <f t="shared" si="61"/>
        <v>12.945738548446371</v>
      </c>
      <c r="K191" s="10">
        <f t="shared" si="62"/>
        <v>1</v>
      </c>
      <c r="N191" s="10">
        <f t="shared" si="63"/>
        <v>7.1878629231900506</v>
      </c>
      <c r="O191" s="10">
        <f t="shared" si="64"/>
        <v>12.945738548446371</v>
      </c>
      <c r="P191" s="10">
        <f t="shared" si="65"/>
        <v>-100</v>
      </c>
      <c r="Q191" s="10">
        <f t="shared" si="66"/>
        <v>-100</v>
      </c>
      <c r="S191" s="10">
        <f t="shared" si="67"/>
        <v>73.272349012780921</v>
      </c>
      <c r="T191" s="10">
        <f t="shared" si="68"/>
        <v>1</v>
      </c>
      <c r="U191" s="10">
        <f t="shared" si="69"/>
        <v>0</v>
      </c>
      <c r="V191" s="10">
        <f t="shared" si="70"/>
        <v>0</v>
      </c>
      <c r="Y191" s="10">
        <f t="shared" si="71"/>
        <v>0</v>
      </c>
      <c r="Z191" s="10">
        <f t="shared" si="72"/>
        <v>0</v>
      </c>
      <c r="AA191" s="10">
        <f t="shared" si="72"/>
        <v>0</v>
      </c>
      <c r="AB191" s="10">
        <f t="shared" si="73"/>
        <v>-0.600823999755</v>
      </c>
      <c r="AC191" s="10">
        <f t="shared" si="73"/>
        <v>-11.934914502824579</v>
      </c>
      <c r="AD191" s="10">
        <f t="shared" si="73"/>
        <v>12.332992966090206</v>
      </c>
      <c r="AE191" s="10">
        <f t="shared" si="74"/>
        <v>1</v>
      </c>
      <c r="AF191" s="10">
        <f t="shared" si="75"/>
        <v>0</v>
      </c>
      <c r="AG191" s="10"/>
      <c r="AH191" s="10">
        <f t="shared" si="76"/>
        <v>1</v>
      </c>
      <c r="AI191" s="10">
        <f t="shared" si="77"/>
        <v>0</v>
      </c>
      <c r="AJ191" s="10">
        <f t="shared" si="78"/>
        <v>0</v>
      </c>
      <c r="AZ191" s="10"/>
    </row>
    <row r="192" spans="2:52" x14ac:dyDescent="0.25">
      <c r="B192" s="10">
        <v>170</v>
      </c>
      <c r="C192">
        <v>0.97270685728290118</v>
      </c>
      <c r="D192">
        <v>-0.23378788682748564</v>
      </c>
      <c r="E192">
        <v>0.86117130039368872</v>
      </c>
      <c r="H192" s="10">
        <v>1</v>
      </c>
      <c r="I192" s="10">
        <f t="shared" si="60"/>
        <v>12.754592809308129</v>
      </c>
      <c r="J192" s="10">
        <f t="shared" si="61"/>
        <v>1.4734697133850005</v>
      </c>
      <c r="K192" s="10">
        <f t="shared" si="62"/>
        <v>-1</v>
      </c>
      <c r="N192" s="10">
        <f t="shared" si="63"/>
        <v>-100</v>
      </c>
      <c r="O192" s="10">
        <f t="shared" si="64"/>
        <v>-100</v>
      </c>
      <c r="P192" s="10">
        <f t="shared" si="65"/>
        <v>12.754592809308129</v>
      </c>
      <c r="Q192" s="10">
        <f t="shared" si="66"/>
        <v>1.4734697133850005</v>
      </c>
      <c r="S192" s="10">
        <f t="shared" si="67"/>
        <v>-134.65350708626451</v>
      </c>
      <c r="T192" s="10">
        <f t="shared" si="68"/>
        <v>-1</v>
      </c>
      <c r="U192" s="10">
        <f t="shared" si="69"/>
        <v>0</v>
      </c>
      <c r="V192" s="10">
        <f t="shared" si="70"/>
        <v>0</v>
      </c>
      <c r="Y192" s="10">
        <f t="shared" si="71"/>
        <v>0</v>
      </c>
      <c r="Z192" s="10">
        <f t="shared" si="72"/>
        <v>0</v>
      </c>
      <c r="AA192" s="10">
        <f t="shared" si="72"/>
        <v>0</v>
      </c>
      <c r="AB192" s="10">
        <f t="shared" si="73"/>
        <v>-0.600823999755</v>
      </c>
      <c r="AC192" s="10">
        <f t="shared" si="73"/>
        <v>-11.934914502824579</v>
      </c>
      <c r="AD192" s="10">
        <f t="shared" si="73"/>
        <v>12.332992966090206</v>
      </c>
      <c r="AE192" s="10">
        <f t="shared" si="74"/>
        <v>-1</v>
      </c>
      <c r="AF192" s="10">
        <f t="shared" si="75"/>
        <v>0</v>
      </c>
      <c r="AG192" s="10"/>
      <c r="AH192" s="10">
        <f t="shared" si="76"/>
        <v>-1</v>
      </c>
      <c r="AI192" s="10">
        <f t="shared" si="77"/>
        <v>0</v>
      </c>
      <c r="AJ192" s="10">
        <f t="shared" si="78"/>
        <v>0</v>
      </c>
      <c r="AZ192" s="10"/>
    </row>
    <row r="193" spans="2:52" x14ac:dyDescent="0.25">
      <c r="B193" s="10">
        <v>171</v>
      </c>
      <c r="C193">
        <v>3.3627429729676805E-2</v>
      </c>
      <c r="D193">
        <v>-1.0828443919308484</v>
      </c>
      <c r="E193">
        <v>0.40144047364726709</v>
      </c>
      <c r="H193" s="10">
        <v>1</v>
      </c>
      <c r="I193" s="10">
        <f t="shared" si="60"/>
        <v>6.255944277871035</v>
      </c>
      <c r="J193" s="10">
        <f t="shared" si="61"/>
        <v>13.43829199406655</v>
      </c>
      <c r="K193" s="10">
        <f t="shared" si="62"/>
        <v>1</v>
      </c>
      <c r="N193" s="10">
        <f t="shared" si="63"/>
        <v>6.255944277871035</v>
      </c>
      <c r="O193" s="10">
        <f t="shared" si="64"/>
        <v>13.43829199406655</v>
      </c>
      <c r="P193" s="10">
        <f t="shared" si="65"/>
        <v>-100</v>
      </c>
      <c r="Q193" s="10">
        <f t="shared" si="66"/>
        <v>-100</v>
      </c>
      <c r="S193" s="10">
        <f t="shared" si="67"/>
        <v>90.469376548508635</v>
      </c>
      <c r="T193" s="10">
        <f t="shared" si="68"/>
        <v>1</v>
      </c>
      <c r="U193" s="10">
        <f t="shared" si="69"/>
        <v>0</v>
      </c>
      <c r="V193" s="10">
        <f t="shared" si="70"/>
        <v>0</v>
      </c>
      <c r="Y193" s="10">
        <f t="shared" si="71"/>
        <v>0</v>
      </c>
      <c r="Z193" s="10">
        <f t="shared" si="72"/>
        <v>0</v>
      </c>
      <c r="AA193" s="10">
        <f t="shared" si="72"/>
        <v>0</v>
      </c>
      <c r="AB193" s="10">
        <f t="shared" si="73"/>
        <v>-0.600823999755</v>
      </c>
      <c r="AC193" s="10">
        <f t="shared" si="73"/>
        <v>-11.934914502824579</v>
      </c>
      <c r="AD193" s="10">
        <f t="shared" si="73"/>
        <v>12.332992966090206</v>
      </c>
      <c r="AE193" s="10">
        <f t="shared" si="74"/>
        <v>1</v>
      </c>
      <c r="AF193" s="10">
        <f t="shared" si="75"/>
        <v>0</v>
      </c>
      <c r="AG193" s="10"/>
      <c r="AH193" s="10">
        <f t="shared" si="76"/>
        <v>1</v>
      </c>
      <c r="AI193" s="10">
        <f t="shared" si="77"/>
        <v>0</v>
      </c>
      <c r="AJ193" s="10">
        <f t="shared" si="78"/>
        <v>0</v>
      </c>
      <c r="AZ193" s="10"/>
    </row>
    <row r="194" spans="2:52" x14ac:dyDescent="0.25">
      <c r="B194" s="10">
        <v>172</v>
      </c>
      <c r="C194">
        <v>0.46321815716510173</v>
      </c>
      <c r="D194">
        <v>0.17038018995663151</v>
      </c>
      <c r="E194">
        <v>0.64122440260017699</v>
      </c>
      <c r="H194" s="10">
        <v>1</v>
      </c>
      <c r="I194" s="10">
        <f t="shared" si="60"/>
        <v>6.8752697081308103</v>
      </c>
      <c r="J194" s="10">
        <f t="shared" si="61"/>
        <v>15.245020593687592</v>
      </c>
      <c r="K194" s="10">
        <f t="shared" si="62"/>
        <v>1</v>
      </c>
      <c r="N194" s="10">
        <f t="shared" si="63"/>
        <v>6.8752697081308103</v>
      </c>
      <c r="O194" s="10">
        <f t="shared" si="64"/>
        <v>15.245020593687592</v>
      </c>
      <c r="P194" s="10">
        <f t="shared" si="65"/>
        <v>-100</v>
      </c>
      <c r="Q194" s="10">
        <f t="shared" si="66"/>
        <v>-100</v>
      </c>
      <c r="S194" s="10">
        <f t="shared" si="67"/>
        <v>105.36015159969349</v>
      </c>
      <c r="T194" s="10">
        <f t="shared" si="68"/>
        <v>1</v>
      </c>
      <c r="U194" s="10">
        <f t="shared" si="69"/>
        <v>0</v>
      </c>
      <c r="V194" s="10">
        <f t="shared" si="70"/>
        <v>0</v>
      </c>
      <c r="Y194" s="10">
        <f t="shared" si="71"/>
        <v>0</v>
      </c>
      <c r="Z194" s="10">
        <f t="shared" si="72"/>
        <v>0</v>
      </c>
      <c r="AA194" s="10">
        <f t="shared" si="72"/>
        <v>0</v>
      </c>
      <c r="AB194" s="10">
        <f t="shared" si="73"/>
        <v>-0.600823999755</v>
      </c>
      <c r="AC194" s="10">
        <f t="shared" si="73"/>
        <v>-11.934914502824579</v>
      </c>
      <c r="AD194" s="10">
        <f t="shared" si="73"/>
        <v>12.332992966090206</v>
      </c>
      <c r="AE194" s="10">
        <f t="shared" si="74"/>
        <v>1</v>
      </c>
      <c r="AF194" s="10">
        <f t="shared" si="75"/>
        <v>0</v>
      </c>
      <c r="AG194" s="10"/>
      <c r="AH194" s="10">
        <f t="shared" si="76"/>
        <v>-1</v>
      </c>
      <c r="AI194" s="10">
        <f t="shared" si="77"/>
        <v>0</v>
      </c>
      <c r="AJ194" s="10">
        <f t="shared" si="78"/>
        <v>0</v>
      </c>
      <c r="AZ194" s="10"/>
    </row>
    <row r="195" spans="2:52" x14ac:dyDescent="0.25">
      <c r="B195" s="10">
        <v>173</v>
      </c>
      <c r="C195">
        <v>0.27885221243195701</v>
      </c>
      <c r="D195">
        <v>-0.95662699095555581</v>
      </c>
      <c r="E195">
        <v>0.93893246253852958</v>
      </c>
      <c r="H195" s="10">
        <v>1</v>
      </c>
      <c r="I195" s="10">
        <f t="shared" si="60"/>
        <v>11.49751462114393</v>
      </c>
      <c r="J195" s="10">
        <f t="shared" si="61"/>
        <v>0.16387947269885617</v>
      </c>
      <c r="K195" s="10">
        <f t="shared" si="62"/>
        <v>-1</v>
      </c>
      <c r="N195" s="10">
        <f t="shared" si="63"/>
        <v>-100</v>
      </c>
      <c r="O195" s="10">
        <f t="shared" si="64"/>
        <v>-100</v>
      </c>
      <c r="P195" s="10">
        <f t="shared" si="65"/>
        <v>11.49751462114393</v>
      </c>
      <c r="Q195" s="10">
        <f t="shared" si="66"/>
        <v>0.16387947269885617</v>
      </c>
      <c r="S195" s="10">
        <f t="shared" si="67"/>
        <v>-135.80155361400176</v>
      </c>
      <c r="T195" s="10">
        <f t="shared" si="68"/>
        <v>-1</v>
      </c>
      <c r="U195" s="10">
        <f t="shared" si="69"/>
        <v>0</v>
      </c>
      <c r="V195" s="10">
        <f t="shared" si="70"/>
        <v>0</v>
      </c>
      <c r="Y195" s="10">
        <f t="shared" si="71"/>
        <v>0</v>
      </c>
      <c r="Z195" s="10">
        <f t="shared" si="72"/>
        <v>0</v>
      </c>
      <c r="AA195" s="10">
        <f t="shared" si="72"/>
        <v>0</v>
      </c>
      <c r="AB195" s="10">
        <f t="shared" si="73"/>
        <v>-0.600823999755</v>
      </c>
      <c r="AC195" s="10">
        <f t="shared" si="73"/>
        <v>-11.934914502824579</v>
      </c>
      <c r="AD195" s="10">
        <f t="shared" si="73"/>
        <v>12.332992966090206</v>
      </c>
      <c r="AE195" s="10">
        <f t="shared" si="74"/>
        <v>-1</v>
      </c>
      <c r="AF195" s="10">
        <f t="shared" si="75"/>
        <v>0</v>
      </c>
      <c r="AG195" s="10"/>
      <c r="AH195" s="10">
        <f t="shared" si="76"/>
        <v>1</v>
      </c>
      <c r="AI195" s="10">
        <f t="shared" si="77"/>
        <v>0</v>
      </c>
      <c r="AJ195" s="10">
        <f t="shared" si="78"/>
        <v>0</v>
      </c>
      <c r="AZ195" s="10"/>
    </row>
    <row r="196" spans="2:52" x14ac:dyDescent="0.25">
      <c r="B196" s="10">
        <v>174</v>
      </c>
      <c r="C196">
        <v>-3.8450025385827757E-2</v>
      </c>
      <c r="D196">
        <v>1.2827194950659759</v>
      </c>
      <c r="E196">
        <v>0.69740897854548789</v>
      </c>
      <c r="H196" s="10">
        <v>1</v>
      </c>
      <c r="I196" s="10">
        <f t="shared" si="60"/>
        <v>6.1520328150516947</v>
      </c>
      <c r="J196" s="10">
        <f t="shared" si="61"/>
        <v>16.848639980084283</v>
      </c>
      <c r="K196" s="10">
        <f t="shared" si="62"/>
        <v>1</v>
      </c>
      <c r="N196" s="10">
        <f t="shared" si="63"/>
        <v>6.1520328150516947</v>
      </c>
      <c r="O196" s="10">
        <f t="shared" si="64"/>
        <v>16.848639980084283</v>
      </c>
      <c r="P196" s="10">
        <f t="shared" si="65"/>
        <v>-100</v>
      </c>
      <c r="Q196" s="10">
        <f t="shared" si="66"/>
        <v>-100</v>
      </c>
      <c r="S196" s="10">
        <f t="shared" si="67"/>
        <v>133.76934869659749</v>
      </c>
      <c r="T196" s="10">
        <f t="shared" si="68"/>
        <v>1</v>
      </c>
      <c r="U196" s="10">
        <f t="shared" si="69"/>
        <v>0</v>
      </c>
      <c r="V196" s="10">
        <f t="shared" si="70"/>
        <v>0</v>
      </c>
      <c r="Y196" s="10">
        <f t="shared" si="71"/>
        <v>0</v>
      </c>
      <c r="Z196" s="10">
        <f t="shared" si="72"/>
        <v>0</v>
      </c>
      <c r="AA196" s="10">
        <f t="shared" si="72"/>
        <v>0</v>
      </c>
      <c r="AB196" s="10">
        <f t="shared" si="73"/>
        <v>-0.600823999755</v>
      </c>
      <c r="AC196" s="10">
        <f t="shared" si="73"/>
        <v>-11.934914502824579</v>
      </c>
      <c r="AD196" s="10">
        <f t="shared" si="73"/>
        <v>12.332992966090206</v>
      </c>
      <c r="AE196" s="10">
        <f t="shared" si="74"/>
        <v>1</v>
      </c>
      <c r="AF196" s="10">
        <f t="shared" si="75"/>
        <v>0</v>
      </c>
      <c r="AG196" s="10"/>
      <c r="AH196" s="10">
        <f t="shared" si="76"/>
        <v>1</v>
      </c>
      <c r="AI196" s="10">
        <f t="shared" si="77"/>
        <v>0</v>
      </c>
      <c r="AJ196" s="10">
        <f t="shared" si="78"/>
        <v>0</v>
      </c>
      <c r="AZ196" s="10"/>
    </row>
    <row r="197" spans="2:52" x14ac:dyDescent="0.25">
      <c r="B197" s="10">
        <v>175</v>
      </c>
      <c r="C197">
        <v>-1.7541242414154112</v>
      </c>
      <c r="D197">
        <v>0.13099452189635485</v>
      </c>
      <c r="E197">
        <v>0.85940122684408093</v>
      </c>
      <c r="H197" s="10">
        <v>1</v>
      </c>
      <c r="I197" s="10">
        <f t="shared" si="60"/>
        <v>7.8143075169644494</v>
      </c>
      <c r="J197" s="10">
        <f t="shared" si="61"/>
        <v>2.1343574264466416</v>
      </c>
      <c r="K197" s="10">
        <f t="shared" si="62"/>
        <v>-1</v>
      </c>
      <c r="N197" s="10">
        <f t="shared" si="63"/>
        <v>-100</v>
      </c>
      <c r="O197" s="10">
        <f t="shared" si="64"/>
        <v>-100</v>
      </c>
      <c r="P197" s="10">
        <f t="shared" si="65"/>
        <v>7.8143075169644494</v>
      </c>
      <c r="Q197" s="10">
        <f t="shared" si="66"/>
        <v>2.1343574264466416</v>
      </c>
      <c r="S197" s="10">
        <f t="shared" si="67"/>
        <v>-67.540900986016297</v>
      </c>
      <c r="T197" s="10">
        <f t="shared" si="68"/>
        <v>-1</v>
      </c>
      <c r="U197" s="10">
        <f t="shared" si="69"/>
        <v>0</v>
      </c>
      <c r="V197" s="10">
        <f t="shared" si="70"/>
        <v>0</v>
      </c>
      <c r="Y197" s="10">
        <f t="shared" si="71"/>
        <v>0</v>
      </c>
      <c r="Z197" s="10">
        <f t="shared" si="72"/>
        <v>0</v>
      </c>
      <c r="AA197" s="10">
        <f t="shared" si="72"/>
        <v>0</v>
      </c>
      <c r="AB197" s="10">
        <f t="shared" si="73"/>
        <v>-0.600823999755</v>
      </c>
      <c r="AC197" s="10">
        <f t="shared" si="73"/>
        <v>-11.934914502824579</v>
      </c>
      <c r="AD197" s="10">
        <f t="shared" si="73"/>
        <v>12.332992966090206</v>
      </c>
      <c r="AE197" s="10">
        <f t="shared" si="74"/>
        <v>-1</v>
      </c>
      <c r="AF197" s="10">
        <f t="shared" si="75"/>
        <v>0</v>
      </c>
      <c r="AG197" s="10"/>
      <c r="AH197" s="10">
        <f t="shared" si="76"/>
        <v>-1</v>
      </c>
      <c r="AI197" s="10">
        <f t="shared" si="77"/>
        <v>0</v>
      </c>
      <c r="AJ197" s="10">
        <f t="shared" si="78"/>
        <v>0</v>
      </c>
      <c r="AZ197" s="10"/>
    </row>
    <row r="198" spans="2:52" x14ac:dyDescent="0.25">
      <c r="B198" s="10">
        <v>176</v>
      </c>
      <c r="C198">
        <v>-0.11596284821280278</v>
      </c>
      <c r="D198">
        <v>-0.7184371497714892</v>
      </c>
      <c r="E198">
        <v>0.38505203405865657</v>
      </c>
      <c r="H198" s="10">
        <v>1</v>
      </c>
      <c r="I198" s="10">
        <f t="shared" si="60"/>
        <v>6.0402853789872557</v>
      </c>
      <c r="J198" s="10">
        <f t="shared" si="61"/>
        <v>13.963644748739421</v>
      </c>
      <c r="K198" s="10">
        <f t="shared" si="62"/>
        <v>1</v>
      </c>
      <c r="N198" s="10">
        <f t="shared" si="63"/>
        <v>6.0402853789872557</v>
      </c>
      <c r="O198" s="10">
        <f t="shared" si="64"/>
        <v>13.963644748739421</v>
      </c>
      <c r="P198" s="10">
        <f t="shared" si="65"/>
        <v>-100</v>
      </c>
      <c r="Q198" s="10">
        <f t="shared" si="66"/>
        <v>-100</v>
      </c>
      <c r="S198" s="10">
        <f t="shared" si="67"/>
        <v>99.522418896556474</v>
      </c>
      <c r="T198" s="10">
        <f t="shared" si="68"/>
        <v>1</v>
      </c>
      <c r="U198" s="10">
        <f t="shared" si="69"/>
        <v>0</v>
      </c>
      <c r="V198" s="10">
        <f t="shared" si="70"/>
        <v>0</v>
      </c>
      <c r="Y198" s="10">
        <f t="shared" si="71"/>
        <v>0</v>
      </c>
      <c r="Z198" s="10">
        <f t="shared" si="72"/>
        <v>0</v>
      </c>
      <c r="AA198" s="10">
        <f t="shared" si="72"/>
        <v>0</v>
      </c>
      <c r="AB198" s="10">
        <f t="shared" si="73"/>
        <v>-0.600823999755</v>
      </c>
      <c r="AC198" s="10">
        <f t="shared" si="73"/>
        <v>-11.934914502824579</v>
      </c>
      <c r="AD198" s="10">
        <f t="shared" si="73"/>
        <v>12.332992966090206</v>
      </c>
      <c r="AE198" s="10">
        <f t="shared" si="74"/>
        <v>1</v>
      </c>
      <c r="AF198" s="10">
        <f t="shared" si="75"/>
        <v>0</v>
      </c>
      <c r="AG198" s="10"/>
      <c r="AH198" s="10">
        <f t="shared" si="76"/>
        <v>1</v>
      </c>
      <c r="AI198" s="10">
        <f t="shared" si="77"/>
        <v>0</v>
      </c>
      <c r="AJ198" s="10">
        <f t="shared" si="78"/>
        <v>0</v>
      </c>
      <c r="AZ198" s="10"/>
    </row>
    <row r="199" spans="2:52" x14ac:dyDescent="0.25">
      <c r="B199" s="10">
        <v>177</v>
      </c>
      <c r="C199">
        <v>3.4240201784996316E-2</v>
      </c>
      <c r="D199">
        <v>-1.6926696844166145</v>
      </c>
      <c r="E199">
        <v>0.30195013275551624</v>
      </c>
      <c r="H199" s="10">
        <v>1</v>
      </c>
      <c r="I199" s="10">
        <f t="shared" si="60"/>
        <v>6.256827689203206</v>
      </c>
      <c r="J199" s="10">
        <f t="shared" si="61"/>
        <v>12.559128903404144</v>
      </c>
      <c r="K199" s="10">
        <f t="shared" si="62"/>
        <v>1</v>
      </c>
      <c r="N199" s="10">
        <f t="shared" si="63"/>
        <v>6.256827689203206</v>
      </c>
      <c r="O199" s="10">
        <f t="shared" si="64"/>
        <v>12.559128903404144</v>
      </c>
      <c r="P199" s="10">
        <f t="shared" si="65"/>
        <v>-100</v>
      </c>
      <c r="Q199" s="10">
        <f t="shared" si="66"/>
        <v>-100</v>
      </c>
      <c r="S199" s="10">
        <f t="shared" si="67"/>
        <v>79.616120896602766</v>
      </c>
      <c r="T199" s="10">
        <f t="shared" si="68"/>
        <v>1</v>
      </c>
      <c r="U199" s="10">
        <f t="shared" si="69"/>
        <v>0</v>
      </c>
      <c r="V199" s="10">
        <f t="shared" si="70"/>
        <v>0</v>
      </c>
      <c r="Y199" s="10">
        <f t="shared" si="71"/>
        <v>0</v>
      </c>
      <c r="Z199" s="10">
        <f t="shared" si="72"/>
        <v>0</v>
      </c>
      <c r="AA199" s="10">
        <f t="shared" si="72"/>
        <v>0</v>
      </c>
      <c r="AB199" s="10">
        <f t="shared" si="73"/>
        <v>-0.600823999755</v>
      </c>
      <c r="AC199" s="10">
        <f t="shared" si="73"/>
        <v>-11.934914502824579</v>
      </c>
      <c r="AD199" s="10">
        <f t="shared" si="73"/>
        <v>12.332992966090206</v>
      </c>
      <c r="AE199" s="10">
        <f t="shared" si="74"/>
        <v>1</v>
      </c>
      <c r="AF199" s="10">
        <f t="shared" si="75"/>
        <v>0</v>
      </c>
      <c r="AG199" s="10"/>
      <c r="AH199" s="10">
        <f t="shared" si="76"/>
        <v>1</v>
      </c>
      <c r="AI199" s="10">
        <f t="shared" si="77"/>
        <v>-1</v>
      </c>
      <c r="AJ199" s="10">
        <f t="shared" si="78"/>
        <v>1</v>
      </c>
      <c r="AZ199" s="10"/>
    </row>
    <row r="200" spans="2:52" x14ac:dyDescent="0.25">
      <c r="B200" s="10">
        <v>178</v>
      </c>
      <c r="C200">
        <v>-1.055609573086258</v>
      </c>
      <c r="D200">
        <v>1.2771647561748978</v>
      </c>
      <c r="E200">
        <v>0.98309274575029759</v>
      </c>
      <c r="H200" s="10">
        <v>1</v>
      </c>
      <c r="I200" s="10">
        <f t="shared" si="60"/>
        <v>9.079828415592953</v>
      </c>
      <c r="J200" s="10">
        <f t="shared" si="61"/>
        <v>4.21090993225876</v>
      </c>
      <c r="K200" s="10">
        <f t="shared" si="62"/>
        <v>-1</v>
      </c>
      <c r="N200" s="10">
        <f t="shared" si="63"/>
        <v>-100</v>
      </c>
      <c r="O200" s="10">
        <f t="shared" si="64"/>
        <v>-100</v>
      </c>
      <c r="P200" s="10">
        <f t="shared" si="65"/>
        <v>9.079828415592953</v>
      </c>
      <c r="Q200" s="10">
        <f t="shared" si="66"/>
        <v>4.21090993225876</v>
      </c>
      <c r="S200" s="10">
        <f t="shared" si="67"/>
        <v>-57.034677264787376</v>
      </c>
      <c r="T200" s="10">
        <f t="shared" si="68"/>
        <v>-1</v>
      </c>
      <c r="U200" s="10">
        <f t="shared" si="69"/>
        <v>0</v>
      </c>
      <c r="V200" s="10">
        <f t="shared" si="70"/>
        <v>0</v>
      </c>
      <c r="Y200" s="10">
        <f t="shared" si="71"/>
        <v>0</v>
      </c>
      <c r="Z200" s="10">
        <f t="shared" si="72"/>
        <v>0</v>
      </c>
      <c r="AA200" s="10">
        <f t="shared" si="72"/>
        <v>0</v>
      </c>
      <c r="AB200" s="10">
        <f t="shared" si="73"/>
        <v>-0.600823999755</v>
      </c>
      <c r="AC200" s="10">
        <f t="shared" si="73"/>
        <v>-11.934914502824579</v>
      </c>
      <c r="AD200" s="10">
        <f t="shared" si="73"/>
        <v>12.332992966090206</v>
      </c>
      <c r="AE200" s="10">
        <f t="shared" si="74"/>
        <v>-1</v>
      </c>
      <c r="AF200" s="10">
        <f t="shared" si="75"/>
        <v>0</v>
      </c>
      <c r="AG200" s="10"/>
      <c r="AH200" s="10">
        <f t="shared" si="76"/>
        <v>1</v>
      </c>
      <c r="AI200" s="10">
        <f t="shared" si="77"/>
        <v>0</v>
      </c>
      <c r="AJ200" s="10">
        <f t="shared" si="78"/>
        <v>0</v>
      </c>
      <c r="AZ200" s="10"/>
    </row>
    <row r="201" spans="2:52" x14ac:dyDescent="0.25">
      <c r="B201" s="10">
        <v>179</v>
      </c>
      <c r="C201">
        <v>0.13608882909466047</v>
      </c>
      <c r="D201">
        <v>-1.2634518498089164</v>
      </c>
      <c r="E201">
        <v>0.40345469527268291</v>
      </c>
      <c r="H201" s="10">
        <v>1</v>
      </c>
      <c r="I201" s="10">
        <f t="shared" si="60"/>
        <v>6.4036591753167116</v>
      </c>
      <c r="J201" s="10">
        <f t="shared" si="61"/>
        <v>13.177916747547124</v>
      </c>
      <c r="K201" s="10">
        <f t="shared" si="62"/>
        <v>1</v>
      </c>
      <c r="N201" s="10">
        <f t="shared" si="63"/>
        <v>6.4036591753167116</v>
      </c>
      <c r="O201" s="10">
        <f t="shared" si="64"/>
        <v>13.177916747547124</v>
      </c>
      <c r="P201" s="10">
        <f t="shared" si="65"/>
        <v>-100</v>
      </c>
      <c r="Q201" s="10">
        <f t="shared" si="66"/>
        <v>-100</v>
      </c>
      <c r="S201" s="10">
        <f t="shared" si="67"/>
        <v>85.495205792832891</v>
      </c>
      <c r="T201" s="10">
        <f t="shared" si="68"/>
        <v>1</v>
      </c>
      <c r="U201" s="10">
        <f t="shared" si="69"/>
        <v>0</v>
      </c>
      <c r="V201" s="10">
        <f t="shared" si="70"/>
        <v>0</v>
      </c>
      <c r="Y201" s="10">
        <f t="shared" si="71"/>
        <v>0</v>
      </c>
      <c r="Z201" s="10">
        <f t="shared" si="72"/>
        <v>0</v>
      </c>
      <c r="AA201" s="10">
        <f t="shared" si="72"/>
        <v>0</v>
      </c>
      <c r="AB201" s="10">
        <f t="shared" si="73"/>
        <v>-0.600823999755</v>
      </c>
      <c r="AC201" s="10">
        <f t="shared" si="73"/>
        <v>-11.934914502824579</v>
      </c>
      <c r="AD201" s="10">
        <f t="shared" si="73"/>
        <v>12.332992966090206</v>
      </c>
      <c r="AE201" s="10">
        <f t="shared" si="74"/>
        <v>1</v>
      </c>
      <c r="AF201" s="10">
        <f t="shared" si="75"/>
        <v>0</v>
      </c>
      <c r="AG201" s="10"/>
      <c r="AH201" s="10">
        <f t="shared" si="76"/>
        <v>1</v>
      </c>
      <c r="AI201" s="10">
        <f t="shared" si="77"/>
        <v>0</v>
      </c>
      <c r="AJ201" s="10">
        <f t="shared" si="78"/>
        <v>0</v>
      </c>
      <c r="AZ201" s="10"/>
    </row>
    <row r="202" spans="2:52" x14ac:dyDescent="0.25">
      <c r="B202" s="10">
        <v>180</v>
      </c>
      <c r="C202">
        <v>0.33426204026909545</v>
      </c>
      <c r="D202">
        <v>1.1451584214228205</v>
      </c>
      <c r="E202">
        <v>0.97323526718955045</v>
      </c>
      <c r="H202" s="10">
        <v>1</v>
      </c>
      <c r="I202" s="10">
        <f t="shared" si="60"/>
        <v>11.597902341397591</v>
      </c>
      <c r="J202" s="10">
        <f t="shared" si="61"/>
        <v>3.9717499218044292</v>
      </c>
      <c r="K202" s="10">
        <f t="shared" si="62"/>
        <v>-1</v>
      </c>
      <c r="N202" s="10">
        <f t="shared" si="63"/>
        <v>-100</v>
      </c>
      <c r="O202" s="10">
        <f t="shared" si="64"/>
        <v>-100</v>
      </c>
      <c r="P202" s="10">
        <f t="shared" si="65"/>
        <v>11.597902341397591</v>
      </c>
      <c r="Q202" s="10">
        <f t="shared" si="66"/>
        <v>3.9717499218044292</v>
      </c>
      <c r="S202" s="10">
        <f t="shared" si="67"/>
        <v>-90.037233007760875</v>
      </c>
      <c r="T202" s="10">
        <f t="shared" si="68"/>
        <v>-1</v>
      </c>
      <c r="U202" s="10">
        <f t="shared" si="69"/>
        <v>0</v>
      </c>
      <c r="V202" s="10">
        <f t="shared" si="70"/>
        <v>0</v>
      </c>
      <c r="X202">
        <f>SUM(V183:V202)</f>
        <v>0</v>
      </c>
      <c r="Y202" s="10">
        <f t="shared" si="71"/>
        <v>0</v>
      </c>
      <c r="Z202" s="10">
        <f t="shared" si="72"/>
        <v>0</v>
      </c>
      <c r="AA202" s="10">
        <f t="shared" si="72"/>
        <v>0</v>
      </c>
      <c r="AB202" s="10">
        <f t="shared" si="73"/>
        <v>-0.600823999755</v>
      </c>
      <c r="AC202" s="10">
        <f t="shared" si="73"/>
        <v>-11.934914502824579</v>
      </c>
      <c r="AD202" s="10">
        <f t="shared" si="73"/>
        <v>12.332992966090206</v>
      </c>
      <c r="AE202" s="10">
        <f t="shared" si="74"/>
        <v>-1</v>
      </c>
      <c r="AF202" s="10">
        <f t="shared" si="75"/>
        <v>0</v>
      </c>
      <c r="AG202" s="10"/>
      <c r="AH202" s="10">
        <f t="shared" si="76"/>
        <v>-1</v>
      </c>
      <c r="AI202" s="10">
        <f t="shared" si="77"/>
        <v>0</v>
      </c>
      <c r="AJ202" s="10">
        <f t="shared" si="78"/>
        <v>0</v>
      </c>
      <c r="AZ202" s="10"/>
    </row>
    <row r="203" spans="2:52" x14ac:dyDescent="0.25">
      <c r="B203" s="10">
        <v>181</v>
      </c>
      <c r="C203">
        <v>-1.2082909961463884</v>
      </c>
      <c r="D203">
        <v>0.38181724448804744</v>
      </c>
      <c r="E203">
        <v>0.60475478377636038</v>
      </c>
      <c r="H203" s="10">
        <v>1</v>
      </c>
      <c r="I203" s="10">
        <f t="shared" si="60"/>
        <v>4.4655153548704725</v>
      </c>
      <c r="J203" s="10">
        <f t="shared" si="61"/>
        <v>15.549841755802206</v>
      </c>
      <c r="K203" s="10">
        <f t="shared" si="62"/>
        <v>1</v>
      </c>
      <c r="N203" s="10">
        <f t="shared" si="63"/>
        <v>4.4655153548704725</v>
      </c>
      <c r="O203" s="10">
        <f t="shared" si="64"/>
        <v>15.549841755802206</v>
      </c>
      <c r="P203" s="10">
        <f t="shared" si="65"/>
        <v>-100</v>
      </c>
      <c r="Q203" s="10">
        <f t="shared" si="66"/>
        <v>-100</v>
      </c>
      <c r="S203" s="12">
        <f t="shared" si="67"/>
        <v>137.87972102693993</v>
      </c>
      <c r="T203" s="12">
        <f t="shared" si="68"/>
        <v>1</v>
      </c>
      <c r="U203" s="12">
        <f t="shared" si="69"/>
        <v>0</v>
      </c>
      <c r="V203" s="12">
        <f t="shared" si="70"/>
        <v>0</v>
      </c>
      <c r="W203" s="12"/>
      <c r="X203" s="12"/>
      <c r="Y203" s="10">
        <f t="shared" si="71"/>
        <v>0</v>
      </c>
      <c r="Z203" s="10">
        <f t="shared" si="72"/>
        <v>0</v>
      </c>
      <c r="AA203" s="10">
        <f t="shared" si="72"/>
        <v>0</v>
      </c>
      <c r="AB203" s="10">
        <f t="shared" si="73"/>
        <v>-0.600823999755</v>
      </c>
      <c r="AC203" s="10">
        <f t="shared" si="73"/>
        <v>-11.934914502824579</v>
      </c>
      <c r="AD203" s="10">
        <f t="shared" si="73"/>
        <v>12.332992966090206</v>
      </c>
      <c r="AE203" s="10">
        <f t="shared" si="74"/>
        <v>1</v>
      </c>
      <c r="AF203" s="10">
        <f t="shared" si="75"/>
        <v>0</v>
      </c>
      <c r="AG203" s="10"/>
      <c r="AH203" s="10">
        <f t="shared" si="76"/>
        <v>1</v>
      </c>
      <c r="AI203" s="10">
        <f t="shared" si="77"/>
        <v>0</v>
      </c>
      <c r="AJ203" s="10">
        <f t="shared" si="78"/>
        <v>0</v>
      </c>
      <c r="AZ203" s="10"/>
    </row>
    <row r="204" spans="2:52" x14ac:dyDescent="0.25">
      <c r="B204" s="10">
        <v>182</v>
      </c>
      <c r="C204">
        <v>-0.51792540034512058</v>
      </c>
      <c r="D204">
        <v>-3.1066883821040392</v>
      </c>
      <c r="E204">
        <v>0.68724631488998078</v>
      </c>
      <c r="H204" s="10">
        <v>1</v>
      </c>
      <c r="I204" s="10">
        <f t="shared" si="60"/>
        <v>5.4607904908321441</v>
      </c>
      <c r="J204" s="10">
        <f t="shared" si="61"/>
        <v>10.520589236664549</v>
      </c>
      <c r="K204" s="10">
        <f t="shared" si="62"/>
        <v>1</v>
      </c>
      <c r="N204" s="10">
        <f t="shared" si="63"/>
        <v>5.4607904908321441</v>
      </c>
      <c r="O204" s="10">
        <f t="shared" si="64"/>
        <v>10.520589236664549</v>
      </c>
      <c r="P204" s="10">
        <f t="shared" si="65"/>
        <v>-100</v>
      </c>
      <c r="Q204" s="10">
        <f t="shared" si="66"/>
        <v>-100</v>
      </c>
      <c r="S204" s="10">
        <f t="shared" si="67"/>
        <v>63.975461429234102</v>
      </c>
      <c r="T204" s="10">
        <f t="shared" si="68"/>
        <v>1</v>
      </c>
      <c r="U204" s="10">
        <f t="shared" si="69"/>
        <v>0</v>
      </c>
      <c r="V204" s="10">
        <f t="shared" si="70"/>
        <v>0</v>
      </c>
      <c r="Y204" s="10">
        <f t="shared" si="71"/>
        <v>0</v>
      </c>
      <c r="Z204" s="10">
        <f t="shared" si="72"/>
        <v>0</v>
      </c>
      <c r="AA204" s="10">
        <f t="shared" si="72"/>
        <v>0</v>
      </c>
      <c r="AB204" s="10">
        <f t="shared" si="73"/>
        <v>-0.600823999755</v>
      </c>
      <c r="AC204" s="10">
        <f t="shared" si="73"/>
        <v>-11.934914502824579</v>
      </c>
      <c r="AD204" s="10">
        <f t="shared" si="73"/>
        <v>12.332992966090206</v>
      </c>
      <c r="AE204" s="10">
        <f t="shared" si="74"/>
        <v>1</v>
      </c>
      <c r="AF204" s="10">
        <f t="shared" si="75"/>
        <v>0</v>
      </c>
      <c r="AG204" s="10"/>
      <c r="AH204" s="10">
        <f t="shared" si="76"/>
        <v>-1</v>
      </c>
      <c r="AI204" s="10">
        <f t="shared" si="77"/>
        <v>0</v>
      </c>
      <c r="AJ204" s="10">
        <f t="shared" si="78"/>
        <v>0</v>
      </c>
      <c r="AZ204" s="10"/>
    </row>
    <row r="205" spans="2:52" x14ac:dyDescent="0.25">
      <c r="B205" s="10">
        <v>183</v>
      </c>
      <c r="C205">
        <v>-1.1975657798757311</v>
      </c>
      <c r="D205">
        <v>-1.4546867532772012</v>
      </c>
      <c r="E205">
        <v>9.9185155796990884E-3</v>
      </c>
      <c r="H205" s="10">
        <v>1</v>
      </c>
      <c r="I205" s="10">
        <f t="shared" si="60"/>
        <v>4.4809775116565556</v>
      </c>
      <c r="J205" s="10">
        <f t="shared" si="61"/>
        <v>12.902220296699067</v>
      </c>
      <c r="K205" s="10">
        <f t="shared" si="62"/>
        <v>1</v>
      </c>
      <c r="N205" s="10">
        <f t="shared" si="63"/>
        <v>4.4809775116565556</v>
      </c>
      <c r="O205" s="10">
        <f t="shared" si="64"/>
        <v>12.902220296699067</v>
      </c>
      <c r="P205" s="10">
        <f t="shared" si="65"/>
        <v>-100</v>
      </c>
      <c r="Q205" s="10">
        <f t="shared" si="66"/>
        <v>-100</v>
      </c>
      <c r="S205" s="10">
        <f t="shared" si="67"/>
        <v>105.04208467568026</v>
      </c>
      <c r="T205" s="10">
        <f t="shared" si="68"/>
        <v>1</v>
      </c>
      <c r="U205" s="10">
        <f t="shared" si="69"/>
        <v>0</v>
      </c>
      <c r="V205" s="10">
        <f t="shared" si="70"/>
        <v>0</v>
      </c>
      <c r="Y205" s="10">
        <f t="shared" si="71"/>
        <v>0</v>
      </c>
      <c r="Z205" s="10">
        <f t="shared" si="72"/>
        <v>0</v>
      </c>
      <c r="AA205" s="10">
        <f t="shared" si="72"/>
        <v>0</v>
      </c>
      <c r="AB205" s="10">
        <f t="shared" si="73"/>
        <v>-0.600823999755</v>
      </c>
      <c r="AC205" s="10">
        <f t="shared" si="73"/>
        <v>-11.934914502824579</v>
      </c>
      <c r="AD205" s="10">
        <f t="shared" si="73"/>
        <v>12.332992966090206</v>
      </c>
      <c r="AE205" s="10">
        <f t="shared" si="74"/>
        <v>1</v>
      </c>
      <c r="AF205" s="10">
        <f t="shared" si="75"/>
        <v>0</v>
      </c>
      <c r="AG205" s="10"/>
      <c r="AH205" s="10">
        <f t="shared" si="76"/>
        <v>1</v>
      </c>
      <c r="AI205" s="10">
        <f t="shared" si="77"/>
        <v>0</v>
      </c>
      <c r="AJ205" s="10">
        <f t="shared" si="78"/>
        <v>0</v>
      </c>
      <c r="AZ205" s="10"/>
    </row>
    <row r="206" spans="2:52" x14ac:dyDescent="0.25">
      <c r="B206" s="10">
        <v>184</v>
      </c>
      <c r="C206">
        <v>2.9218790587037802</v>
      </c>
      <c r="D206">
        <v>-0.74533545557642356</v>
      </c>
      <c r="E206">
        <v>0.32712790307321388</v>
      </c>
      <c r="H206" s="10">
        <v>1</v>
      </c>
      <c r="I206" s="10">
        <f t="shared" si="60"/>
        <v>10.419832296338019</v>
      </c>
      <c r="J206" s="10">
        <f t="shared" si="61"/>
        <v>13.92486643311946</v>
      </c>
      <c r="K206" s="10">
        <f t="shared" si="62"/>
        <v>1</v>
      </c>
      <c r="N206" s="10">
        <f t="shared" si="63"/>
        <v>10.419832296338019</v>
      </c>
      <c r="O206" s="10">
        <f t="shared" si="64"/>
        <v>13.92486643311946</v>
      </c>
      <c r="P206" s="10">
        <f t="shared" si="65"/>
        <v>-100</v>
      </c>
      <c r="Q206" s="10">
        <f t="shared" si="66"/>
        <v>-100</v>
      </c>
      <c r="S206" s="10">
        <f t="shared" si="67"/>
        <v>46.77464818308836</v>
      </c>
      <c r="T206" s="10">
        <f t="shared" si="68"/>
        <v>1</v>
      </c>
      <c r="U206" s="10">
        <f t="shared" si="69"/>
        <v>0</v>
      </c>
      <c r="V206" s="10">
        <f t="shared" si="70"/>
        <v>0</v>
      </c>
      <c r="Y206" s="10">
        <f t="shared" si="71"/>
        <v>0</v>
      </c>
      <c r="Z206" s="10">
        <f t="shared" si="72"/>
        <v>0</v>
      </c>
      <c r="AA206" s="10">
        <f t="shared" si="72"/>
        <v>0</v>
      </c>
      <c r="AB206" s="10">
        <f t="shared" si="73"/>
        <v>-0.600823999755</v>
      </c>
      <c r="AC206" s="10">
        <f t="shared" si="73"/>
        <v>-11.934914502824579</v>
      </c>
      <c r="AD206" s="10">
        <f t="shared" si="73"/>
        <v>12.332992966090206</v>
      </c>
      <c r="AE206" s="10">
        <f t="shared" si="74"/>
        <v>1</v>
      </c>
      <c r="AF206" s="10">
        <f t="shared" si="75"/>
        <v>0</v>
      </c>
      <c r="AG206" s="10"/>
      <c r="AH206" s="10">
        <f t="shared" si="76"/>
        <v>1</v>
      </c>
      <c r="AI206" s="10">
        <f t="shared" si="77"/>
        <v>0</v>
      </c>
      <c r="AJ206" s="10">
        <f t="shared" si="78"/>
        <v>0</v>
      </c>
      <c r="AZ206" s="10"/>
    </row>
    <row r="207" spans="2:52" x14ac:dyDescent="0.25">
      <c r="B207" s="10">
        <v>185</v>
      </c>
      <c r="C207">
        <v>0.9434143066755496</v>
      </c>
      <c r="D207">
        <v>0.66012944444082677</v>
      </c>
      <c r="E207">
        <v>3.2776879177220983E-2</v>
      </c>
      <c r="H207" s="10">
        <v>1</v>
      </c>
      <c r="I207" s="10">
        <f t="shared" si="60"/>
        <v>7.5675511469785546</v>
      </c>
      <c r="J207" s="10">
        <f t="shared" si="61"/>
        <v>15.951074398814058</v>
      </c>
      <c r="K207" s="10">
        <f t="shared" si="62"/>
        <v>1</v>
      </c>
      <c r="N207" s="10">
        <f t="shared" si="63"/>
        <v>7.5675511469785546</v>
      </c>
      <c r="O207" s="10">
        <f t="shared" si="64"/>
        <v>15.951074398814058</v>
      </c>
      <c r="P207" s="10">
        <f t="shared" si="65"/>
        <v>-100</v>
      </c>
      <c r="Q207" s="10">
        <f t="shared" si="66"/>
        <v>-100</v>
      </c>
      <c r="S207" s="10">
        <f t="shared" si="67"/>
        <v>105.80558842745921</v>
      </c>
      <c r="T207" s="10">
        <f t="shared" si="68"/>
        <v>1</v>
      </c>
      <c r="U207" s="10">
        <f t="shared" si="69"/>
        <v>0</v>
      </c>
      <c r="V207" s="10">
        <f t="shared" si="70"/>
        <v>0</v>
      </c>
      <c r="Y207" s="10">
        <f t="shared" si="71"/>
        <v>0</v>
      </c>
      <c r="Z207" s="10">
        <f t="shared" si="72"/>
        <v>0</v>
      </c>
      <c r="AA207" s="10">
        <f t="shared" si="72"/>
        <v>0</v>
      </c>
      <c r="AB207" s="10">
        <f t="shared" si="73"/>
        <v>-0.600823999755</v>
      </c>
      <c r="AC207" s="10">
        <f t="shared" si="73"/>
        <v>-11.934914502824579</v>
      </c>
      <c r="AD207" s="10">
        <f t="shared" si="73"/>
        <v>12.332992966090206</v>
      </c>
      <c r="AE207" s="10">
        <f t="shared" si="74"/>
        <v>1</v>
      </c>
      <c r="AF207" s="10">
        <f t="shared" si="75"/>
        <v>0</v>
      </c>
      <c r="AG207" s="10"/>
      <c r="AH207" s="10">
        <f t="shared" si="76"/>
        <v>1</v>
      </c>
      <c r="AI207" s="10">
        <f t="shared" si="77"/>
        <v>0</v>
      </c>
      <c r="AJ207" s="10">
        <f t="shared" si="78"/>
        <v>0</v>
      </c>
      <c r="AZ207" s="10"/>
    </row>
    <row r="208" spans="2:52" x14ac:dyDescent="0.25">
      <c r="B208" s="10">
        <v>186</v>
      </c>
      <c r="C208">
        <v>0.25041003937076312</v>
      </c>
      <c r="D208">
        <v>-0.12891177902929485</v>
      </c>
      <c r="E208">
        <v>0.90441602832117685</v>
      </c>
      <c r="H208" s="10">
        <v>1</v>
      </c>
      <c r="I208" s="10">
        <f t="shared" si="60"/>
        <v>11.445985045541104</v>
      </c>
      <c r="J208" s="10">
        <f t="shared" si="61"/>
        <v>1.6634770420827634</v>
      </c>
      <c r="K208" s="10">
        <f t="shared" si="62"/>
        <v>-1</v>
      </c>
      <c r="N208" s="10">
        <f t="shared" si="63"/>
        <v>-100</v>
      </c>
      <c r="O208" s="10">
        <f t="shared" si="64"/>
        <v>-100</v>
      </c>
      <c r="P208" s="10">
        <f t="shared" si="65"/>
        <v>11.445985045541104</v>
      </c>
      <c r="Q208" s="10">
        <f t="shared" si="66"/>
        <v>1.6634770420827634</v>
      </c>
      <c r="S208" s="10">
        <f t="shared" si="67"/>
        <v>-116.6920262596375</v>
      </c>
      <c r="T208" s="10">
        <f t="shared" si="68"/>
        <v>-1</v>
      </c>
      <c r="U208" s="10">
        <f t="shared" si="69"/>
        <v>0</v>
      </c>
      <c r="V208" s="10">
        <f t="shared" si="70"/>
        <v>0</v>
      </c>
      <c r="Y208" s="10">
        <f t="shared" si="71"/>
        <v>0</v>
      </c>
      <c r="Z208" s="10">
        <f t="shared" si="72"/>
        <v>0</v>
      </c>
      <c r="AA208" s="10">
        <f t="shared" si="72"/>
        <v>0</v>
      </c>
      <c r="AB208" s="10">
        <f t="shared" si="73"/>
        <v>-0.600823999755</v>
      </c>
      <c r="AC208" s="10">
        <f t="shared" si="73"/>
        <v>-11.934914502824579</v>
      </c>
      <c r="AD208" s="10">
        <f t="shared" si="73"/>
        <v>12.332992966090206</v>
      </c>
      <c r="AE208" s="10">
        <f t="shared" si="74"/>
        <v>-1</v>
      </c>
      <c r="AF208" s="10">
        <f t="shared" si="75"/>
        <v>0</v>
      </c>
      <c r="AG208" s="10"/>
      <c r="AH208" s="10">
        <f t="shared" si="76"/>
        <v>-1</v>
      </c>
      <c r="AI208" s="10">
        <f t="shared" si="77"/>
        <v>1</v>
      </c>
      <c r="AJ208" s="10">
        <f t="shared" si="78"/>
        <v>1</v>
      </c>
      <c r="AZ208" s="10"/>
    </row>
    <row r="209" spans="2:52" x14ac:dyDescent="0.25">
      <c r="B209" s="10">
        <v>187</v>
      </c>
      <c r="C209">
        <v>-8.3518898463808E-2</v>
      </c>
      <c r="D209">
        <v>0.89668901637196541</v>
      </c>
      <c r="E209">
        <v>0.94250312814722126</v>
      </c>
      <c r="H209" s="10">
        <v>1</v>
      </c>
      <c r="I209" s="10">
        <f t="shared" si="60"/>
        <v>10.840995531867307</v>
      </c>
      <c r="J209" s="10">
        <f t="shared" si="61"/>
        <v>3.5215901198437978</v>
      </c>
      <c r="K209" s="10">
        <f t="shared" si="62"/>
        <v>-1</v>
      </c>
      <c r="N209" s="10">
        <f t="shared" si="63"/>
        <v>-100</v>
      </c>
      <c r="O209" s="10">
        <f t="shared" si="64"/>
        <v>-100</v>
      </c>
      <c r="P209" s="10">
        <f t="shared" si="65"/>
        <v>10.840995531867307</v>
      </c>
      <c r="Q209" s="10">
        <f t="shared" si="66"/>
        <v>3.5215901198437978</v>
      </c>
      <c r="S209" s="10">
        <f t="shared" si="67"/>
        <v>-86.555432620608258</v>
      </c>
      <c r="T209" s="10">
        <f t="shared" si="68"/>
        <v>-1</v>
      </c>
      <c r="U209" s="10">
        <f t="shared" si="69"/>
        <v>0</v>
      </c>
      <c r="V209" s="10">
        <f t="shared" si="70"/>
        <v>0</v>
      </c>
      <c r="Y209" s="10">
        <f t="shared" si="71"/>
        <v>0</v>
      </c>
      <c r="Z209" s="10">
        <f t="shared" si="72"/>
        <v>0</v>
      </c>
      <c r="AA209" s="10">
        <f t="shared" si="72"/>
        <v>0</v>
      </c>
      <c r="AB209" s="10">
        <f t="shared" si="73"/>
        <v>-0.600823999755</v>
      </c>
      <c r="AC209" s="10">
        <f t="shared" si="73"/>
        <v>-11.934914502824579</v>
      </c>
      <c r="AD209" s="10">
        <f t="shared" si="73"/>
        <v>12.332992966090206</v>
      </c>
      <c r="AE209" s="10">
        <f t="shared" si="74"/>
        <v>-1</v>
      </c>
      <c r="AF209" s="10">
        <f t="shared" si="75"/>
        <v>0</v>
      </c>
      <c r="AG209" s="10"/>
      <c r="AH209" s="10">
        <f t="shared" si="76"/>
        <v>1</v>
      </c>
      <c r="AI209" s="10">
        <f t="shared" si="77"/>
        <v>0</v>
      </c>
      <c r="AJ209" s="10">
        <f t="shared" si="78"/>
        <v>0</v>
      </c>
      <c r="AZ209" s="10"/>
    </row>
    <row r="210" spans="2:52" x14ac:dyDescent="0.25">
      <c r="B210" s="10">
        <v>188</v>
      </c>
      <c r="C210">
        <v>0.66794882513931952</v>
      </c>
      <c r="D210">
        <v>1.7587717593414709</v>
      </c>
      <c r="E210">
        <v>0.5135959959715567</v>
      </c>
      <c r="H210" s="10">
        <v>1</v>
      </c>
      <c r="I210" s="10">
        <f t="shared" si="60"/>
        <v>7.1704225150534473</v>
      </c>
      <c r="J210" s="10">
        <f t="shared" si="61"/>
        <v>17.534947329310945</v>
      </c>
      <c r="K210" s="10">
        <f t="shared" si="62"/>
        <v>1</v>
      </c>
      <c r="N210" s="10">
        <f t="shared" si="63"/>
        <v>7.1704225150534473</v>
      </c>
      <c r="O210" s="10">
        <f t="shared" si="64"/>
        <v>17.534947329310945</v>
      </c>
      <c r="P210" s="10">
        <f t="shared" si="65"/>
        <v>-100</v>
      </c>
      <c r="Q210" s="10">
        <f t="shared" si="66"/>
        <v>-100</v>
      </c>
      <c r="S210" s="10">
        <f t="shared" si="67"/>
        <v>130.07917840710786</v>
      </c>
      <c r="T210" s="10">
        <f t="shared" si="68"/>
        <v>1</v>
      </c>
      <c r="U210" s="10">
        <f t="shared" si="69"/>
        <v>0</v>
      </c>
      <c r="V210" s="10">
        <f t="shared" si="70"/>
        <v>0</v>
      </c>
      <c r="Y210" s="10">
        <f t="shared" si="71"/>
        <v>0</v>
      </c>
      <c r="Z210" s="10">
        <f t="shared" si="72"/>
        <v>0</v>
      </c>
      <c r="AA210" s="10">
        <f t="shared" si="72"/>
        <v>0</v>
      </c>
      <c r="AB210" s="10">
        <f t="shared" si="73"/>
        <v>-0.600823999755</v>
      </c>
      <c r="AC210" s="10">
        <f t="shared" si="73"/>
        <v>-11.934914502824579</v>
      </c>
      <c r="AD210" s="10">
        <f t="shared" si="73"/>
        <v>12.332992966090206</v>
      </c>
      <c r="AE210" s="10">
        <f t="shared" si="74"/>
        <v>1</v>
      </c>
      <c r="AF210" s="10">
        <f t="shared" si="75"/>
        <v>0</v>
      </c>
      <c r="AG210" s="10"/>
      <c r="AH210" s="10">
        <f t="shared" si="76"/>
        <v>-1</v>
      </c>
      <c r="AI210" s="10">
        <f t="shared" si="77"/>
        <v>0</v>
      </c>
      <c r="AJ210" s="10">
        <f t="shared" si="78"/>
        <v>0</v>
      </c>
      <c r="AZ210" s="10"/>
    </row>
    <row r="211" spans="2:52" x14ac:dyDescent="0.25">
      <c r="B211" s="10">
        <v>189</v>
      </c>
      <c r="C211">
        <v>1.6837657312862575</v>
      </c>
      <c r="D211">
        <v>0.21003074834879953</v>
      </c>
      <c r="E211">
        <v>0.31196020386364332</v>
      </c>
      <c r="H211" s="10">
        <v>1</v>
      </c>
      <c r="I211" s="10">
        <f t="shared" si="60"/>
        <v>8.6348890463036447</v>
      </c>
      <c r="J211" s="10">
        <f t="shared" si="61"/>
        <v>15.302183371112672</v>
      </c>
      <c r="K211" s="10">
        <f t="shared" si="62"/>
        <v>1</v>
      </c>
      <c r="N211" s="10">
        <f t="shared" si="63"/>
        <v>8.6348890463036447</v>
      </c>
      <c r="O211" s="10">
        <f t="shared" si="64"/>
        <v>15.302183371112672</v>
      </c>
      <c r="P211" s="10">
        <f t="shared" si="65"/>
        <v>-100</v>
      </c>
      <c r="Q211" s="10">
        <f t="shared" si="66"/>
        <v>-100</v>
      </c>
      <c r="S211" s="10">
        <f t="shared" si="67"/>
        <v>85.064233372989634</v>
      </c>
      <c r="T211" s="10">
        <f t="shared" si="68"/>
        <v>1</v>
      </c>
      <c r="U211" s="10">
        <f t="shared" si="69"/>
        <v>0</v>
      </c>
      <c r="V211" s="10">
        <f t="shared" si="70"/>
        <v>0</v>
      </c>
      <c r="Y211" s="10">
        <f t="shared" si="71"/>
        <v>0</v>
      </c>
      <c r="Z211" s="10">
        <f t="shared" si="72"/>
        <v>0</v>
      </c>
      <c r="AA211" s="10">
        <f t="shared" si="72"/>
        <v>0</v>
      </c>
      <c r="AB211" s="10">
        <f t="shared" si="73"/>
        <v>-0.600823999755</v>
      </c>
      <c r="AC211" s="10">
        <f t="shared" si="73"/>
        <v>-11.934914502824579</v>
      </c>
      <c r="AD211" s="10">
        <f t="shared" si="73"/>
        <v>12.332992966090206</v>
      </c>
      <c r="AE211" s="10">
        <f t="shared" si="74"/>
        <v>1</v>
      </c>
      <c r="AF211" s="10">
        <f t="shared" si="75"/>
        <v>0</v>
      </c>
      <c r="AG211" s="10"/>
      <c r="AH211" s="10">
        <f t="shared" si="76"/>
        <v>-1</v>
      </c>
      <c r="AI211" s="10">
        <f t="shared" si="77"/>
        <v>0</v>
      </c>
      <c r="AJ211" s="10">
        <f t="shared" si="78"/>
        <v>0</v>
      </c>
      <c r="AZ211" s="10"/>
    </row>
    <row r="212" spans="2:52" x14ac:dyDescent="0.25">
      <c r="B212" s="10">
        <v>190</v>
      </c>
      <c r="C212">
        <v>1.0731332622526679</v>
      </c>
      <c r="D212">
        <v>-1.4448414731305093</v>
      </c>
      <c r="E212">
        <v>0.17801446577349161</v>
      </c>
      <c r="H212" s="10">
        <v>1</v>
      </c>
      <c r="I212" s="10">
        <f t="shared" si="60"/>
        <v>7.7545622783762251</v>
      </c>
      <c r="J212" s="10">
        <f t="shared" si="61"/>
        <v>12.916413881368079</v>
      </c>
      <c r="K212" s="10">
        <f t="shared" si="62"/>
        <v>1</v>
      </c>
      <c r="N212" s="10">
        <f t="shared" si="63"/>
        <v>7.7545622783762251</v>
      </c>
      <c r="O212" s="10">
        <f t="shared" si="64"/>
        <v>12.916413881368079</v>
      </c>
      <c r="P212" s="10">
        <f t="shared" si="65"/>
        <v>-100</v>
      </c>
      <c r="Q212" s="10">
        <f t="shared" si="66"/>
        <v>-100</v>
      </c>
      <c r="S212" s="10">
        <f t="shared" si="67"/>
        <v>66.147179747018612</v>
      </c>
      <c r="T212" s="10">
        <f t="shared" si="68"/>
        <v>1</v>
      </c>
      <c r="U212" s="10">
        <f t="shared" si="69"/>
        <v>0</v>
      </c>
      <c r="V212" s="10">
        <f t="shared" si="70"/>
        <v>0</v>
      </c>
      <c r="Y212" s="10">
        <f t="shared" si="71"/>
        <v>0</v>
      </c>
      <c r="Z212" s="10">
        <f t="shared" si="72"/>
        <v>0</v>
      </c>
      <c r="AA212" s="10">
        <f t="shared" si="72"/>
        <v>0</v>
      </c>
      <c r="AB212" s="10">
        <f t="shared" si="73"/>
        <v>-0.600823999755</v>
      </c>
      <c r="AC212" s="10">
        <f t="shared" si="73"/>
        <v>-11.934914502824579</v>
      </c>
      <c r="AD212" s="10">
        <f t="shared" si="73"/>
        <v>12.332992966090206</v>
      </c>
      <c r="AE212" s="10">
        <f t="shared" si="74"/>
        <v>1</v>
      </c>
      <c r="AF212" s="10">
        <f t="shared" si="75"/>
        <v>0</v>
      </c>
      <c r="AG212" s="10"/>
      <c r="AH212" s="10">
        <f t="shared" si="76"/>
        <v>1</v>
      </c>
      <c r="AI212" s="10">
        <f t="shared" si="77"/>
        <v>0</v>
      </c>
      <c r="AJ212" s="10">
        <f t="shared" si="78"/>
        <v>0</v>
      </c>
      <c r="AZ212" s="10"/>
    </row>
    <row r="213" spans="2:52" x14ac:dyDescent="0.25">
      <c r="B213" s="10">
        <v>191</v>
      </c>
      <c r="C213">
        <v>-0.80695826909504831</v>
      </c>
      <c r="D213">
        <v>-0.73828459790092893</v>
      </c>
      <c r="E213">
        <v>0.9072542497024445</v>
      </c>
      <c r="H213" s="10">
        <v>1</v>
      </c>
      <c r="I213" s="10">
        <f t="shared" si="60"/>
        <v>9.5303177695599981</v>
      </c>
      <c r="J213" s="10">
        <f t="shared" si="61"/>
        <v>0.55945722359725791</v>
      </c>
      <c r="K213" s="10">
        <f t="shared" si="62"/>
        <v>-1</v>
      </c>
      <c r="N213" s="10">
        <f t="shared" si="63"/>
        <v>-100</v>
      </c>
      <c r="O213" s="10">
        <f t="shared" si="64"/>
        <v>-100</v>
      </c>
      <c r="P213" s="10">
        <f t="shared" si="65"/>
        <v>9.5303177695599981</v>
      </c>
      <c r="Q213" s="10">
        <f t="shared" si="66"/>
        <v>0.55945722359725791</v>
      </c>
      <c r="S213" s="10">
        <f t="shared" si="67"/>
        <v>-107.44456976075007</v>
      </c>
      <c r="T213" s="10">
        <f t="shared" si="68"/>
        <v>-1</v>
      </c>
      <c r="U213" s="10">
        <f t="shared" si="69"/>
        <v>0</v>
      </c>
      <c r="V213" s="10">
        <f t="shared" si="70"/>
        <v>0</v>
      </c>
      <c r="Y213" s="10">
        <f t="shared" si="71"/>
        <v>0</v>
      </c>
      <c r="Z213" s="10">
        <f t="shared" si="72"/>
        <v>0</v>
      </c>
      <c r="AA213" s="10">
        <f t="shared" si="72"/>
        <v>0</v>
      </c>
      <c r="AB213" s="10">
        <f t="shared" si="73"/>
        <v>-0.600823999755</v>
      </c>
      <c r="AC213" s="10">
        <f t="shared" si="73"/>
        <v>-11.934914502824579</v>
      </c>
      <c r="AD213" s="10">
        <f t="shared" si="73"/>
        <v>12.332992966090206</v>
      </c>
      <c r="AE213" s="10">
        <f t="shared" si="74"/>
        <v>-1</v>
      </c>
      <c r="AF213" s="10">
        <f t="shared" si="75"/>
        <v>0</v>
      </c>
      <c r="AG213" s="10"/>
      <c r="AH213" s="10">
        <f t="shared" si="76"/>
        <v>1</v>
      </c>
      <c r="AI213" s="10">
        <f t="shared" si="77"/>
        <v>0</v>
      </c>
      <c r="AJ213" s="10">
        <f t="shared" si="78"/>
        <v>0</v>
      </c>
      <c r="AZ213" s="10"/>
    </row>
    <row r="214" spans="2:52" x14ac:dyDescent="0.25">
      <c r="B214" s="10">
        <v>192</v>
      </c>
      <c r="C214">
        <v>-1.5766681826789863</v>
      </c>
      <c r="D214">
        <v>1.2962436812813394</v>
      </c>
      <c r="E214">
        <v>0.90505691702017277</v>
      </c>
      <c r="H214" s="10">
        <v>1</v>
      </c>
      <c r="I214" s="10">
        <f t="shared" si="60"/>
        <v>8.1358102156212642</v>
      </c>
      <c r="J214" s="10">
        <f t="shared" si="61"/>
        <v>4.2454758183314532</v>
      </c>
      <c r="K214" s="10">
        <f t="shared" si="62"/>
        <v>-1</v>
      </c>
      <c r="N214" s="10">
        <f t="shared" si="63"/>
        <v>-100</v>
      </c>
      <c r="O214" s="10">
        <f t="shared" si="64"/>
        <v>-100</v>
      </c>
      <c r="P214" s="10">
        <f t="shared" si="65"/>
        <v>8.1358102156212642</v>
      </c>
      <c r="Q214" s="10">
        <f t="shared" si="66"/>
        <v>4.2454758183314532</v>
      </c>
      <c r="S214" s="10">
        <f t="shared" si="67"/>
        <v>-45.341599929213707</v>
      </c>
      <c r="T214" s="10">
        <f t="shared" si="68"/>
        <v>-1</v>
      </c>
      <c r="U214" s="10">
        <f t="shared" si="69"/>
        <v>0</v>
      </c>
      <c r="V214" s="10">
        <f t="shared" si="70"/>
        <v>0</v>
      </c>
      <c r="Y214" s="10">
        <f t="shared" si="71"/>
        <v>0</v>
      </c>
      <c r="Z214" s="10">
        <f t="shared" si="72"/>
        <v>0</v>
      </c>
      <c r="AA214" s="10">
        <f t="shared" si="72"/>
        <v>0</v>
      </c>
      <c r="AB214" s="10">
        <f t="shared" si="73"/>
        <v>-0.600823999755</v>
      </c>
      <c r="AC214" s="10">
        <f t="shared" si="73"/>
        <v>-11.934914502824579</v>
      </c>
      <c r="AD214" s="10">
        <f t="shared" si="73"/>
        <v>12.332992966090206</v>
      </c>
      <c r="AE214" s="10">
        <f t="shared" si="74"/>
        <v>-1</v>
      </c>
      <c r="AF214" s="10">
        <f t="shared" si="75"/>
        <v>0</v>
      </c>
      <c r="AG214" s="10"/>
      <c r="AH214" s="10">
        <f t="shared" si="76"/>
        <v>1</v>
      </c>
      <c r="AI214" s="10">
        <f t="shared" si="77"/>
        <v>0</v>
      </c>
      <c r="AJ214" s="10">
        <f t="shared" si="78"/>
        <v>0</v>
      </c>
      <c r="AZ214" s="10"/>
    </row>
    <row r="215" spans="2:52" x14ac:dyDescent="0.25">
      <c r="B215" s="10">
        <v>193</v>
      </c>
      <c r="C215">
        <v>1.3502176443580538</v>
      </c>
      <c r="D215">
        <v>-0.92659547590301372</v>
      </c>
      <c r="E215">
        <v>0.35285500656147956</v>
      </c>
      <c r="H215" s="10">
        <v>1</v>
      </c>
      <c r="I215" s="10">
        <f t="shared" si="60"/>
        <v>8.1540248207596093</v>
      </c>
      <c r="J215" s="10">
        <f t="shared" si="61"/>
        <v>13.663550410895644</v>
      </c>
      <c r="K215" s="10">
        <f t="shared" si="62"/>
        <v>1</v>
      </c>
      <c r="N215" s="10">
        <f t="shared" si="63"/>
        <v>8.1540248207596093</v>
      </c>
      <c r="O215" s="10">
        <f t="shared" si="64"/>
        <v>13.663550410895644</v>
      </c>
      <c r="P215" s="10">
        <f t="shared" si="65"/>
        <v>-100</v>
      </c>
      <c r="Q215" s="10">
        <f t="shared" si="66"/>
        <v>-100</v>
      </c>
      <c r="S215" s="10">
        <f t="shared" si="67"/>
        <v>70.594058019964464</v>
      </c>
      <c r="T215" s="10">
        <f t="shared" si="68"/>
        <v>1</v>
      </c>
      <c r="U215" s="10">
        <f t="shared" si="69"/>
        <v>0</v>
      </c>
      <c r="V215" s="10">
        <f t="shared" si="70"/>
        <v>0</v>
      </c>
      <c r="Y215" s="10">
        <f t="shared" si="71"/>
        <v>0</v>
      </c>
      <c r="Z215" s="10">
        <f t="shared" si="72"/>
        <v>0</v>
      </c>
      <c r="AA215" s="10">
        <f t="shared" si="72"/>
        <v>0</v>
      </c>
      <c r="AB215" s="10">
        <f t="shared" si="73"/>
        <v>-0.600823999755</v>
      </c>
      <c r="AC215" s="10">
        <f t="shared" si="73"/>
        <v>-11.934914502824579</v>
      </c>
      <c r="AD215" s="10">
        <f t="shared" si="73"/>
        <v>12.332992966090206</v>
      </c>
      <c r="AE215" s="10">
        <f t="shared" si="74"/>
        <v>1</v>
      </c>
      <c r="AF215" s="10">
        <f t="shared" si="75"/>
        <v>0</v>
      </c>
      <c r="AG215" s="10"/>
      <c r="AH215" s="10">
        <f t="shared" si="76"/>
        <v>-1</v>
      </c>
      <c r="AI215" s="10">
        <f t="shared" si="77"/>
        <v>0</v>
      </c>
      <c r="AJ215" s="10">
        <f t="shared" si="78"/>
        <v>0</v>
      </c>
      <c r="AZ215" s="10"/>
    </row>
    <row r="216" spans="2:52" x14ac:dyDescent="0.25">
      <c r="B216" s="10">
        <v>194</v>
      </c>
      <c r="C216">
        <v>-0.74836862040683627</v>
      </c>
      <c r="D216">
        <v>1.1003317013091873</v>
      </c>
      <c r="E216">
        <v>0.19293801690725426</v>
      </c>
      <c r="H216" s="10">
        <v>1</v>
      </c>
      <c r="I216" s="10">
        <f t="shared" ref="I216:I222" si="79">IF(K216=1, C216*$C$9+$C$7,C216*$C$12+$C$10)</f>
        <v>5.1285688265816667</v>
      </c>
      <c r="J216" s="10">
        <f t="shared" ref="J216:J222" si="80">IF(K216=1, D216*$C$9+$C$8,D216*$C$12+$C$11)</f>
        <v>16.585698087653576</v>
      </c>
      <c r="K216" s="10">
        <f t="shared" ref="K216:K222" si="81">IF(E216&lt;$C$14,1,-1)</f>
        <v>1</v>
      </c>
      <c r="N216" s="10">
        <f t="shared" ref="N216:N222" si="82">IF($K216=1,I216,-100)</f>
        <v>5.1285688265816667</v>
      </c>
      <c r="O216" s="10">
        <f t="shared" ref="O216:O222" si="83">IF($K216=1,J216,-100)</f>
        <v>16.585698087653576</v>
      </c>
      <c r="P216" s="10">
        <f t="shared" ref="P216:P222" si="84">IF($K216=-1,I216,-100)</f>
        <v>-100</v>
      </c>
      <c r="Q216" s="10">
        <f t="shared" ref="Q216:Q222" si="85">IF($K216=-1,J216,-100)</f>
        <v>-100</v>
      </c>
      <c r="S216" s="10">
        <f t="shared" ref="S216:S222" si="86">SUMPRODUCT(H216:J216,AB215:AD215)</f>
        <v>142.74144338586876</v>
      </c>
      <c r="T216" s="10">
        <f t="shared" ref="T216:T222" si="87">IF(S216&gt;=0,1,-1)</f>
        <v>1</v>
      </c>
      <c r="U216" s="10">
        <f t="shared" ref="U216:U222" si="88">(K216-T216)/2</f>
        <v>0</v>
      </c>
      <c r="V216" s="10">
        <f t="shared" ref="V216:V222" si="89">IF(U216&lt;&gt;0,1,0)</f>
        <v>0</v>
      </c>
      <c r="Y216" s="10">
        <f t="shared" ref="Y216:Y222" si="90">IF($U216=0,0,$C$14*($U216)*H216)</f>
        <v>0</v>
      </c>
      <c r="Z216" s="10">
        <f t="shared" ref="Z216:AA222" si="91">IF($U216=0,0,$C$14*($U216)*I216)</f>
        <v>0</v>
      </c>
      <c r="AA216" s="10">
        <f t="shared" si="91"/>
        <v>0</v>
      </c>
      <c r="AB216" s="10">
        <f t="shared" ref="AB216:AD222" si="92">IF($U216=0,AB215,AB215+$C$14*($U216)*H216)</f>
        <v>-0.600823999755</v>
      </c>
      <c r="AC216" s="10">
        <f t="shared" si="92"/>
        <v>-11.934914502824579</v>
      </c>
      <c r="AD216" s="10">
        <f t="shared" si="92"/>
        <v>12.332992966090206</v>
      </c>
      <c r="AE216" s="10">
        <f t="shared" ref="AE216:AE222" si="93">IF(SUMPRODUCT(H216:J216,$AO$31:$AQ$31)&gt;=0,1,-1)</f>
        <v>1</v>
      </c>
      <c r="AF216" s="10">
        <f t="shared" ref="AF216:AF222" si="94">IF(K216=AE216,0,1)</f>
        <v>0</v>
      </c>
      <c r="AG216" s="10"/>
      <c r="AH216" s="10">
        <f t="shared" si="76"/>
        <v>1</v>
      </c>
      <c r="AI216" s="10">
        <f t="shared" si="77"/>
        <v>-1</v>
      </c>
      <c r="AJ216" s="10">
        <f t="shared" si="78"/>
        <v>1</v>
      </c>
      <c r="AZ216" s="10"/>
    </row>
    <row r="217" spans="2:52" x14ac:dyDescent="0.25">
      <c r="B217" s="10">
        <v>195</v>
      </c>
      <c r="C217">
        <v>-1.2408327165758237</v>
      </c>
      <c r="D217">
        <v>1.0934900274151005</v>
      </c>
      <c r="E217">
        <v>0.10013122959074679</v>
      </c>
      <c r="H217" s="10">
        <v>1</v>
      </c>
      <c r="I217" s="10">
        <f t="shared" si="79"/>
        <v>4.4186011322878098</v>
      </c>
      <c r="J217" s="10">
        <f t="shared" si="80"/>
        <v>16.575834693596054</v>
      </c>
      <c r="K217" s="10">
        <f t="shared" si="81"/>
        <v>1</v>
      </c>
      <c r="N217" s="10">
        <f t="shared" si="82"/>
        <v>4.4186011322878098</v>
      </c>
      <c r="O217" s="10">
        <f t="shared" si="83"/>
        <v>16.575834693596054</v>
      </c>
      <c r="P217" s="10">
        <f t="shared" si="84"/>
        <v>-100</v>
      </c>
      <c r="Q217" s="10">
        <f t="shared" si="85"/>
        <v>-100</v>
      </c>
      <c r="S217" s="10">
        <f t="shared" si="86"/>
        <v>151.09320194750026</v>
      </c>
      <c r="T217" s="10">
        <f t="shared" si="87"/>
        <v>1</v>
      </c>
      <c r="U217" s="10">
        <f t="shared" si="88"/>
        <v>0</v>
      </c>
      <c r="V217" s="10">
        <f t="shared" si="89"/>
        <v>0</v>
      </c>
      <c r="Y217" s="10">
        <f t="shared" si="90"/>
        <v>0</v>
      </c>
      <c r="Z217" s="10">
        <f t="shared" si="91"/>
        <v>0</v>
      </c>
      <c r="AA217" s="10">
        <f t="shared" si="91"/>
        <v>0</v>
      </c>
      <c r="AB217" s="10">
        <f t="shared" si="92"/>
        <v>-0.600823999755</v>
      </c>
      <c r="AC217" s="10">
        <f t="shared" si="92"/>
        <v>-11.934914502824579</v>
      </c>
      <c r="AD217" s="10">
        <f t="shared" si="92"/>
        <v>12.332992966090206</v>
      </c>
      <c r="AE217" s="10">
        <f t="shared" si="93"/>
        <v>1</v>
      </c>
      <c r="AF217" s="10">
        <f t="shared" si="94"/>
        <v>0</v>
      </c>
      <c r="AG217" s="10"/>
      <c r="AH217" s="10">
        <f t="shared" si="76"/>
        <v>1</v>
      </c>
      <c r="AI217" s="10">
        <f t="shared" si="77"/>
        <v>0</v>
      </c>
      <c r="AJ217" s="10">
        <f t="shared" si="78"/>
        <v>0</v>
      </c>
      <c r="AZ217" s="10"/>
    </row>
    <row r="218" spans="2:52" x14ac:dyDescent="0.25">
      <c r="B218" s="10">
        <v>196</v>
      </c>
      <c r="C218">
        <v>0.83059603639412671</v>
      </c>
      <c r="D218">
        <v>1.4890338206896558</v>
      </c>
      <c r="E218">
        <v>0.66206854457228304</v>
      </c>
      <c r="H218" s="10">
        <v>1</v>
      </c>
      <c r="I218" s="10">
        <f t="shared" si="79"/>
        <v>7.404905122935336</v>
      </c>
      <c r="J218" s="10">
        <f t="shared" si="80"/>
        <v>17.14607588902123</v>
      </c>
      <c r="K218" s="10">
        <f t="shared" si="81"/>
        <v>1</v>
      </c>
      <c r="N218" s="10">
        <f t="shared" si="82"/>
        <v>7.404905122935336</v>
      </c>
      <c r="O218" s="10">
        <f t="shared" si="83"/>
        <v>17.14607588902123</v>
      </c>
      <c r="P218" s="10">
        <f t="shared" si="84"/>
        <v>-100</v>
      </c>
      <c r="Q218" s="10">
        <f t="shared" si="85"/>
        <v>-100</v>
      </c>
      <c r="S218" s="10">
        <f t="shared" si="86"/>
        <v>122.48469979183174</v>
      </c>
      <c r="T218" s="10">
        <f t="shared" si="87"/>
        <v>1</v>
      </c>
      <c r="U218" s="10">
        <f t="shared" si="88"/>
        <v>0</v>
      </c>
      <c r="V218" s="10">
        <f t="shared" si="89"/>
        <v>0</v>
      </c>
      <c r="Y218" s="10">
        <f t="shared" si="90"/>
        <v>0</v>
      </c>
      <c r="Z218" s="10">
        <f t="shared" si="91"/>
        <v>0</v>
      </c>
      <c r="AA218" s="10">
        <f t="shared" si="91"/>
        <v>0</v>
      </c>
      <c r="AB218" s="10">
        <f t="shared" si="92"/>
        <v>-0.600823999755</v>
      </c>
      <c r="AC218" s="10">
        <f t="shared" si="92"/>
        <v>-11.934914502824579</v>
      </c>
      <c r="AD218" s="10">
        <f t="shared" si="92"/>
        <v>12.332992966090206</v>
      </c>
      <c r="AE218" s="10">
        <f t="shared" si="93"/>
        <v>1</v>
      </c>
      <c r="AF218" s="10">
        <f t="shared" si="94"/>
        <v>0</v>
      </c>
      <c r="AG218" s="10"/>
      <c r="AH218" s="10">
        <f t="shared" ref="AH218:AH224" si="95">IF(SUMPRODUCT(H216:J216,$AH$21:$AJ$21)&gt;=0,1,-1)</f>
        <v>1</v>
      </c>
      <c r="AI218" s="10">
        <f t="shared" ref="AI218:AI224" si="96">(K216-AH218)/2</f>
        <v>0</v>
      </c>
      <c r="AJ218" s="10">
        <f t="shared" ref="AJ218:AJ224" si="97">IF(AI218&lt;&gt;0,1,0)</f>
        <v>0</v>
      </c>
      <c r="AZ218" s="10"/>
    </row>
    <row r="219" spans="2:52" x14ac:dyDescent="0.25">
      <c r="B219" s="10">
        <v>197</v>
      </c>
      <c r="C219">
        <v>0.25562258088029921</v>
      </c>
      <c r="D219">
        <v>-0.7741255103610456</v>
      </c>
      <c r="E219">
        <v>0.92800683614612267</v>
      </c>
      <c r="H219" s="10">
        <v>1</v>
      </c>
      <c r="I219" s="10">
        <f t="shared" si="79"/>
        <v>11.45542877022489</v>
      </c>
      <c r="J219" s="10">
        <f t="shared" si="80"/>
        <v>0.49452312013356492</v>
      </c>
      <c r="K219" s="10">
        <f t="shared" si="81"/>
        <v>-1</v>
      </c>
      <c r="N219" s="10">
        <f t="shared" si="82"/>
        <v>-100</v>
      </c>
      <c r="O219" s="10">
        <f t="shared" si="83"/>
        <v>-100</v>
      </c>
      <c r="P219" s="10">
        <f t="shared" si="84"/>
        <v>11.45542877022489</v>
      </c>
      <c r="Q219" s="10">
        <f t="shared" si="85"/>
        <v>0.49452312013356492</v>
      </c>
      <c r="S219" s="10">
        <f t="shared" si="86"/>
        <v>-131.22143680340972</v>
      </c>
      <c r="T219" s="10">
        <f t="shared" si="87"/>
        <v>-1</v>
      </c>
      <c r="U219" s="10">
        <f t="shared" si="88"/>
        <v>0</v>
      </c>
      <c r="V219" s="10">
        <f t="shared" si="89"/>
        <v>0</v>
      </c>
      <c r="Y219" s="10">
        <f t="shared" si="90"/>
        <v>0</v>
      </c>
      <c r="Z219" s="10">
        <f t="shared" si="91"/>
        <v>0</v>
      </c>
      <c r="AA219" s="10">
        <f t="shared" si="91"/>
        <v>0</v>
      </c>
      <c r="AB219" s="10">
        <f t="shared" si="92"/>
        <v>-0.600823999755</v>
      </c>
      <c r="AC219" s="10">
        <f t="shared" si="92"/>
        <v>-11.934914502824579</v>
      </c>
      <c r="AD219" s="10">
        <f t="shared" si="92"/>
        <v>12.332992966090206</v>
      </c>
      <c r="AE219" s="10">
        <f t="shared" si="93"/>
        <v>-1</v>
      </c>
      <c r="AF219" s="10">
        <f t="shared" si="94"/>
        <v>0</v>
      </c>
      <c r="AG219" s="10"/>
      <c r="AH219" s="10">
        <f t="shared" si="95"/>
        <v>1</v>
      </c>
      <c r="AI219" s="10">
        <f t="shared" si="96"/>
        <v>0</v>
      </c>
      <c r="AJ219" s="10">
        <f t="shared" si="97"/>
        <v>0</v>
      </c>
      <c r="AZ219" s="10"/>
    </row>
    <row r="220" spans="2:52" x14ac:dyDescent="0.25">
      <c r="B220" s="10">
        <v>198</v>
      </c>
      <c r="C220">
        <v>-0.13987346392241307</v>
      </c>
      <c r="D220">
        <v>-1.0274493433826137</v>
      </c>
      <c r="E220">
        <v>0.36829737235633414</v>
      </c>
      <c r="H220" s="10">
        <v>1</v>
      </c>
      <c r="I220" s="10">
        <f t="shared" si="79"/>
        <v>6.0058143082299003</v>
      </c>
      <c r="J220" s="10">
        <f t="shared" si="80"/>
        <v>13.518153034087611</v>
      </c>
      <c r="K220" s="10">
        <f t="shared" si="81"/>
        <v>1</v>
      </c>
      <c r="N220" s="10">
        <f t="shared" si="82"/>
        <v>6.0058143082299003</v>
      </c>
      <c r="O220" s="10">
        <f t="shared" si="83"/>
        <v>13.518153034087611</v>
      </c>
      <c r="P220" s="10">
        <f t="shared" si="84"/>
        <v>-100</v>
      </c>
      <c r="Q220" s="10">
        <f t="shared" si="85"/>
        <v>-100</v>
      </c>
      <c r="S220" s="10">
        <f t="shared" si="86"/>
        <v>94.439581995614091</v>
      </c>
      <c r="T220" s="10">
        <f t="shared" si="87"/>
        <v>1</v>
      </c>
      <c r="U220" s="10">
        <f t="shared" si="88"/>
        <v>0</v>
      </c>
      <c r="V220" s="10">
        <f t="shared" si="89"/>
        <v>0</v>
      </c>
      <c r="Y220" s="10">
        <f t="shared" si="90"/>
        <v>0</v>
      </c>
      <c r="Z220" s="10">
        <f t="shared" si="91"/>
        <v>0</v>
      </c>
      <c r="AA220" s="10">
        <f t="shared" si="91"/>
        <v>0</v>
      </c>
      <c r="AB220" s="10">
        <f t="shared" si="92"/>
        <v>-0.600823999755</v>
      </c>
      <c r="AC220" s="10">
        <f t="shared" si="92"/>
        <v>-11.934914502824579</v>
      </c>
      <c r="AD220" s="10">
        <f t="shared" si="92"/>
        <v>12.332992966090206</v>
      </c>
      <c r="AE220" s="10">
        <f t="shared" si="93"/>
        <v>1</v>
      </c>
      <c r="AF220" s="10">
        <f t="shared" si="94"/>
        <v>0</v>
      </c>
      <c r="AG220" s="10"/>
      <c r="AH220" s="10">
        <f t="shared" si="95"/>
        <v>1</v>
      </c>
      <c r="AI220" s="10">
        <f t="shared" si="96"/>
        <v>0</v>
      </c>
      <c r="AJ220" s="10">
        <f t="shared" si="97"/>
        <v>0</v>
      </c>
      <c r="AZ220" s="10"/>
    </row>
    <row r="221" spans="2:52" x14ac:dyDescent="0.25">
      <c r="B221" s="10">
        <v>199</v>
      </c>
      <c r="C221">
        <v>1.9546178009477444E-2</v>
      </c>
      <c r="D221">
        <v>0.31764329833094962</v>
      </c>
      <c r="E221">
        <v>0.55339213232825712</v>
      </c>
      <c r="H221" s="10">
        <v>1</v>
      </c>
      <c r="I221" s="10">
        <f t="shared" si="79"/>
        <v>6.2356438460338062</v>
      </c>
      <c r="J221" s="10">
        <f t="shared" si="80"/>
        <v>15.457324496287598</v>
      </c>
      <c r="K221" s="10">
        <f t="shared" si="81"/>
        <v>1</v>
      </c>
      <c r="N221" s="10">
        <f t="shared" si="82"/>
        <v>6.2356438460338062</v>
      </c>
      <c r="O221" s="10">
        <f t="shared" si="83"/>
        <v>15.457324496287598</v>
      </c>
      <c r="P221" s="10">
        <f t="shared" si="84"/>
        <v>-100</v>
      </c>
      <c r="Q221" s="10">
        <f t="shared" si="85"/>
        <v>-100</v>
      </c>
      <c r="S221" s="10">
        <f t="shared" si="86"/>
        <v>115.61237411505607</v>
      </c>
      <c r="T221" s="10">
        <f t="shared" si="87"/>
        <v>1</v>
      </c>
      <c r="U221" s="10">
        <f t="shared" si="88"/>
        <v>0</v>
      </c>
      <c r="V221" s="10">
        <f t="shared" si="89"/>
        <v>0</v>
      </c>
      <c r="Y221" s="10">
        <f t="shared" si="90"/>
        <v>0</v>
      </c>
      <c r="Z221" s="10">
        <f t="shared" si="91"/>
        <v>0</v>
      </c>
      <c r="AA221" s="10">
        <f t="shared" si="91"/>
        <v>0</v>
      </c>
      <c r="AB221" s="10">
        <f t="shared" si="92"/>
        <v>-0.600823999755</v>
      </c>
      <c r="AC221" s="10">
        <f t="shared" si="92"/>
        <v>-11.934914502824579</v>
      </c>
      <c r="AD221" s="10">
        <f t="shared" si="92"/>
        <v>12.332992966090206</v>
      </c>
      <c r="AE221" s="10">
        <f t="shared" si="93"/>
        <v>1</v>
      </c>
      <c r="AF221" s="10">
        <f t="shared" si="94"/>
        <v>0</v>
      </c>
      <c r="AG221" s="10"/>
      <c r="AH221" s="10">
        <f t="shared" si="95"/>
        <v>-1</v>
      </c>
      <c r="AI221" s="10">
        <f t="shared" si="96"/>
        <v>0</v>
      </c>
      <c r="AJ221" s="10">
        <f t="shared" si="97"/>
        <v>0</v>
      </c>
      <c r="AZ221" s="10"/>
    </row>
    <row r="222" spans="2:52" x14ac:dyDescent="0.25">
      <c r="B222" s="10">
        <v>200</v>
      </c>
      <c r="C222">
        <v>-0.35634911910165101</v>
      </c>
      <c r="D222">
        <v>-5.5528062148368917E-2</v>
      </c>
      <c r="E222">
        <v>0.31952879421369063</v>
      </c>
      <c r="H222">
        <v>1</v>
      </c>
      <c r="I222" s="10">
        <f t="shared" si="79"/>
        <v>5.6937291776103125</v>
      </c>
      <c r="J222" s="10">
        <f t="shared" si="80"/>
        <v>14.919336828888003</v>
      </c>
      <c r="K222" s="10">
        <f t="shared" si="81"/>
        <v>1</v>
      </c>
      <c r="N222" s="10">
        <f t="shared" si="82"/>
        <v>5.6937291776103125</v>
      </c>
      <c r="O222" s="10">
        <f t="shared" si="83"/>
        <v>14.919336828888003</v>
      </c>
      <c r="P222" s="10">
        <f t="shared" si="84"/>
        <v>-100</v>
      </c>
      <c r="Q222" s="10">
        <f t="shared" si="85"/>
        <v>-100</v>
      </c>
      <c r="S222" s="10">
        <f t="shared" si="86"/>
        <v>115.44508123263452</v>
      </c>
      <c r="T222" s="10">
        <f t="shared" si="87"/>
        <v>1</v>
      </c>
      <c r="U222" s="10">
        <f t="shared" si="88"/>
        <v>0</v>
      </c>
      <c r="V222" s="10">
        <f t="shared" si="89"/>
        <v>0</v>
      </c>
      <c r="X222">
        <f>SUM(V203:V222)</f>
        <v>0</v>
      </c>
      <c r="Y222" s="10">
        <f t="shared" si="90"/>
        <v>0</v>
      </c>
      <c r="Z222" s="10">
        <f t="shared" si="91"/>
        <v>0</v>
      </c>
      <c r="AA222" s="10">
        <f t="shared" si="91"/>
        <v>0</v>
      </c>
      <c r="AB222" s="10">
        <f t="shared" si="92"/>
        <v>-0.600823999755</v>
      </c>
      <c r="AC222" s="10">
        <f t="shared" si="92"/>
        <v>-11.934914502824579</v>
      </c>
      <c r="AD222" s="10">
        <f t="shared" si="92"/>
        <v>12.332992966090206</v>
      </c>
      <c r="AE222" s="10">
        <f t="shared" si="93"/>
        <v>1</v>
      </c>
      <c r="AF222" s="10">
        <f t="shared" si="94"/>
        <v>0</v>
      </c>
      <c r="AG222" s="10"/>
      <c r="AH222" s="10">
        <f t="shared" si="95"/>
        <v>1</v>
      </c>
      <c r="AI222" s="10">
        <f t="shared" si="96"/>
        <v>0</v>
      </c>
      <c r="AJ222" s="10">
        <f t="shared" si="97"/>
        <v>0</v>
      </c>
    </row>
    <row r="223" spans="2:52" x14ac:dyDescent="0.25">
      <c r="AG223" s="10"/>
      <c r="AH223" s="10">
        <f t="shared" si="95"/>
        <v>1</v>
      </c>
      <c r="AI223" s="10">
        <f t="shared" si="96"/>
        <v>0</v>
      </c>
      <c r="AJ223" s="10">
        <f t="shared" si="97"/>
        <v>0</v>
      </c>
    </row>
    <row r="224" spans="2:52" x14ac:dyDescent="0.25">
      <c r="AG224" s="10"/>
      <c r="AH224" s="10">
        <f t="shared" si="95"/>
        <v>1</v>
      </c>
      <c r="AI224" s="10">
        <f t="shared" si="96"/>
        <v>0</v>
      </c>
      <c r="AJ224" s="10">
        <f t="shared" si="97"/>
        <v>0</v>
      </c>
    </row>
  </sheetData>
  <mergeCells count="21">
    <mergeCell ref="BF19:BI19"/>
    <mergeCell ref="BL19:BO19"/>
    <mergeCell ref="AS33:AW33"/>
    <mergeCell ref="AI19:AK19"/>
    <mergeCell ref="AN19:AQ19"/>
    <mergeCell ref="AT19:AW19"/>
    <mergeCell ref="AZ19:BC19"/>
    <mergeCell ref="BA20:BC20"/>
    <mergeCell ref="C21:E21"/>
    <mergeCell ref="H20:K20"/>
    <mergeCell ref="N20:Q20"/>
    <mergeCell ref="N21:O21"/>
    <mergeCell ref="P21:Q21"/>
    <mergeCell ref="T20:AD20"/>
    <mergeCell ref="A13:B13"/>
    <mergeCell ref="A15:B15"/>
    <mergeCell ref="A16:B16"/>
    <mergeCell ref="A11:B11"/>
    <mergeCell ref="A12:B12"/>
    <mergeCell ref="A14:B14"/>
    <mergeCell ref="B20:E2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CED1D-28FF-43BA-85F2-AE556E4334B6}">
  <dimension ref="A6:AW224"/>
  <sheetViews>
    <sheetView topLeftCell="AD13" zoomScale="70" zoomScaleNormal="70" workbookViewId="0">
      <selection activeCell="J23" sqref="J23"/>
    </sheetView>
  </sheetViews>
  <sheetFormatPr defaultRowHeight="15" x14ac:dyDescent="0.25"/>
  <cols>
    <col min="1" max="16384" width="9.140625" style="10"/>
  </cols>
  <sheetData>
    <row r="6" spans="1:5" x14ac:dyDescent="0.25">
      <c r="A6" s="13">
        <v>1</v>
      </c>
      <c r="B6" s="7" t="s">
        <v>10</v>
      </c>
      <c r="C6" s="22"/>
      <c r="D6" s="22"/>
      <c r="E6" s="22"/>
    </row>
    <row r="7" spans="1:5" x14ac:dyDescent="0.25">
      <c r="A7" s="5" t="s">
        <v>0</v>
      </c>
      <c r="B7" s="5"/>
      <c r="C7" s="10">
        <v>6.2074648274178292</v>
      </c>
    </row>
    <row r="8" spans="1:5" x14ac:dyDescent="0.25">
      <c r="A8" s="6" t="s">
        <v>1</v>
      </c>
      <c r="B8" s="6"/>
      <c r="C8" s="10">
        <v>14.99938962981048</v>
      </c>
    </row>
    <row r="9" spans="1:5" x14ac:dyDescent="0.25">
      <c r="A9" s="6" t="s">
        <v>2</v>
      </c>
      <c r="B9" s="6"/>
      <c r="C9" s="10">
        <v>1.4416638691366312</v>
      </c>
    </row>
    <row r="10" spans="1:5" x14ac:dyDescent="0.25">
      <c r="A10" s="6" t="s">
        <v>3</v>
      </c>
      <c r="B10" s="6"/>
      <c r="C10" s="10">
        <v>10.992309335612049</v>
      </c>
    </row>
    <row r="11" spans="1:5" x14ac:dyDescent="0.25">
      <c r="A11" s="40" t="s">
        <v>4</v>
      </c>
      <c r="B11" s="40"/>
      <c r="C11" s="10">
        <v>1.8970305490279853</v>
      </c>
    </row>
    <row r="12" spans="1:5" x14ac:dyDescent="0.25">
      <c r="A12" s="40" t="s">
        <v>5</v>
      </c>
      <c r="B12" s="40"/>
      <c r="C12" s="10">
        <v>1.8117313150425733</v>
      </c>
    </row>
    <row r="13" spans="1:5" x14ac:dyDescent="0.25">
      <c r="A13" s="40" t="s">
        <v>6</v>
      </c>
      <c r="B13" s="40"/>
      <c r="C13" s="10">
        <v>0.50297555467390975</v>
      </c>
    </row>
    <row r="14" spans="1:5" x14ac:dyDescent="0.25">
      <c r="A14" s="40" t="s">
        <v>7</v>
      </c>
      <c r="B14" s="40"/>
      <c r="C14" s="10">
        <v>0.70082399975499998</v>
      </c>
    </row>
    <row r="15" spans="1:5" x14ac:dyDescent="0.25">
      <c r="A15" s="40" t="s">
        <v>8</v>
      </c>
      <c r="B15" s="40"/>
      <c r="C15" s="10">
        <v>9.4762718588824129</v>
      </c>
    </row>
    <row r="16" spans="1:5" x14ac:dyDescent="0.25">
      <c r="A16" s="41" t="s">
        <v>9</v>
      </c>
      <c r="B16" s="41"/>
      <c r="C16" s="10">
        <v>20.149357585375501</v>
      </c>
    </row>
    <row r="19" spans="1:49" x14ac:dyDescent="0.25">
      <c r="AE19" s="23"/>
      <c r="AF19" s="24"/>
      <c r="AH19" s="13">
        <v>7</v>
      </c>
      <c r="AI19" s="36" t="s">
        <v>47</v>
      </c>
      <c r="AJ19" s="36"/>
      <c r="AK19" s="36"/>
      <c r="AM19" s="13">
        <v>6</v>
      </c>
      <c r="AN19" s="36" t="s">
        <v>14</v>
      </c>
      <c r="AO19" s="36"/>
      <c r="AP19" s="36"/>
      <c r="AQ19" s="36"/>
      <c r="AS19" s="13">
        <v>8</v>
      </c>
      <c r="AT19" s="36" t="s">
        <v>52</v>
      </c>
      <c r="AU19" s="36"/>
      <c r="AV19" s="36"/>
      <c r="AW19" s="36"/>
    </row>
    <row r="20" spans="1:49" x14ac:dyDescent="0.25">
      <c r="A20" s="13">
        <v>2</v>
      </c>
      <c r="B20" s="36" t="s">
        <v>11</v>
      </c>
      <c r="C20" s="36"/>
      <c r="D20" s="36"/>
      <c r="E20" s="36"/>
      <c r="F20" s="13">
        <v>3</v>
      </c>
      <c r="G20" s="7" t="s">
        <v>12</v>
      </c>
      <c r="H20" s="22"/>
      <c r="I20" s="22"/>
      <c r="J20" s="22"/>
      <c r="M20" s="13">
        <v>4</v>
      </c>
      <c r="N20" s="36" t="s">
        <v>13</v>
      </c>
      <c r="O20" s="36"/>
      <c r="P20" s="36"/>
      <c r="Q20" s="36"/>
      <c r="S20" s="13">
        <v>5</v>
      </c>
      <c r="T20" s="36" t="s">
        <v>14</v>
      </c>
      <c r="U20" s="36"/>
      <c r="V20" s="36"/>
      <c r="W20" s="36"/>
      <c r="X20" s="36"/>
      <c r="Y20" s="36"/>
      <c r="Z20" s="36"/>
      <c r="AA20" s="36"/>
      <c r="AB20" s="36"/>
      <c r="AC20" s="36"/>
      <c r="AD20" s="36"/>
      <c r="AJ20" s="10" t="s">
        <v>48</v>
      </c>
      <c r="AK20" s="10">
        <f>SUMXMY2(K23:K222,AH25:AH224)</f>
        <v>24</v>
      </c>
      <c r="AM20" s="10" t="s">
        <v>50</v>
      </c>
      <c r="AN20" s="10" t="s">
        <v>51</v>
      </c>
      <c r="AO20" s="10" t="s">
        <v>23</v>
      </c>
      <c r="AP20" s="10" t="s">
        <v>24</v>
      </c>
      <c r="AQ20" s="10" t="s">
        <v>25</v>
      </c>
      <c r="AS20" s="10" t="s">
        <v>50</v>
      </c>
      <c r="AT20" s="10" t="s">
        <v>30</v>
      </c>
      <c r="AU20" s="10" t="s">
        <v>31</v>
      </c>
      <c r="AV20" s="10" t="s">
        <v>30</v>
      </c>
      <c r="AW20" s="10" t="s">
        <v>31</v>
      </c>
    </row>
    <row r="21" spans="1:49" x14ac:dyDescent="0.25">
      <c r="B21" s="10" t="s">
        <v>15</v>
      </c>
      <c r="C21" s="38" t="s">
        <v>40</v>
      </c>
      <c r="D21" s="38"/>
      <c r="E21" s="38"/>
      <c r="K21" s="10" t="s">
        <v>17</v>
      </c>
      <c r="N21" s="38" t="s">
        <v>18</v>
      </c>
      <c r="O21" s="38"/>
      <c r="P21" s="38" t="s">
        <v>19</v>
      </c>
      <c r="Q21" s="38"/>
      <c r="X21" s="10" t="s">
        <v>22</v>
      </c>
      <c r="AB21" s="10" t="s">
        <v>23</v>
      </c>
      <c r="AC21" s="10" t="s">
        <v>24</v>
      </c>
      <c r="AD21" s="10" t="s">
        <v>25</v>
      </c>
      <c r="AH21" s="10">
        <v>-8.1387307998438914</v>
      </c>
      <c r="AI21" s="10">
        <v>23.156503179649128</v>
      </c>
      <c r="AJ21" s="10">
        <v>9.9600055767036846</v>
      </c>
      <c r="AM21" s="10">
        <v>0</v>
      </c>
      <c r="AO21" s="10">
        <f>AB22</f>
        <v>1</v>
      </c>
      <c r="AP21" s="10">
        <f t="shared" ref="AP21:AQ21" si="0">AC22</f>
        <v>2</v>
      </c>
      <c r="AQ21" s="10">
        <f t="shared" si="0"/>
        <v>3</v>
      </c>
      <c r="AS21" s="10">
        <v>0</v>
      </c>
      <c r="AT21" s="10">
        <v>-5</v>
      </c>
      <c r="AU21" s="10">
        <f>-AO21/AQ21-AP21/AQ21*AT21</f>
        <v>2.9999999999999996</v>
      </c>
      <c r="AV21" s="10">
        <v>15</v>
      </c>
      <c r="AW21" s="10">
        <f>-AO21/AQ21-AP21/AQ21*AV21</f>
        <v>-10.333333333333334</v>
      </c>
    </row>
    <row r="22" spans="1:49" x14ac:dyDescent="0.25">
      <c r="B22" s="10">
        <v>0</v>
      </c>
      <c r="C22" s="10" t="s">
        <v>26</v>
      </c>
      <c r="D22" s="10" t="s">
        <v>27</v>
      </c>
      <c r="E22" s="10" t="s">
        <v>28</v>
      </c>
      <c r="F22" s="10" t="s">
        <v>59</v>
      </c>
      <c r="G22" s="10" t="s">
        <v>60</v>
      </c>
      <c r="H22" s="10" t="s">
        <v>29</v>
      </c>
      <c r="I22" s="10" t="s">
        <v>30</v>
      </c>
      <c r="J22" s="10" t="s">
        <v>31</v>
      </c>
      <c r="K22" s="10" t="s">
        <v>32</v>
      </c>
      <c r="N22" s="10" t="s">
        <v>30</v>
      </c>
      <c r="O22" s="10" t="s">
        <v>31</v>
      </c>
      <c r="P22" s="10" t="s">
        <v>30</v>
      </c>
      <c r="Q22" s="10" t="s">
        <v>31</v>
      </c>
      <c r="S22" s="10" t="s">
        <v>33</v>
      </c>
      <c r="T22" s="10" t="s">
        <v>41</v>
      </c>
      <c r="U22" s="10" t="s">
        <v>42</v>
      </c>
      <c r="V22" s="10" t="s">
        <v>36</v>
      </c>
      <c r="Y22" s="10" t="s">
        <v>37</v>
      </c>
      <c r="Z22" s="10" t="s">
        <v>38</v>
      </c>
      <c r="AA22" s="10" t="s">
        <v>39</v>
      </c>
      <c r="AB22" s="10">
        <v>1</v>
      </c>
      <c r="AC22" s="10">
        <v>2</v>
      </c>
      <c r="AD22" s="10">
        <v>3</v>
      </c>
      <c r="AH22" s="10" t="s">
        <v>23</v>
      </c>
      <c r="AI22" s="10" t="s">
        <v>24</v>
      </c>
      <c r="AJ22" s="10" t="s">
        <v>25</v>
      </c>
      <c r="AM22" s="10">
        <v>1</v>
      </c>
      <c r="AN22" s="10">
        <f>X42</f>
        <v>3</v>
      </c>
      <c r="AO22" s="10">
        <f>AB42</f>
        <v>0.29917600024500002</v>
      </c>
      <c r="AP22" s="10">
        <f t="shared" ref="AP22:AQ22" si="1">AC42</f>
        <v>-6.8617067882421532</v>
      </c>
      <c r="AQ22" s="10">
        <f t="shared" si="1"/>
        <v>11.068570336494654</v>
      </c>
      <c r="AS22" s="10">
        <v>1</v>
      </c>
      <c r="AT22" s="10">
        <v>-5</v>
      </c>
      <c r="AU22" s="10">
        <f>-AO22/AQ22-AP22/AQ22*AT22</f>
        <v>-3.1266648617978436</v>
      </c>
      <c r="AV22" s="10">
        <v>15</v>
      </c>
      <c r="AW22" s="10">
        <f t="shared" ref="AW22:AW31" si="2">-AO22/AQ22-AP22/AQ22*AV22</f>
        <v>9.2718772798518838</v>
      </c>
    </row>
    <row r="23" spans="1:49" x14ac:dyDescent="0.25">
      <c r="B23" s="10">
        <v>1</v>
      </c>
      <c r="C23" s="10">
        <v>-1.3127237252774648</v>
      </c>
      <c r="D23" s="10">
        <v>-0.9794825928111095</v>
      </c>
      <c r="E23" s="10">
        <v>0.55067598498489334</v>
      </c>
      <c r="F23" s="10">
        <v>1</v>
      </c>
      <c r="G23" s="10">
        <v>1</v>
      </c>
      <c r="H23" s="10">
        <v>1</v>
      </c>
      <c r="I23" s="10">
        <f>IF(K23=1, C23*$C$9+$C$7,C23*$C$12+$C$10)</f>
        <v>4.3149584625268673</v>
      </c>
      <c r="J23" s="10">
        <f>IF(K23=1, D23*$C$9+$C$8,D23*$C$12+$C$11)</f>
        <v>13.587304965306437</v>
      </c>
      <c r="K23" s="10">
        <f>IF(E23&lt;$C$14,1,-1)</f>
        <v>1</v>
      </c>
      <c r="N23" s="10">
        <f>IF($K23=1,I23,-100)</f>
        <v>4.3149584625268673</v>
      </c>
      <c r="O23" s="10">
        <f>IF($K23=1,J23,-100)</f>
        <v>13.587304965306437</v>
      </c>
      <c r="P23" s="10">
        <f>IF($K23=-1,I23,-100)</f>
        <v>-100</v>
      </c>
      <c r="Q23" s="10">
        <f>IF($K23=-1,J23,-100)</f>
        <v>-100</v>
      </c>
      <c r="S23" s="12">
        <f>SUMPRODUCT(H23:J23,AB22:AD22)</f>
        <v>50.391831820973046</v>
      </c>
      <c r="T23" s="12">
        <f>IF(S23&gt;=0,1,-1)</f>
        <v>1</v>
      </c>
      <c r="U23" s="12">
        <f>(K23-T23)/2</f>
        <v>0</v>
      </c>
      <c r="V23" s="12">
        <f>IF(U23&lt;&gt;0,1,0)</f>
        <v>0</v>
      </c>
      <c r="W23" s="12"/>
      <c r="X23" s="12"/>
      <c r="Y23" s="10">
        <f>IF($U23=0,0,$C$14*($U23)*H23)</f>
        <v>0</v>
      </c>
      <c r="Z23" s="10">
        <f t="shared" ref="Z23:AA38" si="3">IF($U23=0,0,$C$14*($U23)*I23)</f>
        <v>0</v>
      </c>
      <c r="AA23" s="10">
        <f t="shared" si="3"/>
        <v>0</v>
      </c>
      <c r="AB23" s="10">
        <f>IF($U23=0,AB22,AB22+$C$14*($U23)*H23)</f>
        <v>1</v>
      </c>
      <c r="AC23" s="10">
        <f t="shared" ref="AC23:AD38" si="4">IF($U23=0,AC22,AC22+$C$14*($U23)*I23)</f>
        <v>2</v>
      </c>
      <c r="AD23" s="10">
        <f t="shared" si="4"/>
        <v>3</v>
      </c>
      <c r="AI23" s="10" t="s">
        <v>44</v>
      </c>
      <c r="AJ23" s="10">
        <f>SUM(AJ25:AJ224)</f>
        <v>6</v>
      </c>
      <c r="AM23" s="10">
        <v>2</v>
      </c>
      <c r="AN23" s="10">
        <f>X62</f>
        <v>0</v>
      </c>
      <c r="AO23" s="10">
        <f>AB62</f>
        <v>0.29917600024500002</v>
      </c>
      <c r="AP23" s="10">
        <f t="shared" ref="AP23:AQ23" si="5">AC62</f>
        <v>-6.8617067882421532</v>
      </c>
      <c r="AQ23" s="10">
        <f t="shared" si="5"/>
        <v>11.068570336494654</v>
      </c>
      <c r="AS23" s="10">
        <v>2</v>
      </c>
      <c r="AT23" s="10">
        <v>-5</v>
      </c>
      <c r="AU23" s="10">
        <f>-AO23/AQ23-AP23/AQ23*AT23</f>
        <v>-3.1266648617978436</v>
      </c>
      <c r="AV23" s="10">
        <v>15</v>
      </c>
      <c r="AW23" s="10">
        <f t="shared" si="2"/>
        <v>9.2718772798518838</v>
      </c>
    </row>
    <row r="24" spans="1:49" x14ac:dyDescent="0.25">
      <c r="B24" s="10">
        <v>2</v>
      </c>
      <c r="C24" s="10">
        <v>-1.3691123967873864</v>
      </c>
      <c r="D24" s="10">
        <v>-1.5906061889836565</v>
      </c>
      <c r="E24" s="10">
        <v>0.44584490493484297</v>
      </c>
      <c r="F24" s="10">
        <v>1</v>
      </c>
      <c r="G24" s="10">
        <v>2</v>
      </c>
      <c r="H24" s="10">
        <v>1</v>
      </c>
      <c r="I24" s="10">
        <f t="shared" ref="I24:I41" si="6">IF(K24=1, C24*$C$9+$C$7,C24*$C$12+$C$10)</f>
        <v>4.2336649521823988</v>
      </c>
      <c r="J24" s="10">
        <f t="shared" ref="J24:J87" si="7">IF(K24=1, D24*$C$9+$C$8,D24*$C$12+$C$11)</f>
        <v>12.70627015712763</v>
      </c>
      <c r="K24" s="10">
        <f t="shared" ref="K24:K87" si="8">IF(E24&lt;$C$14,1,-1)</f>
        <v>1</v>
      </c>
      <c r="N24" s="10">
        <f t="shared" ref="N24:O42" si="9">IF($K24=1,I24,-100)</f>
        <v>4.2336649521823988</v>
      </c>
      <c r="O24" s="10">
        <f t="shared" si="9"/>
        <v>12.70627015712763</v>
      </c>
      <c r="P24" s="10">
        <f t="shared" ref="P24:Q42" si="10">IF($K24=-1,I24,-100)</f>
        <v>-100</v>
      </c>
      <c r="Q24" s="10">
        <f t="shared" si="10"/>
        <v>-100</v>
      </c>
      <c r="S24" s="10">
        <f t="shared" ref="S24:S87" si="11">SUMPRODUCT(H24:J24,AB23:AD23)</f>
        <v>47.586140375747682</v>
      </c>
      <c r="T24" s="10">
        <f t="shared" ref="T24:T87" si="12">IF(S24&gt;=0,1,-1)</f>
        <v>1</v>
      </c>
      <c r="U24" s="10">
        <f t="shared" ref="U24:U87" si="13">(K24-T24)/2</f>
        <v>0</v>
      </c>
      <c r="V24" s="10">
        <f t="shared" ref="V24:V87" si="14">IF(U24&lt;&gt;0,1,0)</f>
        <v>0</v>
      </c>
      <c r="Y24" s="10">
        <f t="shared" ref="Y24:AA87" si="15">IF($U24=0,0,$C$14*($U24)*H24)</f>
        <v>0</v>
      </c>
      <c r="Z24" s="10">
        <f t="shared" si="3"/>
        <v>0</v>
      </c>
      <c r="AA24" s="10">
        <f t="shared" si="3"/>
        <v>0</v>
      </c>
      <c r="AB24" s="10">
        <f t="shared" ref="AB24:AD87" si="16">IF($U24=0,AB23,AB23+$C$14*($U24)*H24)</f>
        <v>1</v>
      </c>
      <c r="AC24" s="10">
        <f t="shared" si="4"/>
        <v>2</v>
      </c>
      <c r="AD24" s="10">
        <f t="shared" si="4"/>
        <v>3</v>
      </c>
      <c r="AH24" s="10" t="s">
        <v>49</v>
      </c>
      <c r="AI24" s="10" t="s">
        <v>43</v>
      </c>
      <c r="AJ24" s="10" t="s">
        <v>36</v>
      </c>
      <c r="AM24" s="10">
        <v>3</v>
      </c>
      <c r="AN24" s="10">
        <f>X82</f>
        <v>0</v>
      </c>
      <c r="AO24" s="10">
        <f>AB82</f>
        <v>0.29917600024500002</v>
      </c>
      <c r="AP24" s="10">
        <f t="shared" ref="AP24:AQ24" si="17">AC82</f>
        <v>-6.8617067882421532</v>
      </c>
      <c r="AQ24" s="10">
        <f t="shared" si="17"/>
        <v>11.068570336494654</v>
      </c>
      <c r="AS24" s="10">
        <v>3</v>
      </c>
      <c r="AT24" s="10">
        <v>-5</v>
      </c>
      <c r="AU24" s="10">
        <f t="shared" ref="AU24:AU31" si="18">-AO24/AQ24-AP24/AQ24*AT24</f>
        <v>-3.1266648617978436</v>
      </c>
      <c r="AV24" s="10">
        <v>15</v>
      </c>
      <c r="AW24" s="10">
        <f t="shared" si="2"/>
        <v>9.2718772798518838</v>
      </c>
    </row>
    <row r="25" spans="1:49" x14ac:dyDescent="0.25">
      <c r="B25" s="10">
        <v>3</v>
      </c>
      <c r="C25" s="10">
        <v>-1.4784518498345278</v>
      </c>
      <c r="D25" s="10">
        <v>-0.36737446862389334</v>
      </c>
      <c r="E25" s="10">
        <v>0.63283181249427778</v>
      </c>
      <c r="F25" s="10">
        <v>1</v>
      </c>
      <c r="G25" s="10">
        <v>3</v>
      </c>
      <c r="H25" s="10">
        <v>1</v>
      </c>
      <c r="I25" s="10">
        <f t="shared" si="6"/>
        <v>4.0760342132531742</v>
      </c>
      <c r="J25" s="10">
        <f t="shared" si="7"/>
        <v>14.469759131952143</v>
      </c>
      <c r="K25" s="10">
        <f t="shared" si="8"/>
        <v>1</v>
      </c>
      <c r="N25" s="10">
        <f t="shared" si="9"/>
        <v>4.0760342132531742</v>
      </c>
      <c r="O25" s="10">
        <f t="shared" si="9"/>
        <v>14.469759131952143</v>
      </c>
      <c r="P25" s="10">
        <f t="shared" si="10"/>
        <v>-100</v>
      </c>
      <c r="Q25" s="10">
        <f t="shared" si="10"/>
        <v>-100</v>
      </c>
      <c r="S25" s="10">
        <f t="shared" si="11"/>
        <v>52.561345822362775</v>
      </c>
      <c r="T25" s="10">
        <f t="shared" si="12"/>
        <v>1</v>
      </c>
      <c r="U25" s="10">
        <f t="shared" si="13"/>
        <v>0</v>
      </c>
      <c r="V25" s="10">
        <f t="shared" si="14"/>
        <v>0</v>
      </c>
      <c r="Y25" s="10">
        <f t="shared" si="15"/>
        <v>0</v>
      </c>
      <c r="Z25" s="10">
        <f t="shared" si="3"/>
        <v>0</v>
      </c>
      <c r="AA25" s="10">
        <f t="shared" si="3"/>
        <v>0</v>
      </c>
      <c r="AB25" s="10">
        <f t="shared" si="16"/>
        <v>1</v>
      </c>
      <c r="AC25" s="10">
        <f t="shared" si="4"/>
        <v>2</v>
      </c>
      <c r="AD25" s="10">
        <f t="shared" si="4"/>
        <v>3</v>
      </c>
      <c r="AH25" s="10">
        <f>IF(SUMPRODUCT(H23:J23,$AH$21:$AJ$21)&gt;=0,1,-1)</f>
        <v>1</v>
      </c>
      <c r="AI25" s="10">
        <f>(K23-AH25)/2</f>
        <v>0</v>
      </c>
      <c r="AJ25" s="10">
        <f>IF(AI25&lt;&gt;0,1,0)</f>
        <v>0</v>
      </c>
      <c r="AM25" s="10">
        <v>4</v>
      </c>
      <c r="AN25" s="10">
        <f>X102</f>
        <v>0</v>
      </c>
      <c r="AO25" s="10">
        <f>AB102</f>
        <v>0.29917600024500002</v>
      </c>
      <c r="AP25" s="10">
        <f t="shared" ref="AP25:AQ25" si="19">AC102</f>
        <v>-6.8617067882421532</v>
      </c>
      <c r="AQ25" s="10">
        <f t="shared" si="19"/>
        <v>11.068570336494654</v>
      </c>
      <c r="AS25" s="10">
        <v>4</v>
      </c>
      <c r="AT25" s="10">
        <v>-5</v>
      </c>
      <c r="AU25" s="10">
        <f t="shared" si="18"/>
        <v>-3.1266648617978436</v>
      </c>
      <c r="AV25" s="10">
        <v>15</v>
      </c>
      <c r="AW25" s="10">
        <f t="shared" si="2"/>
        <v>9.2718772798518838</v>
      </c>
    </row>
    <row r="26" spans="1:49" x14ac:dyDescent="0.25">
      <c r="B26" s="10">
        <v>4</v>
      </c>
      <c r="C26" s="10">
        <v>0.5277479431242682</v>
      </c>
      <c r="D26" s="10">
        <v>2.022225089604035</v>
      </c>
      <c r="E26" s="10">
        <v>0.19806512649922178</v>
      </c>
      <c r="F26" s="10">
        <v>1</v>
      </c>
      <c r="G26" s="10">
        <v>4</v>
      </c>
      <c r="H26" s="10">
        <v>1</v>
      </c>
      <c r="I26" s="10">
        <f t="shared" si="6"/>
        <v>6.9682999690312606</v>
      </c>
      <c r="J26" s="10">
        <f t="shared" si="7"/>
        <v>17.914758476754205</v>
      </c>
      <c r="K26" s="10">
        <f t="shared" si="8"/>
        <v>1</v>
      </c>
      <c r="N26" s="10">
        <f t="shared" si="9"/>
        <v>6.9682999690312606</v>
      </c>
      <c r="O26" s="10">
        <f t="shared" si="9"/>
        <v>17.914758476754205</v>
      </c>
      <c r="P26" s="10">
        <f t="shared" si="10"/>
        <v>-100</v>
      </c>
      <c r="Q26" s="10">
        <f t="shared" si="10"/>
        <v>-100</v>
      </c>
      <c r="S26" s="10">
        <f t="shared" si="11"/>
        <v>68.680875368325133</v>
      </c>
      <c r="T26" s="10">
        <f t="shared" si="12"/>
        <v>1</v>
      </c>
      <c r="U26" s="10">
        <f t="shared" si="13"/>
        <v>0</v>
      </c>
      <c r="V26" s="10">
        <f t="shared" si="14"/>
        <v>0</v>
      </c>
      <c r="Y26" s="10">
        <f t="shared" si="15"/>
        <v>0</v>
      </c>
      <c r="Z26" s="10">
        <f t="shared" si="3"/>
        <v>0</v>
      </c>
      <c r="AA26" s="10">
        <f t="shared" si="3"/>
        <v>0</v>
      </c>
      <c r="AB26" s="10">
        <f t="shared" si="16"/>
        <v>1</v>
      </c>
      <c r="AC26" s="10">
        <f t="shared" si="4"/>
        <v>2</v>
      </c>
      <c r="AD26" s="10">
        <f t="shared" si="4"/>
        <v>3</v>
      </c>
      <c r="AH26" s="10">
        <f t="shared" ref="AH26:AH89" si="20">IF(SUMPRODUCT(H24:J24,$AH$21:$AJ$21)&gt;=0,1,-1)</f>
        <v>1</v>
      </c>
      <c r="AI26" s="10">
        <f t="shared" ref="AI26:AI89" si="21">(K24-AH26)/2</f>
        <v>0</v>
      </c>
      <c r="AJ26" s="10">
        <f t="shared" ref="AJ26:AJ89" si="22">IF(AI26&lt;&gt;0,1,0)</f>
        <v>0</v>
      </c>
      <c r="AM26" s="10">
        <v>5</v>
      </c>
      <c r="AN26" s="10">
        <f>X122</f>
        <v>0</v>
      </c>
      <c r="AO26" s="10">
        <f>AB122</f>
        <v>0.29917600024500002</v>
      </c>
      <c r="AP26" s="10">
        <f t="shared" ref="AP26:AQ26" si="23">AC122</f>
        <v>-6.8617067882421532</v>
      </c>
      <c r="AQ26" s="10">
        <f t="shared" si="23"/>
        <v>11.068570336494654</v>
      </c>
      <c r="AS26" s="10">
        <v>5</v>
      </c>
      <c r="AT26" s="10">
        <v>-5</v>
      </c>
      <c r="AU26" s="10">
        <f t="shared" si="18"/>
        <v>-3.1266648617978436</v>
      </c>
      <c r="AV26" s="10">
        <v>15</v>
      </c>
      <c r="AW26" s="10">
        <f t="shared" si="2"/>
        <v>9.2718772798518838</v>
      </c>
    </row>
    <row r="27" spans="1:49" x14ac:dyDescent="0.25">
      <c r="B27" s="10">
        <v>5</v>
      </c>
      <c r="C27" s="10">
        <v>1.4964916772441939</v>
      </c>
      <c r="D27" s="10">
        <v>-1.5814612197573297</v>
      </c>
      <c r="E27" s="10">
        <v>0.39292580950346384</v>
      </c>
      <c r="F27" s="10">
        <v>1</v>
      </c>
      <c r="G27" s="10">
        <v>5</v>
      </c>
      <c r="H27" s="10">
        <v>1</v>
      </c>
      <c r="I27" s="10">
        <f t="shared" si="6"/>
        <v>8.3649028089644606</v>
      </c>
      <c r="J27" s="10">
        <f t="shared" si="7"/>
        <v>12.719454128845591</v>
      </c>
      <c r="K27" s="10">
        <f t="shared" si="8"/>
        <v>1</v>
      </c>
      <c r="N27" s="10">
        <f t="shared" si="9"/>
        <v>8.3649028089644606</v>
      </c>
      <c r="O27" s="10">
        <f t="shared" si="9"/>
        <v>12.719454128845591</v>
      </c>
      <c r="P27" s="10">
        <f t="shared" si="10"/>
        <v>-100</v>
      </c>
      <c r="Q27" s="10">
        <f t="shared" si="10"/>
        <v>-100</v>
      </c>
      <c r="S27" s="10">
        <f t="shared" si="11"/>
        <v>55.888168004465697</v>
      </c>
      <c r="T27" s="10">
        <f t="shared" si="12"/>
        <v>1</v>
      </c>
      <c r="U27" s="10">
        <f t="shared" si="13"/>
        <v>0</v>
      </c>
      <c r="V27" s="10">
        <f t="shared" si="14"/>
        <v>0</v>
      </c>
      <c r="Y27" s="10">
        <f t="shared" si="15"/>
        <v>0</v>
      </c>
      <c r="Z27" s="10">
        <f t="shared" si="3"/>
        <v>0</v>
      </c>
      <c r="AA27" s="10">
        <f t="shared" si="3"/>
        <v>0</v>
      </c>
      <c r="AB27" s="10">
        <f t="shared" si="16"/>
        <v>1</v>
      </c>
      <c r="AC27" s="10">
        <f t="shared" si="4"/>
        <v>2</v>
      </c>
      <c r="AD27" s="10">
        <f t="shared" si="4"/>
        <v>3</v>
      </c>
      <c r="AH27" s="10">
        <f t="shared" si="20"/>
        <v>1</v>
      </c>
      <c r="AI27" s="10">
        <f t="shared" si="21"/>
        <v>0</v>
      </c>
      <c r="AJ27" s="10">
        <f t="shared" si="22"/>
        <v>0</v>
      </c>
      <c r="AM27" s="10">
        <v>6</v>
      </c>
      <c r="AN27" s="10">
        <f>X142</f>
        <v>0</v>
      </c>
      <c r="AO27" s="10">
        <f>AB142</f>
        <v>0.29917600024500002</v>
      </c>
      <c r="AP27" s="10">
        <f t="shared" ref="AP27:AQ27" si="24">AC142</f>
        <v>-6.8617067882421532</v>
      </c>
      <c r="AQ27" s="10">
        <f t="shared" si="24"/>
        <v>11.068570336494654</v>
      </c>
      <c r="AS27" s="10">
        <v>6</v>
      </c>
      <c r="AT27" s="10">
        <v>-5</v>
      </c>
      <c r="AU27" s="10">
        <f t="shared" si="18"/>
        <v>-3.1266648617978436</v>
      </c>
      <c r="AV27" s="10">
        <v>15</v>
      </c>
      <c r="AW27" s="10">
        <f t="shared" si="2"/>
        <v>9.2718772798518838</v>
      </c>
    </row>
    <row r="28" spans="1:49" x14ac:dyDescent="0.25">
      <c r="B28" s="10">
        <v>6</v>
      </c>
      <c r="C28" s="10">
        <v>-0.88723936642054468</v>
      </c>
      <c r="D28" s="10">
        <v>-0.27098735699837562</v>
      </c>
      <c r="E28" s="10">
        <v>0.82949308755760365</v>
      </c>
      <c r="F28" s="10">
        <v>1</v>
      </c>
      <c r="G28" s="10">
        <v>6</v>
      </c>
      <c r="H28" s="10">
        <v>1</v>
      </c>
      <c r="I28" s="10">
        <f t="shared" si="6"/>
        <v>9.3848699915294151</v>
      </c>
      <c r="J28" s="10">
        <f t="shared" si="7"/>
        <v>1.4060742683734069</v>
      </c>
      <c r="K28" s="10">
        <f t="shared" si="8"/>
        <v>-1</v>
      </c>
      <c r="N28" s="10">
        <f t="shared" si="9"/>
        <v>-100</v>
      </c>
      <c r="O28" s="10">
        <f t="shared" si="9"/>
        <v>-100</v>
      </c>
      <c r="P28" s="10">
        <f t="shared" si="10"/>
        <v>9.3848699915294151</v>
      </c>
      <c r="Q28" s="10">
        <f t="shared" si="10"/>
        <v>1.4060742683734069</v>
      </c>
      <c r="S28" s="10">
        <f t="shared" si="11"/>
        <v>23.98796278817905</v>
      </c>
      <c r="T28" s="10">
        <f t="shared" si="12"/>
        <v>1</v>
      </c>
      <c r="U28" s="10">
        <f t="shared" si="13"/>
        <v>-1</v>
      </c>
      <c r="V28" s="10">
        <f t="shared" si="14"/>
        <v>1</v>
      </c>
      <c r="Y28" s="10">
        <f t="shared" si="15"/>
        <v>-0.70082399975499998</v>
      </c>
      <c r="Z28" s="10">
        <f t="shared" si="3"/>
        <v>-6.5771421246443174</v>
      </c>
      <c r="AA28" s="10">
        <f t="shared" si="3"/>
        <v>-0.9854105927140363</v>
      </c>
      <c r="AB28" s="10">
        <f t="shared" si="16"/>
        <v>0.29917600024500002</v>
      </c>
      <c r="AC28" s="10">
        <f t="shared" si="4"/>
        <v>-4.5771421246443174</v>
      </c>
      <c r="AD28" s="10">
        <f t="shared" si="4"/>
        <v>2.0145894072859636</v>
      </c>
      <c r="AH28" s="10">
        <f t="shared" si="20"/>
        <v>1</v>
      </c>
      <c r="AI28" s="10">
        <f t="shared" si="21"/>
        <v>0</v>
      </c>
      <c r="AJ28" s="10">
        <f t="shared" si="22"/>
        <v>0</v>
      </c>
      <c r="AM28" s="10">
        <v>7</v>
      </c>
      <c r="AN28" s="10">
        <f>X162</f>
        <v>0</v>
      </c>
      <c r="AO28" s="10">
        <f>AB162</f>
        <v>0.29917600024500002</v>
      </c>
      <c r="AP28" s="10">
        <f t="shared" ref="AP28:AQ28" si="25">AC162</f>
        <v>-6.8617067882421532</v>
      </c>
      <c r="AQ28" s="10">
        <f t="shared" si="25"/>
        <v>11.068570336494654</v>
      </c>
      <c r="AS28" s="10">
        <v>7</v>
      </c>
      <c r="AT28" s="10">
        <v>-5</v>
      </c>
      <c r="AU28" s="10">
        <f t="shared" si="18"/>
        <v>-3.1266648617978436</v>
      </c>
      <c r="AV28" s="10">
        <v>15</v>
      </c>
      <c r="AW28" s="10">
        <f t="shared" si="2"/>
        <v>9.2718772798518838</v>
      </c>
    </row>
    <row r="29" spans="1:49" x14ac:dyDescent="0.25">
      <c r="B29" s="10">
        <v>7</v>
      </c>
      <c r="C29" s="10">
        <v>-0.98282498584012501</v>
      </c>
      <c r="D29" s="10">
        <v>0.40072904994303826</v>
      </c>
      <c r="E29" s="10">
        <v>0.87780388805810727</v>
      </c>
      <c r="F29" s="10">
        <v>1</v>
      </c>
      <c r="G29" s="10">
        <v>7</v>
      </c>
      <c r="H29" s="10">
        <v>1</v>
      </c>
      <c r="I29" s="10">
        <f t="shared" si="6"/>
        <v>9.2116945315592211</v>
      </c>
      <c r="J29" s="10">
        <f t="shared" si="7"/>
        <v>2.6230439176570473</v>
      </c>
      <c r="K29" s="10">
        <f t="shared" si="8"/>
        <v>-1</v>
      </c>
      <c r="N29" s="10">
        <f t="shared" si="9"/>
        <v>-100</v>
      </c>
      <c r="O29" s="10">
        <f t="shared" si="9"/>
        <v>-100</v>
      </c>
      <c r="P29" s="10">
        <f t="shared" si="10"/>
        <v>9.2116945315592211</v>
      </c>
      <c r="Q29" s="10">
        <f t="shared" si="10"/>
        <v>2.6230439176570473</v>
      </c>
      <c r="S29" s="10">
        <f t="shared" si="11"/>
        <v>-36.579702588152649</v>
      </c>
      <c r="T29" s="10">
        <f t="shared" si="12"/>
        <v>-1</v>
      </c>
      <c r="U29" s="10">
        <f t="shared" si="13"/>
        <v>0</v>
      </c>
      <c r="V29" s="10">
        <f t="shared" si="14"/>
        <v>0</v>
      </c>
      <c r="Y29" s="10">
        <f t="shared" si="15"/>
        <v>0</v>
      </c>
      <c r="Z29" s="10">
        <f t="shared" si="3"/>
        <v>0</v>
      </c>
      <c r="AA29" s="10">
        <f t="shared" si="3"/>
        <v>0</v>
      </c>
      <c r="AB29" s="10">
        <f t="shared" si="16"/>
        <v>0.29917600024500002</v>
      </c>
      <c r="AC29" s="10">
        <f t="shared" si="4"/>
        <v>-4.5771421246443174</v>
      </c>
      <c r="AD29" s="10">
        <f t="shared" si="4"/>
        <v>2.0145894072859636</v>
      </c>
      <c r="AH29" s="10">
        <f t="shared" si="20"/>
        <v>1</v>
      </c>
      <c r="AI29" s="10">
        <f t="shared" si="21"/>
        <v>0</v>
      </c>
      <c r="AJ29" s="10">
        <f t="shared" si="22"/>
        <v>0</v>
      </c>
      <c r="AM29" s="10">
        <v>8</v>
      </c>
      <c r="AN29" s="10">
        <f>X182</f>
        <v>0</v>
      </c>
      <c r="AO29" s="10">
        <f>AB182</f>
        <v>0.29917600024500002</v>
      </c>
      <c r="AP29" s="10">
        <f t="shared" ref="AP29:AQ29" si="26">AC182</f>
        <v>-6.8617067882421532</v>
      </c>
      <c r="AQ29" s="10">
        <f t="shared" si="26"/>
        <v>11.068570336494654</v>
      </c>
      <c r="AS29" s="10">
        <v>8</v>
      </c>
      <c r="AT29" s="10">
        <v>-5</v>
      </c>
      <c r="AU29" s="10">
        <f t="shared" si="18"/>
        <v>-3.1266648617978436</v>
      </c>
      <c r="AV29" s="10">
        <v>15</v>
      </c>
      <c r="AW29" s="10">
        <f t="shared" si="2"/>
        <v>9.2718772798518838</v>
      </c>
    </row>
    <row r="30" spans="1:49" x14ac:dyDescent="0.25">
      <c r="B30" s="10">
        <v>8</v>
      </c>
      <c r="C30" s="10">
        <v>-0.29319721761567052</v>
      </c>
      <c r="D30" s="10">
        <v>-0.71606336859986186</v>
      </c>
      <c r="E30" s="10">
        <v>0.89480269783623767</v>
      </c>
      <c r="F30" s="10">
        <v>1</v>
      </c>
      <c r="G30" s="10">
        <v>8</v>
      </c>
      <c r="H30" s="10">
        <v>1</v>
      </c>
      <c r="I30" s="10">
        <f t="shared" si="6"/>
        <v>10.461114754974387</v>
      </c>
      <c r="J30" s="10">
        <f t="shared" si="7"/>
        <v>0.59971612058074264</v>
      </c>
      <c r="K30" s="10">
        <f t="shared" si="8"/>
        <v>-1</v>
      </c>
      <c r="N30" s="10">
        <f t="shared" si="9"/>
        <v>-100</v>
      </c>
      <c r="O30" s="10">
        <f t="shared" si="9"/>
        <v>-100</v>
      </c>
      <c r="P30" s="10">
        <f t="shared" si="10"/>
        <v>10.461114754974387</v>
      </c>
      <c r="Q30" s="10">
        <f t="shared" si="10"/>
        <v>0.59971612058074264</v>
      </c>
      <c r="S30" s="10">
        <f t="shared" si="11"/>
        <v>-46.37465127158589</v>
      </c>
      <c r="T30" s="10">
        <f t="shared" si="12"/>
        <v>-1</v>
      </c>
      <c r="U30" s="10">
        <f t="shared" si="13"/>
        <v>0</v>
      </c>
      <c r="V30" s="10">
        <f t="shared" si="14"/>
        <v>0</v>
      </c>
      <c r="Y30" s="10">
        <f t="shared" si="15"/>
        <v>0</v>
      </c>
      <c r="Z30" s="10">
        <f t="shared" si="3"/>
        <v>0</v>
      </c>
      <c r="AA30" s="10">
        <f t="shared" si="3"/>
        <v>0</v>
      </c>
      <c r="AB30" s="10">
        <f t="shared" si="16"/>
        <v>0.29917600024500002</v>
      </c>
      <c r="AC30" s="10">
        <f t="shared" si="4"/>
        <v>-4.5771421246443174</v>
      </c>
      <c r="AD30" s="10">
        <f t="shared" si="4"/>
        <v>2.0145894072859636</v>
      </c>
      <c r="AH30" s="10">
        <f t="shared" si="20"/>
        <v>1</v>
      </c>
      <c r="AI30" s="10">
        <f t="shared" si="21"/>
        <v>-1</v>
      </c>
      <c r="AJ30" s="10">
        <f t="shared" si="22"/>
        <v>1</v>
      </c>
      <c r="AM30" s="10">
        <v>9</v>
      </c>
      <c r="AN30" s="10">
        <f>X202</f>
        <v>0</v>
      </c>
      <c r="AO30" s="10">
        <f>AB202</f>
        <v>0.29917600024500002</v>
      </c>
      <c r="AP30" s="10">
        <f t="shared" ref="AP30:AQ30" si="27">AC202</f>
        <v>-6.8617067882421532</v>
      </c>
      <c r="AQ30" s="10">
        <f t="shared" si="27"/>
        <v>11.068570336494654</v>
      </c>
      <c r="AS30" s="10">
        <v>9</v>
      </c>
      <c r="AT30" s="10">
        <v>-5</v>
      </c>
      <c r="AU30" s="10">
        <f t="shared" si="18"/>
        <v>-3.1266648617978436</v>
      </c>
      <c r="AV30" s="10">
        <v>15</v>
      </c>
      <c r="AW30" s="10">
        <f t="shared" si="2"/>
        <v>9.2718772798518838</v>
      </c>
    </row>
    <row r="31" spans="1:49" x14ac:dyDescent="0.25">
      <c r="B31" s="10">
        <v>9</v>
      </c>
      <c r="C31" s="10">
        <v>-1.4234456102713011</v>
      </c>
      <c r="D31" s="10">
        <v>-0.4698711109085707</v>
      </c>
      <c r="E31" s="10">
        <v>0.15045625171666616</v>
      </c>
      <c r="F31" s="10">
        <v>1</v>
      </c>
      <c r="G31" s="10">
        <v>9</v>
      </c>
      <c r="H31" s="10">
        <v>1</v>
      </c>
      <c r="I31" s="10">
        <f t="shared" si="6"/>
        <v>4.1553347214085523</v>
      </c>
      <c r="J31" s="10">
        <f t="shared" si="7"/>
        <v>14.321993426062503</v>
      </c>
      <c r="K31" s="10">
        <f t="shared" si="8"/>
        <v>1</v>
      </c>
      <c r="N31" s="10">
        <f t="shared" si="9"/>
        <v>4.1553347214085523</v>
      </c>
      <c r="O31" s="10">
        <f t="shared" si="9"/>
        <v>14.321993426062503</v>
      </c>
      <c r="P31" s="10">
        <f t="shared" si="10"/>
        <v>-100</v>
      </c>
      <c r="Q31" s="10">
        <f t="shared" si="10"/>
        <v>-100</v>
      </c>
      <c r="S31" s="10">
        <f t="shared" si="11"/>
        <v>10.132554652253486</v>
      </c>
      <c r="T31" s="10">
        <f t="shared" si="12"/>
        <v>1</v>
      </c>
      <c r="U31" s="10">
        <f t="shared" si="13"/>
        <v>0</v>
      </c>
      <c r="V31" s="10">
        <f t="shared" si="14"/>
        <v>0</v>
      </c>
      <c r="Y31" s="10">
        <f t="shared" si="15"/>
        <v>0</v>
      </c>
      <c r="Z31" s="10">
        <f t="shared" si="3"/>
        <v>0</v>
      </c>
      <c r="AA31" s="10">
        <f t="shared" si="3"/>
        <v>0</v>
      </c>
      <c r="AB31" s="10">
        <f t="shared" si="16"/>
        <v>0.29917600024500002</v>
      </c>
      <c r="AC31" s="10">
        <f t="shared" si="4"/>
        <v>-4.5771421246443174</v>
      </c>
      <c r="AD31" s="10">
        <f t="shared" si="4"/>
        <v>2.0145894072859636</v>
      </c>
      <c r="AH31" s="10">
        <f t="shared" si="20"/>
        <v>1</v>
      </c>
      <c r="AI31" s="10">
        <f t="shared" si="21"/>
        <v>-1</v>
      </c>
      <c r="AJ31" s="10">
        <f t="shared" si="22"/>
        <v>1</v>
      </c>
      <c r="AM31" s="10">
        <v>10</v>
      </c>
      <c r="AN31" s="10">
        <f>X222</f>
        <v>0</v>
      </c>
      <c r="AO31" s="10">
        <f>AB222</f>
        <v>0.29917600024500002</v>
      </c>
      <c r="AP31" s="10">
        <f t="shared" ref="AP31:AQ31" si="28">AC222</f>
        <v>-6.8617067882421532</v>
      </c>
      <c r="AQ31" s="10">
        <f t="shared" si="28"/>
        <v>11.068570336494654</v>
      </c>
      <c r="AS31" s="10">
        <v>10</v>
      </c>
      <c r="AT31" s="10">
        <v>-5</v>
      </c>
      <c r="AU31" s="10">
        <f t="shared" si="18"/>
        <v>-3.1266648617978436</v>
      </c>
      <c r="AV31" s="10">
        <v>15</v>
      </c>
      <c r="AW31" s="10">
        <f t="shared" si="2"/>
        <v>9.2718772798518838</v>
      </c>
    </row>
    <row r="32" spans="1:49" x14ac:dyDescent="0.25">
      <c r="B32" s="10">
        <v>10</v>
      </c>
      <c r="C32" s="10">
        <v>1.5643308870494366</v>
      </c>
      <c r="D32" s="10">
        <v>0.3155525973852491</v>
      </c>
      <c r="E32" s="10">
        <v>0.58604693746757408</v>
      </c>
      <c r="F32" s="10">
        <v>1</v>
      </c>
      <c r="G32" s="10">
        <v>10</v>
      </c>
      <c r="H32" s="10">
        <v>1</v>
      </c>
      <c r="I32" s="10">
        <f t="shared" si="6"/>
        <v>8.4627041466514576</v>
      </c>
      <c r="J32" s="10">
        <f t="shared" si="7"/>
        <v>15.454310408273011</v>
      </c>
      <c r="K32" s="10">
        <f t="shared" si="8"/>
        <v>1</v>
      </c>
      <c r="N32" s="10">
        <f t="shared" si="9"/>
        <v>8.4627041466514576</v>
      </c>
      <c r="O32" s="10">
        <f t="shared" si="9"/>
        <v>15.454310408273011</v>
      </c>
      <c r="P32" s="10">
        <f t="shared" si="10"/>
        <v>-100</v>
      </c>
      <c r="Q32" s="10">
        <f t="shared" si="10"/>
        <v>-100</v>
      </c>
      <c r="S32" s="10">
        <f t="shared" si="11"/>
        <v>-7.3017335923795059</v>
      </c>
      <c r="T32" s="10">
        <f t="shared" si="12"/>
        <v>-1</v>
      </c>
      <c r="U32" s="10">
        <f t="shared" si="13"/>
        <v>1</v>
      </c>
      <c r="V32" s="10">
        <f t="shared" si="14"/>
        <v>1</v>
      </c>
      <c r="Y32" s="10">
        <f t="shared" si="15"/>
        <v>0.70082399975499998</v>
      </c>
      <c r="Z32" s="10">
        <f t="shared" si="3"/>
        <v>5.9308661687994988</v>
      </c>
      <c r="AA32" s="10">
        <f t="shared" si="3"/>
        <v>10.830751633781219</v>
      </c>
      <c r="AB32" s="10">
        <f t="shared" si="16"/>
        <v>1</v>
      </c>
      <c r="AC32" s="10">
        <f t="shared" si="4"/>
        <v>1.3537240441551814</v>
      </c>
      <c r="AD32" s="10">
        <f t="shared" si="4"/>
        <v>12.845341041067183</v>
      </c>
      <c r="AH32" s="10">
        <f t="shared" si="20"/>
        <v>1</v>
      </c>
      <c r="AI32" s="10">
        <f t="shared" si="21"/>
        <v>-1</v>
      </c>
      <c r="AJ32" s="10">
        <f t="shared" si="22"/>
        <v>1</v>
      </c>
    </row>
    <row r="33" spans="2:49" x14ac:dyDescent="0.25">
      <c r="B33" s="10">
        <v>11</v>
      </c>
      <c r="C33" s="10">
        <v>0.40305167203769088</v>
      </c>
      <c r="D33" s="10">
        <v>0.35227571970608551</v>
      </c>
      <c r="E33" s="10">
        <v>0.80382702108829007</v>
      </c>
      <c r="F33" s="10">
        <v>1</v>
      </c>
      <c r="G33" s="10">
        <v>11</v>
      </c>
      <c r="H33" s="10">
        <v>1</v>
      </c>
      <c r="I33" s="10">
        <f t="shared" si="6"/>
        <v>11.722530671423003</v>
      </c>
      <c r="J33" s="10">
        <f t="shared" si="7"/>
        <v>2.5352595019486603</v>
      </c>
      <c r="K33" s="10">
        <f t="shared" si="8"/>
        <v>-1</v>
      </c>
      <c r="N33" s="10">
        <f t="shared" si="9"/>
        <v>-100</v>
      </c>
      <c r="O33" s="10">
        <f t="shared" si="9"/>
        <v>-100</v>
      </c>
      <c r="P33" s="10">
        <f t="shared" si="10"/>
        <v>11.722530671423003</v>
      </c>
      <c r="Q33" s="10">
        <f t="shared" si="10"/>
        <v>2.5352595019486603</v>
      </c>
      <c r="S33" s="10">
        <f t="shared" si="11"/>
        <v>49.435344558388572</v>
      </c>
      <c r="T33" s="10">
        <f t="shared" si="12"/>
        <v>1</v>
      </c>
      <c r="U33" s="10">
        <f t="shared" si="13"/>
        <v>-1</v>
      </c>
      <c r="V33" s="10">
        <f t="shared" si="14"/>
        <v>1</v>
      </c>
      <c r="Y33" s="10">
        <f t="shared" si="15"/>
        <v>-0.70082399975499998</v>
      </c>
      <c r="Z33" s="10">
        <f t="shared" si="3"/>
        <v>-8.2154308323973346</v>
      </c>
      <c r="AA33" s="10">
        <f t="shared" si="3"/>
        <v>-1.7767707045725294</v>
      </c>
      <c r="AB33" s="10">
        <f t="shared" si="16"/>
        <v>0.29917600024500002</v>
      </c>
      <c r="AC33" s="10">
        <f t="shared" si="4"/>
        <v>-6.8617067882421532</v>
      </c>
      <c r="AD33" s="10">
        <f t="shared" si="4"/>
        <v>11.068570336494654</v>
      </c>
      <c r="AH33" s="10">
        <f t="shared" si="20"/>
        <v>1</v>
      </c>
      <c r="AI33" s="10">
        <f t="shared" si="21"/>
        <v>0</v>
      </c>
      <c r="AJ33" s="10">
        <f t="shared" si="22"/>
        <v>0</v>
      </c>
      <c r="AS33" s="39" t="s">
        <v>56</v>
      </c>
      <c r="AT33" s="39"/>
      <c r="AU33" s="39"/>
      <c r="AV33" s="39"/>
      <c r="AW33" s="39"/>
    </row>
    <row r="34" spans="2:49" x14ac:dyDescent="0.25">
      <c r="B34" s="10">
        <v>12</v>
      </c>
      <c r="C34" s="10">
        <v>2.369270077906549</v>
      </c>
      <c r="D34" s="10">
        <v>1.5264595276676118</v>
      </c>
      <c r="E34" s="10">
        <v>0.68010498367259742</v>
      </c>
      <c r="F34" s="10">
        <v>1</v>
      </c>
      <c r="G34" s="10">
        <v>12</v>
      </c>
      <c r="H34" s="10">
        <v>1</v>
      </c>
      <c r="I34" s="10">
        <f t="shared" si="6"/>
        <v>9.6231558949622329</v>
      </c>
      <c r="J34" s="10">
        <f t="shared" si="7"/>
        <v>17.200031178548244</v>
      </c>
      <c r="K34" s="10">
        <f t="shared" si="8"/>
        <v>1</v>
      </c>
      <c r="N34" s="10">
        <f t="shared" si="9"/>
        <v>9.6231558949622329</v>
      </c>
      <c r="O34" s="10">
        <f t="shared" si="9"/>
        <v>17.200031178548244</v>
      </c>
      <c r="P34" s="10">
        <f t="shared" si="10"/>
        <v>-100</v>
      </c>
      <c r="Q34" s="10">
        <f t="shared" si="10"/>
        <v>-100</v>
      </c>
      <c r="S34" s="10">
        <f t="shared" si="11"/>
        <v>124.64765676113244</v>
      </c>
      <c r="T34" s="10">
        <f t="shared" si="12"/>
        <v>1</v>
      </c>
      <c r="U34" s="10">
        <f t="shared" si="13"/>
        <v>0</v>
      </c>
      <c r="V34" s="10">
        <f>IF(U34&lt;&gt;0,1,0)</f>
        <v>0</v>
      </c>
      <c r="Y34" s="10">
        <f t="shared" si="15"/>
        <v>0</v>
      </c>
      <c r="Z34" s="10">
        <f t="shared" si="3"/>
        <v>0</v>
      </c>
      <c r="AA34" s="10">
        <f t="shared" si="3"/>
        <v>0</v>
      </c>
      <c r="AB34" s="10">
        <f t="shared" si="16"/>
        <v>0.29917600024500002</v>
      </c>
      <c r="AC34" s="10">
        <f t="shared" si="4"/>
        <v>-6.8617067882421532</v>
      </c>
      <c r="AD34" s="10">
        <f t="shared" si="4"/>
        <v>11.068570336494654</v>
      </c>
      <c r="AH34" s="10">
        <f t="shared" si="20"/>
        <v>1</v>
      </c>
      <c r="AI34" s="10">
        <f t="shared" si="21"/>
        <v>0</v>
      </c>
      <c r="AJ34" s="10">
        <f t="shared" si="22"/>
        <v>0</v>
      </c>
      <c r="AS34" s="10" t="s">
        <v>57</v>
      </c>
      <c r="AT34" s="10">
        <v>0</v>
      </c>
      <c r="AU34" s="10">
        <f>-AH21/AJ21-AI21/AJ21*AT34</f>
        <v>0.81714118904514177</v>
      </c>
      <c r="AV34" s="10">
        <v>15</v>
      </c>
      <c r="AW34" s="10">
        <f>-AH21/AJ21-AI21/AJ21*AV34</f>
        <v>-34.057091061103193</v>
      </c>
    </row>
    <row r="35" spans="2:49" x14ac:dyDescent="0.25">
      <c r="B35" s="10">
        <v>13</v>
      </c>
      <c r="C35" s="10">
        <v>1.2546638572530355</v>
      </c>
      <c r="D35" s="10">
        <v>0.51888719099224545</v>
      </c>
      <c r="E35" s="10">
        <v>0.65324869533371988</v>
      </c>
      <c r="F35" s="10">
        <v>1</v>
      </c>
      <c r="G35" s="10">
        <v>13</v>
      </c>
      <c r="H35" s="10">
        <v>1</v>
      </c>
      <c r="I35" s="10">
        <f t="shared" si="6"/>
        <v>8.0162683783311302</v>
      </c>
      <c r="J35" s="10">
        <f t="shared" si="7"/>
        <v>15.747450545221799</v>
      </c>
      <c r="K35" s="10">
        <f t="shared" si="8"/>
        <v>1</v>
      </c>
      <c r="N35" s="10">
        <f t="shared" si="9"/>
        <v>8.0162683783311302</v>
      </c>
      <c r="O35" s="10">
        <f t="shared" si="9"/>
        <v>15.747450545221799</v>
      </c>
      <c r="P35" s="10">
        <f t="shared" si="10"/>
        <v>-100</v>
      </c>
      <c r="Q35" s="10">
        <f t="shared" si="10"/>
        <v>-100</v>
      </c>
      <c r="S35" s="10">
        <f t="shared" si="11"/>
        <v>119.59565683253791</v>
      </c>
      <c r="T35" s="10">
        <f t="shared" si="12"/>
        <v>1</v>
      </c>
      <c r="U35" s="10">
        <f t="shared" si="13"/>
        <v>0</v>
      </c>
      <c r="V35" s="10">
        <f t="shared" si="14"/>
        <v>0</v>
      </c>
      <c r="Y35" s="10">
        <f t="shared" si="15"/>
        <v>0</v>
      </c>
      <c r="Z35" s="10">
        <f t="shared" si="3"/>
        <v>0</v>
      </c>
      <c r="AA35" s="10">
        <f t="shared" si="3"/>
        <v>0</v>
      </c>
      <c r="AB35" s="10">
        <f t="shared" si="16"/>
        <v>0.29917600024500002</v>
      </c>
      <c r="AC35" s="10">
        <f t="shared" si="4"/>
        <v>-6.8617067882421532</v>
      </c>
      <c r="AD35" s="10">
        <f t="shared" si="4"/>
        <v>11.068570336494654</v>
      </c>
      <c r="AH35" s="10">
        <f t="shared" si="20"/>
        <v>1</v>
      </c>
      <c r="AI35" s="10">
        <f t="shared" si="21"/>
        <v>-1</v>
      </c>
      <c r="AJ35" s="10">
        <f t="shared" si="22"/>
        <v>1</v>
      </c>
      <c r="AS35" s="10" t="s">
        <v>58</v>
      </c>
      <c r="AT35" s="10">
        <v>0</v>
      </c>
      <c r="AU35" s="10">
        <v>0</v>
      </c>
      <c r="AV35" s="10">
        <f>AI21/SQRT(SUMSQ($AI$21:$AJ$21))</f>
        <v>0.91863018018688791</v>
      </c>
      <c r="AW35" s="10">
        <f>AJ21/SQRT(SUMSQ($AI$21:$AJ$21))</f>
        <v>0.39511845318816186</v>
      </c>
    </row>
    <row r="36" spans="2:49" x14ac:dyDescent="0.25">
      <c r="B36" s="10">
        <v>14</v>
      </c>
      <c r="C36" s="10">
        <v>0.15379214346467052</v>
      </c>
      <c r="D36" s="10">
        <v>0.62068579609331209</v>
      </c>
      <c r="E36" s="10">
        <v>0.85515915402691733</v>
      </c>
      <c r="F36" s="10">
        <v>1</v>
      </c>
      <c r="G36" s="10">
        <v>14</v>
      </c>
      <c r="H36" s="10">
        <v>1</v>
      </c>
      <c r="I36" s="10">
        <f t="shared" si="6"/>
        <v>11.270939377934512</v>
      </c>
      <c r="J36" s="10">
        <f t="shared" si="7"/>
        <v>3.0215464426123679</v>
      </c>
      <c r="K36" s="10">
        <f t="shared" si="8"/>
        <v>-1</v>
      </c>
      <c r="N36" s="10">
        <f t="shared" si="9"/>
        <v>-100</v>
      </c>
      <c r="O36" s="10">
        <f t="shared" si="9"/>
        <v>-100</v>
      </c>
      <c r="P36" s="10">
        <f t="shared" si="10"/>
        <v>11.270939377934512</v>
      </c>
      <c r="Q36" s="10">
        <f t="shared" si="10"/>
        <v>3.0215464426123679</v>
      </c>
      <c r="S36" s="10">
        <f t="shared" si="11"/>
        <v>-43.594505914153828</v>
      </c>
      <c r="T36" s="10">
        <f t="shared" si="12"/>
        <v>-1</v>
      </c>
      <c r="U36" s="10">
        <f t="shared" si="13"/>
        <v>0</v>
      </c>
      <c r="V36" s="10">
        <f t="shared" si="14"/>
        <v>0</v>
      </c>
      <c r="Y36" s="10">
        <f t="shared" si="15"/>
        <v>0</v>
      </c>
      <c r="Z36" s="10">
        <f t="shared" si="3"/>
        <v>0</v>
      </c>
      <c r="AA36" s="10">
        <f t="shared" si="3"/>
        <v>0</v>
      </c>
      <c r="AB36" s="10">
        <f t="shared" si="16"/>
        <v>0.29917600024500002</v>
      </c>
      <c r="AC36" s="10">
        <f t="shared" si="4"/>
        <v>-6.8617067882421532</v>
      </c>
      <c r="AD36" s="10">
        <f t="shared" si="4"/>
        <v>11.068570336494654</v>
      </c>
      <c r="AH36" s="10">
        <f t="shared" si="20"/>
        <v>1</v>
      </c>
      <c r="AI36" s="10">
        <f t="shared" si="21"/>
        <v>0</v>
      </c>
      <c r="AJ36" s="10">
        <f t="shared" si="22"/>
        <v>0</v>
      </c>
    </row>
    <row r="37" spans="2:49" x14ac:dyDescent="0.25">
      <c r="B37" s="10">
        <v>15</v>
      </c>
      <c r="C37" s="10">
        <v>0.55119471653597429</v>
      </c>
      <c r="D37" s="10">
        <v>-3.2173375075217336E-2</v>
      </c>
      <c r="E37" s="10">
        <v>0.6038087099826045</v>
      </c>
      <c r="F37" s="10">
        <v>1</v>
      </c>
      <c r="G37" s="10">
        <v>15</v>
      </c>
      <c r="H37" s="10">
        <v>1</v>
      </c>
      <c r="I37" s="10">
        <f t="shared" si="6"/>
        <v>7.0021023351067502</v>
      </c>
      <c r="J37" s="10">
        <f t="shared" si="7"/>
        <v>14.953006437416358</v>
      </c>
      <c r="K37" s="10">
        <f t="shared" si="8"/>
        <v>1</v>
      </c>
      <c r="N37" s="10">
        <f t="shared" si="9"/>
        <v>7.0021023351067502</v>
      </c>
      <c r="O37" s="10">
        <f t="shared" si="9"/>
        <v>14.953006437416358</v>
      </c>
      <c r="P37" s="10">
        <f t="shared" si="10"/>
        <v>-100</v>
      </c>
      <c r="Q37" s="10">
        <f t="shared" si="10"/>
        <v>-100</v>
      </c>
      <c r="S37" s="10">
        <f t="shared" si="11"/>
        <v>117.76120637007706</v>
      </c>
      <c r="T37" s="10">
        <f t="shared" si="12"/>
        <v>1</v>
      </c>
      <c r="U37" s="10">
        <f t="shared" si="13"/>
        <v>0</v>
      </c>
      <c r="V37" s="10">
        <f t="shared" si="14"/>
        <v>0</v>
      </c>
      <c r="Y37" s="10">
        <f t="shared" si="15"/>
        <v>0</v>
      </c>
      <c r="Z37" s="10">
        <f t="shared" si="3"/>
        <v>0</v>
      </c>
      <c r="AA37" s="10">
        <f t="shared" si="3"/>
        <v>0</v>
      </c>
      <c r="AB37" s="10">
        <f t="shared" si="16"/>
        <v>0.29917600024500002</v>
      </c>
      <c r="AC37" s="10">
        <f t="shared" si="4"/>
        <v>-6.8617067882421532</v>
      </c>
      <c r="AD37" s="10">
        <f t="shared" si="4"/>
        <v>11.068570336494654</v>
      </c>
      <c r="AH37" s="10">
        <f t="shared" si="20"/>
        <v>1</v>
      </c>
      <c r="AI37" s="10">
        <f t="shared" si="21"/>
        <v>0</v>
      </c>
      <c r="AJ37" s="10">
        <f t="shared" si="22"/>
        <v>0</v>
      </c>
    </row>
    <row r="38" spans="2:49" x14ac:dyDescent="0.25">
      <c r="B38" s="10">
        <v>16</v>
      </c>
      <c r="C38" s="10">
        <v>2.2056883608456701</v>
      </c>
      <c r="D38" s="10">
        <v>0.30720116228621919</v>
      </c>
      <c r="E38" s="10">
        <v>0.63979003265480516</v>
      </c>
      <c r="F38" s="10">
        <v>1</v>
      </c>
      <c r="G38" s="10">
        <v>16</v>
      </c>
      <c r="H38" s="10">
        <v>1</v>
      </c>
      <c r="I38" s="10">
        <f t="shared" si="6"/>
        <v>9.3873260438242312</v>
      </c>
      <c r="J38" s="10">
        <f t="shared" si="7"/>
        <v>15.442270446035302</v>
      </c>
      <c r="K38" s="10">
        <f t="shared" si="8"/>
        <v>1</v>
      </c>
      <c r="N38" s="10">
        <f t="shared" si="9"/>
        <v>9.3873260438242312</v>
      </c>
      <c r="O38" s="10">
        <f t="shared" si="9"/>
        <v>15.442270446035302</v>
      </c>
      <c r="P38" s="10">
        <f t="shared" si="10"/>
        <v>-100</v>
      </c>
      <c r="Q38" s="10">
        <f t="shared" si="10"/>
        <v>-100</v>
      </c>
      <c r="S38" s="10">
        <f t="shared" si="11"/>
        <v>106.80995374900833</v>
      </c>
      <c r="T38" s="10">
        <f t="shared" si="12"/>
        <v>1</v>
      </c>
      <c r="U38" s="10">
        <f t="shared" si="13"/>
        <v>0</v>
      </c>
      <c r="V38" s="10">
        <f t="shared" si="14"/>
        <v>0</v>
      </c>
      <c r="Y38" s="10">
        <f t="shared" si="15"/>
        <v>0</v>
      </c>
      <c r="Z38" s="10">
        <f t="shared" si="3"/>
        <v>0</v>
      </c>
      <c r="AA38" s="10">
        <f t="shared" si="3"/>
        <v>0</v>
      </c>
      <c r="AB38" s="10">
        <f t="shared" si="16"/>
        <v>0.29917600024500002</v>
      </c>
      <c r="AC38" s="10">
        <f t="shared" si="4"/>
        <v>-6.8617067882421532</v>
      </c>
      <c r="AD38" s="10">
        <f t="shared" si="4"/>
        <v>11.068570336494654</v>
      </c>
      <c r="AH38" s="10">
        <f t="shared" si="20"/>
        <v>1</v>
      </c>
      <c r="AI38" s="10">
        <f t="shared" si="21"/>
        <v>-1</v>
      </c>
      <c r="AJ38" s="10">
        <f t="shared" si="22"/>
        <v>1</v>
      </c>
    </row>
    <row r="39" spans="2:49" x14ac:dyDescent="0.25">
      <c r="B39" s="10">
        <v>17</v>
      </c>
      <c r="C39" s="10">
        <v>1.4864872355246916</v>
      </c>
      <c r="D39" s="10">
        <v>-1.8683840607991442</v>
      </c>
      <c r="E39" s="10">
        <v>0.15027314065981018</v>
      </c>
      <c r="F39" s="10">
        <v>1</v>
      </c>
      <c r="G39" s="10">
        <v>17</v>
      </c>
      <c r="H39" s="10">
        <v>1</v>
      </c>
      <c r="I39" s="10">
        <f t="shared" si="6"/>
        <v>8.350479766806572</v>
      </c>
      <c r="J39" s="10">
        <f t="shared" si="7"/>
        <v>12.305807835685576</v>
      </c>
      <c r="K39" s="10">
        <f t="shared" si="8"/>
        <v>1</v>
      </c>
      <c r="N39" s="10">
        <f t="shared" si="9"/>
        <v>8.350479766806572</v>
      </c>
      <c r="O39" s="10">
        <f t="shared" si="9"/>
        <v>12.305807835685576</v>
      </c>
      <c r="P39" s="10">
        <f t="shared" si="10"/>
        <v>-100</v>
      </c>
      <c r="Q39" s="10">
        <f t="shared" si="10"/>
        <v>-100</v>
      </c>
      <c r="S39" s="10">
        <f t="shared" si="11"/>
        <v>79.208331875942434</v>
      </c>
      <c r="T39" s="10">
        <f t="shared" si="12"/>
        <v>1</v>
      </c>
      <c r="U39" s="10">
        <f t="shared" si="13"/>
        <v>0</v>
      </c>
      <c r="V39" s="10">
        <f t="shared" si="14"/>
        <v>0</v>
      </c>
      <c r="Y39" s="10">
        <f t="shared" si="15"/>
        <v>0</v>
      </c>
      <c r="Z39" s="10">
        <f t="shared" si="15"/>
        <v>0</v>
      </c>
      <c r="AA39" s="10">
        <f t="shared" si="15"/>
        <v>0</v>
      </c>
      <c r="AB39" s="10">
        <f t="shared" si="16"/>
        <v>0.29917600024500002</v>
      </c>
      <c r="AC39" s="10">
        <f t="shared" si="16"/>
        <v>-6.8617067882421532</v>
      </c>
      <c r="AD39" s="10">
        <f t="shared" si="16"/>
        <v>11.068570336494654</v>
      </c>
      <c r="AH39" s="10">
        <f t="shared" si="20"/>
        <v>1</v>
      </c>
      <c r="AI39" s="10">
        <f t="shared" si="21"/>
        <v>0</v>
      </c>
      <c r="AJ39" s="10">
        <f t="shared" si="22"/>
        <v>0</v>
      </c>
    </row>
    <row r="40" spans="2:49" x14ac:dyDescent="0.25">
      <c r="B40" s="10">
        <v>18</v>
      </c>
      <c r="C40" s="10">
        <v>-1.1891461326740682</v>
      </c>
      <c r="D40" s="10">
        <v>0.71962631409405731</v>
      </c>
      <c r="E40" s="10">
        <v>0.87050996429334393</v>
      </c>
      <c r="F40" s="10">
        <v>1</v>
      </c>
      <c r="G40" s="10">
        <v>18</v>
      </c>
      <c r="H40" s="10">
        <v>1</v>
      </c>
      <c r="I40" s="10">
        <f t="shared" si="6"/>
        <v>8.8378960488846694</v>
      </c>
      <c r="J40" s="10">
        <f t="shared" si="7"/>
        <v>3.2008000774008516</v>
      </c>
      <c r="K40" s="10">
        <f t="shared" si="8"/>
        <v>-1</v>
      </c>
      <c r="N40" s="10">
        <f t="shared" si="9"/>
        <v>-100</v>
      </c>
      <c r="O40" s="10">
        <f t="shared" si="9"/>
        <v>-100</v>
      </c>
      <c r="P40" s="10">
        <f t="shared" si="10"/>
        <v>8.8378960488846694</v>
      </c>
      <c r="Q40" s="10">
        <f t="shared" si="10"/>
        <v>3.2008000774008516</v>
      </c>
      <c r="S40" s="10">
        <f t="shared" si="11"/>
        <v>-24.915594522396589</v>
      </c>
      <c r="T40" s="10">
        <f t="shared" si="12"/>
        <v>-1</v>
      </c>
      <c r="U40" s="10">
        <f t="shared" si="13"/>
        <v>0</v>
      </c>
      <c r="V40" s="10">
        <f t="shared" si="14"/>
        <v>0</v>
      </c>
      <c r="Y40" s="10">
        <f t="shared" si="15"/>
        <v>0</v>
      </c>
      <c r="Z40" s="10">
        <f t="shared" si="15"/>
        <v>0</v>
      </c>
      <c r="AA40" s="10">
        <f t="shared" si="15"/>
        <v>0</v>
      </c>
      <c r="AB40" s="10">
        <f t="shared" si="16"/>
        <v>0.29917600024500002</v>
      </c>
      <c r="AC40" s="10">
        <f t="shared" si="16"/>
        <v>-6.8617067882421532</v>
      </c>
      <c r="AD40" s="10">
        <f t="shared" si="16"/>
        <v>11.068570336494654</v>
      </c>
      <c r="AH40" s="10">
        <f t="shared" si="20"/>
        <v>1</v>
      </c>
      <c r="AI40" s="10">
        <f t="shared" si="21"/>
        <v>0</v>
      </c>
      <c r="AJ40" s="10">
        <f t="shared" si="22"/>
        <v>0</v>
      </c>
    </row>
    <row r="41" spans="2:49" x14ac:dyDescent="0.25">
      <c r="B41" s="10">
        <v>19</v>
      </c>
      <c r="C41" s="10">
        <v>-0.18810396795743145</v>
      </c>
      <c r="D41" s="10">
        <v>-0.93107018983573653</v>
      </c>
      <c r="E41" s="10">
        <v>0.13385418256172368</v>
      </c>
      <c r="F41" s="10">
        <v>1</v>
      </c>
      <c r="G41" s="10">
        <v>19</v>
      </c>
      <c r="H41" s="10">
        <v>1</v>
      </c>
      <c r="I41" s="10">
        <f t="shared" si="6"/>
        <v>5.9362821331723659</v>
      </c>
      <c r="J41" s="10">
        <f t="shared" si="7"/>
        <v>13.657099377494115</v>
      </c>
      <c r="K41" s="10">
        <f t="shared" si="8"/>
        <v>1</v>
      </c>
      <c r="N41" s="10">
        <f t="shared" si="9"/>
        <v>5.9362821331723659</v>
      </c>
      <c r="O41" s="10">
        <f t="shared" si="9"/>
        <v>13.657099377494115</v>
      </c>
      <c r="P41" s="10">
        <f t="shared" si="10"/>
        <v>-100</v>
      </c>
      <c r="Q41" s="10">
        <f t="shared" si="10"/>
        <v>-100</v>
      </c>
      <c r="S41" s="10">
        <f t="shared" si="11"/>
        <v>110.73071364242652</v>
      </c>
      <c r="T41" s="10">
        <f t="shared" si="12"/>
        <v>1</v>
      </c>
      <c r="U41" s="10">
        <f t="shared" si="13"/>
        <v>0</v>
      </c>
      <c r="V41" s="10">
        <f t="shared" si="14"/>
        <v>0</v>
      </c>
      <c r="Y41" s="10">
        <f t="shared" si="15"/>
        <v>0</v>
      </c>
      <c r="Z41" s="10">
        <f t="shared" si="15"/>
        <v>0</v>
      </c>
      <c r="AA41" s="10">
        <f t="shared" si="15"/>
        <v>0</v>
      </c>
      <c r="AB41" s="10">
        <f t="shared" si="16"/>
        <v>0.29917600024500002</v>
      </c>
      <c r="AC41" s="10">
        <f t="shared" si="16"/>
        <v>-6.8617067882421532</v>
      </c>
      <c r="AD41" s="10">
        <f t="shared" si="16"/>
        <v>11.068570336494654</v>
      </c>
      <c r="AH41" s="10">
        <f t="shared" si="20"/>
        <v>1</v>
      </c>
      <c r="AI41" s="10">
        <f t="shared" si="21"/>
        <v>0</v>
      </c>
      <c r="AJ41" s="10">
        <f t="shared" si="22"/>
        <v>0</v>
      </c>
    </row>
    <row r="42" spans="2:49" x14ac:dyDescent="0.25">
      <c r="B42" s="10">
        <v>20</v>
      </c>
      <c r="C42" s="10">
        <v>0.25222561816917732</v>
      </c>
      <c r="D42" s="10">
        <v>-0.96244548331014812</v>
      </c>
      <c r="E42" s="10">
        <v>3.4241767632068848E-2</v>
      </c>
      <c r="F42" s="10">
        <v>1</v>
      </c>
      <c r="G42" s="10">
        <v>20</v>
      </c>
      <c r="H42" s="10">
        <v>1</v>
      </c>
      <c r="I42" s="10">
        <f>IF(K42=1, C42*$C$9+$C$7,C42*$C$12+$C$10)</f>
        <v>6.5710893880029841</v>
      </c>
      <c r="J42" s="10">
        <f t="shared" si="7"/>
        <v>13.611866750508497</v>
      </c>
      <c r="K42" s="10">
        <f t="shared" si="8"/>
        <v>1</v>
      </c>
      <c r="N42" s="10">
        <f t="shared" si="9"/>
        <v>6.5710893880029841</v>
      </c>
      <c r="O42" s="10">
        <f t="shared" si="9"/>
        <v>13.611866750508497</v>
      </c>
      <c r="P42" s="10">
        <f t="shared" si="10"/>
        <v>-100</v>
      </c>
      <c r="Q42" s="10">
        <f t="shared" si="10"/>
        <v>-100</v>
      </c>
      <c r="S42" s="10">
        <f t="shared" si="11"/>
        <v>105.87419187943519</v>
      </c>
      <c r="T42" s="10">
        <f t="shared" si="12"/>
        <v>1</v>
      </c>
      <c r="U42" s="10">
        <f t="shared" si="13"/>
        <v>0</v>
      </c>
      <c r="V42" s="10">
        <f t="shared" si="14"/>
        <v>0</v>
      </c>
      <c r="X42" s="10">
        <f>SUM(V23:V42)</f>
        <v>3</v>
      </c>
      <c r="Y42" s="10">
        <f t="shared" si="15"/>
        <v>0</v>
      </c>
      <c r="Z42" s="10">
        <f t="shared" si="15"/>
        <v>0</v>
      </c>
      <c r="AA42" s="10">
        <f t="shared" si="15"/>
        <v>0</v>
      </c>
      <c r="AB42" s="10">
        <f t="shared" si="16"/>
        <v>0.29917600024500002</v>
      </c>
      <c r="AC42" s="10">
        <f t="shared" si="16"/>
        <v>-6.8617067882421532</v>
      </c>
      <c r="AD42" s="10">
        <f t="shared" si="16"/>
        <v>11.068570336494654</v>
      </c>
      <c r="AH42" s="10">
        <f t="shared" si="20"/>
        <v>1</v>
      </c>
      <c r="AI42" s="10">
        <f t="shared" si="21"/>
        <v>-1</v>
      </c>
      <c r="AJ42" s="10">
        <f t="shared" si="22"/>
        <v>1</v>
      </c>
    </row>
    <row r="43" spans="2:49" x14ac:dyDescent="0.25">
      <c r="F43" s="10">
        <v>2</v>
      </c>
      <c r="G43" s="10">
        <v>1</v>
      </c>
      <c r="H43" s="10">
        <v>1</v>
      </c>
      <c r="I43" s="10">
        <f>I23</f>
        <v>4.3149584625268673</v>
      </c>
      <c r="J43" s="10">
        <f t="shared" si="7"/>
        <v>14.99938962981048</v>
      </c>
      <c r="K43" s="10">
        <f t="shared" si="8"/>
        <v>1</v>
      </c>
      <c r="S43" s="12">
        <f t="shared" si="11"/>
        <v>136.71299534898725</v>
      </c>
      <c r="T43" s="12">
        <f t="shared" si="12"/>
        <v>1</v>
      </c>
      <c r="U43" s="12">
        <f t="shared" si="13"/>
        <v>0</v>
      </c>
      <c r="V43" s="12">
        <f t="shared" si="14"/>
        <v>0</v>
      </c>
      <c r="W43" s="12"/>
      <c r="X43" s="12"/>
      <c r="Y43" s="10">
        <f t="shared" si="15"/>
        <v>0</v>
      </c>
      <c r="Z43" s="10">
        <f t="shared" si="15"/>
        <v>0</v>
      </c>
      <c r="AA43" s="10">
        <f t="shared" si="15"/>
        <v>0</v>
      </c>
      <c r="AB43" s="10">
        <f t="shared" si="16"/>
        <v>0.29917600024500002</v>
      </c>
      <c r="AC43" s="10">
        <f t="shared" si="16"/>
        <v>-6.8617067882421532</v>
      </c>
      <c r="AD43" s="10">
        <f t="shared" si="16"/>
        <v>11.068570336494654</v>
      </c>
      <c r="AH43" s="10">
        <f t="shared" si="20"/>
        <v>1</v>
      </c>
      <c r="AI43" s="10">
        <f t="shared" si="21"/>
        <v>0</v>
      </c>
      <c r="AJ43" s="10">
        <f t="shared" si="22"/>
        <v>0</v>
      </c>
    </row>
    <row r="44" spans="2:49" x14ac:dyDescent="0.25">
      <c r="F44" s="10">
        <v>2</v>
      </c>
      <c r="G44" s="10">
        <v>2</v>
      </c>
      <c r="H44" s="10">
        <v>1</v>
      </c>
      <c r="I44" s="10">
        <f t="shared" ref="I44:I107" si="29">I24</f>
        <v>4.2336649521823988</v>
      </c>
      <c r="J44" s="10">
        <f t="shared" si="7"/>
        <v>14.99938962981048</v>
      </c>
      <c r="K44" s="10">
        <f t="shared" si="8"/>
        <v>1</v>
      </c>
      <c r="S44" s="10">
        <f t="shared" si="11"/>
        <v>137.27080758075795</v>
      </c>
      <c r="T44" s="10">
        <f t="shared" si="12"/>
        <v>1</v>
      </c>
      <c r="U44" s="10">
        <f t="shared" si="13"/>
        <v>0</v>
      </c>
      <c r="V44" s="10">
        <f t="shared" si="14"/>
        <v>0</v>
      </c>
      <c r="Y44" s="10">
        <f t="shared" si="15"/>
        <v>0</v>
      </c>
      <c r="Z44" s="10">
        <f t="shared" si="15"/>
        <v>0</v>
      </c>
      <c r="AA44" s="10">
        <f t="shared" si="15"/>
        <v>0</v>
      </c>
      <c r="AB44" s="10">
        <f t="shared" si="16"/>
        <v>0.29917600024500002</v>
      </c>
      <c r="AC44" s="10">
        <f t="shared" si="16"/>
        <v>-6.8617067882421532</v>
      </c>
      <c r="AD44" s="10">
        <f t="shared" si="16"/>
        <v>11.068570336494654</v>
      </c>
      <c r="AH44" s="10">
        <f t="shared" si="20"/>
        <v>1</v>
      </c>
      <c r="AI44" s="10">
        <f t="shared" si="21"/>
        <v>0</v>
      </c>
      <c r="AJ44" s="10">
        <f t="shared" si="22"/>
        <v>0</v>
      </c>
    </row>
    <row r="45" spans="2:49" x14ac:dyDescent="0.25">
      <c r="F45" s="10">
        <v>2</v>
      </c>
      <c r="G45" s="10">
        <v>3</v>
      </c>
      <c r="H45" s="10">
        <v>1</v>
      </c>
      <c r="I45" s="10">
        <f t="shared" si="29"/>
        <v>4.0760342132531742</v>
      </c>
      <c r="J45" s="10">
        <f t="shared" si="7"/>
        <v>14.99938962981048</v>
      </c>
      <c r="K45" s="10">
        <f t="shared" si="8"/>
        <v>1</v>
      </c>
      <c r="S45" s="10">
        <f t="shared" si="11"/>
        <v>138.35242349210421</v>
      </c>
      <c r="T45" s="10">
        <f t="shared" si="12"/>
        <v>1</v>
      </c>
      <c r="U45" s="10">
        <f t="shared" si="13"/>
        <v>0</v>
      </c>
      <c r="V45" s="10">
        <f t="shared" si="14"/>
        <v>0</v>
      </c>
      <c r="Y45" s="10">
        <f t="shared" si="15"/>
        <v>0</v>
      </c>
      <c r="Z45" s="10">
        <f t="shared" si="15"/>
        <v>0</v>
      </c>
      <c r="AA45" s="10">
        <f t="shared" si="15"/>
        <v>0</v>
      </c>
      <c r="AB45" s="10">
        <f t="shared" si="16"/>
        <v>0.29917600024500002</v>
      </c>
      <c r="AC45" s="10">
        <f t="shared" si="16"/>
        <v>-6.8617067882421532</v>
      </c>
      <c r="AD45" s="10">
        <f t="shared" si="16"/>
        <v>11.068570336494654</v>
      </c>
      <c r="AH45" s="10">
        <f t="shared" si="20"/>
        <v>1</v>
      </c>
      <c r="AI45" s="10">
        <f t="shared" si="21"/>
        <v>0</v>
      </c>
      <c r="AJ45" s="10">
        <f t="shared" si="22"/>
        <v>0</v>
      </c>
    </row>
    <row r="46" spans="2:49" x14ac:dyDescent="0.25">
      <c r="F46" s="10">
        <v>2</v>
      </c>
      <c r="G46" s="10">
        <v>4</v>
      </c>
      <c r="H46" s="10">
        <v>1</v>
      </c>
      <c r="I46" s="10">
        <f t="shared" si="29"/>
        <v>6.9682999690312606</v>
      </c>
      <c r="J46" s="10">
        <f t="shared" si="7"/>
        <v>14.99938962981048</v>
      </c>
      <c r="K46" s="10">
        <f t="shared" si="8"/>
        <v>1</v>
      </c>
      <c r="S46" s="10">
        <f t="shared" si="11"/>
        <v>118.50654392228139</v>
      </c>
      <c r="T46" s="10">
        <f t="shared" si="12"/>
        <v>1</v>
      </c>
      <c r="U46" s="10">
        <f t="shared" si="13"/>
        <v>0</v>
      </c>
      <c r="V46" s="10">
        <f t="shared" si="14"/>
        <v>0</v>
      </c>
      <c r="Y46" s="10">
        <f t="shared" si="15"/>
        <v>0</v>
      </c>
      <c r="Z46" s="10">
        <f t="shared" si="15"/>
        <v>0</v>
      </c>
      <c r="AA46" s="10">
        <f t="shared" si="15"/>
        <v>0</v>
      </c>
      <c r="AB46" s="10">
        <f t="shared" si="16"/>
        <v>0.29917600024500002</v>
      </c>
      <c r="AC46" s="10">
        <f t="shared" si="16"/>
        <v>-6.8617067882421532</v>
      </c>
      <c r="AD46" s="10">
        <f t="shared" si="16"/>
        <v>11.068570336494654</v>
      </c>
      <c r="AH46" s="10">
        <f t="shared" si="20"/>
        <v>1</v>
      </c>
      <c r="AI46" s="10">
        <f t="shared" si="21"/>
        <v>0</v>
      </c>
      <c r="AJ46" s="10">
        <f t="shared" si="22"/>
        <v>0</v>
      </c>
    </row>
    <row r="47" spans="2:49" x14ac:dyDescent="0.25">
      <c r="F47" s="10">
        <v>2</v>
      </c>
      <c r="G47" s="10">
        <v>5</v>
      </c>
      <c r="H47" s="10">
        <v>1</v>
      </c>
      <c r="I47" s="10">
        <f t="shared" si="29"/>
        <v>8.3649028089644606</v>
      </c>
      <c r="J47" s="10">
        <f t="shared" si="7"/>
        <v>14.99938962981048</v>
      </c>
      <c r="K47" s="10">
        <f t="shared" si="8"/>
        <v>1</v>
      </c>
      <c r="S47" s="10">
        <f t="shared" si="11"/>
        <v>108.92346473503349</v>
      </c>
      <c r="T47" s="10">
        <f t="shared" si="12"/>
        <v>1</v>
      </c>
      <c r="U47" s="10">
        <f t="shared" si="13"/>
        <v>0</v>
      </c>
      <c r="V47" s="10">
        <f t="shared" si="14"/>
        <v>0</v>
      </c>
      <c r="Y47" s="10">
        <f t="shared" si="15"/>
        <v>0</v>
      </c>
      <c r="Z47" s="10">
        <f t="shared" si="15"/>
        <v>0</v>
      </c>
      <c r="AA47" s="10">
        <f t="shared" si="15"/>
        <v>0</v>
      </c>
      <c r="AB47" s="10">
        <f t="shared" si="16"/>
        <v>0.29917600024500002</v>
      </c>
      <c r="AC47" s="10">
        <f t="shared" si="16"/>
        <v>-6.8617067882421532</v>
      </c>
      <c r="AD47" s="10">
        <f t="shared" si="16"/>
        <v>11.068570336494654</v>
      </c>
      <c r="AH47" s="10">
        <f t="shared" si="20"/>
        <v>1</v>
      </c>
      <c r="AI47" s="10">
        <f t="shared" si="21"/>
        <v>0</v>
      </c>
      <c r="AJ47" s="10">
        <f t="shared" si="22"/>
        <v>0</v>
      </c>
    </row>
    <row r="48" spans="2:49" x14ac:dyDescent="0.25">
      <c r="F48" s="10">
        <v>2</v>
      </c>
      <c r="G48" s="10">
        <v>6</v>
      </c>
      <c r="H48" s="10">
        <v>1</v>
      </c>
      <c r="I48" s="10">
        <f t="shared" si="29"/>
        <v>9.3848699915294151</v>
      </c>
      <c r="J48" s="10">
        <f t="shared" si="7"/>
        <v>14.99938962981048</v>
      </c>
      <c r="K48" s="10">
        <f t="shared" si="8"/>
        <v>1</v>
      </c>
      <c r="S48" s="10">
        <f>SUMPRODUCT(H48:J48,AB47:AD47)</f>
        <v>101.92474899464332</v>
      </c>
      <c r="T48" s="10">
        <f t="shared" si="12"/>
        <v>1</v>
      </c>
      <c r="U48" s="10">
        <f t="shared" si="13"/>
        <v>0</v>
      </c>
      <c r="V48" s="10">
        <f t="shared" si="14"/>
        <v>0</v>
      </c>
      <c r="Y48" s="10">
        <f t="shared" si="15"/>
        <v>0</v>
      </c>
      <c r="Z48" s="10">
        <f t="shared" si="15"/>
        <v>0</v>
      </c>
      <c r="AA48" s="10">
        <f t="shared" si="15"/>
        <v>0</v>
      </c>
      <c r="AB48" s="10">
        <f t="shared" si="16"/>
        <v>0.29917600024500002</v>
      </c>
      <c r="AC48" s="10">
        <f t="shared" si="16"/>
        <v>-6.8617067882421532</v>
      </c>
      <c r="AD48" s="10">
        <f t="shared" si="16"/>
        <v>11.068570336494654</v>
      </c>
      <c r="AH48" s="10">
        <f t="shared" si="20"/>
        <v>1</v>
      </c>
      <c r="AI48" s="10">
        <f t="shared" si="21"/>
        <v>0</v>
      </c>
      <c r="AJ48" s="10">
        <f t="shared" si="22"/>
        <v>0</v>
      </c>
    </row>
    <row r="49" spans="6:36" x14ac:dyDescent="0.25">
      <c r="F49" s="10">
        <v>2</v>
      </c>
      <c r="G49" s="10">
        <v>7</v>
      </c>
      <c r="H49" s="10">
        <v>1</v>
      </c>
      <c r="I49" s="10">
        <f t="shared" si="29"/>
        <v>9.2116945315592211</v>
      </c>
      <c r="J49" s="10">
        <f t="shared" si="7"/>
        <v>14.99938962981048</v>
      </c>
      <c r="K49" s="10">
        <f t="shared" si="8"/>
        <v>1</v>
      </c>
      <c r="S49" s="10">
        <f t="shared" si="11"/>
        <v>103.11302822387776</v>
      </c>
      <c r="T49" s="10">
        <f t="shared" si="12"/>
        <v>1</v>
      </c>
      <c r="U49" s="10">
        <f t="shared" si="13"/>
        <v>0</v>
      </c>
      <c r="V49" s="10">
        <f t="shared" si="14"/>
        <v>0</v>
      </c>
      <c r="Y49" s="10">
        <f t="shared" si="15"/>
        <v>0</v>
      </c>
      <c r="Z49" s="10">
        <f t="shared" si="15"/>
        <v>0</v>
      </c>
      <c r="AA49" s="10">
        <f t="shared" si="15"/>
        <v>0</v>
      </c>
      <c r="AB49" s="10">
        <f t="shared" si="16"/>
        <v>0.29917600024500002</v>
      </c>
      <c r="AC49" s="10">
        <f t="shared" si="16"/>
        <v>-6.8617067882421532</v>
      </c>
      <c r="AD49" s="10">
        <f t="shared" si="16"/>
        <v>11.068570336494654</v>
      </c>
      <c r="AH49" s="10">
        <f t="shared" si="20"/>
        <v>1</v>
      </c>
      <c r="AI49" s="10">
        <f t="shared" si="21"/>
        <v>0</v>
      </c>
      <c r="AJ49" s="10">
        <f t="shared" si="22"/>
        <v>0</v>
      </c>
    </row>
    <row r="50" spans="6:36" x14ac:dyDescent="0.25">
      <c r="F50" s="10">
        <v>2</v>
      </c>
      <c r="G50" s="10">
        <v>8</v>
      </c>
      <c r="H50" s="10">
        <v>1</v>
      </c>
      <c r="I50" s="10">
        <f t="shared" si="29"/>
        <v>10.461114754974387</v>
      </c>
      <c r="J50" s="10">
        <f t="shared" si="7"/>
        <v>14.99938962981048</v>
      </c>
      <c r="K50" s="10">
        <f t="shared" si="8"/>
        <v>1</v>
      </c>
      <c r="S50" s="10">
        <f t="shared" si="11"/>
        <v>94.53987299550289</v>
      </c>
      <c r="T50" s="10">
        <f t="shared" si="12"/>
        <v>1</v>
      </c>
      <c r="U50" s="10">
        <f t="shared" si="13"/>
        <v>0</v>
      </c>
      <c r="V50" s="10">
        <f t="shared" si="14"/>
        <v>0</v>
      </c>
      <c r="Y50" s="10">
        <f t="shared" si="15"/>
        <v>0</v>
      </c>
      <c r="Z50" s="10">
        <f t="shared" si="15"/>
        <v>0</v>
      </c>
      <c r="AA50" s="10">
        <f t="shared" si="15"/>
        <v>0</v>
      </c>
      <c r="AB50" s="10">
        <f t="shared" si="16"/>
        <v>0.29917600024500002</v>
      </c>
      <c r="AC50" s="10">
        <f t="shared" si="16"/>
        <v>-6.8617067882421532</v>
      </c>
      <c r="AD50" s="10">
        <f t="shared" si="16"/>
        <v>11.068570336494654</v>
      </c>
      <c r="AH50" s="10">
        <f t="shared" si="20"/>
        <v>1</v>
      </c>
      <c r="AI50" s="10">
        <f t="shared" si="21"/>
        <v>0</v>
      </c>
      <c r="AJ50" s="10">
        <f t="shared" si="22"/>
        <v>0</v>
      </c>
    </row>
    <row r="51" spans="6:36" x14ac:dyDescent="0.25">
      <c r="F51" s="10">
        <v>2</v>
      </c>
      <c r="G51" s="10">
        <v>9</v>
      </c>
      <c r="H51" s="10">
        <v>1</v>
      </c>
      <c r="I51" s="10">
        <f t="shared" si="29"/>
        <v>4.1553347214085523</v>
      </c>
      <c r="J51" s="10">
        <f t="shared" si="7"/>
        <v>14.99938962981048</v>
      </c>
      <c r="K51" s="10">
        <f t="shared" si="8"/>
        <v>1</v>
      </c>
      <c r="S51" s="10">
        <f t="shared" si="11"/>
        <v>137.8082866569834</v>
      </c>
      <c r="T51" s="10">
        <f t="shared" si="12"/>
        <v>1</v>
      </c>
      <c r="U51" s="10">
        <f t="shared" si="13"/>
        <v>0</v>
      </c>
      <c r="V51" s="10">
        <f t="shared" si="14"/>
        <v>0</v>
      </c>
      <c r="Y51" s="10">
        <f t="shared" si="15"/>
        <v>0</v>
      </c>
      <c r="Z51" s="10">
        <f t="shared" si="15"/>
        <v>0</v>
      </c>
      <c r="AA51" s="10">
        <f t="shared" si="15"/>
        <v>0</v>
      </c>
      <c r="AB51" s="10">
        <f t="shared" si="16"/>
        <v>0.29917600024500002</v>
      </c>
      <c r="AC51" s="10">
        <f t="shared" si="16"/>
        <v>-6.8617067882421532</v>
      </c>
      <c r="AD51" s="10">
        <f t="shared" si="16"/>
        <v>11.068570336494654</v>
      </c>
      <c r="AH51" s="10">
        <f t="shared" si="20"/>
        <v>1</v>
      </c>
      <c r="AI51" s="10">
        <f t="shared" si="21"/>
        <v>0</v>
      </c>
      <c r="AJ51" s="10">
        <f t="shared" si="22"/>
        <v>0</v>
      </c>
    </row>
    <row r="52" spans="6:36" x14ac:dyDescent="0.25">
      <c r="F52" s="10">
        <v>2</v>
      </c>
      <c r="G52" s="10">
        <v>10</v>
      </c>
      <c r="H52" s="10">
        <v>1</v>
      </c>
      <c r="I52" s="10">
        <f t="shared" si="29"/>
        <v>8.4627041466514576</v>
      </c>
      <c r="J52" s="10">
        <f t="shared" si="7"/>
        <v>14.99938962981048</v>
      </c>
      <c r="K52" s="10">
        <f t="shared" si="8"/>
        <v>1</v>
      </c>
      <c r="S52" s="10">
        <f t="shared" si="11"/>
        <v>108.25238063232746</v>
      </c>
      <c r="T52" s="10">
        <f t="shared" si="12"/>
        <v>1</v>
      </c>
      <c r="U52" s="10">
        <f t="shared" si="13"/>
        <v>0</v>
      </c>
      <c r="V52" s="10">
        <f t="shared" si="14"/>
        <v>0</v>
      </c>
      <c r="Y52" s="10">
        <f t="shared" si="15"/>
        <v>0</v>
      </c>
      <c r="Z52" s="10">
        <f t="shared" si="15"/>
        <v>0</v>
      </c>
      <c r="AA52" s="10">
        <f t="shared" si="15"/>
        <v>0</v>
      </c>
      <c r="AB52" s="10">
        <f t="shared" si="16"/>
        <v>0.29917600024500002</v>
      </c>
      <c r="AC52" s="10">
        <f t="shared" si="16"/>
        <v>-6.8617067882421532</v>
      </c>
      <c r="AD52" s="10">
        <f t="shared" si="16"/>
        <v>11.068570336494654</v>
      </c>
      <c r="AH52" s="10">
        <f t="shared" si="20"/>
        <v>1</v>
      </c>
      <c r="AI52" s="10">
        <f t="shared" si="21"/>
        <v>0</v>
      </c>
      <c r="AJ52" s="10">
        <f t="shared" si="22"/>
        <v>0</v>
      </c>
    </row>
    <row r="53" spans="6:36" x14ac:dyDescent="0.25">
      <c r="F53" s="10">
        <v>2</v>
      </c>
      <c r="G53" s="10">
        <v>11</v>
      </c>
      <c r="H53" s="10">
        <v>1</v>
      </c>
      <c r="I53" s="10">
        <f t="shared" si="29"/>
        <v>11.722530671423003</v>
      </c>
      <c r="J53" s="10">
        <f t="shared" si="7"/>
        <v>14.99938962981048</v>
      </c>
      <c r="K53" s="10">
        <f t="shared" si="8"/>
        <v>1</v>
      </c>
      <c r="S53" s="10">
        <f t="shared" si="11"/>
        <v>85.884406838810719</v>
      </c>
      <c r="T53" s="10">
        <f t="shared" si="12"/>
        <v>1</v>
      </c>
      <c r="U53" s="10">
        <f t="shared" si="13"/>
        <v>0</v>
      </c>
      <c r="V53" s="10">
        <f t="shared" si="14"/>
        <v>0</v>
      </c>
      <c r="Y53" s="10">
        <f t="shared" si="15"/>
        <v>0</v>
      </c>
      <c r="Z53" s="10">
        <f t="shared" si="15"/>
        <v>0</v>
      </c>
      <c r="AA53" s="10">
        <f t="shared" si="15"/>
        <v>0</v>
      </c>
      <c r="AB53" s="10">
        <f t="shared" si="16"/>
        <v>0.29917600024500002</v>
      </c>
      <c r="AC53" s="10">
        <f t="shared" si="16"/>
        <v>-6.8617067882421532</v>
      </c>
      <c r="AD53" s="10">
        <f t="shared" si="16"/>
        <v>11.068570336494654</v>
      </c>
      <c r="AH53" s="10">
        <f t="shared" si="20"/>
        <v>1</v>
      </c>
      <c r="AI53" s="10">
        <f t="shared" si="21"/>
        <v>0</v>
      </c>
      <c r="AJ53" s="10">
        <f t="shared" si="22"/>
        <v>0</v>
      </c>
    </row>
    <row r="54" spans="6:36" x14ac:dyDescent="0.25">
      <c r="F54" s="10">
        <v>2</v>
      </c>
      <c r="G54" s="10">
        <v>12</v>
      </c>
      <c r="H54" s="10">
        <v>1</v>
      </c>
      <c r="I54" s="10">
        <f t="shared" si="29"/>
        <v>9.6231558949622329</v>
      </c>
      <c r="J54" s="10">
        <f t="shared" si="7"/>
        <v>14.99938962981048</v>
      </c>
      <c r="K54" s="10">
        <f t="shared" si="8"/>
        <v>1</v>
      </c>
      <c r="S54" s="10">
        <f t="shared" si="11"/>
        <v>100.28970099351595</v>
      </c>
      <c r="T54" s="10">
        <f t="shared" si="12"/>
        <v>1</v>
      </c>
      <c r="U54" s="10">
        <f t="shared" si="13"/>
        <v>0</v>
      </c>
      <c r="V54" s="10">
        <f t="shared" si="14"/>
        <v>0</v>
      </c>
      <c r="Y54" s="10">
        <f t="shared" si="15"/>
        <v>0</v>
      </c>
      <c r="Z54" s="10">
        <f t="shared" si="15"/>
        <v>0</v>
      </c>
      <c r="AA54" s="10">
        <f t="shared" si="15"/>
        <v>0</v>
      </c>
      <c r="AB54" s="10">
        <f t="shared" si="16"/>
        <v>0.29917600024500002</v>
      </c>
      <c r="AC54" s="10">
        <f t="shared" si="16"/>
        <v>-6.8617067882421532</v>
      </c>
      <c r="AD54" s="10">
        <f t="shared" si="16"/>
        <v>11.068570336494654</v>
      </c>
      <c r="AH54" s="10">
        <f t="shared" si="20"/>
        <v>1</v>
      </c>
      <c r="AI54" s="10">
        <f t="shared" si="21"/>
        <v>0</v>
      </c>
      <c r="AJ54" s="10">
        <f t="shared" si="22"/>
        <v>0</v>
      </c>
    </row>
    <row r="55" spans="6:36" x14ac:dyDescent="0.25">
      <c r="F55" s="10">
        <v>2</v>
      </c>
      <c r="G55" s="10">
        <v>13</v>
      </c>
      <c r="H55" s="10">
        <v>1</v>
      </c>
      <c r="I55" s="10">
        <f t="shared" si="29"/>
        <v>8.0162683783311302</v>
      </c>
      <c r="J55" s="10">
        <f t="shared" si="7"/>
        <v>14.99938962981048</v>
      </c>
      <c r="K55" s="10">
        <f t="shared" si="8"/>
        <v>1</v>
      </c>
      <c r="S55" s="10">
        <f t="shared" si="11"/>
        <v>111.31569197432515</v>
      </c>
      <c r="T55" s="10">
        <f t="shared" si="12"/>
        <v>1</v>
      </c>
      <c r="U55" s="10">
        <f t="shared" si="13"/>
        <v>0</v>
      </c>
      <c r="V55" s="10">
        <f t="shared" si="14"/>
        <v>0</v>
      </c>
      <c r="Y55" s="10">
        <f t="shared" si="15"/>
        <v>0</v>
      </c>
      <c r="Z55" s="10">
        <f t="shared" si="15"/>
        <v>0</v>
      </c>
      <c r="AA55" s="10">
        <f t="shared" si="15"/>
        <v>0</v>
      </c>
      <c r="AB55" s="10">
        <f t="shared" si="16"/>
        <v>0.29917600024500002</v>
      </c>
      <c r="AC55" s="10">
        <f t="shared" si="16"/>
        <v>-6.8617067882421532</v>
      </c>
      <c r="AD55" s="10">
        <f t="shared" si="16"/>
        <v>11.068570336494654</v>
      </c>
      <c r="AH55" s="10">
        <f t="shared" si="20"/>
        <v>1</v>
      </c>
      <c r="AI55" s="10">
        <f t="shared" si="21"/>
        <v>0</v>
      </c>
      <c r="AJ55" s="10">
        <f t="shared" si="22"/>
        <v>0</v>
      </c>
    </row>
    <row r="56" spans="6:36" x14ac:dyDescent="0.25">
      <c r="F56" s="10">
        <v>2</v>
      </c>
      <c r="G56" s="10">
        <v>14</v>
      </c>
      <c r="H56" s="10">
        <v>1</v>
      </c>
      <c r="I56" s="10">
        <f t="shared" si="29"/>
        <v>11.270939377934512</v>
      </c>
      <c r="J56" s="10">
        <f t="shared" si="7"/>
        <v>14.99938962981048</v>
      </c>
      <c r="K56" s="10">
        <f t="shared" si="8"/>
        <v>1</v>
      </c>
      <c r="S56" s="10">
        <f t="shared" si="11"/>
        <v>88.983093882851762</v>
      </c>
      <c r="T56" s="10">
        <f t="shared" si="12"/>
        <v>1</v>
      </c>
      <c r="U56" s="10">
        <f t="shared" si="13"/>
        <v>0</v>
      </c>
      <c r="V56" s="10">
        <f t="shared" si="14"/>
        <v>0</v>
      </c>
      <c r="Y56" s="10">
        <f t="shared" si="15"/>
        <v>0</v>
      </c>
      <c r="Z56" s="10">
        <f t="shared" si="15"/>
        <v>0</v>
      </c>
      <c r="AA56" s="10">
        <f t="shared" si="15"/>
        <v>0</v>
      </c>
      <c r="AB56" s="10">
        <f t="shared" si="16"/>
        <v>0.29917600024500002</v>
      </c>
      <c r="AC56" s="10">
        <f t="shared" si="16"/>
        <v>-6.8617067882421532</v>
      </c>
      <c r="AD56" s="10">
        <f t="shared" si="16"/>
        <v>11.068570336494654</v>
      </c>
      <c r="AH56" s="10">
        <f t="shared" si="20"/>
        <v>1</v>
      </c>
      <c r="AI56" s="10">
        <f t="shared" si="21"/>
        <v>0</v>
      </c>
      <c r="AJ56" s="10">
        <f t="shared" si="22"/>
        <v>0</v>
      </c>
    </row>
    <row r="57" spans="6:36" x14ac:dyDescent="0.25">
      <c r="F57" s="10">
        <v>2</v>
      </c>
      <c r="G57" s="10">
        <v>15</v>
      </c>
      <c r="H57" s="10">
        <v>1</v>
      </c>
      <c r="I57" s="10">
        <f t="shared" si="29"/>
        <v>7.0021023351067502</v>
      </c>
      <c r="J57" s="10">
        <f t="shared" si="7"/>
        <v>14.99938962981048</v>
      </c>
      <c r="K57" s="10">
        <f t="shared" si="8"/>
        <v>1</v>
      </c>
      <c r="S57" s="10">
        <f t="shared" si="11"/>
        <v>118.27460199752257</v>
      </c>
      <c r="T57" s="10">
        <f t="shared" si="12"/>
        <v>1</v>
      </c>
      <c r="U57" s="10">
        <f t="shared" si="13"/>
        <v>0</v>
      </c>
      <c r="V57" s="10">
        <f t="shared" si="14"/>
        <v>0</v>
      </c>
      <c r="Y57" s="10">
        <f t="shared" si="15"/>
        <v>0</v>
      </c>
      <c r="Z57" s="10">
        <f t="shared" si="15"/>
        <v>0</v>
      </c>
      <c r="AA57" s="10">
        <f t="shared" si="15"/>
        <v>0</v>
      </c>
      <c r="AB57" s="10">
        <f t="shared" si="16"/>
        <v>0.29917600024500002</v>
      </c>
      <c r="AC57" s="10">
        <f t="shared" si="16"/>
        <v>-6.8617067882421532</v>
      </c>
      <c r="AD57" s="10">
        <f t="shared" si="16"/>
        <v>11.068570336494654</v>
      </c>
      <c r="AH57" s="10">
        <f t="shared" si="20"/>
        <v>1</v>
      </c>
      <c r="AI57" s="10">
        <f t="shared" si="21"/>
        <v>0</v>
      </c>
      <c r="AJ57" s="10">
        <f t="shared" si="22"/>
        <v>0</v>
      </c>
    </row>
    <row r="58" spans="6:36" x14ac:dyDescent="0.25">
      <c r="F58" s="10">
        <v>2</v>
      </c>
      <c r="G58" s="10">
        <v>16</v>
      </c>
      <c r="H58" s="10">
        <v>1</v>
      </c>
      <c r="I58" s="10">
        <f t="shared" si="29"/>
        <v>9.3873260438242312</v>
      </c>
      <c r="J58" s="10">
        <f t="shared" si="7"/>
        <v>14.99938962981048</v>
      </c>
      <c r="K58" s="10">
        <f t="shared" si="8"/>
        <v>1</v>
      </c>
      <c r="S58" s="10">
        <f t="shared" si="11"/>
        <v>101.90789628393971</v>
      </c>
      <c r="T58" s="10">
        <f t="shared" si="12"/>
        <v>1</v>
      </c>
      <c r="U58" s="10">
        <f t="shared" si="13"/>
        <v>0</v>
      </c>
      <c r="V58" s="10">
        <f t="shared" si="14"/>
        <v>0</v>
      </c>
      <c r="Y58" s="10">
        <f t="shared" si="15"/>
        <v>0</v>
      </c>
      <c r="Z58" s="10">
        <f t="shared" si="15"/>
        <v>0</v>
      </c>
      <c r="AA58" s="10">
        <f t="shared" si="15"/>
        <v>0</v>
      </c>
      <c r="AB58" s="10">
        <f t="shared" si="16"/>
        <v>0.29917600024500002</v>
      </c>
      <c r="AC58" s="10">
        <f t="shared" si="16"/>
        <v>-6.8617067882421532</v>
      </c>
      <c r="AD58" s="10">
        <f t="shared" si="16"/>
        <v>11.068570336494654</v>
      </c>
      <c r="AH58" s="10">
        <f t="shared" si="20"/>
        <v>1</v>
      </c>
      <c r="AI58" s="10">
        <f t="shared" si="21"/>
        <v>0</v>
      </c>
      <c r="AJ58" s="10">
        <f t="shared" si="22"/>
        <v>0</v>
      </c>
    </row>
    <row r="59" spans="6:36" x14ac:dyDescent="0.25">
      <c r="F59" s="10">
        <v>2</v>
      </c>
      <c r="G59" s="10">
        <v>17</v>
      </c>
      <c r="H59" s="10">
        <v>1</v>
      </c>
      <c r="I59" s="10">
        <f t="shared" si="29"/>
        <v>8.350479766806572</v>
      </c>
      <c r="J59" s="10">
        <f t="shared" si="7"/>
        <v>14.99938962981048</v>
      </c>
      <c r="K59" s="10">
        <f t="shared" si="8"/>
        <v>1</v>
      </c>
      <c r="S59" s="10">
        <f t="shared" si="11"/>
        <v>109.02243142131539</v>
      </c>
      <c r="T59" s="10">
        <f t="shared" si="12"/>
        <v>1</v>
      </c>
      <c r="U59" s="10">
        <f t="shared" si="13"/>
        <v>0</v>
      </c>
      <c r="V59" s="10">
        <f t="shared" si="14"/>
        <v>0</v>
      </c>
      <c r="Y59" s="10">
        <f t="shared" si="15"/>
        <v>0</v>
      </c>
      <c r="Z59" s="10">
        <f t="shared" si="15"/>
        <v>0</v>
      </c>
      <c r="AA59" s="10">
        <f t="shared" si="15"/>
        <v>0</v>
      </c>
      <c r="AB59" s="10">
        <f t="shared" si="16"/>
        <v>0.29917600024500002</v>
      </c>
      <c r="AC59" s="10">
        <f t="shared" si="16"/>
        <v>-6.8617067882421532</v>
      </c>
      <c r="AD59" s="10">
        <f t="shared" si="16"/>
        <v>11.068570336494654</v>
      </c>
      <c r="AH59" s="10">
        <f t="shared" si="20"/>
        <v>1</v>
      </c>
      <c r="AI59" s="10">
        <f t="shared" si="21"/>
        <v>0</v>
      </c>
      <c r="AJ59" s="10">
        <f t="shared" si="22"/>
        <v>0</v>
      </c>
    </row>
    <row r="60" spans="6:36" x14ac:dyDescent="0.25">
      <c r="F60" s="10">
        <v>2</v>
      </c>
      <c r="G60" s="10">
        <v>18</v>
      </c>
      <c r="H60" s="10">
        <v>1</v>
      </c>
      <c r="I60" s="10">
        <f t="shared" si="29"/>
        <v>8.8378960488846694</v>
      </c>
      <c r="J60" s="10">
        <f t="shared" si="7"/>
        <v>14.99938962981048</v>
      </c>
      <c r="K60" s="10">
        <f t="shared" si="8"/>
        <v>1</v>
      </c>
      <c r="S60" s="10">
        <f t="shared" si="11"/>
        <v>105.67792380988035</v>
      </c>
      <c r="T60" s="10">
        <f t="shared" si="12"/>
        <v>1</v>
      </c>
      <c r="U60" s="10">
        <f t="shared" si="13"/>
        <v>0</v>
      </c>
      <c r="V60" s="10">
        <f t="shared" si="14"/>
        <v>0</v>
      </c>
      <c r="Y60" s="10">
        <f t="shared" si="15"/>
        <v>0</v>
      </c>
      <c r="Z60" s="10">
        <f t="shared" si="15"/>
        <v>0</v>
      </c>
      <c r="AA60" s="10">
        <f t="shared" si="15"/>
        <v>0</v>
      </c>
      <c r="AB60" s="10">
        <f t="shared" si="16"/>
        <v>0.29917600024500002</v>
      </c>
      <c r="AC60" s="10">
        <f t="shared" si="16"/>
        <v>-6.8617067882421532</v>
      </c>
      <c r="AD60" s="10">
        <f t="shared" si="16"/>
        <v>11.068570336494654</v>
      </c>
      <c r="AH60" s="10">
        <f t="shared" si="20"/>
        <v>1</v>
      </c>
      <c r="AI60" s="10">
        <f t="shared" si="21"/>
        <v>0</v>
      </c>
      <c r="AJ60" s="10">
        <f t="shared" si="22"/>
        <v>0</v>
      </c>
    </row>
    <row r="61" spans="6:36" x14ac:dyDescent="0.25">
      <c r="F61" s="10">
        <v>2</v>
      </c>
      <c r="G61" s="10">
        <v>19</v>
      </c>
      <c r="H61" s="10">
        <v>1</v>
      </c>
      <c r="I61" s="10">
        <f t="shared" si="29"/>
        <v>5.9362821331723659</v>
      </c>
      <c r="J61" s="10">
        <f t="shared" si="7"/>
        <v>14.99938962981048</v>
      </c>
      <c r="K61" s="10">
        <f t="shared" si="8"/>
        <v>1</v>
      </c>
      <c r="S61" s="10">
        <f t="shared" si="11"/>
        <v>125.58794771218136</v>
      </c>
      <c r="T61" s="10">
        <f t="shared" si="12"/>
        <v>1</v>
      </c>
      <c r="U61" s="10">
        <f t="shared" si="13"/>
        <v>0</v>
      </c>
      <c r="V61" s="10">
        <f t="shared" si="14"/>
        <v>0</v>
      </c>
      <c r="Y61" s="10">
        <f t="shared" si="15"/>
        <v>0</v>
      </c>
      <c r="Z61" s="10">
        <f t="shared" si="15"/>
        <v>0</v>
      </c>
      <c r="AA61" s="10">
        <f t="shared" si="15"/>
        <v>0</v>
      </c>
      <c r="AB61" s="10">
        <f t="shared" si="16"/>
        <v>0.29917600024500002</v>
      </c>
      <c r="AC61" s="10">
        <f t="shared" si="16"/>
        <v>-6.8617067882421532</v>
      </c>
      <c r="AD61" s="10">
        <f t="shared" si="16"/>
        <v>11.068570336494654</v>
      </c>
      <c r="AH61" s="10">
        <f t="shared" si="20"/>
        <v>1</v>
      </c>
      <c r="AI61" s="10">
        <f t="shared" si="21"/>
        <v>0</v>
      </c>
      <c r="AJ61" s="10">
        <f t="shared" si="22"/>
        <v>0</v>
      </c>
    </row>
    <row r="62" spans="6:36" x14ac:dyDescent="0.25">
      <c r="F62" s="10">
        <v>2</v>
      </c>
      <c r="G62" s="10">
        <v>20</v>
      </c>
      <c r="H62" s="10">
        <v>1</v>
      </c>
      <c r="I62" s="10">
        <f t="shared" si="29"/>
        <v>6.5710893880029841</v>
      </c>
      <c r="J62" s="10">
        <f t="shared" si="7"/>
        <v>14.99938962981048</v>
      </c>
      <c r="K62" s="10">
        <f t="shared" si="8"/>
        <v>1</v>
      </c>
      <c r="S62" s="10">
        <f t="shared" si="11"/>
        <v>121.23208646248474</v>
      </c>
      <c r="T62" s="10">
        <f t="shared" si="12"/>
        <v>1</v>
      </c>
      <c r="U62" s="10">
        <f t="shared" si="13"/>
        <v>0</v>
      </c>
      <c r="V62" s="10">
        <f t="shared" si="14"/>
        <v>0</v>
      </c>
      <c r="X62" s="10">
        <f>SUM(V43:V62)</f>
        <v>0</v>
      </c>
      <c r="Y62" s="10">
        <f t="shared" si="15"/>
        <v>0</v>
      </c>
      <c r="Z62" s="10">
        <f t="shared" si="15"/>
        <v>0</v>
      </c>
      <c r="AA62" s="10">
        <f t="shared" si="15"/>
        <v>0</v>
      </c>
      <c r="AB62" s="10">
        <f t="shared" si="16"/>
        <v>0.29917600024500002</v>
      </c>
      <c r="AC62" s="10">
        <f t="shared" si="16"/>
        <v>-6.8617067882421532</v>
      </c>
      <c r="AD62" s="10">
        <f t="shared" si="16"/>
        <v>11.068570336494654</v>
      </c>
      <c r="AH62" s="10">
        <f t="shared" si="20"/>
        <v>1</v>
      </c>
      <c r="AI62" s="10">
        <f t="shared" si="21"/>
        <v>0</v>
      </c>
      <c r="AJ62" s="10">
        <f t="shared" si="22"/>
        <v>0</v>
      </c>
    </row>
    <row r="63" spans="6:36" x14ac:dyDescent="0.25">
      <c r="F63" s="10">
        <v>3</v>
      </c>
      <c r="G63" s="10">
        <v>1</v>
      </c>
      <c r="H63" s="10">
        <v>1</v>
      </c>
      <c r="I63" s="10">
        <f t="shared" si="29"/>
        <v>4.3149584625268673</v>
      </c>
      <c r="J63" s="10">
        <f t="shared" si="7"/>
        <v>14.99938962981048</v>
      </c>
      <c r="K63" s="10">
        <f t="shared" si="8"/>
        <v>1</v>
      </c>
      <c r="S63" s="12">
        <f t="shared" si="11"/>
        <v>136.71299534898725</v>
      </c>
      <c r="T63" s="12">
        <f t="shared" si="12"/>
        <v>1</v>
      </c>
      <c r="U63" s="12">
        <f t="shared" si="13"/>
        <v>0</v>
      </c>
      <c r="V63" s="12">
        <f t="shared" si="14"/>
        <v>0</v>
      </c>
      <c r="W63" s="12"/>
      <c r="X63" s="12"/>
      <c r="Y63" s="10">
        <f t="shared" si="15"/>
        <v>0</v>
      </c>
      <c r="Z63" s="10">
        <f t="shared" si="15"/>
        <v>0</v>
      </c>
      <c r="AA63" s="10">
        <f t="shared" si="15"/>
        <v>0</v>
      </c>
      <c r="AB63" s="10">
        <f t="shared" si="16"/>
        <v>0.29917600024500002</v>
      </c>
      <c r="AC63" s="10">
        <f t="shared" si="16"/>
        <v>-6.8617067882421532</v>
      </c>
      <c r="AD63" s="10">
        <f t="shared" si="16"/>
        <v>11.068570336494654</v>
      </c>
      <c r="AH63" s="10">
        <f t="shared" si="20"/>
        <v>1</v>
      </c>
      <c r="AI63" s="10">
        <f t="shared" si="21"/>
        <v>0</v>
      </c>
      <c r="AJ63" s="10">
        <f t="shared" si="22"/>
        <v>0</v>
      </c>
    </row>
    <row r="64" spans="6:36" x14ac:dyDescent="0.25">
      <c r="F64" s="10">
        <v>3</v>
      </c>
      <c r="G64" s="10">
        <v>2</v>
      </c>
      <c r="H64" s="10">
        <v>1</v>
      </c>
      <c r="I64" s="10">
        <f t="shared" si="29"/>
        <v>4.2336649521823988</v>
      </c>
      <c r="J64" s="10">
        <f t="shared" si="7"/>
        <v>14.99938962981048</v>
      </c>
      <c r="K64" s="10">
        <f t="shared" si="8"/>
        <v>1</v>
      </c>
      <c r="S64" s="10">
        <f t="shared" si="11"/>
        <v>137.27080758075795</v>
      </c>
      <c r="T64" s="10">
        <f t="shared" si="12"/>
        <v>1</v>
      </c>
      <c r="U64" s="10">
        <f t="shared" si="13"/>
        <v>0</v>
      </c>
      <c r="V64" s="10">
        <f t="shared" si="14"/>
        <v>0</v>
      </c>
      <c r="Y64" s="10">
        <f t="shared" si="15"/>
        <v>0</v>
      </c>
      <c r="Z64" s="10">
        <f t="shared" si="15"/>
        <v>0</v>
      </c>
      <c r="AA64" s="10">
        <f t="shared" si="15"/>
        <v>0</v>
      </c>
      <c r="AB64" s="10">
        <f t="shared" si="16"/>
        <v>0.29917600024500002</v>
      </c>
      <c r="AC64" s="10">
        <f t="shared" si="16"/>
        <v>-6.8617067882421532</v>
      </c>
      <c r="AD64" s="10">
        <f t="shared" si="16"/>
        <v>11.068570336494654</v>
      </c>
      <c r="AH64" s="10">
        <f t="shared" si="20"/>
        <v>1</v>
      </c>
      <c r="AI64" s="10">
        <f t="shared" si="21"/>
        <v>0</v>
      </c>
      <c r="AJ64" s="10">
        <f t="shared" si="22"/>
        <v>0</v>
      </c>
    </row>
    <row r="65" spans="6:36" x14ac:dyDescent="0.25">
      <c r="F65" s="10">
        <v>3</v>
      </c>
      <c r="G65" s="10">
        <v>3</v>
      </c>
      <c r="H65" s="10">
        <v>1</v>
      </c>
      <c r="I65" s="10">
        <f t="shared" si="29"/>
        <v>4.0760342132531742</v>
      </c>
      <c r="J65" s="10">
        <f t="shared" si="7"/>
        <v>14.99938962981048</v>
      </c>
      <c r="K65" s="10">
        <f t="shared" si="8"/>
        <v>1</v>
      </c>
      <c r="S65" s="10">
        <f t="shared" si="11"/>
        <v>138.35242349210421</v>
      </c>
      <c r="T65" s="10">
        <f t="shared" si="12"/>
        <v>1</v>
      </c>
      <c r="U65" s="10">
        <f t="shared" si="13"/>
        <v>0</v>
      </c>
      <c r="V65" s="10">
        <f t="shared" si="14"/>
        <v>0</v>
      </c>
      <c r="Y65" s="10">
        <f t="shared" si="15"/>
        <v>0</v>
      </c>
      <c r="Z65" s="10">
        <f t="shared" si="15"/>
        <v>0</v>
      </c>
      <c r="AA65" s="10">
        <f t="shared" si="15"/>
        <v>0</v>
      </c>
      <c r="AB65" s="10">
        <f t="shared" si="16"/>
        <v>0.29917600024500002</v>
      </c>
      <c r="AC65" s="10">
        <f t="shared" si="16"/>
        <v>-6.8617067882421532</v>
      </c>
      <c r="AD65" s="10">
        <f t="shared" si="16"/>
        <v>11.068570336494654</v>
      </c>
      <c r="AH65" s="10">
        <f t="shared" si="20"/>
        <v>1</v>
      </c>
      <c r="AI65" s="10">
        <f t="shared" si="21"/>
        <v>0</v>
      </c>
      <c r="AJ65" s="10">
        <f t="shared" si="22"/>
        <v>0</v>
      </c>
    </row>
    <row r="66" spans="6:36" x14ac:dyDescent="0.25">
      <c r="F66" s="10">
        <v>3</v>
      </c>
      <c r="G66" s="10">
        <v>4</v>
      </c>
      <c r="H66" s="10">
        <v>1</v>
      </c>
      <c r="I66" s="10">
        <f t="shared" si="29"/>
        <v>6.9682999690312606</v>
      </c>
      <c r="J66" s="10">
        <f t="shared" si="7"/>
        <v>14.99938962981048</v>
      </c>
      <c r="K66" s="10">
        <f t="shared" si="8"/>
        <v>1</v>
      </c>
      <c r="S66" s="10">
        <f t="shared" si="11"/>
        <v>118.50654392228139</v>
      </c>
      <c r="T66" s="10">
        <f t="shared" si="12"/>
        <v>1</v>
      </c>
      <c r="U66" s="10">
        <f t="shared" si="13"/>
        <v>0</v>
      </c>
      <c r="V66" s="10">
        <f t="shared" si="14"/>
        <v>0</v>
      </c>
      <c r="Y66" s="10">
        <f t="shared" si="15"/>
        <v>0</v>
      </c>
      <c r="Z66" s="10">
        <f t="shared" si="15"/>
        <v>0</v>
      </c>
      <c r="AA66" s="10">
        <f t="shared" si="15"/>
        <v>0</v>
      </c>
      <c r="AB66" s="10">
        <f t="shared" si="16"/>
        <v>0.29917600024500002</v>
      </c>
      <c r="AC66" s="10">
        <f t="shared" si="16"/>
        <v>-6.8617067882421532</v>
      </c>
      <c r="AD66" s="10">
        <f t="shared" si="16"/>
        <v>11.068570336494654</v>
      </c>
      <c r="AH66" s="10">
        <f t="shared" si="20"/>
        <v>1</v>
      </c>
      <c r="AI66" s="10">
        <f t="shared" si="21"/>
        <v>0</v>
      </c>
      <c r="AJ66" s="10">
        <f t="shared" si="22"/>
        <v>0</v>
      </c>
    </row>
    <row r="67" spans="6:36" x14ac:dyDescent="0.25">
      <c r="F67" s="10">
        <v>3</v>
      </c>
      <c r="G67" s="10">
        <v>5</v>
      </c>
      <c r="H67" s="10">
        <v>1</v>
      </c>
      <c r="I67" s="10">
        <f t="shared" si="29"/>
        <v>8.3649028089644606</v>
      </c>
      <c r="J67" s="10">
        <f t="shared" si="7"/>
        <v>14.99938962981048</v>
      </c>
      <c r="K67" s="10">
        <f t="shared" si="8"/>
        <v>1</v>
      </c>
      <c r="S67" s="10">
        <f t="shared" si="11"/>
        <v>108.92346473503349</v>
      </c>
      <c r="T67" s="10">
        <f t="shared" si="12"/>
        <v>1</v>
      </c>
      <c r="U67" s="10">
        <f t="shared" si="13"/>
        <v>0</v>
      </c>
      <c r="V67" s="10">
        <f t="shared" si="14"/>
        <v>0</v>
      </c>
      <c r="Y67" s="10">
        <f t="shared" si="15"/>
        <v>0</v>
      </c>
      <c r="Z67" s="10">
        <f t="shared" si="15"/>
        <v>0</v>
      </c>
      <c r="AA67" s="10">
        <f t="shared" si="15"/>
        <v>0</v>
      </c>
      <c r="AB67" s="10">
        <f t="shared" si="16"/>
        <v>0.29917600024500002</v>
      </c>
      <c r="AC67" s="10">
        <f t="shared" si="16"/>
        <v>-6.8617067882421532</v>
      </c>
      <c r="AD67" s="10">
        <f t="shared" si="16"/>
        <v>11.068570336494654</v>
      </c>
      <c r="AH67" s="10">
        <f t="shared" si="20"/>
        <v>1</v>
      </c>
      <c r="AI67" s="10">
        <f t="shared" si="21"/>
        <v>0</v>
      </c>
      <c r="AJ67" s="10">
        <f t="shared" si="22"/>
        <v>0</v>
      </c>
    </row>
    <row r="68" spans="6:36" x14ac:dyDescent="0.25">
      <c r="F68" s="10">
        <v>3</v>
      </c>
      <c r="G68" s="10">
        <v>6</v>
      </c>
      <c r="H68" s="10">
        <v>1</v>
      </c>
      <c r="I68" s="10">
        <f t="shared" si="29"/>
        <v>9.3848699915294151</v>
      </c>
      <c r="J68" s="10">
        <f t="shared" si="7"/>
        <v>14.99938962981048</v>
      </c>
      <c r="K68" s="10">
        <f t="shared" si="8"/>
        <v>1</v>
      </c>
      <c r="S68" s="10">
        <f t="shared" si="11"/>
        <v>101.92474899464332</v>
      </c>
      <c r="T68" s="10">
        <f t="shared" si="12"/>
        <v>1</v>
      </c>
      <c r="U68" s="10">
        <f t="shared" si="13"/>
        <v>0</v>
      </c>
      <c r="V68" s="10">
        <f t="shared" si="14"/>
        <v>0</v>
      </c>
      <c r="Y68" s="10">
        <f t="shared" si="15"/>
        <v>0</v>
      </c>
      <c r="Z68" s="10">
        <f t="shared" si="15"/>
        <v>0</v>
      </c>
      <c r="AA68" s="10">
        <f t="shared" si="15"/>
        <v>0</v>
      </c>
      <c r="AB68" s="10">
        <f t="shared" si="16"/>
        <v>0.29917600024500002</v>
      </c>
      <c r="AC68" s="10">
        <f t="shared" si="16"/>
        <v>-6.8617067882421532</v>
      </c>
      <c r="AD68" s="10">
        <f t="shared" si="16"/>
        <v>11.068570336494654</v>
      </c>
      <c r="AH68" s="10">
        <f t="shared" si="20"/>
        <v>1</v>
      </c>
      <c r="AI68" s="10">
        <f t="shared" si="21"/>
        <v>0</v>
      </c>
      <c r="AJ68" s="10">
        <f t="shared" si="22"/>
        <v>0</v>
      </c>
    </row>
    <row r="69" spans="6:36" x14ac:dyDescent="0.25">
      <c r="F69" s="10">
        <v>3</v>
      </c>
      <c r="G69" s="10">
        <v>7</v>
      </c>
      <c r="H69" s="10">
        <v>1</v>
      </c>
      <c r="I69" s="10">
        <f t="shared" si="29"/>
        <v>9.2116945315592211</v>
      </c>
      <c r="J69" s="10">
        <f t="shared" si="7"/>
        <v>14.99938962981048</v>
      </c>
      <c r="K69" s="10">
        <f t="shared" si="8"/>
        <v>1</v>
      </c>
      <c r="S69" s="10">
        <f t="shared" si="11"/>
        <v>103.11302822387776</v>
      </c>
      <c r="T69" s="10">
        <f t="shared" si="12"/>
        <v>1</v>
      </c>
      <c r="U69" s="10">
        <f t="shared" si="13"/>
        <v>0</v>
      </c>
      <c r="V69" s="10">
        <f t="shared" si="14"/>
        <v>0</v>
      </c>
      <c r="Y69" s="10">
        <f t="shared" si="15"/>
        <v>0</v>
      </c>
      <c r="Z69" s="10">
        <f t="shared" si="15"/>
        <v>0</v>
      </c>
      <c r="AA69" s="10">
        <f t="shared" si="15"/>
        <v>0</v>
      </c>
      <c r="AB69" s="10">
        <f t="shared" si="16"/>
        <v>0.29917600024500002</v>
      </c>
      <c r="AC69" s="10">
        <f t="shared" si="16"/>
        <v>-6.8617067882421532</v>
      </c>
      <c r="AD69" s="10">
        <f t="shared" si="16"/>
        <v>11.068570336494654</v>
      </c>
      <c r="AH69" s="10">
        <f t="shared" si="20"/>
        <v>1</v>
      </c>
      <c r="AI69" s="10">
        <f t="shared" si="21"/>
        <v>0</v>
      </c>
      <c r="AJ69" s="10">
        <f t="shared" si="22"/>
        <v>0</v>
      </c>
    </row>
    <row r="70" spans="6:36" x14ac:dyDescent="0.25">
      <c r="F70" s="10">
        <v>3</v>
      </c>
      <c r="G70" s="10">
        <v>8</v>
      </c>
      <c r="H70" s="10">
        <v>1</v>
      </c>
      <c r="I70" s="10">
        <f t="shared" si="29"/>
        <v>10.461114754974387</v>
      </c>
      <c r="J70" s="10">
        <f t="shared" si="7"/>
        <v>14.99938962981048</v>
      </c>
      <c r="K70" s="10">
        <f t="shared" si="8"/>
        <v>1</v>
      </c>
      <c r="S70" s="10">
        <f t="shared" si="11"/>
        <v>94.53987299550289</v>
      </c>
      <c r="T70" s="10">
        <f t="shared" si="12"/>
        <v>1</v>
      </c>
      <c r="U70" s="10">
        <f t="shared" si="13"/>
        <v>0</v>
      </c>
      <c r="V70" s="10">
        <f t="shared" si="14"/>
        <v>0</v>
      </c>
      <c r="Y70" s="10">
        <f t="shared" si="15"/>
        <v>0</v>
      </c>
      <c r="Z70" s="10">
        <f t="shared" si="15"/>
        <v>0</v>
      </c>
      <c r="AA70" s="10">
        <f t="shared" si="15"/>
        <v>0</v>
      </c>
      <c r="AB70" s="10">
        <f t="shared" si="16"/>
        <v>0.29917600024500002</v>
      </c>
      <c r="AC70" s="10">
        <f t="shared" si="16"/>
        <v>-6.8617067882421532</v>
      </c>
      <c r="AD70" s="10">
        <f t="shared" si="16"/>
        <v>11.068570336494654</v>
      </c>
      <c r="AH70" s="10">
        <f t="shared" si="20"/>
        <v>1</v>
      </c>
      <c r="AI70" s="10">
        <f t="shared" si="21"/>
        <v>0</v>
      </c>
      <c r="AJ70" s="10">
        <f t="shared" si="22"/>
        <v>0</v>
      </c>
    </row>
    <row r="71" spans="6:36" x14ac:dyDescent="0.25">
      <c r="F71" s="10">
        <v>3</v>
      </c>
      <c r="G71" s="10">
        <v>9</v>
      </c>
      <c r="H71" s="10">
        <v>1</v>
      </c>
      <c r="I71" s="10">
        <f t="shared" si="29"/>
        <v>4.1553347214085523</v>
      </c>
      <c r="J71" s="10">
        <f t="shared" si="7"/>
        <v>14.99938962981048</v>
      </c>
      <c r="K71" s="10">
        <f t="shared" si="8"/>
        <v>1</v>
      </c>
      <c r="S71" s="10">
        <f t="shared" si="11"/>
        <v>137.8082866569834</v>
      </c>
      <c r="T71" s="10">
        <f t="shared" si="12"/>
        <v>1</v>
      </c>
      <c r="U71" s="10">
        <f t="shared" si="13"/>
        <v>0</v>
      </c>
      <c r="V71" s="10">
        <f t="shared" si="14"/>
        <v>0</v>
      </c>
      <c r="Y71" s="10">
        <f t="shared" si="15"/>
        <v>0</v>
      </c>
      <c r="Z71" s="10">
        <f t="shared" si="15"/>
        <v>0</v>
      </c>
      <c r="AA71" s="10">
        <f t="shared" si="15"/>
        <v>0</v>
      </c>
      <c r="AB71" s="10">
        <f t="shared" si="16"/>
        <v>0.29917600024500002</v>
      </c>
      <c r="AC71" s="10">
        <f t="shared" si="16"/>
        <v>-6.8617067882421532</v>
      </c>
      <c r="AD71" s="10">
        <f t="shared" si="16"/>
        <v>11.068570336494654</v>
      </c>
      <c r="AH71" s="10">
        <f t="shared" si="20"/>
        <v>1</v>
      </c>
      <c r="AI71" s="10">
        <f t="shared" si="21"/>
        <v>0</v>
      </c>
      <c r="AJ71" s="10">
        <f t="shared" si="22"/>
        <v>0</v>
      </c>
    </row>
    <row r="72" spans="6:36" x14ac:dyDescent="0.25">
      <c r="F72" s="10">
        <v>3</v>
      </c>
      <c r="G72" s="10">
        <v>10</v>
      </c>
      <c r="H72" s="10">
        <v>1</v>
      </c>
      <c r="I72" s="10">
        <f t="shared" si="29"/>
        <v>8.4627041466514576</v>
      </c>
      <c r="J72" s="10">
        <f t="shared" si="7"/>
        <v>14.99938962981048</v>
      </c>
      <c r="K72" s="10">
        <f t="shared" si="8"/>
        <v>1</v>
      </c>
      <c r="S72" s="10">
        <f t="shared" si="11"/>
        <v>108.25238063232746</v>
      </c>
      <c r="T72" s="10">
        <f t="shared" si="12"/>
        <v>1</v>
      </c>
      <c r="U72" s="10">
        <f t="shared" si="13"/>
        <v>0</v>
      </c>
      <c r="V72" s="10">
        <f t="shared" si="14"/>
        <v>0</v>
      </c>
      <c r="Y72" s="10">
        <f t="shared" si="15"/>
        <v>0</v>
      </c>
      <c r="Z72" s="10">
        <f t="shared" si="15"/>
        <v>0</v>
      </c>
      <c r="AA72" s="10">
        <f t="shared" si="15"/>
        <v>0</v>
      </c>
      <c r="AB72" s="10">
        <f t="shared" si="16"/>
        <v>0.29917600024500002</v>
      </c>
      <c r="AC72" s="10">
        <f t="shared" si="16"/>
        <v>-6.8617067882421532</v>
      </c>
      <c r="AD72" s="10">
        <f t="shared" si="16"/>
        <v>11.068570336494654</v>
      </c>
      <c r="AH72" s="10">
        <f t="shared" si="20"/>
        <v>1</v>
      </c>
      <c r="AI72" s="10">
        <f t="shared" si="21"/>
        <v>0</v>
      </c>
      <c r="AJ72" s="10">
        <f t="shared" si="22"/>
        <v>0</v>
      </c>
    </row>
    <row r="73" spans="6:36" x14ac:dyDescent="0.25">
      <c r="F73" s="10">
        <v>3</v>
      </c>
      <c r="G73" s="10">
        <v>11</v>
      </c>
      <c r="H73" s="10">
        <v>1</v>
      </c>
      <c r="I73" s="10">
        <f t="shared" si="29"/>
        <v>11.722530671423003</v>
      </c>
      <c r="J73" s="10">
        <f t="shared" si="7"/>
        <v>14.99938962981048</v>
      </c>
      <c r="K73" s="10">
        <f t="shared" si="8"/>
        <v>1</v>
      </c>
      <c r="S73" s="10">
        <f t="shared" si="11"/>
        <v>85.884406838810719</v>
      </c>
      <c r="T73" s="10">
        <f t="shared" si="12"/>
        <v>1</v>
      </c>
      <c r="U73" s="10">
        <f t="shared" si="13"/>
        <v>0</v>
      </c>
      <c r="V73" s="10">
        <f t="shared" si="14"/>
        <v>0</v>
      </c>
      <c r="Y73" s="10">
        <f t="shared" si="15"/>
        <v>0</v>
      </c>
      <c r="Z73" s="10">
        <f t="shared" si="15"/>
        <v>0</v>
      </c>
      <c r="AA73" s="10">
        <f t="shared" si="15"/>
        <v>0</v>
      </c>
      <c r="AB73" s="10">
        <f t="shared" si="16"/>
        <v>0.29917600024500002</v>
      </c>
      <c r="AC73" s="10">
        <f t="shared" si="16"/>
        <v>-6.8617067882421532</v>
      </c>
      <c r="AD73" s="10">
        <f t="shared" si="16"/>
        <v>11.068570336494654</v>
      </c>
      <c r="AH73" s="10">
        <f t="shared" si="20"/>
        <v>1</v>
      </c>
      <c r="AI73" s="10">
        <f t="shared" si="21"/>
        <v>0</v>
      </c>
      <c r="AJ73" s="10">
        <f t="shared" si="22"/>
        <v>0</v>
      </c>
    </row>
    <row r="74" spans="6:36" x14ac:dyDescent="0.25">
      <c r="F74" s="10">
        <v>3</v>
      </c>
      <c r="G74" s="10">
        <v>12</v>
      </c>
      <c r="H74" s="10">
        <v>1</v>
      </c>
      <c r="I74" s="10">
        <f t="shared" si="29"/>
        <v>9.6231558949622329</v>
      </c>
      <c r="J74" s="10">
        <f t="shared" si="7"/>
        <v>14.99938962981048</v>
      </c>
      <c r="K74" s="10">
        <f t="shared" si="8"/>
        <v>1</v>
      </c>
      <c r="S74" s="10">
        <f t="shared" si="11"/>
        <v>100.28970099351595</v>
      </c>
      <c r="T74" s="10">
        <f t="shared" si="12"/>
        <v>1</v>
      </c>
      <c r="U74" s="10">
        <f t="shared" si="13"/>
        <v>0</v>
      </c>
      <c r="V74" s="10">
        <f t="shared" si="14"/>
        <v>0</v>
      </c>
      <c r="Y74" s="10">
        <f t="shared" si="15"/>
        <v>0</v>
      </c>
      <c r="Z74" s="10">
        <f t="shared" si="15"/>
        <v>0</v>
      </c>
      <c r="AA74" s="10">
        <f t="shared" si="15"/>
        <v>0</v>
      </c>
      <c r="AB74" s="10">
        <f t="shared" si="16"/>
        <v>0.29917600024500002</v>
      </c>
      <c r="AC74" s="10">
        <f t="shared" si="16"/>
        <v>-6.8617067882421532</v>
      </c>
      <c r="AD74" s="10">
        <f t="shared" si="16"/>
        <v>11.068570336494654</v>
      </c>
      <c r="AH74" s="10">
        <f t="shared" si="20"/>
        <v>1</v>
      </c>
      <c r="AI74" s="10">
        <f t="shared" si="21"/>
        <v>0</v>
      </c>
      <c r="AJ74" s="10">
        <f t="shared" si="22"/>
        <v>0</v>
      </c>
    </row>
    <row r="75" spans="6:36" x14ac:dyDescent="0.25">
      <c r="F75" s="10">
        <v>3</v>
      </c>
      <c r="G75" s="10">
        <v>13</v>
      </c>
      <c r="H75" s="10">
        <v>1</v>
      </c>
      <c r="I75" s="10">
        <f t="shared" si="29"/>
        <v>8.0162683783311302</v>
      </c>
      <c r="J75" s="10">
        <f t="shared" si="7"/>
        <v>14.99938962981048</v>
      </c>
      <c r="K75" s="10">
        <f t="shared" si="8"/>
        <v>1</v>
      </c>
      <c r="S75" s="10">
        <f t="shared" si="11"/>
        <v>111.31569197432515</v>
      </c>
      <c r="T75" s="10">
        <f t="shared" si="12"/>
        <v>1</v>
      </c>
      <c r="U75" s="10">
        <f t="shared" si="13"/>
        <v>0</v>
      </c>
      <c r="V75" s="10">
        <f t="shared" si="14"/>
        <v>0</v>
      </c>
      <c r="Y75" s="10">
        <f t="shared" si="15"/>
        <v>0</v>
      </c>
      <c r="Z75" s="10">
        <f t="shared" si="15"/>
        <v>0</v>
      </c>
      <c r="AA75" s="10">
        <f t="shared" si="15"/>
        <v>0</v>
      </c>
      <c r="AB75" s="10">
        <f t="shared" si="16"/>
        <v>0.29917600024500002</v>
      </c>
      <c r="AC75" s="10">
        <f t="shared" si="16"/>
        <v>-6.8617067882421532</v>
      </c>
      <c r="AD75" s="10">
        <f t="shared" si="16"/>
        <v>11.068570336494654</v>
      </c>
      <c r="AH75" s="10">
        <f t="shared" si="20"/>
        <v>1</v>
      </c>
      <c r="AI75" s="10">
        <f t="shared" si="21"/>
        <v>0</v>
      </c>
      <c r="AJ75" s="10">
        <f t="shared" si="22"/>
        <v>0</v>
      </c>
    </row>
    <row r="76" spans="6:36" x14ac:dyDescent="0.25">
      <c r="F76" s="10">
        <v>3</v>
      </c>
      <c r="G76" s="10">
        <v>14</v>
      </c>
      <c r="H76" s="10">
        <v>1</v>
      </c>
      <c r="I76" s="10">
        <f t="shared" si="29"/>
        <v>11.270939377934512</v>
      </c>
      <c r="J76" s="10">
        <f t="shared" si="7"/>
        <v>14.99938962981048</v>
      </c>
      <c r="K76" s="10">
        <f t="shared" si="8"/>
        <v>1</v>
      </c>
      <c r="S76" s="10">
        <f t="shared" si="11"/>
        <v>88.983093882851762</v>
      </c>
      <c r="T76" s="10">
        <f t="shared" si="12"/>
        <v>1</v>
      </c>
      <c r="U76" s="10">
        <f t="shared" si="13"/>
        <v>0</v>
      </c>
      <c r="V76" s="10">
        <f t="shared" si="14"/>
        <v>0</v>
      </c>
      <c r="Y76" s="10">
        <f t="shared" si="15"/>
        <v>0</v>
      </c>
      <c r="Z76" s="10">
        <f t="shared" si="15"/>
        <v>0</v>
      </c>
      <c r="AA76" s="10">
        <f t="shared" si="15"/>
        <v>0</v>
      </c>
      <c r="AB76" s="10">
        <f t="shared" si="16"/>
        <v>0.29917600024500002</v>
      </c>
      <c r="AC76" s="10">
        <f t="shared" si="16"/>
        <v>-6.8617067882421532</v>
      </c>
      <c r="AD76" s="10">
        <f t="shared" si="16"/>
        <v>11.068570336494654</v>
      </c>
      <c r="AH76" s="10">
        <f t="shared" si="20"/>
        <v>1</v>
      </c>
      <c r="AI76" s="10">
        <f t="shared" si="21"/>
        <v>0</v>
      </c>
      <c r="AJ76" s="10">
        <f t="shared" si="22"/>
        <v>0</v>
      </c>
    </row>
    <row r="77" spans="6:36" x14ac:dyDescent="0.25">
      <c r="F77" s="10">
        <v>3</v>
      </c>
      <c r="G77" s="10">
        <v>15</v>
      </c>
      <c r="H77" s="10">
        <v>1</v>
      </c>
      <c r="I77" s="10">
        <f t="shared" si="29"/>
        <v>7.0021023351067502</v>
      </c>
      <c r="J77" s="10">
        <f t="shared" si="7"/>
        <v>14.99938962981048</v>
      </c>
      <c r="K77" s="10">
        <f t="shared" si="8"/>
        <v>1</v>
      </c>
      <c r="S77" s="10">
        <f t="shared" si="11"/>
        <v>118.27460199752257</v>
      </c>
      <c r="T77" s="10">
        <f t="shared" si="12"/>
        <v>1</v>
      </c>
      <c r="U77" s="10">
        <f t="shared" si="13"/>
        <v>0</v>
      </c>
      <c r="V77" s="10">
        <f t="shared" si="14"/>
        <v>0</v>
      </c>
      <c r="Y77" s="10">
        <f t="shared" si="15"/>
        <v>0</v>
      </c>
      <c r="Z77" s="10">
        <f t="shared" si="15"/>
        <v>0</v>
      </c>
      <c r="AA77" s="10">
        <f t="shared" si="15"/>
        <v>0</v>
      </c>
      <c r="AB77" s="10">
        <f t="shared" si="16"/>
        <v>0.29917600024500002</v>
      </c>
      <c r="AC77" s="10">
        <f t="shared" si="16"/>
        <v>-6.8617067882421532</v>
      </c>
      <c r="AD77" s="10">
        <f t="shared" si="16"/>
        <v>11.068570336494654</v>
      </c>
      <c r="AH77" s="10">
        <f t="shared" si="20"/>
        <v>1</v>
      </c>
      <c r="AI77" s="10">
        <f t="shared" si="21"/>
        <v>0</v>
      </c>
      <c r="AJ77" s="10">
        <f t="shared" si="22"/>
        <v>0</v>
      </c>
    </row>
    <row r="78" spans="6:36" x14ac:dyDescent="0.25">
      <c r="F78" s="10">
        <v>3</v>
      </c>
      <c r="G78" s="10">
        <v>16</v>
      </c>
      <c r="H78" s="10">
        <v>1</v>
      </c>
      <c r="I78" s="10">
        <f t="shared" si="29"/>
        <v>9.3873260438242312</v>
      </c>
      <c r="J78" s="10">
        <f t="shared" si="7"/>
        <v>14.99938962981048</v>
      </c>
      <c r="K78" s="10">
        <f t="shared" si="8"/>
        <v>1</v>
      </c>
      <c r="S78" s="10">
        <f t="shared" si="11"/>
        <v>101.90789628393971</v>
      </c>
      <c r="T78" s="10">
        <f t="shared" si="12"/>
        <v>1</v>
      </c>
      <c r="U78" s="10">
        <f t="shared" si="13"/>
        <v>0</v>
      </c>
      <c r="V78" s="10">
        <f t="shared" si="14"/>
        <v>0</v>
      </c>
      <c r="Y78" s="10">
        <f t="shared" si="15"/>
        <v>0</v>
      </c>
      <c r="Z78" s="10">
        <f t="shared" si="15"/>
        <v>0</v>
      </c>
      <c r="AA78" s="10">
        <f t="shared" si="15"/>
        <v>0</v>
      </c>
      <c r="AB78" s="10">
        <f t="shared" si="16"/>
        <v>0.29917600024500002</v>
      </c>
      <c r="AC78" s="10">
        <f t="shared" si="16"/>
        <v>-6.8617067882421532</v>
      </c>
      <c r="AD78" s="10">
        <f t="shared" si="16"/>
        <v>11.068570336494654</v>
      </c>
      <c r="AH78" s="10">
        <f t="shared" si="20"/>
        <v>1</v>
      </c>
      <c r="AI78" s="10">
        <f t="shared" si="21"/>
        <v>0</v>
      </c>
      <c r="AJ78" s="10">
        <f t="shared" si="22"/>
        <v>0</v>
      </c>
    </row>
    <row r="79" spans="6:36" x14ac:dyDescent="0.25">
      <c r="F79" s="10">
        <v>3</v>
      </c>
      <c r="G79" s="10">
        <v>17</v>
      </c>
      <c r="H79" s="10">
        <v>1</v>
      </c>
      <c r="I79" s="10">
        <f t="shared" si="29"/>
        <v>8.350479766806572</v>
      </c>
      <c r="J79" s="10">
        <f t="shared" si="7"/>
        <v>14.99938962981048</v>
      </c>
      <c r="K79" s="10">
        <f t="shared" si="8"/>
        <v>1</v>
      </c>
      <c r="S79" s="10">
        <f t="shared" si="11"/>
        <v>109.02243142131539</v>
      </c>
      <c r="T79" s="10">
        <f t="shared" si="12"/>
        <v>1</v>
      </c>
      <c r="U79" s="10">
        <f t="shared" si="13"/>
        <v>0</v>
      </c>
      <c r="V79" s="10">
        <f t="shared" si="14"/>
        <v>0</v>
      </c>
      <c r="Y79" s="10">
        <f t="shared" si="15"/>
        <v>0</v>
      </c>
      <c r="Z79" s="10">
        <f t="shared" si="15"/>
        <v>0</v>
      </c>
      <c r="AA79" s="10">
        <f t="shared" si="15"/>
        <v>0</v>
      </c>
      <c r="AB79" s="10">
        <f t="shared" si="16"/>
        <v>0.29917600024500002</v>
      </c>
      <c r="AC79" s="10">
        <f t="shared" si="16"/>
        <v>-6.8617067882421532</v>
      </c>
      <c r="AD79" s="10">
        <f t="shared" si="16"/>
        <v>11.068570336494654</v>
      </c>
      <c r="AH79" s="10">
        <f t="shared" si="20"/>
        <v>1</v>
      </c>
      <c r="AI79" s="10">
        <f t="shared" si="21"/>
        <v>0</v>
      </c>
      <c r="AJ79" s="10">
        <f t="shared" si="22"/>
        <v>0</v>
      </c>
    </row>
    <row r="80" spans="6:36" x14ac:dyDescent="0.25">
      <c r="F80" s="10">
        <v>3</v>
      </c>
      <c r="G80" s="10">
        <v>18</v>
      </c>
      <c r="H80" s="10">
        <v>1</v>
      </c>
      <c r="I80" s="10">
        <f t="shared" si="29"/>
        <v>8.8378960488846694</v>
      </c>
      <c r="J80" s="10">
        <f t="shared" si="7"/>
        <v>14.99938962981048</v>
      </c>
      <c r="K80" s="10">
        <f t="shared" si="8"/>
        <v>1</v>
      </c>
      <c r="S80" s="10">
        <f t="shared" si="11"/>
        <v>105.67792380988035</v>
      </c>
      <c r="T80" s="10">
        <f t="shared" si="12"/>
        <v>1</v>
      </c>
      <c r="U80" s="10">
        <f t="shared" si="13"/>
        <v>0</v>
      </c>
      <c r="V80" s="10">
        <f t="shared" si="14"/>
        <v>0</v>
      </c>
      <c r="Y80" s="10">
        <f t="shared" si="15"/>
        <v>0</v>
      </c>
      <c r="Z80" s="10">
        <f t="shared" si="15"/>
        <v>0</v>
      </c>
      <c r="AA80" s="10">
        <f t="shared" si="15"/>
        <v>0</v>
      </c>
      <c r="AB80" s="10">
        <f t="shared" si="16"/>
        <v>0.29917600024500002</v>
      </c>
      <c r="AC80" s="10">
        <f t="shared" si="16"/>
        <v>-6.8617067882421532</v>
      </c>
      <c r="AD80" s="10">
        <f t="shared" si="16"/>
        <v>11.068570336494654</v>
      </c>
      <c r="AH80" s="10">
        <f t="shared" si="20"/>
        <v>1</v>
      </c>
      <c r="AI80" s="10">
        <f t="shared" si="21"/>
        <v>0</v>
      </c>
      <c r="AJ80" s="10">
        <f t="shared" si="22"/>
        <v>0</v>
      </c>
    </row>
    <row r="81" spans="6:36" x14ac:dyDescent="0.25">
      <c r="F81" s="10">
        <v>3</v>
      </c>
      <c r="G81" s="10">
        <v>19</v>
      </c>
      <c r="H81" s="10">
        <v>1</v>
      </c>
      <c r="I81" s="10">
        <f t="shared" si="29"/>
        <v>5.9362821331723659</v>
      </c>
      <c r="J81" s="10">
        <f t="shared" si="7"/>
        <v>14.99938962981048</v>
      </c>
      <c r="K81" s="10">
        <f t="shared" si="8"/>
        <v>1</v>
      </c>
      <c r="S81" s="10">
        <f t="shared" si="11"/>
        <v>125.58794771218136</v>
      </c>
      <c r="T81" s="10">
        <f t="shared" si="12"/>
        <v>1</v>
      </c>
      <c r="U81" s="10">
        <f t="shared" si="13"/>
        <v>0</v>
      </c>
      <c r="V81" s="10">
        <f t="shared" si="14"/>
        <v>0</v>
      </c>
      <c r="Y81" s="10">
        <f t="shared" si="15"/>
        <v>0</v>
      </c>
      <c r="Z81" s="10">
        <f t="shared" si="15"/>
        <v>0</v>
      </c>
      <c r="AA81" s="10">
        <f t="shared" si="15"/>
        <v>0</v>
      </c>
      <c r="AB81" s="10">
        <f t="shared" si="16"/>
        <v>0.29917600024500002</v>
      </c>
      <c r="AC81" s="10">
        <f t="shared" si="16"/>
        <v>-6.8617067882421532</v>
      </c>
      <c r="AD81" s="10">
        <f t="shared" si="16"/>
        <v>11.068570336494654</v>
      </c>
      <c r="AH81" s="10">
        <f t="shared" si="20"/>
        <v>1</v>
      </c>
      <c r="AI81" s="10">
        <f t="shared" si="21"/>
        <v>0</v>
      </c>
      <c r="AJ81" s="10">
        <f t="shared" si="22"/>
        <v>0</v>
      </c>
    </row>
    <row r="82" spans="6:36" x14ac:dyDescent="0.25">
      <c r="F82" s="10">
        <v>3</v>
      </c>
      <c r="G82" s="10">
        <v>20</v>
      </c>
      <c r="H82" s="10">
        <v>1</v>
      </c>
      <c r="I82" s="10">
        <f t="shared" si="29"/>
        <v>6.5710893880029841</v>
      </c>
      <c r="J82" s="10">
        <f t="shared" si="7"/>
        <v>14.99938962981048</v>
      </c>
      <c r="K82" s="10">
        <f t="shared" si="8"/>
        <v>1</v>
      </c>
      <c r="S82" s="10">
        <f t="shared" si="11"/>
        <v>121.23208646248474</v>
      </c>
      <c r="T82" s="10">
        <f t="shared" si="12"/>
        <v>1</v>
      </c>
      <c r="U82" s="10">
        <f t="shared" si="13"/>
        <v>0</v>
      </c>
      <c r="V82" s="10">
        <f t="shared" si="14"/>
        <v>0</v>
      </c>
      <c r="X82" s="10">
        <f>SUM(V63:V82)</f>
        <v>0</v>
      </c>
      <c r="Y82" s="10">
        <f t="shared" si="15"/>
        <v>0</v>
      </c>
      <c r="Z82" s="10">
        <f t="shared" si="15"/>
        <v>0</v>
      </c>
      <c r="AA82" s="10">
        <f t="shared" si="15"/>
        <v>0</v>
      </c>
      <c r="AB82" s="10">
        <f t="shared" si="16"/>
        <v>0.29917600024500002</v>
      </c>
      <c r="AC82" s="10">
        <f t="shared" si="16"/>
        <v>-6.8617067882421532</v>
      </c>
      <c r="AD82" s="10">
        <f t="shared" si="16"/>
        <v>11.068570336494654</v>
      </c>
      <c r="AH82" s="10">
        <f t="shared" si="20"/>
        <v>1</v>
      </c>
      <c r="AI82" s="10">
        <f t="shared" si="21"/>
        <v>0</v>
      </c>
      <c r="AJ82" s="10">
        <f t="shared" si="22"/>
        <v>0</v>
      </c>
    </row>
    <row r="83" spans="6:36" x14ac:dyDescent="0.25">
      <c r="F83" s="10">
        <v>4</v>
      </c>
      <c r="G83" s="10">
        <v>1</v>
      </c>
      <c r="H83" s="10">
        <v>1</v>
      </c>
      <c r="I83" s="10">
        <f t="shared" si="29"/>
        <v>4.3149584625268673</v>
      </c>
      <c r="J83" s="10">
        <f t="shared" si="7"/>
        <v>14.99938962981048</v>
      </c>
      <c r="K83" s="10">
        <f t="shared" si="8"/>
        <v>1</v>
      </c>
      <c r="S83" s="12">
        <f t="shared" si="11"/>
        <v>136.71299534898725</v>
      </c>
      <c r="T83" s="12">
        <f t="shared" si="12"/>
        <v>1</v>
      </c>
      <c r="U83" s="12">
        <f t="shared" si="13"/>
        <v>0</v>
      </c>
      <c r="V83" s="12">
        <f t="shared" si="14"/>
        <v>0</v>
      </c>
      <c r="W83" s="12"/>
      <c r="X83" s="12"/>
      <c r="Y83" s="10">
        <f t="shared" si="15"/>
        <v>0</v>
      </c>
      <c r="Z83" s="10">
        <f t="shared" si="15"/>
        <v>0</v>
      </c>
      <c r="AA83" s="10">
        <f t="shared" si="15"/>
        <v>0</v>
      </c>
      <c r="AB83" s="10">
        <f t="shared" si="16"/>
        <v>0.29917600024500002</v>
      </c>
      <c r="AC83" s="10">
        <f t="shared" si="16"/>
        <v>-6.8617067882421532</v>
      </c>
      <c r="AD83" s="10">
        <f t="shared" si="16"/>
        <v>11.068570336494654</v>
      </c>
      <c r="AH83" s="10">
        <f t="shared" si="20"/>
        <v>1</v>
      </c>
      <c r="AI83" s="10">
        <f t="shared" si="21"/>
        <v>0</v>
      </c>
      <c r="AJ83" s="10">
        <f t="shared" si="22"/>
        <v>0</v>
      </c>
    </row>
    <row r="84" spans="6:36" x14ac:dyDescent="0.25">
      <c r="F84" s="10">
        <v>4</v>
      </c>
      <c r="G84" s="10">
        <v>2</v>
      </c>
      <c r="H84" s="10">
        <v>1</v>
      </c>
      <c r="I84" s="10">
        <f t="shared" si="29"/>
        <v>4.2336649521823988</v>
      </c>
      <c r="J84" s="10">
        <f t="shared" si="7"/>
        <v>14.99938962981048</v>
      </c>
      <c r="K84" s="10">
        <f t="shared" si="8"/>
        <v>1</v>
      </c>
      <c r="S84" s="10">
        <f t="shared" si="11"/>
        <v>137.27080758075795</v>
      </c>
      <c r="T84" s="10">
        <f t="shared" si="12"/>
        <v>1</v>
      </c>
      <c r="U84" s="10">
        <f t="shared" si="13"/>
        <v>0</v>
      </c>
      <c r="V84" s="10">
        <f t="shared" si="14"/>
        <v>0</v>
      </c>
      <c r="Y84" s="10">
        <f t="shared" si="15"/>
        <v>0</v>
      </c>
      <c r="Z84" s="10">
        <f t="shared" si="15"/>
        <v>0</v>
      </c>
      <c r="AA84" s="10">
        <f t="shared" si="15"/>
        <v>0</v>
      </c>
      <c r="AB84" s="10">
        <f t="shared" si="16"/>
        <v>0.29917600024500002</v>
      </c>
      <c r="AC84" s="10">
        <f t="shared" si="16"/>
        <v>-6.8617067882421532</v>
      </c>
      <c r="AD84" s="10">
        <f t="shared" si="16"/>
        <v>11.068570336494654</v>
      </c>
      <c r="AH84" s="10">
        <f t="shared" si="20"/>
        <v>1</v>
      </c>
      <c r="AI84" s="10">
        <f t="shared" si="21"/>
        <v>0</v>
      </c>
      <c r="AJ84" s="10">
        <f t="shared" si="22"/>
        <v>0</v>
      </c>
    </row>
    <row r="85" spans="6:36" x14ac:dyDescent="0.25">
      <c r="F85" s="10">
        <v>4</v>
      </c>
      <c r="G85" s="10">
        <v>3</v>
      </c>
      <c r="H85" s="10">
        <v>1</v>
      </c>
      <c r="I85" s="10">
        <f t="shared" si="29"/>
        <v>4.0760342132531742</v>
      </c>
      <c r="J85" s="10">
        <f t="shared" si="7"/>
        <v>14.99938962981048</v>
      </c>
      <c r="K85" s="10">
        <f t="shared" si="8"/>
        <v>1</v>
      </c>
      <c r="S85" s="10">
        <f t="shared" si="11"/>
        <v>138.35242349210421</v>
      </c>
      <c r="T85" s="10">
        <f t="shared" si="12"/>
        <v>1</v>
      </c>
      <c r="U85" s="10">
        <f t="shared" si="13"/>
        <v>0</v>
      </c>
      <c r="V85" s="10">
        <f t="shared" si="14"/>
        <v>0</v>
      </c>
      <c r="Y85" s="10">
        <f t="shared" si="15"/>
        <v>0</v>
      </c>
      <c r="Z85" s="10">
        <f t="shared" si="15"/>
        <v>0</v>
      </c>
      <c r="AA85" s="10">
        <f t="shared" si="15"/>
        <v>0</v>
      </c>
      <c r="AB85" s="10">
        <f t="shared" si="16"/>
        <v>0.29917600024500002</v>
      </c>
      <c r="AC85" s="10">
        <f t="shared" si="16"/>
        <v>-6.8617067882421532</v>
      </c>
      <c r="AD85" s="10">
        <f t="shared" si="16"/>
        <v>11.068570336494654</v>
      </c>
      <c r="AH85" s="10">
        <f t="shared" si="20"/>
        <v>1</v>
      </c>
      <c r="AI85" s="10">
        <f t="shared" si="21"/>
        <v>0</v>
      </c>
      <c r="AJ85" s="10">
        <f t="shared" si="22"/>
        <v>0</v>
      </c>
    </row>
    <row r="86" spans="6:36" x14ac:dyDescent="0.25">
      <c r="F86" s="10">
        <v>4</v>
      </c>
      <c r="G86" s="10">
        <v>4</v>
      </c>
      <c r="H86" s="10">
        <v>1</v>
      </c>
      <c r="I86" s="10">
        <f t="shared" si="29"/>
        <v>6.9682999690312606</v>
      </c>
      <c r="J86" s="10">
        <f t="shared" si="7"/>
        <v>14.99938962981048</v>
      </c>
      <c r="K86" s="10">
        <f t="shared" si="8"/>
        <v>1</v>
      </c>
      <c r="S86" s="10">
        <f t="shared" si="11"/>
        <v>118.50654392228139</v>
      </c>
      <c r="T86" s="10">
        <f t="shared" si="12"/>
        <v>1</v>
      </c>
      <c r="U86" s="10">
        <f t="shared" si="13"/>
        <v>0</v>
      </c>
      <c r="V86" s="10">
        <f t="shared" si="14"/>
        <v>0</v>
      </c>
      <c r="Y86" s="10">
        <f t="shared" si="15"/>
        <v>0</v>
      </c>
      <c r="Z86" s="10">
        <f t="shared" si="15"/>
        <v>0</v>
      </c>
      <c r="AA86" s="10">
        <f t="shared" si="15"/>
        <v>0</v>
      </c>
      <c r="AB86" s="10">
        <f t="shared" si="16"/>
        <v>0.29917600024500002</v>
      </c>
      <c r="AC86" s="10">
        <f t="shared" si="16"/>
        <v>-6.8617067882421532</v>
      </c>
      <c r="AD86" s="10">
        <f t="shared" si="16"/>
        <v>11.068570336494654</v>
      </c>
      <c r="AH86" s="10">
        <f t="shared" si="20"/>
        <v>1</v>
      </c>
      <c r="AI86" s="10">
        <f t="shared" si="21"/>
        <v>0</v>
      </c>
      <c r="AJ86" s="10">
        <f t="shared" si="22"/>
        <v>0</v>
      </c>
    </row>
    <row r="87" spans="6:36" x14ac:dyDescent="0.25">
      <c r="F87" s="10">
        <v>4</v>
      </c>
      <c r="G87" s="10">
        <v>5</v>
      </c>
      <c r="H87" s="10">
        <v>1</v>
      </c>
      <c r="I87" s="10">
        <f t="shared" si="29"/>
        <v>8.3649028089644606</v>
      </c>
      <c r="J87" s="10">
        <f t="shared" si="7"/>
        <v>14.99938962981048</v>
      </c>
      <c r="K87" s="10">
        <f t="shared" si="8"/>
        <v>1</v>
      </c>
      <c r="S87" s="10">
        <f t="shared" si="11"/>
        <v>108.92346473503349</v>
      </c>
      <c r="T87" s="10">
        <f t="shared" si="12"/>
        <v>1</v>
      </c>
      <c r="U87" s="10">
        <f t="shared" si="13"/>
        <v>0</v>
      </c>
      <c r="V87" s="10">
        <f t="shared" si="14"/>
        <v>0</v>
      </c>
      <c r="Y87" s="10">
        <f t="shared" si="15"/>
        <v>0</v>
      </c>
      <c r="Z87" s="10">
        <f t="shared" si="15"/>
        <v>0</v>
      </c>
      <c r="AA87" s="10">
        <f t="shared" si="15"/>
        <v>0</v>
      </c>
      <c r="AB87" s="10">
        <f t="shared" si="16"/>
        <v>0.29917600024500002</v>
      </c>
      <c r="AC87" s="10">
        <f t="shared" si="16"/>
        <v>-6.8617067882421532</v>
      </c>
      <c r="AD87" s="10">
        <f t="shared" si="16"/>
        <v>11.068570336494654</v>
      </c>
      <c r="AH87" s="10">
        <f t="shared" si="20"/>
        <v>1</v>
      </c>
      <c r="AI87" s="10">
        <f t="shared" si="21"/>
        <v>0</v>
      </c>
      <c r="AJ87" s="10">
        <f t="shared" si="22"/>
        <v>0</v>
      </c>
    </row>
    <row r="88" spans="6:36" x14ac:dyDescent="0.25">
      <c r="F88" s="10">
        <v>4</v>
      </c>
      <c r="G88" s="10">
        <v>6</v>
      </c>
      <c r="H88" s="10">
        <v>1</v>
      </c>
      <c r="I88" s="10">
        <f t="shared" si="29"/>
        <v>9.3848699915294151</v>
      </c>
      <c r="J88" s="10">
        <f t="shared" ref="J88:J151" si="30">IF(K88=1, D88*$C$9+$C$8,D88*$C$12+$C$11)</f>
        <v>14.99938962981048</v>
      </c>
      <c r="K88" s="10">
        <f t="shared" ref="K88:K151" si="31">IF(E88&lt;$C$14,1,-1)</f>
        <v>1</v>
      </c>
      <c r="S88" s="10">
        <f t="shared" ref="S88:S151" si="32">SUMPRODUCT(H88:J88,AB87:AD87)</f>
        <v>101.92474899464332</v>
      </c>
      <c r="T88" s="10">
        <f t="shared" ref="T88:T151" si="33">IF(S88&gt;=0,1,-1)</f>
        <v>1</v>
      </c>
      <c r="U88" s="10">
        <f t="shared" ref="U88:U151" si="34">(K88-T88)/2</f>
        <v>0</v>
      </c>
      <c r="V88" s="10">
        <f t="shared" ref="V88:V151" si="35">IF(U88&lt;&gt;0,1,0)</f>
        <v>0</v>
      </c>
      <c r="Y88" s="10">
        <f t="shared" ref="Y88:AA151" si="36">IF($U88=0,0,$C$14*($U88)*H88)</f>
        <v>0</v>
      </c>
      <c r="Z88" s="10">
        <f t="shared" si="36"/>
        <v>0</v>
      </c>
      <c r="AA88" s="10">
        <f t="shared" si="36"/>
        <v>0</v>
      </c>
      <c r="AB88" s="10">
        <f t="shared" ref="AB88:AD151" si="37">IF($U88=0,AB87,AB87+$C$14*($U88)*H88)</f>
        <v>0.29917600024500002</v>
      </c>
      <c r="AC88" s="10">
        <f t="shared" si="37"/>
        <v>-6.8617067882421532</v>
      </c>
      <c r="AD88" s="10">
        <f t="shared" si="37"/>
        <v>11.068570336494654</v>
      </c>
      <c r="AH88" s="10">
        <f t="shared" si="20"/>
        <v>1</v>
      </c>
      <c r="AI88" s="10">
        <f t="shared" si="21"/>
        <v>0</v>
      </c>
      <c r="AJ88" s="10">
        <f t="shared" si="22"/>
        <v>0</v>
      </c>
    </row>
    <row r="89" spans="6:36" x14ac:dyDescent="0.25">
      <c r="F89" s="10">
        <v>4</v>
      </c>
      <c r="G89" s="10">
        <v>7</v>
      </c>
      <c r="H89" s="10">
        <v>1</v>
      </c>
      <c r="I89" s="10">
        <f t="shared" si="29"/>
        <v>9.2116945315592211</v>
      </c>
      <c r="J89" s="10">
        <f t="shared" si="30"/>
        <v>14.99938962981048</v>
      </c>
      <c r="K89" s="10">
        <f t="shared" si="31"/>
        <v>1</v>
      </c>
      <c r="S89" s="10">
        <f t="shared" si="32"/>
        <v>103.11302822387776</v>
      </c>
      <c r="T89" s="10">
        <f t="shared" si="33"/>
        <v>1</v>
      </c>
      <c r="U89" s="10">
        <f t="shared" si="34"/>
        <v>0</v>
      </c>
      <c r="V89" s="10">
        <f t="shared" si="35"/>
        <v>0</v>
      </c>
      <c r="Y89" s="10">
        <f t="shared" si="36"/>
        <v>0</v>
      </c>
      <c r="Z89" s="10">
        <f t="shared" si="36"/>
        <v>0</v>
      </c>
      <c r="AA89" s="10">
        <f t="shared" si="36"/>
        <v>0</v>
      </c>
      <c r="AB89" s="10">
        <f t="shared" si="37"/>
        <v>0.29917600024500002</v>
      </c>
      <c r="AC89" s="10">
        <f t="shared" si="37"/>
        <v>-6.8617067882421532</v>
      </c>
      <c r="AD89" s="10">
        <f t="shared" si="37"/>
        <v>11.068570336494654</v>
      </c>
      <c r="AH89" s="10">
        <f t="shared" si="20"/>
        <v>1</v>
      </c>
      <c r="AI89" s="10">
        <f t="shared" si="21"/>
        <v>0</v>
      </c>
      <c r="AJ89" s="10">
        <f t="shared" si="22"/>
        <v>0</v>
      </c>
    </row>
    <row r="90" spans="6:36" x14ac:dyDescent="0.25">
      <c r="F90" s="10">
        <v>4</v>
      </c>
      <c r="G90" s="10">
        <v>8</v>
      </c>
      <c r="H90" s="10">
        <v>1</v>
      </c>
      <c r="I90" s="10">
        <f t="shared" si="29"/>
        <v>10.461114754974387</v>
      </c>
      <c r="J90" s="10">
        <f t="shared" si="30"/>
        <v>14.99938962981048</v>
      </c>
      <c r="K90" s="10">
        <f t="shared" si="31"/>
        <v>1</v>
      </c>
      <c r="S90" s="10">
        <f t="shared" si="32"/>
        <v>94.53987299550289</v>
      </c>
      <c r="T90" s="10">
        <f t="shared" si="33"/>
        <v>1</v>
      </c>
      <c r="U90" s="10">
        <f t="shared" si="34"/>
        <v>0</v>
      </c>
      <c r="V90" s="10">
        <f t="shared" si="35"/>
        <v>0</v>
      </c>
      <c r="Y90" s="10">
        <f t="shared" si="36"/>
        <v>0</v>
      </c>
      <c r="Z90" s="10">
        <f t="shared" si="36"/>
        <v>0</v>
      </c>
      <c r="AA90" s="10">
        <f t="shared" si="36"/>
        <v>0</v>
      </c>
      <c r="AB90" s="10">
        <f t="shared" si="37"/>
        <v>0.29917600024500002</v>
      </c>
      <c r="AC90" s="10">
        <f t="shared" si="37"/>
        <v>-6.8617067882421532</v>
      </c>
      <c r="AD90" s="10">
        <f t="shared" si="37"/>
        <v>11.068570336494654</v>
      </c>
      <c r="AH90" s="10">
        <f t="shared" ref="AH90:AH153" si="38">IF(SUMPRODUCT(H88:J88,$AH$21:$AJ$21)&gt;=0,1,-1)</f>
        <v>1</v>
      </c>
      <c r="AI90" s="10">
        <f t="shared" ref="AI90:AI153" si="39">(K88-AH90)/2</f>
        <v>0</v>
      </c>
      <c r="AJ90" s="10">
        <f t="shared" ref="AJ90:AJ153" si="40">IF(AI90&lt;&gt;0,1,0)</f>
        <v>0</v>
      </c>
    </row>
    <row r="91" spans="6:36" x14ac:dyDescent="0.25">
      <c r="F91" s="10">
        <v>4</v>
      </c>
      <c r="G91" s="10">
        <v>9</v>
      </c>
      <c r="H91" s="10">
        <v>1</v>
      </c>
      <c r="I91" s="10">
        <f t="shared" si="29"/>
        <v>4.1553347214085523</v>
      </c>
      <c r="J91" s="10">
        <f t="shared" si="30"/>
        <v>14.99938962981048</v>
      </c>
      <c r="K91" s="10">
        <f t="shared" si="31"/>
        <v>1</v>
      </c>
      <c r="S91" s="10">
        <f t="shared" si="32"/>
        <v>137.8082866569834</v>
      </c>
      <c r="T91" s="10">
        <f t="shared" si="33"/>
        <v>1</v>
      </c>
      <c r="U91" s="10">
        <f t="shared" si="34"/>
        <v>0</v>
      </c>
      <c r="V91" s="10">
        <f t="shared" si="35"/>
        <v>0</v>
      </c>
      <c r="Y91" s="10">
        <f t="shared" si="36"/>
        <v>0</v>
      </c>
      <c r="Z91" s="10">
        <f t="shared" si="36"/>
        <v>0</v>
      </c>
      <c r="AA91" s="10">
        <f t="shared" si="36"/>
        <v>0</v>
      </c>
      <c r="AB91" s="10">
        <f t="shared" si="37"/>
        <v>0.29917600024500002</v>
      </c>
      <c r="AC91" s="10">
        <f t="shared" si="37"/>
        <v>-6.8617067882421532</v>
      </c>
      <c r="AD91" s="10">
        <f t="shared" si="37"/>
        <v>11.068570336494654</v>
      </c>
      <c r="AH91" s="10">
        <f t="shared" si="38"/>
        <v>1</v>
      </c>
      <c r="AI91" s="10">
        <f t="shared" si="39"/>
        <v>0</v>
      </c>
      <c r="AJ91" s="10">
        <f t="shared" si="40"/>
        <v>0</v>
      </c>
    </row>
    <row r="92" spans="6:36" x14ac:dyDescent="0.25">
      <c r="F92" s="10">
        <v>4</v>
      </c>
      <c r="G92" s="10">
        <v>10</v>
      </c>
      <c r="H92" s="10">
        <v>1</v>
      </c>
      <c r="I92" s="10">
        <f t="shared" si="29"/>
        <v>8.4627041466514576</v>
      </c>
      <c r="J92" s="10">
        <f t="shared" si="30"/>
        <v>14.99938962981048</v>
      </c>
      <c r="K92" s="10">
        <f t="shared" si="31"/>
        <v>1</v>
      </c>
      <c r="S92" s="10">
        <f t="shared" si="32"/>
        <v>108.25238063232746</v>
      </c>
      <c r="T92" s="10">
        <f t="shared" si="33"/>
        <v>1</v>
      </c>
      <c r="U92" s="10">
        <f t="shared" si="34"/>
        <v>0</v>
      </c>
      <c r="V92" s="10">
        <f t="shared" si="35"/>
        <v>0</v>
      </c>
      <c r="Y92" s="10">
        <f t="shared" si="36"/>
        <v>0</v>
      </c>
      <c r="Z92" s="10">
        <f t="shared" si="36"/>
        <v>0</v>
      </c>
      <c r="AA92" s="10">
        <f t="shared" si="36"/>
        <v>0</v>
      </c>
      <c r="AB92" s="10">
        <f t="shared" si="37"/>
        <v>0.29917600024500002</v>
      </c>
      <c r="AC92" s="10">
        <f t="shared" si="37"/>
        <v>-6.8617067882421532</v>
      </c>
      <c r="AD92" s="10">
        <f t="shared" si="37"/>
        <v>11.068570336494654</v>
      </c>
      <c r="AH92" s="10">
        <f t="shared" si="38"/>
        <v>1</v>
      </c>
      <c r="AI92" s="10">
        <f t="shared" si="39"/>
        <v>0</v>
      </c>
      <c r="AJ92" s="10">
        <f t="shared" si="40"/>
        <v>0</v>
      </c>
    </row>
    <row r="93" spans="6:36" x14ac:dyDescent="0.25">
      <c r="F93" s="10">
        <v>4</v>
      </c>
      <c r="G93" s="10">
        <v>11</v>
      </c>
      <c r="H93" s="10">
        <v>1</v>
      </c>
      <c r="I93" s="10">
        <f t="shared" si="29"/>
        <v>11.722530671423003</v>
      </c>
      <c r="J93" s="10">
        <f t="shared" si="30"/>
        <v>14.99938962981048</v>
      </c>
      <c r="K93" s="10">
        <f t="shared" si="31"/>
        <v>1</v>
      </c>
      <c r="S93" s="10">
        <f t="shared" si="32"/>
        <v>85.884406838810719</v>
      </c>
      <c r="T93" s="10">
        <f t="shared" si="33"/>
        <v>1</v>
      </c>
      <c r="U93" s="10">
        <f t="shared" si="34"/>
        <v>0</v>
      </c>
      <c r="V93" s="10">
        <f t="shared" si="35"/>
        <v>0</v>
      </c>
      <c r="Y93" s="10">
        <f t="shared" si="36"/>
        <v>0</v>
      </c>
      <c r="Z93" s="10">
        <f t="shared" si="36"/>
        <v>0</v>
      </c>
      <c r="AA93" s="10">
        <f t="shared" si="36"/>
        <v>0</v>
      </c>
      <c r="AB93" s="10">
        <f t="shared" si="37"/>
        <v>0.29917600024500002</v>
      </c>
      <c r="AC93" s="10">
        <f t="shared" si="37"/>
        <v>-6.8617067882421532</v>
      </c>
      <c r="AD93" s="10">
        <f t="shared" si="37"/>
        <v>11.068570336494654</v>
      </c>
      <c r="AH93" s="10">
        <f t="shared" si="38"/>
        <v>1</v>
      </c>
      <c r="AI93" s="10">
        <f t="shared" si="39"/>
        <v>0</v>
      </c>
      <c r="AJ93" s="10">
        <f t="shared" si="40"/>
        <v>0</v>
      </c>
    </row>
    <row r="94" spans="6:36" x14ac:dyDescent="0.25">
      <c r="F94" s="10">
        <v>4</v>
      </c>
      <c r="G94" s="10">
        <v>12</v>
      </c>
      <c r="H94" s="10">
        <v>1</v>
      </c>
      <c r="I94" s="10">
        <f t="shared" si="29"/>
        <v>9.6231558949622329</v>
      </c>
      <c r="J94" s="10">
        <f t="shared" si="30"/>
        <v>14.99938962981048</v>
      </c>
      <c r="K94" s="10">
        <f t="shared" si="31"/>
        <v>1</v>
      </c>
      <c r="S94" s="10">
        <f t="shared" si="32"/>
        <v>100.28970099351595</v>
      </c>
      <c r="T94" s="10">
        <f t="shared" si="33"/>
        <v>1</v>
      </c>
      <c r="U94" s="10">
        <f t="shared" si="34"/>
        <v>0</v>
      </c>
      <c r="V94" s="10">
        <f t="shared" si="35"/>
        <v>0</v>
      </c>
      <c r="Y94" s="10">
        <f t="shared" si="36"/>
        <v>0</v>
      </c>
      <c r="Z94" s="10">
        <f t="shared" si="36"/>
        <v>0</v>
      </c>
      <c r="AA94" s="10">
        <f t="shared" si="36"/>
        <v>0</v>
      </c>
      <c r="AB94" s="10">
        <f t="shared" si="37"/>
        <v>0.29917600024500002</v>
      </c>
      <c r="AC94" s="10">
        <f t="shared" si="37"/>
        <v>-6.8617067882421532</v>
      </c>
      <c r="AD94" s="10">
        <f t="shared" si="37"/>
        <v>11.068570336494654</v>
      </c>
      <c r="AH94" s="10">
        <f t="shared" si="38"/>
        <v>1</v>
      </c>
      <c r="AI94" s="10">
        <f t="shared" si="39"/>
        <v>0</v>
      </c>
      <c r="AJ94" s="10">
        <f t="shared" si="40"/>
        <v>0</v>
      </c>
    </row>
    <row r="95" spans="6:36" x14ac:dyDescent="0.25">
      <c r="F95" s="10">
        <v>4</v>
      </c>
      <c r="G95" s="10">
        <v>13</v>
      </c>
      <c r="H95" s="10">
        <v>1</v>
      </c>
      <c r="I95" s="10">
        <f t="shared" si="29"/>
        <v>8.0162683783311302</v>
      </c>
      <c r="J95" s="10">
        <f t="shared" si="30"/>
        <v>14.99938962981048</v>
      </c>
      <c r="K95" s="10">
        <f t="shared" si="31"/>
        <v>1</v>
      </c>
      <c r="S95" s="10">
        <f t="shared" si="32"/>
        <v>111.31569197432515</v>
      </c>
      <c r="T95" s="10">
        <f t="shared" si="33"/>
        <v>1</v>
      </c>
      <c r="U95" s="10">
        <f t="shared" si="34"/>
        <v>0</v>
      </c>
      <c r="V95" s="10">
        <f t="shared" si="35"/>
        <v>0</v>
      </c>
      <c r="Y95" s="10">
        <f t="shared" si="36"/>
        <v>0</v>
      </c>
      <c r="Z95" s="10">
        <f t="shared" si="36"/>
        <v>0</v>
      </c>
      <c r="AA95" s="10">
        <f t="shared" si="36"/>
        <v>0</v>
      </c>
      <c r="AB95" s="10">
        <f t="shared" si="37"/>
        <v>0.29917600024500002</v>
      </c>
      <c r="AC95" s="10">
        <f t="shared" si="37"/>
        <v>-6.8617067882421532</v>
      </c>
      <c r="AD95" s="10">
        <f t="shared" si="37"/>
        <v>11.068570336494654</v>
      </c>
      <c r="AH95" s="10">
        <f t="shared" si="38"/>
        <v>1</v>
      </c>
      <c r="AI95" s="10">
        <f t="shared" si="39"/>
        <v>0</v>
      </c>
      <c r="AJ95" s="10">
        <f t="shared" si="40"/>
        <v>0</v>
      </c>
    </row>
    <row r="96" spans="6:36" x14ac:dyDescent="0.25">
      <c r="F96" s="10">
        <v>4</v>
      </c>
      <c r="G96" s="10">
        <v>14</v>
      </c>
      <c r="H96" s="10">
        <v>1</v>
      </c>
      <c r="I96" s="10">
        <f t="shared" si="29"/>
        <v>11.270939377934512</v>
      </c>
      <c r="J96" s="10">
        <f t="shared" si="30"/>
        <v>14.99938962981048</v>
      </c>
      <c r="K96" s="10">
        <f t="shared" si="31"/>
        <v>1</v>
      </c>
      <c r="S96" s="10">
        <f t="shared" si="32"/>
        <v>88.983093882851762</v>
      </c>
      <c r="T96" s="10">
        <f t="shared" si="33"/>
        <v>1</v>
      </c>
      <c r="U96" s="10">
        <f t="shared" si="34"/>
        <v>0</v>
      </c>
      <c r="V96" s="10">
        <f t="shared" si="35"/>
        <v>0</v>
      </c>
      <c r="Y96" s="10">
        <f t="shared" si="36"/>
        <v>0</v>
      </c>
      <c r="Z96" s="10">
        <f t="shared" si="36"/>
        <v>0</v>
      </c>
      <c r="AA96" s="10">
        <f t="shared" si="36"/>
        <v>0</v>
      </c>
      <c r="AB96" s="10">
        <f t="shared" si="37"/>
        <v>0.29917600024500002</v>
      </c>
      <c r="AC96" s="10">
        <f t="shared" si="37"/>
        <v>-6.8617067882421532</v>
      </c>
      <c r="AD96" s="10">
        <f t="shared" si="37"/>
        <v>11.068570336494654</v>
      </c>
      <c r="AH96" s="10">
        <f t="shared" si="38"/>
        <v>1</v>
      </c>
      <c r="AI96" s="10">
        <f t="shared" si="39"/>
        <v>0</v>
      </c>
      <c r="AJ96" s="10">
        <f t="shared" si="40"/>
        <v>0</v>
      </c>
    </row>
    <row r="97" spans="6:36" x14ac:dyDescent="0.25">
      <c r="F97" s="10">
        <v>4</v>
      </c>
      <c r="G97" s="10">
        <v>15</v>
      </c>
      <c r="H97" s="10">
        <v>1</v>
      </c>
      <c r="I97" s="10">
        <f t="shared" si="29"/>
        <v>7.0021023351067502</v>
      </c>
      <c r="J97" s="10">
        <f t="shared" si="30"/>
        <v>14.99938962981048</v>
      </c>
      <c r="K97" s="10">
        <f t="shared" si="31"/>
        <v>1</v>
      </c>
      <c r="S97" s="10">
        <f t="shared" si="32"/>
        <v>118.27460199752257</v>
      </c>
      <c r="T97" s="10">
        <f t="shared" si="33"/>
        <v>1</v>
      </c>
      <c r="U97" s="10">
        <f t="shared" si="34"/>
        <v>0</v>
      </c>
      <c r="V97" s="10">
        <f t="shared" si="35"/>
        <v>0</v>
      </c>
      <c r="Y97" s="10">
        <f t="shared" si="36"/>
        <v>0</v>
      </c>
      <c r="Z97" s="10">
        <f t="shared" si="36"/>
        <v>0</v>
      </c>
      <c r="AA97" s="10">
        <f t="shared" si="36"/>
        <v>0</v>
      </c>
      <c r="AB97" s="10">
        <f t="shared" si="37"/>
        <v>0.29917600024500002</v>
      </c>
      <c r="AC97" s="10">
        <f t="shared" si="37"/>
        <v>-6.8617067882421532</v>
      </c>
      <c r="AD97" s="10">
        <f t="shared" si="37"/>
        <v>11.068570336494654</v>
      </c>
      <c r="AH97" s="10">
        <f t="shared" si="38"/>
        <v>1</v>
      </c>
      <c r="AI97" s="10">
        <f t="shared" si="39"/>
        <v>0</v>
      </c>
      <c r="AJ97" s="10">
        <f t="shared" si="40"/>
        <v>0</v>
      </c>
    </row>
    <row r="98" spans="6:36" x14ac:dyDescent="0.25">
      <c r="F98" s="10">
        <v>4</v>
      </c>
      <c r="G98" s="10">
        <v>16</v>
      </c>
      <c r="H98" s="10">
        <v>1</v>
      </c>
      <c r="I98" s="10">
        <f t="shared" si="29"/>
        <v>9.3873260438242312</v>
      </c>
      <c r="J98" s="10">
        <f t="shared" si="30"/>
        <v>14.99938962981048</v>
      </c>
      <c r="K98" s="10">
        <f t="shared" si="31"/>
        <v>1</v>
      </c>
      <c r="S98" s="10">
        <f t="shared" si="32"/>
        <v>101.90789628393971</v>
      </c>
      <c r="T98" s="10">
        <f t="shared" si="33"/>
        <v>1</v>
      </c>
      <c r="U98" s="10">
        <f t="shared" si="34"/>
        <v>0</v>
      </c>
      <c r="V98" s="10">
        <f t="shared" si="35"/>
        <v>0</v>
      </c>
      <c r="Y98" s="10">
        <f t="shared" si="36"/>
        <v>0</v>
      </c>
      <c r="Z98" s="10">
        <f t="shared" si="36"/>
        <v>0</v>
      </c>
      <c r="AA98" s="10">
        <f t="shared" si="36"/>
        <v>0</v>
      </c>
      <c r="AB98" s="10">
        <f t="shared" si="37"/>
        <v>0.29917600024500002</v>
      </c>
      <c r="AC98" s="10">
        <f t="shared" si="37"/>
        <v>-6.8617067882421532</v>
      </c>
      <c r="AD98" s="10">
        <f t="shared" si="37"/>
        <v>11.068570336494654</v>
      </c>
      <c r="AH98" s="10">
        <f t="shared" si="38"/>
        <v>1</v>
      </c>
      <c r="AI98" s="10">
        <f t="shared" si="39"/>
        <v>0</v>
      </c>
      <c r="AJ98" s="10">
        <f t="shared" si="40"/>
        <v>0</v>
      </c>
    </row>
    <row r="99" spans="6:36" x14ac:dyDescent="0.25">
      <c r="F99" s="10">
        <v>4</v>
      </c>
      <c r="G99" s="10">
        <v>17</v>
      </c>
      <c r="H99" s="10">
        <v>1</v>
      </c>
      <c r="I99" s="10">
        <f t="shared" si="29"/>
        <v>8.350479766806572</v>
      </c>
      <c r="J99" s="10">
        <f t="shared" si="30"/>
        <v>14.99938962981048</v>
      </c>
      <c r="K99" s="10">
        <f t="shared" si="31"/>
        <v>1</v>
      </c>
      <c r="S99" s="10">
        <f t="shared" si="32"/>
        <v>109.02243142131539</v>
      </c>
      <c r="T99" s="10">
        <f t="shared" si="33"/>
        <v>1</v>
      </c>
      <c r="U99" s="10">
        <f t="shared" si="34"/>
        <v>0</v>
      </c>
      <c r="V99" s="10">
        <f t="shared" si="35"/>
        <v>0</v>
      </c>
      <c r="Y99" s="10">
        <f t="shared" si="36"/>
        <v>0</v>
      </c>
      <c r="Z99" s="10">
        <f t="shared" si="36"/>
        <v>0</v>
      </c>
      <c r="AA99" s="10">
        <f t="shared" si="36"/>
        <v>0</v>
      </c>
      <c r="AB99" s="10">
        <f t="shared" si="37"/>
        <v>0.29917600024500002</v>
      </c>
      <c r="AC99" s="10">
        <f t="shared" si="37"/>
        <v>-6.8617067882421532</v>
      </c>
      <c r="AD99" s="10">
        <f t="shared" si="37"/>
        <v>11.068570336494654</v>
      </c>
      <c r="AH99" s="10">
        <f t="shared" si="38"/>
        <v>1</v>
      </c>
      <c r="AI99" s="10">
        <f t="shared" si="39"/>
        <v>0</v>
      </c>
      <c r="AJ99" s="10">
        <f t="shared" si="40"/>
        <v>0</v>
      </c>
    </row>
    <row r="100" spans="6:36" x14ac:dyDescent="0.25">
      <c r="F100" s="10">
        <v>4</v>
      </c>
      <c r="G100" s="10">
        <v>18</v>
      </c>
      <c r="H100" s="10">
        <v>1</v>
      </c>
      <c r="I100" s="10">
        <f t="shared" si="29"/>
        <v>8.8378960488846694</v>
      </c>
      <c r="J100" s="10">
        <f t="shared" si="30"/>
        <v>14.99938962981048</v>
      </c>
      <c r="K100" s="10">
        <f t="shared" si="31"/>
        <v>1</v>
      </c>
      <c r="S100" s="10">
        <f t="shared" si="32"/>
        <v>105.67792380988035</v>
      </c>
      <c r="T100" s="10">
        <f t="shared" si="33"/>
        <v>1</v>
      </c>
      <c r="U100" s="10">
        <f t="shared" si="34"/>
        <v>0</v>
      </c>
      <c r="V100" s="10">
        <f t="shared" si="35"/>
        <v>0</v>
      </c>
      <c r="Y100" s="10">
        <f t="shared" si="36"/>
        <v>0</v>
      </c>
      <c r="Z100" s="10">
        <f t="shared" si="36"/>
        <v>0</v>
      </c>
      <c r="AA100" s="10">
        <f t="shared" si="36"/>
        <v>0</v>
      </c>
      <c r="AB100" s="10">
        <f t="shared" si="37"/>
        <v>0.29917600024500002</v>
      </c>
      <c r="AC100" s="10">
        <f t="shared" si="37"/>
        <v>-6.8617067882421532</v>
      </c>
      <c r="AD100" s="10">
        <f t="shared" si="37"/>
        <v>11.068570336494654</v>
      </c>
      <c r="AH100" s="10">
        <f t="shared" si="38"/>
        <v>1</v>
      </c>
      <c r="AI100" s="10">
        <f t="shared" si="39"/>
        <v>0</v>
      </c>
      <c r="AJ100" s="10">
        <f t="shared" si="40"/>
        <v>0</v>
      </c>
    </row>
    <row r="101" spans="6:36" x14ac:dyDescent="0.25">
      <c r="F101" s="10">
        <v>4</v>
      </c>
      <c r="G101" s="10">
        <v>19</v>
      </c>
      <c r="H101" s="10">
        <v>1</v>
      </c>
      <c r="I101" s="10">
        <f t="shared" si="29"/>
        <v>5.9362821331723659</v>
      </c>
      <c r="J101" s="10">
        <f t="shared" si="30"/>
        <v>14.99938962981048</v>
      </c>
      <c r="K101" s="10">
        <f t="shared" si="31"/>
        <v>1</v>
      </c>
      <c r="S101" s="10">
        <f t="shared" si="32"/>
        <v>125.58794771218136</v>
      </c>
      <c r="T101" s="10">
        <f t="shared" si="33"/>
        <v>1</v>
      </c>
      <c r="U101" s="10">
        <f t="shared" si="34"/>
        <v>0</v>
      </c>
      <c r="V101" s="10">
        <f t="shared" si="35"/>
        <v>0</v>
      </c>
      <c r="Y101" s="10">
        <f t="shared" si="36"/>
        <v>0</v>
      </c>
      <c r="Z101" s="10">
        <f t="shared" si="36"/>
        <v>0</v>
      </c>
      <c r="AA101" s="10">
        <f t="shared" si="36"/>
        <v>0</v>
      </c>
      <c r="AB101" s="10">
        <f t="shared" si="37"/>
        <v>0.29917600024500002</v>
      </c>
      <c r="AC101" s="10">
        <f t="shared" si="37"/>
        <v>-6.8617067882421532</v>
      </c>
      <c r="AD101" s="10">
        <f t="shared" si="37"/>
        <v>11.068570336494654</v>
      </c>
      <c r="AH101" s="10">
        <f t="shared" si="38"/>
        <v>1</v>
      </c>
      <c r="AI101" s="10">
        <f t="shared" si="39"/>
        <v>0</v>
      </c>
      <c r="AJ101" s="10">
        <f t="shared" si="40"/>
        <v>0</v>
      </c>
    </row>
    <row r="102" spans="6:36" x14ac:dyDescent="0.25">
      <c r="F102" s="10">
        <v>4</v>
      </c>
      <c r="G102" s="10">
        <v>20</v>
      </c>
      <c r="H102" s="10">
        <v>1</v>
      </c>
      <c r="I102" s="10">
        <f t="shared" si="29"/>
        <v>6.5710893880029841</v>
      </c>
      <c r="J102" s="10">
        <f t="shared" si="30"/>
        <v>14.99938962981048</v>
      </c>
      <c r="K102" s="10">
        <f t="shared" si="31"/>
        <v>1</v>
      </c>
      <c r="S102" s="10">
        <f t="shared" si="32"/>
        <v>121.23208646248474</v>
      </c>
      <c r="T102" s="10">
        <f t="shared" si="33"/>
        <v>1</v>
      </c>
      <c r="U102" s="10">
        <f t="shared" si="34"/>
        <v>0</v>
      </c>
      <c r="V102" s="10">
        <f t="shared" si="35"/>
        <v>0</v>
      </c>
      <c r="X102" s="10">
        <f>SUM(V83:V102)</f>
        <v>0</v>
      </c>
      <c r="Y102" s="10">
        <f t="shared" si="36"/>
        <v>0</v>
      </c>
      <c r="Z102" s="10">
        <f t="shared" si="36"/>
        <v>0</v>
      </c>
      <c r="AA102" s="10">
        <f t="shared" si="36"/>
        <v>0</v>
      </c>
      <c r="AB102" s="10">
        <f t="shared" si="37"/>
        <v>0.29917600024500002</v>
      </c>
      <c r="AC102" s="10">
        <f t="shared" si="37"/>
        <v>-6.8617067882421532</v>
      </c>
      <c r="AD102" s="10">
        <f t="shared" si="37"/>
        <v>11.068570336494654</v>
      </c>
      <c r="AH102" s="10">
        <f t="shared" si="38"/>
        <v>1</v>
      </c>
      <c r="AI102" s="10">
        <f t="shared" si="39"/>
        <v>0</v>
      </c>
      <c r="AJ102" s="10">
        <f t="shared" si="40"/>
        <v>0</v>
      </c>
    </row>
    <row r="103" spans="6:36" x14ac:dyDescent="0.25">
      <c r="F103" s="10">
        <v>5</v>
      </c>
      <c r="G103" s="10">
        <v>1</v>
      </c>
      <c r="H103" s="10">
        <v>1</v>
      </c>
      <c r="I103" s="10">
        <f t="shared" si="29"/>
        <v>4.3149584625268673</v>
      </c>
      <c r="J103" s="10">
        <f t="shared" si="30"/>
        <v>14.99938962981048</v>
      </c>
      <c r="K103" s="10">
        <f t="shared" si="31"/>
        <v>1</v>
      </c>
      <c r="S103" s="12">
        <f t="shared" si="32"/>
        <v>136.71299534898725</v>
      </c>
      <c r="T103" s="12">
        <f t="shared" si="33"/>
        <v>1</v>
      </c>
      <c r="U103" s="12">
        <f t="shared" si="34"/>
        <v>0</v>
      </c>
      <c r="V103" s="12">
        <f t="shared" si="35"/>
        <v>0</v>
      </c>
      <c r="W103" s="12"/>
      <c r="X103" s="12"/>
      <c r="Y103" s="10">
        <f t="shared" si="36"/>
        <v>0</v>
      </c>
      <c r="Z103" s="10">
        <f t="shared" si="36"/>
        <v>0</v>
      </c>
      <c r="AA103" s="10">
        <f t="shared" si="36"/>
        <v>0</v>
      </c>
      <c r="AB103" s="10">
        <f t="shared" si="37"/>
        <v>0.29917600024500002</v>
      </c>
      <c r="AC103" s="10">
        <f t="shared" si="37"/>
        <v>-6.8617067882421532</v>
      </c>
      <c r="AD103" s="10">
        <f t="shared" si="37"/>
        <v>11.068570336494654</v>
      </c>
      <c r="AH103" s="10">
        <f t="shared" si="38"/>
        <v>1</v>
      </c>
      <c r="AI103" s="10">
        <f t="shared" si="39"/>
        <v>0</v>
      </c>
      <c r="AJ103" s="10">
        <f t="shared" si="40"/>
        <v>0</v>
      </c>
    </row>
    <row r="104" spans="6:36" x14ac:dyDescent="0.25">
      <c r="F104" s="10">
        <v>5</v>
      </c>
      <c r="G104" s="10">
        <v>2</v>
      </c>
      <c r="H104" s="10">
        <v>1</v>
      </c>
      <c r="I104" s="10">
        <f t="shared" si="29"/>
        <v>4.2336649521823988</v>
      </c>
      <c r="J104" s="10">
        <f t="shared" si="30"/>
        <v>14.99938962981048</v>
      </c>
      <c r="K104" s="10">
        <f t="shared" si="31"/>
        <v>1</v>
      </c>
      <c r="S104" s="10">
        <f t="shared" si="32"/>
        <v>137.27080758075795</v>
      </c>
      <c r="T104" s="10">
        <f t="shared" si="33"/>
        <v>1</v>
      </c>
      <c r="U104" s="10">
        <f t="shared" si="34"/>
        <v>0</v>
      </c>
      <c r="V104" s="10">
        <f t="shared" si="35"/>
        <v>0</v>
      </c>
      <c r="Y104" s="10">
        <f t="shared" si="36"/>
        <v>0</v>
      </c>
      <c r="Z104" s="10">
        <f t="shared" si="36"/>
        <v>0</v>
      </c>
      <c r="AA104" s="10">
        <f t="shared" si="36"/>
        <v>0</v>
      </c>
      <c r="AB104" s="10">
        <f t="shared" si="37"/>
        <v>0.29917600024500002</v>
      </c>
      <c r="AC104" s="10">
        <f t="shared" si="37"/>
        <v>-6.8617067882421532</v>
      </c>
      <c r="AD104" s="10">
        <f t="shared" si="37"/>
        <v>11.068570336494654</v>
      </c>
      <c r="AH104" s="10">
        <f t="shared" si="38"/>
        <v>1</v>
      </c>
      <c r="AI104" s="10">
        <f t="shared" si="39"/>
        <v>0</v>
      </c>
      <c r="AJ104" s="10">
        <f t="shared" si="40"/>
        <v>0</v>
      </c>
    </row>
    <row r="105" spans="6:36" x14ac:dyDescent="0.25">
      <c r="F105" s="10">
        <v>5</v>
      </c>
      <c r="G105" s="10">
        <v>3</v>
      </c>
      <c r="H105" s="10">
        <v>1</v>
      </c>
      <c r="I105" s="10">
        <f t="shared" si="29"/>
        <v>4.0760342132531742</v>
      </c>
      <c r="J105" s="10">
        <f t="shared" si="30"/>
        <v>14.99938962981048</v>
      </c>
      <c r="K105" s="10">
        <f t="shared" si="31"/>
        <v>1</v>
      </c>
      <c r="S105" s="10">
        <f t="shared" si="32"/>
        <v>138.35242349210421</v>
      </c>
      <c r="T105" s="10">
        <f t="shared" si="33"/>
        <v>1</v>
      </c>
      <c r="U105" s="10">
        <f t="shared" si="34"/>
        <v>0</v>
      </c>
      <c r="V105" s="10">
        <f t="shared" si="35"/>
        <v>0</v>
      </c>
      <c r="Y105" s="10">
        <f t="shared" si="36"/>
        <v>0</v>
      </c>
      <c r="Z105" s="10">
        <f t="shared" si="36"/>
        <v>0</v>
      </c>
      <c r="AA105" s="10">
        <f t="shared" si="36"/>
        <v>0</v>
      </c>
      <c r="AB105" s="10">
        <f t="shared" si="37"/>
        <v>0.29917600024500002</v>
      </c>
      <c r="AC105" s="10">
        <f t="shared" si="37"/>
        <v>-6.8617067882421532</v>
      </c>
      <c r="AD105" s="10">
        <f t="shared" si="37"/>
        <v>11.068570336494654</v>
      </c>
      <c r="AH105" s="10">
        <f t="shared" si="38"/>
        <v>1</v>
      </c>
      <c r="AI105" s="10">
        <f t="shared" si="39"/>
        <v>0</v>
      </c>
      <c r="AJ105" s="10">
        <f t="shared" si="40"/>
        <v>0</v>
      </c>
    </row>
    <row r="106" spans="6:36" x14ac:dyDescent="0.25">
      <c r="F106" s="10">
        <v>5</v>
      </c>
      <c r="G106" s="10">
        <v>4</v>
      </c>
      <c r="H106" s="10">
        <v>1</v>
      </c>
      <c r="I106" s="10">
        <f t="shared" si="29"/>
        <v>6.9682999690312606</v>
      </c>
      <c r="J106" s="10">
        <f t="shared" si="30"/>
        <v>14.99938962981048</v>
      </c>
      <c r="K106" s="10">
        <f t="shared" si="31"/>
        <v>1</v>
      </c>
      <c r="S106" s="10">
        <f t="shared" si="32"/>
        <v>118.50654392228139</v>
      </c>
      <c r="T106" s="10">
        <f t="shared" si="33"/>
        <v>1</v>
      </c>
      <c r="U106" s="10">
        <f t="shared" si="34"/>
        <v>0</v>
      </c>
      <c r="V106" s="10">
        <f t="shared" si="35"/>
        <v>0</v>
      </c>
      <c r="Y106" s="10">
        <f t="shared" si="36"/>
        <v>0</v>
      </c>
      <c r="Z106" s="10">
        <f t="shared" si="36"/>
        <v>0</v>
      </c>
      <c r="AA106" s="10">
        <f t="shared" si="36"/>
        <v>0</v>
      </c>
      <c r="AB106" s="10">
        <f t="shared" si="37"/>
        <v>0.29917600024500002</v>
      </c>
      <c r="AC106" s="10">
        <f t="shared" si="37"/>
        <v>-6.8617067882421532</v>
      </c>
      <c r="AD106" s="10">
        <f t="shared" si="37"/>
        <v>11.068570336494654</v>
      </c>
      <c r="AH106" s="10">
        <f t="shared" si="38"/>
        <v>1</v>
      </c>
      <c r="AI106" s="10">
        <f t="shared" si="39"/>
        <v>0</v>
      </c>
      <c r="AJ106" s="10">
        <f t="shared" si="40"/>
        <v>0</v>
      </c>
    </row>
    <row r="107" spans="6:36" x14ac:dyDescent="0.25">
      <c r="F107" s="10">
        <v>5</v>
      </c>
      <c r="G107" s="10">
        <v>5</v>
      </c>
      <c r="H107" s="10">
        <v>1</v>
      </c>
      <c r="I107" s="10">
        <f t="shared" si="29"/>
        <v>8.3649028089644606</v>
      </c>
      <c r="J107" s="10">
        <f t="shared" si="30"/>
        <v>14.99938962981048</v>
      </c>
      <c r="K107" s="10">
        <f t="shared" si="31"/>
        <v>1</v>
      </c>
      <c r="S107" s="10">
        <f t="shared" si="32"/>
        <v>108.92346473503349</v>
      </c>
      <c r="T107" s="10">
        <f t="shared" si="33"/>
        <v>1</v>
      </c>
      <c r="U107" s="10">
        <f t="shared" si="34"/>
        <v>0</v>
      </c>
      <c r="V107" s="10">
        <f t="shared" si="35"/>
        <v>0</v>
      </c>
      <c r="Y107" s="10">
        <f t="shared" si="36"/>
        <v>0</v>
      </c>
      <c r="Z107" s="10">
        <f t="shared" si="36"/>
        <v>0</v>
      </c>
      <c r="AA107" s="10">
        <f t="shared" si="36"/>
        <v>0</v>
      </c>
      <c r="AB107" s="10">
        <f t="shared" si="37"/>
        <v>0.29917600024500002</v>
      </c>
      <c r="AC107" s="10">
        <f t="shared" si="37"/>
        <v>-6.8617067882421532</v>
      </c>
      <c r="AD107" s="10">
        <f t="shared" si="37"/>
        <v>11.068570336494654</v>
      </c>
      <c r="AH107" s="10">
        <f t="shared" si="38"/>
        <v>1</v>
      </c>
      <c r="AI107" s="10">
        <f t="shared" si="39"/>
        <v>0</v>
      </c>
      <c r="AJ107" s="10">
        <f t="shared" si="40"/>
        <v>0</v>
      </c>
    </row>
    <row r="108" spans="6:36" x14ac:dyDescent="0.25">
      <c r="F108" s="10">
        <v>5</v>
      </c>
      <c r="G108" s="10">
        <v>6</v>
      </c>
      <c r="H108" s="10">
        <v>1</v>
      </c>
      <c r="I108" s="10">
        <f t="shared" ref="I108:I171" si="41">I88</f>
        <v>9.3848699915294151</v>
      </c>
      <c r="J108" s="10">
        <f t="shared" si="30"/>
        <v>14.99938962981048</v>
      </c>
      <c r="K108" s="10">
        <f t="shared" si="31"/>
        <v>1</v>
      </c>
      <c r="S108" s="10">
        <f t="shared" si="32"/>
        <v>101.92474899464332</v>
      </c>
      <c r="T108" s="10">
        <f t="shared" si="33"/>
        <v>1</v>
      </c>
      <c r="U108" s="10">
        <f t="shared" si="34"/>
        <v>0</v>
      </c>
      <c r="V108" s="10">
        <f t="shared" si="35"/>
        <v>0</v>
      </c>
      <c r="Y108" s="10">
        <f t="shared" si="36"/>
        <v>0</v>
      </c>
      <c r="Z108" s="10">
        <f t="shared" si="36"/>
        <v>0</v>
      </c>
      <c r="AA108" s="10">
        <f t="shared" si="36"/>
        <v>0</v>
      </c>
      <c r="AB108" s="10">
        <f t="shared" si="37"/>
        <v>0.29917600024500002</v>
      </c>
      <c r="AC108" s="10">
        <f t="shared" si="37"/>
        <v>-6.8617067882421532</v>
      </c>
      <c r="AD108" s="10">
        <f t="shared" si="37"/>
        <v>11.068570336494654</v>
      </c>
      <c r="AH108" s="10">
        <f t="shared" si="38"/>
        <v>1</v>
      </c>
      <c r="AI108" s="10">
        <f t="shared" si="39"/>
        <v>0</v>
      </c>
      <c r="AJ108" s="10">
        <f t="shared" si="40"/>
        <v>0</v>
      </c>
    </row>
    <row r="109" spans="6:36" x14ac:dyDescent="0.25">
      <c r="F109" s="10">
        <v>5</v>
      </c>
      <c r="G109" s="10">
        <v>7</v>
      </c>
      <c r="H109" s="10">
        <v>1</v>
      </c>
      <c r="I109" s="10">
        <f t="shared" si="41"/>
        <v>9.2116945315592211</v>
      </c>
      <c r="J109" s="10">
        <f t="shared" si="30"/>
        <v>14.99938962981048</v>
      </c>
      <c r="K109" s="10">
        <f t="shared" si="31"/>
        <v>1</v>
      </c>
      <c r="S109" s="10">
        <f t="shared" si="32"/>
        <v>103.11302822387776</v>
      </c>
      <c r="T109" s="10">
        <f t="shared" si="33"/>
        <v>1</v>
      </c>
      <c r="U109" s="10">
        <f t="shared" si="34"/>
        <v>0</v>
      </c>
      <c r="V109" s="10">
        <f t="shared" si="35"/>
        <v>0</v>
      </c>
      <c r="Y109" s="10">
        <f t="shared" si="36"/>
        <v>0</v>
      </c>
      <c r="Z109" s="10">
        <f t="shared" si="36"/>
        <v>0</v>
      </c>
      <c r="AA109" s="10">
        <f t="shared" si="36"/>
        <v>0</v>
      </c>
      <c r="AB109" s="10">
        <f t="shared" si="37"/>
        <v>0.29917600024500002</v>
      </c>
      <c r="AC109" s="10">
        <f t="shared" si="37"/>
        <v>-6.8617067882421532</v>
      </c>
      <c r="AD109" s="10">
        <f t="shared" si="37"/>
        <v>11.068570336494654</v>
      </c>
      <c r="AH109" s="10">
        <f t="shared" si="38"/>
        <v>1</v>
      </c>
      <c r="AI109" s="10">
        <f t="shared" si="39"/>
        <v>0</v>
      </c>
      <c r="AJ109" s="10">
        <f t="shared" si="40"/>
        <v>0</v>
      </c>
    </row>
    <row r="110" spans="6:36" x14ac:dyDescent="0.25">
      <c r="F110" s="10">
        <v>5</v>
      </c>
      <c r="G110" s="10">
        <v>8</v>
      </c>
      <c r="H110" s="10">
        <v>1</v>
      </c>
      <c r="I110" s="10">
        <f t="shared" si="41"/>
        <v>10.461114754974387</v>
      </c>
      <c r="J110" s="10">
        <f t="shared" si="30"/>
        <v>14.99938962981048</v>
      </c>
      <c r="K110" s="10">
        <f t="shared" si="31"/>
        <v>1</v>
      </c>
      <c r="S110" s="10">
        <f t="shared" si="32"/>
        <v>94.53987299550289</v>
      </c>
      <c r="T110" s="10">
        <f t="shared" si="33"/>
        <v>1</v>
      </c>
      <c r="U110" s="10">
        <f t="shared" si="34"/>
        <v>0</v>
      </c>
      <c r="V110" s="10">
        <f t="shared" si="35"/>
        <v>0</v>
      </c>
      <c r="Y110" s="10">
        <f t="shared" si="36"/>
        <v>0</v>
      </c>
      <c r="Z110" s="10">
        <f t="shared" si="36"/>
        <v>0</v>
      </c>
      <c r="AA110" s="10">
        <f t="shared" si="36"/>
        <v>0</v>
      </c>
      <c r="AB110" s="10">
        <f t="shared" si="37"/>
        <v>0.29917600024500002</v>
      </c>
      <c r="AC110" s="10">
        <f t="shared" si="37"/>
        <v>-6.8617067882421532</v>
      </c>
      <c r="AD110" s="10">
        <f t="shared" si="37"/>
        <v>11.068570336494654</v>
      </c>
      <c r="AH110" s="10">
        <f t="shared" si="38"/>
        <v>1</v>
      </c>
      <c r="AI110" s="10">
        <f t="shared" si="39"/>
        <v>0</v>
      </c>
      <c r="AJ110" s="10">
        <f t="shared" si="40"/>
        <v>0</v>
      </c>
    </row>
    <row r="111" spans="6:36" x14ac:dyDescent="0.25">
      <c r="F111" s="10">
        <v>5</v>
      </c>
      <c r="G111" s="10">
        <v>9</v>
      </c>
      <c r="H111" s="10">
        <v>1</v>
      </c>
      <c r="I111" s="10">
        <f t="shared" si="41"/>
        <v>4.1553347214085523</v>
      </c>
      <c r="J111" s="10">
        <f t="shared" si="30"/>
        <v>14.99938962981048</v>
      </c>
      <c r="K111" s="10">
        <f t="shared" si="31"/>
        <v>1</v>
      </c>
      <c r="S111" s="10">
        <f t="shared" si="32"/>
        <v>137.8082866569834</v>
      </c>
      <c r="T111" s="10">
        <f t="shared" si="33"/>
        <v>1</v>
      </c>
      <c r="U111" s="10">
        <f t="shared" si="34"/>
        <v>0</v>
      </c>
      <c r="V111" s="10">
        <f t="shared" si="35"/>
        <v>0</v>
      </c>
      <c r="Y111" s="10">
        <f t="shared" si="36"/>
        <v>0</v>
      </c>
      <c r="Z111" s="10">
        <f t="shared" si="36"/>
        <v>0</v>
      </c>
      <c r="AA111" s="10">
        <f t="shared" si="36"/>
        <v>0</v>
      </c>
      <c r="AB111" s="10">
        <f t="shared" si="37"/>
        <v>0.29917600024500002</v>
      </c>
      <c r="AC111" s="10">
        <f t="shared" si="37"/>
        <v>-6.8617067882421532</v>
      </c>
      <c r="AD111" s="10">
        <f t="shared" si="37"/>
        <v>11.068570336494654</v>
      </c>
      <c r="AH111" s="10">
        <f t="shared" si="38"/>
        <v>1</v>
      </c>
      <c r="AI111" s="10">
        <f t="shared" si="39"/>
        <v>0</v>
      </c>
      <c r="AJ111" s="10">
        <f t="shared" si="40"/>
        <v>0</v>
      </c>
    </row>
    <row r="112" spans="6:36" x14ac:dyDescent="0.25">
      <c r="F112" s="10">
        <v>5</v>
      </c>
      <c r="G112" s="10">
        <v>10</v>
      </c>
      <c r="H112" s="10">
        <v>1</v>
      </c>
      <c r="I112" s="10">
        <f t="shared" si="41"/>
        <v>8.4627041466514576</v>
      </c>
      <c r="J112" s="10">
        <f t="shared" si="30"/>
        <v>14.99938962981048</v>
      </c>
      <c r="K112" s="10">
        <f t="shared" si="31"/>
        <v>1</v>
      </c>
      <c r="S112" s="10">
        <f t="shared" si="32"/>
        <v>108.25238063232746</v>
      </c>
      <c r="T112" s="10">
        <f t="shared" si="33"/>
        <v>1</v>
      </c>
      <c r="U112" s="10">
        <f t="shared" si="34"/>
        <v>0</v>
      </c>
      <c r="V112" s="10">
        <f t="shared" si="35"/>
        <v>0</v>
      </c>
      <c r="Y112" s="10">
        <f t="shared" si="36"/>
        <v>0</v>
      </c>
      <c r="Z112" s="10">
        <f t="shared" si="36"/>
        <v>0</v>
      </c>
      <c r="AA112" s="10">
        <f t="shared" si="36"/>
        <v>0</v>
      </c>
      <c r="AB112" s="10">
        <f t="shared" si="37"/>
        <v>0.29917600024500002</v>
      </c>
      <c r="AC112" s="10">
        <f t="shared" si="37"/>
        <v>-6.8617067882421532</v>
      </c>
      <c r="AD112" s="10">
        <f t="shared" si="37"/>
        <v>11.068570336494654</v>
      </c>
      <c r="AH112" s="10">
        <f t="shared" si="38"/>
        <v>1</v>
      </c>
      <c r="AI112" s="10">
        <f t="shared" si="39"/>
        <v>0</v>
      </c>
      <c r="AJ112" s="10">
        <f t="shared" si="40"/>
        <v>0</v>
      </c>
    </row>
    <row r="113" spans="6:36" x14ac:dyDescent="0.25">
      <c r="F113" s="10">
        <v>5</v>
      </c>
      <c r="G113" s="10">
        <v>11</v>
      </c>
      <c r="H113" s="10">
        <v>1</v>
      </c>
      <c r="I113" s="10">
        <f t="shared" si="41"/>
        <v>11.722530671423003</v>
      </c>
      <c r="J113" s="10">
        <f t="shared" si="30"/>
        <v>14.99938962981048</v>
      </c>
      <c r="K113" s="10">
        <f t="shared" si="31"/>
        <v>1</v>
      </c>
      <c r="S113" s="10">
        <f t="shared" si="32"/>
        <v>85.884406838810719</v>
      </c>
      <c r="T113" s="10">
        <f t="shared" si="33"/>
        <v>1</v>
      </c>
      <c r="U113" s="10">
        <f t="shared" si="34"/>
        <v>0</v>
      </c>
      <c r="V113" s="10">
        <f t="shared" si="35"/>
        <v>0</v>
      </c>
      <c r="Y113" s="10">
        <f t="shared" si="36"/>
        <v>0</v>
      </c>
      <c r="Z113" s="10">
        <f t="shared" si="36"/>
        <v>0</v>
      </c>
      <c r="AA113" s="10">
        <f t="shared" si="36"/>
        <v>0</v>
      </c>
      <c r="AB113" s="10">
        <f t="shared" si="37"/>
        <v>0.29917600024500002</v>
      </c>
      <c r="AC113" s="10">
        <f t="shared" si="37"/>
        <v>-6.8617067882421532</v>
      </c>
      <c r="AD113" s="10">
        <f t="shared" si="37"/>
        <v>11.068570336494654</v>
      </c>
      <c r="AH113" s="10">
        <f t="shared" si="38"/>
        <v>1</v>
      </c>
      <c r="AI113" s="10">
        <f t="shared" si="39"/>
        <v>0</v>
      </c>
      <c r="AJ113" s="10">
        <f t="shared" si="40"/>
        <v>0</v>
      </c>
    </row>
    <row r="114" spans="6:36" x14ac:dyDescent="0.25">
      <c r="F114" s="10">
        <v>5</v>
      </c>
      <c r="G114" s="10">
        <v>12</v>
      </c>
      <c r="H114" s="10">
        <v>1</v>
      </c>
      <c r="I114" s="10">
        <f t="shared" si="41"/>
        <v>9.6231558949622329</v>
      </c>
      <c r="J114" s="10">
        <f t="shared" si="30"/>
        <v>14.99938962981048</v>
      </c>
      <c r="K114" s="10">
        <f t="shared" si="31"/>
        <v>1</v>
      </c>
      <c r="S114" s="10">
        <f t="shared" si="32"/>
        <v>100.28970099351595</v>
      </c>
      <c r="T114" s="10">
        <f t="shared" si="33"/>
        <v>1</v>
      </c>
      <c r="U114" s="10">
        <f t="shared" si="34"/>
        <v>0</v>
      </c>
      <c r="V114" s="10">
        <f t="shared" si="35"/>
        <v>0</v>
      </c>
      <c r="Y114" s="10">
        <f t="shared" si="36"/>
        <v>0</v>
      </c>
      <c r="Z114" s="10">
        <f t="shared" si="36"/>
        <v>0</v>
      </c>
      <c r="AA114" s="10">
        <f t="shared" si="36"/>
        <v>0</v>
      </c>
      <c r="AB114" s="10">
        <f t="shared" si="37"/>
        <v>0.29917600024500002</v>
      </c>
      <c r="AC114" s="10">
        <f t="shared" si="37"/>
        <v>-6.8617067882421532</v>
      </c>
      <c r="AD114" s="10">
        <f t="shared" si="37"/>
        <v>11.068570336494654</v>
      </c>
      <c r="AH114" s="10">
        <f t="shared" si="38"/>
        <v>1</v>
      </c>
      <c r="AI114" s="10">
        <f t="shared" si="39"/>
        <v>0</v>
      </c>
      <c r="AJ114" s="10">
        <f t="shared" si="40"/>
        <v>0</v>
      </c>
    </row>
    <row r="115" spans="6:36" x14ac:dyDescent="0.25">
      <c r="F115" s="10">
        <v>5</v>
      </c>
      <c r="G115" s="10">
        <v>13</v>
      </c>
      <c r="H115" s="10">
        <v>1</v>
      </c>
      <c r="I115" s="10">
        <f t="shared" si="41"/>
        <v>8.0162683783311302</v>
      </c>
      <c r="J115" s="10">
        <f t="shared" si="30"/>
        <v>14.99938962981048</v>
      </c>
      <c r="K115" s="10">
        <f t="shared" si="31"/>
        <v>1</v>
      </c>
      <c r="S115" s="10">
        <f t="shared" si="32"/>
        <v>111.31569197432515</v>
      </c>
      <c r="T115" s="10">
        <f t="shared" si="33"/>
        <v>1</v>
      </c>
      <c r="U115" s="10">
        <f t="shared" si="34"/>
        <v>0</v>
      </c>
      <c r="V115" s="10">
        <f t="shared" si="35"/>
        <v>0</v>
      </c>
      <c r="Y115" s="10">
        <f t="shared" si="36"/>
        <v>0</v>
      </c>
      <c r="Z115" s="10">
        <f t="shared" si="36"/>
        <v>0</v>
      </c>
      <c r="AA115" s="10">
        <f t="shared" si="36"/>
        <v>0</v>
      </c>
      <c r="AB115" s="10">
        <f t="shared" si="37"/>
        <v>0.29917600024500002</v>
      </c>
      <c r="AC115" s="10">
        <f t="shared" si="37"/>
        <v>-6.8617067882421532</v>
      </c>
      <c r="AD115" s="10">
        <f t="shared" si="37"/>
        <v>11.068570336494654</v>
      </c>
      <c r="AH115" s="10">
        <f t="shared" si="38"/>
        <v>1</v>
      </c>
      <c r="AI115" s="10">
        <f t="shared" si="39"/>
        <v>0</v>
      </c>
      <c r="AJ115" s="10">
        <f t="shared" si="40"/>
        <v>0</v>
      </c>
    </row>
    <row r="116" spans="6:36" x14ac:dyDescent="0.25">
      <c r="F116" s="10">
        <v>5</v>
      </c>
      <c r="G116" s="10">
        <v>14</v>
      </c>
      <c r="H116" s="10">
        <v>1</v>
      </c>
      <c r="I116" s="10">
        <f t="shared" si="41"/>
        <v>11.270939377934512</v>
      </c>
      <c r="J116" s="10">
        <f t="shared" si="30"/>
        <v>14.99938962981048</v>
      </c>
      <c r="K116" s="10">
        <f t="shared" si="31"/>
        <v>1</v>
      </c>
      <c r="S116" s="10">
        <f t="shared" si="32"/>
        <v>88.983093882851762</v>
      </c>
      <c r="T116" s="10">
        <f t="shared" si="33"/>
        <v>1</v>
      </c>
      <c r="U116" s="10">
        <f t="shared" si="34"/>
        <v>0</v>
      </c>
      <c r="V116" s="10">
        <f t="shared" si="35"/>
        <v>0</v>
      </c>
      <c r="Y116" s="10">
        <f t="shared" si="36"/>
        <v>0</v>
      </c>
      <c r="Z116" s="10">
        <f t="shared" si="36"/>
        <v>0</v>
      </c>
      <c r="AA116" s="10">
        <f t="shared" si="36"/>
        <v>0</v>
      </c>
      <c r="AB116" s="10">
        <f t="shared" si="37"/>
        <v>0.29917600024500002</v>
      </c>
      <c r="AC116" s="10">
        <f t="shared" si="37"/>
        <v>-6.8617067882421532</v>
      </c>
      <c r="AD116" s="10">
        <f t="shared" si="37"/>
        <v>11.068570336494654</v>
      </c>
      <c r="AH116" s="10">
        <f t="shared" si="38"/>
        <v>1</v>
      </c>
      <c r="AI116" s="10">
        <f t="shared" si="39"/>
        <v>0</v>
      </c>
      <c r="AJ116" s="10">
        <f t="shared" si="40"/>
        <v>0</v>
      </c>
    </row>
    <row r="117" spans="6:36" x14ac:dyDescent="0.25">
      <c r="F117" s="10">
        <v>5</v>
      </c>
      <c r="G117" s="10">
        <v>15</v>
      </c>
      <c r="H117" s="10">
        <v>1</v>
      </c>
      <c r="I117" s="10">
        <f t="shared" si="41"/>
        <v>7.0021023351067502</v>
      </c>
      <c r="J117" s="10">
        <f t="shared" si="30"/>
        <v>14.99938962981048</v>
      </c>
      <c r="K117" s="10">
        <f t="shared" si="31"/>
        <v>1</v>
      </c>
      <c r="S117" s="10">
        <f t="shared" si="32"/>
        <v>118.27460199752257</v>
      </c>
      <c r="T117" s="10">
        <f t="shared" si="33"/>
        <v>1</v>
      </c>
      <c r="U117" s="10">
        <f t="shared" si="34"/>
        <v>0</v>
      </c>
      <c r="V117" s="10">
        <f t="shared" si="35"/>
        <v>0</v>
      </c>
      <c r="Y117" s="10">
        <f t="shared" si="36"/>
        <v>0</v>
      </c>
      <c r="Z117" s="10">
        <f t="shared" si="36"/>
        <v>0</v>
      </c>
      <c r="AA117" s="10">
        <f t="shared" si="36"/>
        <v>0</v>
      </c>
      <c r="AB117" s="10">
        <f t="shared" si="37"/>
        <v>0.29917600024500002</v>
      </c>
      <c r="AC117" s="10">
        <f t="shared" si="37"/>
        <v>-6.8617067882421532</v>
      </c>
      <c r="AD117" s="10">
        <f t="shared" si="37"/>
        <v>11.068570336494654</v>
      </c>
      <c r="AH117" s="10">
        <f t="shared" si="38"/>
        <v>1</v>
      </c>
      <c r="AI117" s="10">
        <f t="shared" si="39"/>
        <v>0</v>
      </c>
      <c r="AJ117" s="10">
        <f t="shared" si="40"/>
        <v>0</v>
      </c>
    </row>
    <row r="118" spans="6:36" x14ac:dyDescent="0.25">
      <c r="F118" s="10">
        <v>5</v>
      </c>
      <c r="G118" s="10">
        <v>16</v>
      </c>
      <c r="H118" s="10">
        <v>1</v>
      </c>
      <c r="I118" s="10">
        <f t="shared" si="41"/>
        <v>9.3873260438242312</v>
      </c>
      <c r="J118" s="10">
        <f t="shared" si="30"/>
        <v>14.99938962981048</v>
      </c>
      <c r="K118" s="10">
        <f t="shared" si="31"/>
        <v>1</v>
      </c>
      <c r="S118" s="10">
        <f t="shared" si="32"/>
        <v>101.90789628393971</v>
      </c>
      <c r="T118" s="10">
        <f t="shared" si="33"/>
        <v>1</v>
      </c>
      <c r="U118" s="10">
        <f t="shared" si="34"/>
        <v>0</v>
      </c>
      <c r="V118" s="10">
        <f t="shared" si="35"/>
        <v>0</v>
      </c>
      <c r="Y118" s="10">
        <f t="shared" si="36"/>
        <v>0</v>
      </c>
      <c r="Z118" s="10">
        <f t="shared" si="36"/>
        <v>0</v>
      </c>
      <c r="AA118" s="10">
        <f t="shared" si="36"/>
        <v>0</v>
      </c>
      <c r="AB118" s="10">
        <f t="shared" si="37"/>
        <v>0.29917600024500002</v>
      </c>
      <c r="AC118" s="10">
        <f t="shared" si="37"/>
        <v>-6.8617067882421532</v>
      </c>
      <c r="AD118" s="10">
        <f t="shared" si="37"/>
        <v>11.068570336494654</v>
      </c>
      <c r="AH118" s="10">
        <f t="shared" si="38"/>
        <v>1</v>
      </c>
      <c r="AI118" s="10">
        <f t="shared" si="39"/>
        <v>0</v>
      </c>
      <c r="AJ118" s="10">
        <f t="shared" si="40"/>
        <v>0</v>
      </c>
    </row>
    <row r="119" spans="6:36" x14ac:dyDescent="0.25">
      <c r="F119" s="10">
        <v>5</v>
      </c>
      <c r="G119" s="10">
        <v>17</v>
      </c>
      <c r="H119" s="10">
        <v>1</v>
      </c>
      <c r="I119" s="10">
        <f t="shared" si="41"/>
        <v>8.350479766806572</v>
      </c>
      <c r="J119" s="10">
        <f t="shared" si="30"/>
        <v>14.99938962981048</v>
      </c>
      <c r="K119" s="10">
        <f t="shared" si="31"/>
        <v>1</v>
      </c>
      <c r="S119" s="10">
        <f t="shared" si="32"/>
        <v>109.02243142131539</v>
      </c>
      <c r="T119" s="10">
        <f t="shared" si="33"/>
        <v>1</v>
      </c>
      <c r="U119" s="10">
        <f t="shared" si="34"/>
        <v>0</v>
      </c>
      <c r="V119" s="10">
        <f t="shared" si="35"/>
        <v>0</v>
      </c>
      <c r="Y119" s="10">
        <f t="shared" si="36"/>
        <v>0</v>
      </c>
      <c r="Z119" s="10">
        <f t="shared" si="36"/>
        <v>0</v>
      </c>
      <c r="AA119" s="10">
        <f t="shared" si="36"/>
        <v>0</v>
      </c>
      <c r="AB119" s="10">
        <f t="shared" si="37"/>
        <v>0.29917600024500002</v>
      </c>
      <c r="AC119" s="10">
        <f t="shared" si="37"/>
        <v>-6.8617067882421532</v>
      </c>
      <c r="AD119" s="10">
        <f t="shared" si="37"/>
        <v>11.068570336494654</v>
      </c>
      <c r="AH119" s="10">
        <f t="shared" si="38"/>
        <v>1</v>
      </c>
      <c r="AI119" s="10">
        <f t="shared" si="39"/>
        <v>0</v>
      </c>
      <c r="AJ119" s="10">
        <f t="shared" si="40"/>
        <v>0</v>
      </c>
    </row>
    <row r="120" spans="6:36" x14ac:dyDescent="0.25">
      <c r="F120" s="10">
        <v>5</v>
      </c>
      <c r="G120" s="10">
        <v>18</v>
      </c>
      <c r="H120" s="10">
        <v>1</v>
      </c>
      <c r="I120" s="10">
        <f t="shared" si="41"/>
        <v>8.8378960488846694</v>
      </c>
      <c r="J120" s="10">
        <f t="shared" si="30"/>
        <v>14.99938962981048</v>
      </c>
      <c r="K120" s="10">
        <f t="shared" si="31"/>
        <v>1</v>
      </c>
      <c r="S120" s="10">
        <f t="shared" si="32"/>
        <v>105.67792380988035</v>
      </c>
      <c r="T120" s="10">
        <f t="shared" si="33"/>
        <v>1</v>
      </c>
      <c r="U120" s="10">
        <f t="shared" si="34"/>
        <v>0</v>
      </c>
      <c r="V120" s="10">
        <f t="shared" si="35"/>
        <v>0</v>
      </c>
      <c r="Y120" s="10">
        <f t="shared" si="36"/>
        <v>0</v>
      </c>
      <c r="Z120" s="10">
        <f t="shared" si="36"/>
        <v>0</v>
      </c>
      <c r="AA120" s="10">
        <f t="shared" si="36"/>
        <v>0</v>
      </c>
      <c r="AB120" s="10">
        <f t="shared" si="37"/>
        <v>0.29917600024500002</v>
      </c>
      <c r="AC120" s="10">
        <f t="shared" si="37"/>
        <v>-6.8617067882421532</v>
      </c>
      <c r="AD120" s="10">
        <f t="shared" si="37"/>
        <v>11.068570336494654</v>
      </c>
      <c r="AH120" s="10">
        <f t="shared" si="38"/>
        <v>1</v>
      </c>
      <c r="AI120" s="10">
        <f t="shared" si="39"/>
        <v>0</v>
      </c>
      <c r="AJ120" s="10">
        <f t="shared" si="40"/>
        <v>0</v>
      </c>
    </row>
    <row r="121" spans="6:36" x14ac:dyDescent="0.25">
      <c r="F121" s="10">
        <v>5</v>
      </c>
      <c r="G121" s="10">
        <v>19</v>
      </c>
      <c r="H121" s="10">
        <v>1</v>
      </c>
      <c r="I121" s="10">
        <f t="shared" si="41"/>
        <v>5.9362821331723659</v>
      </c>
      <c r="J121" s="10">
        <f t="shared" si="30"/>
        <v>14.99938962981048</v>
      </c>
      <c r="K121" s="10">
        <f t="shared" si="31"/>
        <v>1</v>
      </c>
      <c r="S121" s="10">
        <f t="shared" si="32"/>
        <v>125.58794771218136</v>
      </c>
      <c r="T121" s="10">
        <f t="shared" si="33"/>
        <v>1</v>
      </c>
      <c r="U121" s="10">
        <f t="shared" si="34"/>
        <v>0</v>
      </c>
      <c r="V121" s="10">
        <f t="shared" si="35"/>
        <v>0</v>
      </c>
      <c r="Y121" s="10">
        <f t="shared" si="36"/>
        <v>0</v>
      </c>
      <c r="Z121" s="10">
        <f t="shared" si="36"/>
        <v>0</v>
      </c>
      <c r="AA121" s="10">
        <f t="shared" si="36"/>
        <v>0</v>
      </c>
      <c r="AB121" s="10">
        <f t="shared" si="37"/>
        <v>0.29917600024500002</v>
      </c>
      <c r="AC121" s="10">
        <f t="shared" si="37"/>
        <v>-6.8617067882421532</v>
      </c>
      <c r="AD121" s="10">
        <f t="shared" si="37"/>
        <v>11.068570336494654</v>
      </c>
      <c r="AH121" s="10">
        <f t="shared" si="38"/>
        <v>1</v>
      </c>
      <c r="AI121" s="10">
        <f t="shared" si="39"/>
        <v>0</v>
      </c>
      <c r="AJ121" s="10">
        <f t="shared" si="40"/>
        <v>0</v>
      </c>
    </row>
    <row r="122" spans="6:36" x14ac:dyDescent="0.25">
      <c r="F122" s="10">
        <v>5</v>
      </c>
      <c r="G122" s="10">
        <v>20</v>
      </c>
      <c r="H122" s="10">
        <v>1</v>
      </c>
      <c r="I122" s="10">
        <f t="shared" si="41"/>
        <v>6.5710893880029841</v>
      </c>
      <c r="J122" s="10">
        <f t="shared" si="30"/>
        <v>14.99938962981048</v>
      </c>
      <c r="K122" s="10">
        <f t="shared" si="31"/>
        <v>1</v>
      </c>
      <c r="S122" s="10">
        <f t="shared" si="32"/>
        <v>121.23208646248474</v>
      </c>
      <c r="T122" s="10">
        <f t="shared" si="33"/>
        <v>1</v>
      </c>
      <c r="U122" s="10">
        <f t="shared" si="34"/>
        <v>0</v>
      </c>
      <c r="V122" s="10">
        <f t="shared" si="35"/>
        <v>0</v>
      </c>
      <c r="X122" s="10">
        <f>SUM(V103:V122)</f>
        <v>0</v>
      </c>
      <c r="Y122" s="10">
        <f t="shared" si="36"/>
        <v>0</v>
      </c>
      <c r="Z122" s="10">
        <f t="shared" si="36"/>
        <v>0</v>
      </c>
      <c r="AA122" s="10">
        <f t="shared" si="36"/>
        <v>0</v>
      </c>
      <c r="AB122" s="10">
        <f t="shared" si="37"/>
        <v>0.29917600024500002</v>
      </c>
      <c r="AC122" s="10">
        <f t="shared" si="37"/>
        <v>-6.8617067882421532</v>
      </c>
      <c r="AD122" s="10">
        <f t="shared" si="37"/>
        <v>11.068570336494654</v>
      </c>
      <c r="AH122" s="10">
        <f t="shared" si="38"/>
        <v>1</v>
      </c>
      <c r="AI122" s="10">
        <f t="shared" si="39"/>
        <v>0</v>
      </c>
      <c r="AJ122" s="10">
        <f t="shared" si="40"/>
        <v>0</v>
      </c>
    </row>
    <row r="123" spans="6:36" x14ac:dyDescent="0.25">
      <c r="F123" s="10">
        <v>6</v>
      </c>
      <c r="G123" s="10">
        <v>1</v>
      </c>
      <c r="H123" s="10">
        <v>1</v>
      </c>
      <c r="I123" s="10">
        <f t="shared" si="41"/>
        <v>4.3149584625268673</v>
      </c>
      <c r="J123" s="10">
        <f t="shared" si="30"/>
        <v>14.99938962981048</v>
      </c>
      <c r="K123" s="10">
        <f t="shared" si="31"/>
        <v>1</v>
      </c>
      <c r="S123" s="12">
        <f t="shared" si="32"/>
        <v>136.71299534898725</v>
      </c>
      <c r="T123" s="12">
        <f t="shared" si="33"/>
        <v>1</v>
      </c>
      <c r="U123" s="12">
        <f t="shared" si="34"/>
        <v>0</v>
      </c>
      <c r="V123" s="12">
        <f t="shared" si="35"/>
        <v>0</v>
      </c>
      <c r="W123" s="12"/>
      <c r="X123" s="12"/>
      <c r="Y123" s="10">
        <f t="shared" si="36"/>
        <v>0</v>
      </c>
      <c r="Z123" s="10">
        <f t="shared" si="36"/>
        <v>0</v>
      </c>
      <c r="AA123" s="10">
        <f t="shared" si="36"/>
        <v>0</v>
      </c>
      <c r="AB123" s="10">
        <f t="shared" si="37"/>
        <v>0.29917600024500002</v>
      </c>
      <c r="AC123" s="10">
        <f t="shared" si="37"/>
        <v>-6.8617067882421532</v>
      </c>
      <c r="AD123" s="10">
        <f t="shared" si="37"/>
        <v>11.068570336494654</v>
      </c>
      <c r="AH123" s="10">
        <f t="shared" si="38"/>
        <v>1</v>
      </c>
      <c r="AI123" s="10">
        <f t="shared" si="39"/>
        <v>0</v>
      </c>
      <c r="AJ123" s="10">
        <f t="shared" si="40"/>
        <v>0</v>
      </c>
    </row>
    <row r="124" spans="6:36" x14ac:dyDescent="0.25">
      <c r="F124" s="10">
        <v>6</v>
      </c>
      <c r="G124" s="10">
        <v>2</v>
      </c>
      <c r="H124" s="10">
        <v>1</v>
      </c>
      <c r="I124" s="10">
        <f t="shared" si="41"/>
        <v>4.2336649521823988</v>
      </c>
      <c r="J124" s="10">
        <f t="shared" si="30"/>
        <v>14.99938962981048</v>
      </c>
      <c r="K124" s="10">
        <f t="shared" si="31"/>
        <v>1</v>
      </c>
      <c r="S124" s="10">
        <f t="shared" si="32"/>
        <v>137.27080758075795</v>
      </c>
      <c r="T124" s="10">
        <f t="shared" si="33"/>
        <v>1</v>
      </c>
      <c r="U124" s="10">
        <f t="shared" si="34"/>
        <v>0</v>
      </c>
      <c r="V124" s="10">
        <f t="shared" si="35"/>
        <v>0</v>
      </c>
      <c r="Y124" s="10">
        <f t="shared" si="36"/>
        <v>0</v>
      </c>
      <c r="Z124" s="10">
        <f t="shared" si="36"/>
        <v>0</v>
      </c>
      <c r="AA124" s="10">
        <f t="shared" si="36"/>
        <v>0</v>
      </c>
      <c r="AB124" s="10">
        <f t="shared" si="37"/>
        <v>0.29917600024500002</v>
      </c>
      <c r="AC124" s="10">
        <f t="shared" si="37"/>
        <v>-6.8617067882421532</v>
      </c>
      <c r="AD124" s="10">
        <f t="shared" si="37"/>
        <v>11.068570336494654</v>
      </c>
      <c r="AH124" s="10">
        <f t="shared" si="38"/>
        <v>1</v>
      </c>
      <c r="AI124" s="10">
        <f t="shared" si="39"/>
        <v>0</v>
      </c>
      <c r="AJ124" s="10">
        <f t="shared" si="40"/>
        <v>0</v>
      </c>
    </row>
    <row r="125" spans="6:36" x14ac:dyDescent="0.25">
      <c r="F125" s="10">
        <v>6</v>
      </c>
      <c r="G125" s="10">
        <v>3</v>
      </c>
      <c r="H125" s="10">
        <v>1</v>
      </c>
      <c r="I125" s="10">
        <f t="shared" si="41"/>
        <v>4.0760342132531742</v>
      </c>
      <c r="J125" s="10">
        <f t="shared" si="30"/>
        <v>14.99938962981048</v>
      </c>
      <c r="K125" s="10">
        <f t="shared" si="31"/>
        <v>1</v>
      </c>
      <c r="S125" s="10">
        <f t="shared" si="32"/>
        <v>138.35242349210421</v>
      </c>
      <c r="T125" s="10">
        <f t="shared" si="33"/>
        <v>1</v>
      </c>
      <c r="U125" s="10">
        <f t="shared" si="34"/>
        <v>0</v>
      </c>
      <c r="V125" s="10">
        <f t="shared" si="35"/>
        <v>0</v>
      </c>
      <c r="Y125" s="10">
        <f t="shared" si="36"/>
        <v>0</v>
      </c>
      <c r="Z125" s="10">
        <f t="shared" si="36"/>
        <v>0</v>
      </c>
      <c r="AA125" s="10">
        <f t="shared" si="36"/>
        <v>0</v>
      </c>
      <c r="AB125" s="10">
        <f t="shared" si="37"/>
        <v>0.29917600024500002</v>
      </c>
      <c r="AC125" s="10">
        <f t="shared" si="37"/>
        <v>-6.8617067882421532</v>
      </c>
      <c r="AD125" s="10">
        <f t="shared" si="37"/>
        <v>11.068570336494654</v>
      </c>
      <c r="AH125" s="10">
        <f t="shared" si="38"/>
        <v>1</v>
      </c>
      <c r="AI125" s="10">
        <f t="shared" si="39"/>
        <v>0</v>
      </c>
      <c r="AJ125" s="10">
        <f t="shared" si="40"/>
        <v>0</v>
      </c>
    </row>
    <row r="126" spans="6:36" x14ac:dyDescent="0.25">
      <c r="F126" s="10">
        <v>6</v>
      </c>
      <c r="G126" s="10">
        <v>4</v>
      </c>
      <c r="H126" s="10">
        <v>1</v>
      </c>
      <c r="I126" s="10">
        <f t="shared" si="41"/>
        <v>6.9682999690312606</v>
      </c>
      <c r="J126" s="10">
        <f t="shared" si="30"/>
        <v>14.99938962981048</v>
      </c>
      <c r="K126" s="10">
        <f t="shared" si="31"/>
        <v>1</v>
      </c>
      <c r="S126" s="10">
        <f t="shared" si="32"/>
        <v>118.50654392228139</v>
      </c>
      <c r="T126" s="10">
        <f t="shared" si="33"/>
        <v>1</v>
      </c>
      <c r="U126" s="10">
        <f t="shared" si="34"/>
        <v>0</v>
      </c>
      <c r="V126" s="10">
        <f t="shared" si="35"/>
        <v>0</v>
      </c>
      <c r="Y126" s="10">
        <f t="shared" si="36"/>
        <v>0</v>
      </c>
      <c r="Z126" s="10">
        <f t="shared" si="36"/>
        <v>0</v>
      </c>
      <c r="AA126" s="10">
        <f t="shared" si="36"/>
        <v>0</v>
      </c>
      <c r="AB126" s="10">
        <f t="shared" si="37"/>
        <v>0.29917600024500002</v>
      </c>
      <c r="AC126" s="10">
        <f t="shared" si="37"/>
        <v>-6.8617067882421532</v>
      </c>
      <c r="AD126" s="10">
        <f t="shared" si="37"/>
        <v>11.068570336494654</v>
      </c>
      <c r="AH126" s="10">
        <f t="shared" si="38"/>
        <v>1</v>
      </c>
      <c r="AI126" s="10">
        <f t="shared" si="39"/>
        <v>0</v>
      </c>
      <c r="AJ126" s="10">
        <f t="shared" si="40"/>
        <v>0</v>
      </c>
    </row>
    <row r="127" spans="6:36" x14ac:dyDescent="0.25">
      <c r="F127" s="10">
        <v>6</v>
      </c>
      <c r="G127" s="10">
        <v>5</v>
      </c>
      <c r="H127" s="10">
        <v>1</v>
      </c>
      <c r="I127" s="10">
        <f t="shared" si="41"/>
        <v>8.3649028089644606</v>
      </c>
      <c r="J127" s="10">
        <f t="shared" si="30"/>
        <v>14.99938962981048</v>
      </c>
      <c r="K127" s="10">
        <f t="shared" si="31"/>
        <v>1</v>
      </c>
      <c r="S127" s="10">
        <f t="shared" si="32"/>
        <v>108.92346473503349</v>
      </c>
      <c r="T127" s="10">
        <f t="shared" si="33"/>
        <v>1</v>
      </c>
      <c r="U127" s="10">
        <f t="shared" si="34"/>
        <v>0</v>
      </c>
      <c r="V127" s="10">
        <f t="shared" si="35"/>
        <v>0</v>
      </c>
      <c r="Y127" s="10">
        <f t="shared" si="36"/>
        <v>0</v>
      </c>
      <c r="Z127" s="10">
        <f t="shared" si="36"/>
        <v>0</v>
      </c>
      <c r="AA127" s="10">
        <f t="shared" si="36"/>
        <v>0</v>
      </c>
      <c r="AB127" s="10">
        <f t="shared" si="37"/>
        <v>0.29917600024500002</v>
      </c>
      <c r="AC127" s="10">
        <f t="shared" si="37"/>
        <v>-6.8617067882421532</v>
      </c>
      <c r="AD127" s="10">
        <f t="shared" si="37"/>
        <v>11.068570336494654</v>
      </c>
      <c r="AH127" s="10">
        <f t="shared" si="38"/>
        <v>1</v>
      </c>
      <c r="AI127" s="10">
        <f t="shared" si="39"/>
        <v>0</v>
      </c>
      <c r="AJ127" s="10">
        <f t="shared" si="40"/>
        <v>0</v>
      </c>
    </row>
    <row r="128" spans="6:36" x14ac:dyDescent="0.25">
      <c r="F128" s="10">
        <v>6</v>
      </c>
      <c r="G128" s="10">
        <v>6</v>
      </c>
      <c r="H128" s="10">
        <v>1</v>
      </c>
      <c r="I128" s="10">
        <f t="shared" si="41"/>
        <v>9.3848699915294151</v>
      </c>
      <c r="J128" s="10">
        <f t="shared" si="30"/>
        <v>14.99938962981048</v>
      </c>
      <c r="K128" s="10">
        <f t="shared" si="31"/>
        <v>1</v>
      </c>
      <c r="S128" s="10">
        <f t="shared" si="32"/>
        <v>101.92474899464332</v>
      </c>
      <c r="T128" s="10">
        <f t="shared" si="33"/>
        <v>1</v>
      </c>
      <c r="U128" s="10">
        <f t="shared" si="34"/>
        <v>0</v>
      </c>
      <c r="V128" s="10">
        <f t="shared" si="35"/>
        <v>0</v>
      </c>
      <c r="Y128" s="10">
        <f t="shared" si="36"/>
        <v>0</v>
      </c>
      <c r="Z128" s="10">
        <f t="shared" si="36"/>
        <v>0</v>
      </c>
      <c r="AA128" s="10">
        <f t="shared" si="36"/>
        <v>0</v>
      </c>
      <c r="AB128" s="10">
        <f t="shared" si="37"/>
        <v>0.29917600024500002</v>
      </c>
      <c r="AC128" s="10">
        <f t="shared" si="37"/>
        <v>-6.8617067882421532</v>
      </c>
      <c r="AD128" s="10">
        <f t="shared" si="37"/>
        <v>11.068570336494654</v>
      </c>
      <c r="AH128" s="10">
        <f t="shared" si="38"/>
        <v>1</v>
      </c>
      <c r="AI128" s="10">
        <f t="shared" si="39"/>
        <v>0</v>
      </c>
      <c r="AJ128" s="10">
        <f t="shared" si="40"/>
        <v>0</v>
      </c>
    </row>
    <row r="129" spans="6:36" x14ac:dyDescent="0.25">
      <c r="F129" s="10">
        <v>6</v>
      </c>
      <c r="G129" s="10">
        <v>7</v>
      </c>
      <c r="H129" s="10">
        <v>1</v>
      </c>
      <c r="I129" s="10">
        <f t="shared" si="41"/>
        <v>9.2116945315592211</v>
      </c>
      <c r="J129" s="10">
        <f t="shared" si="30"/>
        <v>14.99938962981048</v>
      </c>
      <c r="K129" s="10">
        <f t="shared" si="31"/>
        <v>1</v>
      </c>
      <c r="S129" s="10">
        <f t="shared" si="32"/>
        <v>103.11302822387776</v>
      </c>
      <c r="T129" s="10">
        <f t="shared" si="33"/>
        <v>1</v>
      </c>
      <c r="U129" s="10">
        <f t="shared" si="34"/>
        <v>0</v>
      </c>
      <c r="V129" s="10">
        <f t="shared" si="35"/>
        <v>0</v>
      </c>
      <c r="Y129" s="10">
        <f t="shared" si="36"/>
        <v>0</v>
      </c>
      <c r="Z129" s="10">
        <f t="shared" si="36"/>
        <v>0</v>
      </c>
      <c r="AA129" s="10">
        <f t="shared" si="36"/>
        <v>0</v>
      </c>
      <c r="AB129" s="10">
        <f t="shared" si="37"/>
        <v>0.29917600024500002</v>
      </c>
      <c r="AC129" s="10">
        <f t="shared" si="37"/>
        <v>-6.8617067882421532</v>
      </c>
      <c r="AD129" s="10">
        <f t="shared" si="37"/>
        <v>11.068570336494654</v>
      </c>
      <c r="AH129" s="10">
        <f t="shared" si="38"/>
        <v>1</v>
      </c>
      <c r="AI129" s="10">
        <f t="shared" si="39"/>
        <v>0</v>
      </c>
      <c r="AJ129" s="10">
        <f t="shared" si="40"/>
        <v>0</v>
      </c>
    </row>
    <row r="130" spans="6:36" x14ac:dyDescent="0.25">
      <c r="F130" s="10">
        <v>6</v>
      </c>
      <c r="G130" s="10">
        <v>8</v>
      </c>
      <c r="H130" s="10">
        <v>1</v>
      </c>
      <c r="I130" s="10">
        <f t="shared" si="41"/>
        <v>10.461114754974387</v>
      </c>
      <c r="J130" s="10">
        <f t="shared" si="30"/>
        <v>14.99938962981048</v>
      </c>
      <c r="K130" s="10">
        <f t="shared" si="31"/>
        <v>1</v>
      </c>
      <c r="S130" s="10">
        <f t="shared" si="32"/>
        <v>94.53987299550289</v>
      </c>
      <c r="T130" s="10">
        <f t="shared" si="33"/>
        <v>1</v>
      </c>
      <c r="U130" s="10">
        <f t="shared" si="34"/>
        <v>0</v>
      </c>
      <c r="V130" s="10">
        <f t="shared" si="35"/>
        <v>0</v>
      </c>
      <c r="Y130" s="10">
        <f t="shared" si="36"/>
        <v>0</v>
      </c>
      <c r="Z130" s="10">
        <f t="shared" si="36"/>
        <v>0</v>
      </c>
      <c r="AA130" s="10">
        <f t="shared" si="36"/>
        <v>0</v>
      </c>
      <c r="AB130" s="10">
        <f t="shared" si="37"/>
        <v>0.29917600024500002</v>
      </c>
      <c r="AC130" s="10">
        <f t="shared" si="37"/>
        <v>-6.8617067882421532</v>
      </c>
      <c r="AD130" s="10">
        <f t="shared" si="37"/>
        <v>11.068570336494654</v>
      </c>
      <c r="AH130" s="10">
        <f t="shared" si="38"/>
        <v>1</v>
      </c>
      <c r="AI130" s="10">
        <f t="shared" si="39"/>
        <v>0</v>
      </c>
      <c r="AJ130" s="10">
        <f t="shared" si="40"/>
        <v>0</v>
      </c>
    </row>
    <row r="131" spans="6:36" x14ac:dyDescent="0.25">
      <c r="F131" s="10">
        <v>6</v>
      </c>
      <c r="G131" s="10">
        <v>9</v>
      </c>
      <c r="H131" s="10">
        <v>1</v>
      </c>
      <c r="I131" s="10">
        <f t="shared" si="41"/>
        <v>4.1553347214085523</v>
      </c>
      <c r="J131" s="10">
        <f t="shared" si="30"/>
        <v>14.99938962981048</v>
      </c>
      <c r="K131" s="10">
        <f t="shared" si="31"/>
        <v>1</v>
      </c>
      <c r="S131" s="10">
        <f t="shared" si="32"/>
        <v>137.8082866569834</v>
      </c>
      <c r="T131" s="10">
        <f t="shared" si="33"/>
        <v>1</v>
      </c>
      <c r="U131" s="10">
        <f t="shared" si="34"/>
        <v>0</v>
      </c>
      <c r="V131" s="10">
        <f t="shared" si="35"/>
        <v>0</v>
      </c>
      <c r="Y131" s="10">
        <f t="shared" si="36"/>
        <v>0</v>
      </c>
      <c r="Z131" s="10">
        <f t="shared" si="36"/>
        <v>0</v>
      </c>
      <c r="AA131" s="10">
        <f t="shared" si="36"/>
        <v>0</v>
      </c>
      <c r="AB131" s="10">
        <f t="shared" si="37"/>
        <v>0.29917600024500002</v>
      </c>
      <c r="AC131" s="10">
        <f t="shared" si="37"/>
        <v>-6.8617067882421532</v>
      </c>
      <c r="AD131" s="10">
        <f t="shared" si="37"/>
        <v>11.068570336494654</v>
      </c>
      <c r="AH131" s="10">
        <f t="shared" si="38"/>
        <v>1</v>
      </c>
      <c r="AI131" s="10">
        <f t="shared" si="39"/>
        <v>0</v>
      </c>
      <c r="AJ131" s="10">
        <f t="shared" si="40"/>
        <v>0</v>
      </c>
    </row>
    <row r="132" spans="6:36" x14ac:dyDescent="0.25">
      <c r="F132" s="10">
        <v>6</v>
      </c>
      <c r="G132" s="10">
        <v>10</v>
      </c>
      <c r="H132" s="10">
        <v>1</v>
      </c>
      <c r="I132" s="10">
        <f t="shared" si="41"/>
        <v>8.4627041466514576</v>
      </c>
      <c r="J132" s="10">
        <f t="shared" si="30"/>
        <v>14.99938962981048</v>
      </c>
      <c r="K132" s="10">
        <f t="shared" si="31"/>
        <v>1</v>
      </c>
      <c r="S132" s="10">
        <f t="shared" si="32"/>
        <v>108.25238063232746</v>
      </c>
      <c r="T132" s="10">
        <f t="shared" si="33"/>
        <v>1</v>
      </c>
      <c r="U132" s="10">
        <f t="shared" si="34"/>
        <v>0</v>
      </c>
      <c r="V132" s="10">
        <f t="shared" si="35"/>
        <v>0</v>
      </c>
      <c r="Y132" s="10">
        <f t="shared" si="36"/>
        <v>0</v>
      </c>
      <c r="Z132" s="10">
        <f t="shared" si="36"/>
        <v>0</v>
      </c>
      <c r="AA132" s="10">
        <f t="shared" si="36"/>
        <v>0</v>
      </c>
      <c r="AB132" s="10">
        <f t="shared" si="37"/>
        <v>0.29917600024500002</v>
      </c>
      <c r="AC132" s="10">
        <f t="shared" si="37"/>
        <v>-6.8617067882421532</v>
      </c>
      <c r="AD132" s="10">
        <f t="shared" si="37"/>
        <v>11.068570336494654</v>
      </c>
      <c r="AH132" s="10">
        <f t="shared" si="38"/>
        <v>1</v>
      </c>
      <c r="AI132" s="10">
        <f t="shared" si="39"/>
        <v>0</v>
      </c>
      <c r="AJ132" s="10">
        <f t="shared" si="40"/>
        <v>0</v>
      </c>
    </row>
    <row r="133" spans="6:36" x14ac:dyDescent="0.25">
      <c r="F133" s="10">
        <v>6</v>
      </c>
      <c r="G133" s="10">
        <v>11</v>
      </c>
      <c r="H133" s="10">
        <v>1</v>
      </c>
      <c r="I133" s="10">
        <f t="shared" si="41"/>
        <v>11.722530671423003</v>
      </c>
      <c r="J133" s="10">
        <f t="shared" si="30"/>
        <v>14.99938962981048</v>
      </c>
      <c r="K133" s="10">
        <f t="shared" si="31"/>
        <v>1</v>
      </c>
      <c r="S133" s="10">
        <f t="shared" si="32"/>
        <v>85.884406838810719</v>
      </c>
      <c r="T133" s="10">
        <f t="shared" si="33"/>
        <v>1</v>
      </c>
      <c r="U133" s="10">
        <f t="shared" si="34"/>
        <v>0</v>
      </c>
      <c r="V133" s="10">
        <f t="shared" si="35"/>
        <v>0</v>
      </c>
      <c r="Y133" s="10">
        <f t="shared" si="36"/>
        <v>0</v>
      </c>
      <c r="Z133" s="10">
        <f t="shared" si="36"/>
        <v>0</v>
      </c>
      <c r="AA133" s="10">
        <f t="shared" si="36"/>
        <v>0</v>
      </c>
      <c r="AB133" s="10">
        <f t="shared" si="37"/>
        <v>0.29917600024500002</v>
      </c>
      <c r="AC133" s="10">
        <f t="shared" si="37"/>
        <v>-6.8617067882421532</v>
      </c>
      <c r="AD133" s="10">
        <f t="shared" si="37"/>
        <v>11.068570336494654</v>
      </c>
      <c r="AH133" s="10">
        <f t="shared" si="38"/>
        <v>1</v>
      </c>
      <c r="AI133" s="10">
        <f t="shared" si="39"/>
        <v>0</v>
      </c>
      <c r="AJ133" s="10">
        <f t="shared" si="40"/>
        <v>0</v>
      </c>
    </row>
    <row r="134" spans="6:36" x14ac:dyDescent="0.25">
      <c r="F134" s="10">
        <v>6</v>
      </c>
      <c r="G134" s="10">
        <v>12</v>
      </c>
      <c r="H134" s="10">
        <v>1</v>
      </c>
      <c r="I134" s="10">
        <f t="shared" si="41"/>
        <v>9.6231558949622329</v>
      </c>
      <c r="J134" s="10">
        <f t="shared" si="30"/>
        <v>14.99938962981048</v>
      </c>
      <c r="K134" s="10">
        <f t="shared" si="31"/>
        <v>1</v>
      </c>
      <c r="S134" s="10">
        <f t="shared" si="32"/>
        <v>100.28970099351595</v>
      </c>
      <c r="T134" s="10">
        <f t="shared" si="33"/>
        <v>1</v>
      </c>
      <c r="U134" s="10">
        <f t="shared" si="34"/>
        <v>0</v>
      </c>
      <c r="V134" s="10">
        <f t="shared" si="35"/>
        <v>0</v>
      </c>
      <c r="Y134" s="10">
        <f t="shared" si="36"/>
        <v>0</v>
      </c>
      <c r="Z134" s="10">
        <f t="shared" si="36"/>
        <v>0</v>
      </c>
      <c r="AA134" s="10">
        <f t="shared" si="36"/>
        <v>0</v>
      </c>
      <c r="AB134" s="10">
        <f t="shared" si="37"/>
        <v>0.29917600024500002</v>
      </c>
      <c r="AC134" s="10">
        <f t="shared" si="37"/>
        <v>-6.8617067882421532</v>
      </c>
      <c r="AD134" s="10">
        <f t="shared" si="37"/>
        <v>11.068570336494654</v>
      </c>
      <c r="AH134" s="10">
        <f t="shared" si="38"/>
        <v>1</v>
      </c>
      <c r="AI134" s="10">
        <f t="shared" si="39"/>
        <v>0</v>
      </c>
      <c r="AJ134" s="10">
        <f t="shared" si="40"/>
        <v>0</v>
      </c>
    </row>
    <row r="135" spans="6:36" x14ac:dyDescent="0.25">
      <c r="F135" s="10">
        <v>6</v>
      </c>
      <c r="G135" s="10">
        <v>13</v>
      </c>
      <c r="H135" s="10">
        <v>1</v>
      </c>
      <c r="I135" s="10">
        <f t="shared" si="41"/>
        <v>8.0162683783311302</v>
      </c>
      <c r="J135" s="10">
        <f t="shared" si="30"/>
        <v>14.99938962981048</v>
      </c>
      <c r="K135" s="10">
        <f t="shared" si="31"/>
        <v>1</v>
      </c>
      <c r="S135" s="10">
        <f t="shared" si="32"/>
        <v>111.31569197432515</v>
      </c>
      <c r="T135" s="10">
        <f t="shared" si="33"/>
        <v>1</v>
      </c>
      <c r="U135" s="10">
        <f t="shared" si="34"/>
        <v>0</v>
      </c>
      <c r="V135" s="10">
        <f t="shared" si="35"/>
        <v>0</v>
      </c>
      <c r="Y135" s="10">
        <f t="shared" si="36"/>
        <v>0</v>
      </c>
      <c r="Z135" s="10">
        <f t="shared" si="36"/>
        <v>0</v>
      </c>
      <c r="AA135" s="10">
        <f t="shared" si="36"/>
        <v>0</v>
      </c>
      <c r="AB135" s="10">
        <f t="shared" si="37"/>
        <v>0.29917600024500002</v>
      </c>
      <c r="AC135" s="10">
        <f t="shared" si="37"/>
        <v>-6.8617067882421532</v>
      </c>
      <c r="AD135" s="10">
        <f t="shared" si="37"/>
        <v>11.068570336494654</v>
      </c>
      <c r="AH135" s="10">
        <f t="shared" si="38"/>
        <v>1</v>
      </c>
      <c r="AI135" s="10">
        <f t="shared" si="39"/>
        <v>0</v>
      </c>
      <c r="AJ135" s="10">
        <f t="shared" si="40"/>
        <v>0</v>
      </c>
    </row>
    <row r="136" spans="6:36" x14ac:dyDescent="0.25">
      <c r="F136" s="10">
        <v>6</v>
      </c>
      <c r="G136" s="10">
        <v>14</v>
      </c>
      <c r="H136" s="10">
        <v>1</v>
      </c>
      <c r="I136" s="10">
        <f t="shared" si="41"/>
        <v>11.270939377934512</v>
      </c>
      <c r="J136" s="10">
        <f t="shared" si="30"/>
        <v>14.99938962981048</v>
      </c>
      <c r="K136" s="10">
        <f t="shared" si="31"/>
        <v>1</v>
      </c>
      <c r="S136" s="10">
        <f t="shared" si="32"/>
        <v>88.983093882851762</v>
      </c>
      <c r="T136" s="10">
        <f t="shared" si="33"/>
        <v>1</v>
      </c>
      <c r="U136" s="10">
        <f t="shared" si="34"/>
        <v>0</v>
      </c>
      <c r="V136" s="10">
        <f t="shared" si="35"/>
        <v>0</v>
      </c>
      <c r="Y136" s="10">
        <f t="shared" si="36"/>
        <v>0</v>
      </c>
      <c r="Z136" s="10">
        <f t="shared" si="36"/>
        <v>0</v>
      </c>
      <c r="AA136" s="10">
        <f t="shared" si="36"/>
        <v>0</v>
      </c>
      <c r="AB136" s="10">
        <f t="shared" si="37"/>
        <v>0.29917600024500002</v>
      </c>
      <c r="AC136" s="10">
        <f t="shared" si="37"/>
        <v>-6.8617067882421532</v>
      </c>
      <c r="AD136" s="10">
        <f t="shared" si="37"/>
        <v>11.068570336494654</v>
      </c>
      <c r="AH136" s="10">
        <f t="shared" si="38"/>
        <v>1</v>
      </c>
      <c r="AI136" s="10">
        <f t="shared" si="39"/>
        <v>0</v>
      </c>
      <c r="AJ136" s="10">
        <f t="shared" si="40"/>
        <v>0</v>
      </c>
    </row>
    <row r="137" spans="6:36" x14ac:dyDescent="0.25">
      <c r="F137" s="10">
        <v>6</v>
      </c>
      <c r="G137" s="10">
        <v>15</v>
      </c>
      <c r="H137" s="10">
        <v>1</v>
      </c>
      <c r="I137" s="10">
        <f t="shared" si="41"/>
        <v>7.0021023351067502</v>
      </c>
      <c r="J137" s="10">
        <f t="shared" si="30"/>
        <v>14.99938962981048</v>
      </c>
      <c r="K137" s="10">
        <f t="shared" si="31"/>
        <v>1</v>
      </c>
      <c r="S137" s="10">
        <f t="shared" si="32"/>
        <v>118.27460199752257</v>
      </c>
      <c r="T137" s="10">
        <f t="shared" si="33"/>
        <v>1</v>
      </c>
      <c r="U137" s="10">
        <f t="shared" si="34"/>
        <v>0</v>
      </c>
      <c r="V137" s="10">
        <f t="shared" si="35"/>
        <v>0</v>
      </c>
      <c r="Y137" s="10">
        <f t="shared" si="36"/>
        <v>0</v>
      </c>
      <c r="Z137" s="10">
        <f t="shared" si="36"/>
        <v>0</v>
      </c>
      <c r="AA137" s="10">
        <f t="shared" si="36"/>
        <v>0</v>
      </c>
      <c r="AB137" s="10">
        <f t="shared" si="37"/>
        <v>0.29917600024500002</v>
      </c>
      <c r="AC137" s="10">
        <f t="shared" si="37"/>
        <v>-6.8617067882421532</v>
      </c>
      <c r="AD137" s="10">
        <f t="shared" si="37"/>
        <v>11.068570336494654</v>
      </c>
      <c r="AH137" s="10">
        <f t="shared" si="38"/>
        <v>1</v>
      </c>
      <c r="AI137" s="10">
        <f t="shared" si="39"/>
        <v>0</v>
      </c>
      <c r="AJ137" s="10">
        <f t="shared" si="40"/>
        <v>0</v>
      </c>
    </row>
    <row r="138" spans="6:36" x14ac:dyDescent="0.25">
      <c r="F138" s="10">
        <v>6</v>
      </c>
      <c r="G138" s="10">
        <v>16</v>
      </c>
      <c r="H138" s="10">
        <v>1</v>
      </c>
      <c r="I138" s="10">
        <f t="shared" si="41"/>
        <v>9.3873260438242312</v>
      </c>
      <c r="J138" s="10">
        <f t="shared" si="30"/>
        <v>14.99938962981048</v>
      </c>
      <c r="K138" s="10">
        <f t="shared" si="31"/>
        <v>1</v>
      </c>
      <c r="S138" s="10">
        <f t="shared" si="32"/>
        <v>101.90789628393971</v>
      </c>
      <c r="T138" s="10">
        <f t="shared" si="33"/>
        <v>1</v>
      </c>
      <c r="U138" s="10">
        <f t="shared" si="34"/>
        <v>0</v>
      </c>
      <c r="V138" s="10">
        <f t="shared" si="35"/>
        <v>0</v>
      </c>
      <c r="Y138" s="10">
        <f t="shared" si="36"/>
        <v>0</v>
      </c>
      <c r="Z138" s="10">
        <f t="shared" si="36"/>
        <v>0</v>
      </c>
      <c r="AA138" s="10">
        <f t="shared" si="36"/>
        <v>0</v>
      </c>
      <c r="AB138" s="10">
        <f t="shared" si="37"/>
        <v>0.29917600024500002</v>
      </c>
      <c r="AC138" s="10">
        <f t="shared" si="37"/>
        <v>-6.8617067882421532</v>
      </c>
      <c r="AD138" s="10">
        <f t="shared" si="37"/>
        <v>11.068570336494654</v>
      </c>
      <c r="AH138" s="10">
        <f t="shared" si="38"/>
        <v>1</v>
      </c>
      <c r="AI138" s="10">
        <f t="shared" si="39"/>
        <v>0</v>
      </c>
      <c r="AJ138" s="10">
        <f t="shared" si="40"/>
        <v>0</v>
      </c>
    </row>
    <row r="139" spans="6:36" x14ac:dyDescent="0.25">
      <c r="F139" s="10">
        <v>6</v>
      </c>
      <c r="G139" s="10">
        <v>17</v>
      </c>
      <c r="H139" s="10">
        <v>1</v>
      </c>
      <c r="I139" s="10">
        <f t="shared" si="41"/>
        <v>8.350479766806572</v>
      </c>
      <c r="J139" s="10">
        <f t="shared" si="30"/>
        <v>14.99938962981048</v>
      </c>
      <c r="K139" s="10">
        <f t="shared" si="31"/>
        <v>1</v>
      </c>
      <c r="S139" s="10">
        <f t="shared" si="32"/>
        <v>109.02243142131539</v>
      </c>
      <c r="T139" s="10">
        <f t="shared" si="33"/>
        <v>1</v>
      </c>
      <c r="U139" s="10">
        <f t="shared" si="34"/>
        <v>0</v>
      </c>
      <c r="V139" s="10">
        <f t="shared" si="35"/>
        <v>0</v>
      </c>
      <c r="Y139" s="10">
        <f t="shared" si="36"/>
        <v>0</v>
      </c>
      <c r="Z139" s="10">
        <f t="shared" si="36"/>
        <v>0</v>
      </c>
      <c r="AA139" s="10">
        <f t="shared" si="36"/>
        <v>0</v>
      </c>
      <c r="AB139" s="10">
        <f t="shared" si="37"/>
        <v>0.29917600024500002</v>
      </c>
      <c r="AC139" s="10">
        <f t="shared" si="37"/>
        <v>-6.8617067882421532</v>
      </c>
      <c r="AD139" s="10">
        <f t="shared" si="37"/>
        <v>11.068570336494654</v>
      </c>
      <c r="AH139" s="10">
        <f t="shared" si="38"/>
        <v>1</v>
      </c>
      <c r="AI139" s="10">
        <f t="shared" si="39"/>
        <v>0</v>
      </c>
      <c r="AJ139" s="10">
        <f t="shared" si="40"/>
        <v>0</v>
      </c>
    </row>
    <row r="140" spans="6:36" x14ac:dyDescent="0.25">
      <c r="F140" s="10">
        <v>6</v>
      </c>
      <c r="G140" s="10">
        <v>18</v>
      </c>
      <c r="H140" s="10">
        <v>1</v>
      </c>
      <c r="I140" s="10">
        <f t="shared" si="41"/>
        <v>8.8378960488846694</v>
      </c>
      <c r="J140" s="10">
        <f t="shared" si="30"/>
        <v>14.99938962981048</v>
      </c>
      <c r="K140" s="10">
        <f t="shared" si="31"/>
        <v>1</v>
      </c>
      <c r="S140" s="10">
        <f t="shared" si="32"/>
        <v>105.67792380988035</v>
      </c>
      <c r="T140" s="10">
        <f t="shared" si="33"/>
        <v>1</v>
      </c>
      <c r="U140" s="10">
        <f t="shared" si="34"/>
        <v>0</v>
      </c>
      <c r="V140" s="10">
        <f t="shared" si="35"/>
        <v>0</v>
      </c>
      <c r="Y140" s="10">
        <f t="shared" si="36"/>
        <v>0</v>
      </c>
      <c r="Z140" s="10">
        <f t="shared" si="36"/>
        <v>0</v>
      </c>
      <c r="AA140" s="10">
        <f t="shared" si="36"/>
        <v>0</v>
      </c>
      <c r="AB140" s="10">
        <f t="shared" si="37"/>
        <v>0.29917600024500002</v>
      </c>
      <c r="AC140" s="10">
        <f t="shared" si="37"/>
        <v>-6.8617067882421532</v>
      </c>
      <c r="AD140" s="10">
        <f t="shared" si="37"/>
        <v>11.068570336494654</v>
      </c>
      <c r="AH140" s="10">
        <f t="shared" si="38"/>
        <v>1</v>
      </c>
      <c r="AI140" s="10">
        <f t="shared" si="39"/>
        <v>0</v>
      </c>
      <c r="AJ140" s="10">
        <f t="shared" si="40"/>
        <v>0</v>
      </c>
    </row>
    <row r="141" spans="6:36" x14ac:dyDescent="0.25">
      <c r="F141" s="10">
        <v>6</v>
      </c>
      <c r="G141" s="10">
        <v>19</v>
      </c>
      <c r="H141" s="10">
        <v>1</v>
      </c>
      <c r="I141" s="10">
        <f t="shared" si="41"/>
        <v>5.9362821331723659</v>
      </c>
      <c r="J141" s="10">
        <f t="shared" si="30"/>
        <v>14.99938962981048</v>
      </c>
      <c r="K141" s="10">
        <f t="shared" si="31"/>
        <v>1</v>
      </c>
      <c r="S141" s="10">
        <f t="shared" si="32"/>
        <v>125.58794771218136</v>
      </c>
      <c r="T141" s="10">
        <f t="shared" si="33"/>
        <v>1</v>
      </c>
      <c r="U141" s="10">
        <f t="shared" si="34"/>
        <v>0</v>
      </c>
      <c r="V141" s="10">
        <f t="shared" si="35"/>
        <v>0</v>
      </c>
      <c r="Y141" s="10">
        <f t="shared" si="36"/>
        <v>0</v>
      </c>
      <c r="Z141" s="10">
        <f t="shared" si="36"/>
        <v>0</v>
      </c>
      <c r="AA141" s="10">
        <f t="shared" si="36"/>
        <v>0</v>
      </c>
      <c r="AB141" s="10">
        <f t="shared" si="37"/>
        <v>0.29917600024500002</v>
      </c>
      <c r="AC141" s="10">
        <f t="shared" si="37"/>
        <v>-6.8617067882421532</v>
      </c>
      <c r="AD141" s="10">
        <f t="shared" si="37"/>
        <v>11.068570336494654</v>
      </c>
      <c r="AH141" s="10">
        <f t="shared" si="38"/>
        <v>1</v>
      </c>
      <c r="AI141" s="10">
        <f t="shared" si="39"/>
        <v>0</v>
      </c>
      <c r="AJ141" s="10">
        <f t="shared" si="40"/>
        <v>0</v>
      </c>
    </row>
    <row r="142" spans="6:36" x14ac:dyDescent="0.25">
      <c r="F142" s="10">
        <v>6</v>
      </c>
      <c r="G142" s="10">
        <v>20</v>
      </c>
      <c r="H142" s="10">
        <v>1</v>
      </c>
      <c r="I142" s="10">
        <f t="shared" si="41"/>
        <v>6.5710893880029841</v>
      </c>
      <c r="J142" s="10">
        <f t="shared" si="30"/>
        <v>14.99938962981048</v>
      </c>
      <c r="K142" s="10">
        <f t="shared" si="31"/>
        <v>1</v>
      </c>
      <c r="S142" s="10">
        <f t="shared" si="32"/>
        <v>121.23208646248474</v>
      </c>
      <c r="T142" s="10">
        <f t="shared" si="33"/>
        <v>1</v>
      </c>
      <c r="U142" s="10">
        <f t="shared" si="34"/>
        <v>0</v>
      </c>
      <c r="V142" s="10">
        <f t="shared" si="35"/>
        <v>0</v>
      </c>
      <c r="X142" s="10">
        <f>SUM(V123:V142)</f>
        <v>0</v>
      </c>
      <c r="Y142" s="10">
        <f t="shared" si="36"/>
        <v>0</v>
      </c>
      <c r="Z142" s="10">
        <f t="shared" si="36"/>
        <v>0</v>
      </c>
      <c r="AA142" s="10">
        <f t="shared" si="36"/>
        <v>0</v>
      </c>
      <c r="AB142" s="10">
        <f t="shared" si="37"/>
        <v>0.29917600024500002</v>
      </c>
      <c r="AC142" s="10">
        <f t="shared" si="37"/>
        <v>-6.8617067882421532</v>
      </c>
      <c r="AD142" s="10">
        <f t="shared" si="37"/>
        <v>11.068570336494654</v>
      </c>
      <c r="AH142" s="10">
        <f t="shared" si="38"/>
        <v>1</v>
      </c>
      <c r="AI142" s="10">
        <f t="shared" si="39"/>
        <v>0</v>
      </c>
      <c r="AJ142" s="10">
        <f t="shared" si="40"/>
        <v>0</v>
      </c>
    </row>
    <row r="143" spans="6:36" x14ac:dyDescent="0.25">
      <c r="F143" s="10">
        <v>7</v>
      </c>
      <c r="G143" s="10">
        <v>1</v>
      </c>
      <c r="H143" s="10">
        <v>1</v>
      </c>
      <c r="I143" s="10">
        <f t="shared" si="41"/>
        <v>4.3149584625268673</v>
      </c>
      <c r="J143" s="10">
        <f t="shared" si="30"/>
        <v>14.99938962981048</v>
      </c>
      <c r="K143" s="10">
        <f t="shared" si="31"/>
        <v>1</v>
      </c>
      <c r="S143" s="12">
        <f t="shared" si="32"/>
        <v>136.71299534898725</v>
      </c>
      <c r="T143" s="12">
        <f t="shared" si="33"/>
        <v>1</v>
      </c>
      <c r="U143" s="12">
        <f t="shared" si="34"/>
        <v>0</v>
      </c>
      <c r="V143" s="12">
        <f t="shared" si="35"/>
        <v>0</v>
      </c>
      <c r="W143" s="12"/>
      <c r="X143" s="12"/>
      <c r="Y143" s="10">
        <f t="shared" si="36"/>
        <v>0</v>
      </c>
      <c r="Z143" s="10">
        <f t="shared" si="36"/>
        <v>0</v>
      </c>
      <c r="AA143" s="10">
        <f t="shared" si="36"/>
        <v>0</v>
      </c>
      <c r="AB143" s="10">
        <f t="shared" si="37"/>
        <v>0.29917600024500002</v>
      </c>
      <c r="AC143" s="10">
        <f t="shared" si="37"/>
        <v>-6.8617067882421532</v>
      </c>
      <c r="AD143" s="10">
        <f t="shared" si="37"/>
        <v>11.068570336494654</v>
      </c>
      <c r="AH143" s="10">
        <f t="shared" si="38"/>
        <v>1</v>
      </c>
      <c r="AI143" s="10">
        <f t="shared" si="39"/>
        <v>0</v>
      </c>
      <c r="AJ143" s="10">
        <f t="shared" si="40"/>
        <v>0</v>
      </c>
    </row>
    <row r="144" spans="6:36" x14ac:dyDescent="0.25">
      <c r="F144" s="10">
        <v>7</v>
      </c>
      <c r="G144" s="10">
        <v>2</v>
      </c>
      <c r="H144" s="10">
        <v>1</v>
      </c>
      <c r="I144" s="10">
        <f t="shared" si="41"/>
        <v>4.2336649521823988</v>
      </c>
      <c r="J144" s="10">
        <f t="shared" si="30"/>
        <v>14.99938962981048</v>
      </c>
      <c r="K144" s="10">
        <f t="shared" si="31"/>
        <v>1</v>
      </c>
      <c r="S144" s="10">
        <f t="shared" si="32"/>
        <v>137.27080758075795</v>
      </c>
      <c r="T144" s="10">
        <f t="shared" si="33"/>
        <v>1</v>
      </c>
      <c r="U144" s="10">
        <f t="shared" si="34"/>
        <v>0</v>
      </c>
      <c r="V144" s="10">
        <f t="shared" si="35"/>
        <v>0</v>
      </c>
      <c r="Y144" s="10">
        <f t="shared" si="36"/>
        <v>0</v>
      </c>
      <c r="Z144" s="10">
        <f t="shared" si="36"/>
        <v>0</v>
      </c>
      <c r="AA144" s="10">
        <f t="shared" si="36"/>
        <v>0</v>
      </c>
      <c r="AB144" s="10">
        <f t="shared" si="37"/>
        <v>0.29917600024500002</v>
      </c>
      <c r="AC144" s="10">
        <f t="shared" si="37"/>
        <v>-6.8617067882421532</v>
      </c>
      <c r="AD144" s="10">
        <f t="shared" si="37"/>
        <v>11.068570336494654</v>
      </c>
      <c r="AH144" s="10">
        <f t="shared" si="38"/>
        <v>1</v>
      </c>
      <c r="AI144" s="10">
        <f t="shared" si="39"/>
        <v>0</v>
      </c>
      <c r="AJ144" s="10">
        <f t="shared" si="40"/>
        <v>0</v>
      </c>
    </row>
    <row r="145" spans="6:36" x14ac:dyDescent="0.25">
      <c r="F145" s="10">
        <v>7</v>
      </c>
      <c r="G145" s="10">
        <v>3</v>
      </c>
      <c r="H145" s="10">
        <v>1</v>
      </c>
      <c r="I145" s="10">
        <f t="shared" si="41"/>
        <v>4.0760342132531742</v>
      </c>
      <c r="J145" s="10">
        <f t="shared" si="30"/>
        <v>14.99938962981048</v>
      </c>
      <c r="K145" s="10">
        <f t="shared" si="31"/>
        <v>1</v>
      </c>
      <c r="S145" s="10">
        <f t="shared" si="32"/>
        <v>138.35242349210421</v>
      </c>
      <c r="T145" s="10">
        <f t="shared" si="33"/>
        <v>1</v>
      </c>
      <c r="U145" s="10">
        <f t="shared" si="34"/>
        <v>0</v>
      </c>
      <c r="V145" s="10">
        <f t="shared" si="35"/>
        <v>0</v>
      </c>
      <c r="Y145" s="10">
        <f t="shared" si="36"/>
        <v>0</v>
      </c>
      <c r="Z145" s="10">
        <f t="shared" si="36"/>
        <v>0</v>
      </c>
      <c r="AA145" s="10">
        <f t="shared" si="36"/>
        <v>0</v>
      </c>
      <c r="AB145" s="10">
        <f t="shared" si="37"/>
        <v>0.29917600024500002</v>
      </c>
      <c r="AC145" s="10">
        <f t="shared" si="37"/>
        <v>-6.8617067882421532</v>
      </c>
      <c r="AD145" s="10">
        <f t="shared" si="37"/>
        <v>11.068570336494654</v>
      </c>
      <c r="AH145" s="10">
        <f t="shared" si="38"/>
        <v>1</v>
      </c>
      <c r="AI145" s="10">
        <f t="shared" si="39"/>
        <v>0</v>
      </c>
      <c r="AJ145" s="10">
        <f t="shared" si="40"/>
        <v>0</v>
      </c>
    </row>
    <row r="146" spans="6:36" x14ac:dyDescent="0.25">
      <c r="F146" s="10">
        <v>7</v>
      </c>
      <c r="G146" s="10">
        <v>4</v>
      </c>
      <c r="H146" s="10">
        <v>1</v>
      </c>
      <c r="I146" s="10">
        <f t="shared" si="41"/>
        <v>6.9682999690312606</v>
      </c>
      <c r="J146" s="10">
        <f t="shared" si="30"/>
        <v>14.99938962981048</v>
      </c>
      <c r="K146" s="10">
        <f t="shared" si="31"/>
        <v>1</v>
      </c>
      <c r="S146" s="10">
        <f t="shared" si="32"/>
        <v>118.50654392228139</v>
      </c>
      <c r="T146" s="10">
        <f t="shared" si="33"/>
        <v>1</v>
      </c>
      <c r="U146" s="10">
        <f t="shared" si="34"/>
        <v>0</v>
      </c>
      <c r="V146" s="10">
        <f t="shared" si="35"/>
        <v>0</v>
      </c>
      <c r="Y146" s="10">
        <f t="shared" si="36"/>
        <v>0</v>
      </c>
      <c r="Z146" s="10">
        <f t="shared" si="36"/>
        <v>0</v>
      </c>
      <c r="AA146" s="10">
        <f t="shared" si="36"/>
        <v>0</v>
      </c>
      <c r="AB146" s="10">
        <f t="shared" si="37"/>
        <v>0.29917600024500002</v>
      </c>
      <c r="AC146" s="10">
        <f t="shared" si="37"/>
        <v>-6.8617067882421532</v>
      </c>
      <c r="AD146" s="10">
        <f t="shared" si="37"/>
        <v>11.068570336494654</v>
      </c>
      <c r="AH146" s="10">
        <f t="shared" si="38"/>
        <v>1</v>
      </c>
      <c r="AI146" s="10">
        <f t="shared" si="39"/>
        <v>0</v>
      </c>
      <c r="AJ146" s="10">
        <f t="shared" si="40"/>
        <v>0</v>
      </c>
    </row>
    <row r="147" spans="6:36" x14ac:dyDescent="0.25">
      <c r="F147" s="10">
        <v>7</v>
      </c>
      <c r="G147" s="10">
        <v>5</v>
      </c>
      <c r="H147" s="10">
        <v>1</v>
      </c>
      <c r="I147" s="10">
        <f t="shared" si="41"/>
        <v>8.3649028089644606</v>
      </c>
      <c r="J147" s="10">
        <f t="shared" si="30"/>
        <v>14.99938962981048</v>
      </c>
      <c r="K147" s="10">
        <f t="shared" si="31"/>
        <v>1</v>
      </c>
      <c r="S147" s="10">
        <f t="shared" si="32"/>
        <v>108.92346473503349</v>
      </c>
      <c r="T147" s="10">
        <f t="shared" si="33"/>
        <v>1</v>
      </c>
      <c r="U147" s="10">
        <f t="shared" si="34"/>
        <v>0</v>
      </c>
      <c r="V147" s="10">
        <f t="shared" si="35"/>
        <v>0</v>
      </c>
      <c r="Y147" s="10">
        <f t="shared" si="36"/>
        <v>0</v>
      </c>
      <c r="Z147" s="10">
        <f t="shared" si="36"/>
        <v>0</v>
      </c>
      <c r="AA147" s="10">
        <f t="shared" si="36"/>
        <v>0</v>
      </c>
      <c r="AB147" s="10">
        <f t="shared" si="37"/>
        <v>0.29917600024500002</v>
      </c>
      <c r="AC147" s="10">
        <f t="shared" si="37"/>
        <v>-6.8617067882421532</v>
      </c>
      <c r="AD147" s="10">
        <f t="shared" si="37"/>
        <v>11.068570336494654</v>
      </c>
      <c r="AH147" s="10">
        <f t="shared" si="38"/>
        <v>1</v>
      </c>
      <c r="AI147" s="10">
        <f t="shared" si="39"/>
        <v>0</v>
      </c>
      <c r="AJ147" s="10">
        <f t="shared" si="40"/>
        <v>0</v>
      </c>
    </row>
    <row r="148" spans="6:36" x14ac:dyDescent="0.25">
      <c r="F148" s="10">
        <v>7</v>
      </c>
      <c r="G148" s="10">
        <v>6</v>
      </c>
      <c r="H148" s="10">
        <v>1</v>
      </c>
      <c r="I148" s="10">
        <f t="shared" si="41"/>
        <v>9.3848699915294151</v>
      </c>
      <c r="J148" s="10">
        <f t="shared" si="30"/>
        <v>14.99938962981048</v>
      </c>
      <c r="K148" s="10">
        <f t="shared" si="31"/>
        <v>1</v>
      </c>
      <c r="S148" s="10">
        <f t="shared" si="32"/>
        <v>101.92474899464332</v>
      </c>
      <c r="T148" s="10">
        <f t="shared" si="33"/>
        <v>1</v>
      </c>
      <c r="U148" s="10">
        <f t="shared" si="34"/>
        <v>0</v>
      </c>
      <c r="V148" s="10">
        <f t="shared" si="35"/>
        <v>0</v>
      </c>
      <c r="Y148" s="10">
        <f t="shared" si="36"/>
        <v>0</v>
      </c>
      <c r="Z148" s="10">
        <f t="shared" si="36"/>
        <v>0</v>
      </c>
      <c r="AA148" s="10">
        <f t="shared" si="36"/>
        <v>0</v>
      </c>
      <c r="AB148" s="10">
        <f t="shared" si="37"/>
        <v>0.29917600024500002</v>
      </c>
      <c r="AC148" s="10">
        <f t="shared" si="37"/>
        <v>-6.8617067882421532</v>
      </c>
      <c r="AD148" s="10">
        <f t="shared" si="37"/>
        <v>11.068570336494654</v>
      </c>
      <c r="AH148" s="10">
        <f t="shared" si="38"/>
        <v>1</v>
      </c>
      <c r="AI148" s="10">
        <f t="shared" si="39"/>
        <v>0</v>
      </c>
      <c r="AJ148" s="10">
        <f t="shared" si="40"/>
        <v>0</v>
      </c>
    </row>
    <row r="149" spans="6:36" x14ac:dyDescent="0.25">
      <c r="F149" s="10">
        <v>7</v>
      </c>
      <c r="G149" s="10">
        <v>7</v>
      </c>
      <c r="H149" s="10">
        <v>1</v>
      </c>
      <c r="I149" s="10">
        <f t="shared" si="41"/>
        <v>9.2116945315592211</v>
      </c>
      <c r="J149" s="10">
        <f t="shared" si="30"/>
        <v>14.99938962981048</v>
      </c>
      <c r="K149" s="10">
        <f t="shared" si="31"/>
        <v>1</v>
      </c>
      <c r="S149" s="10">
        <f t="shared" si="32"/>
        <v>103.11302822387776</v>
      </c>
      <c r="T149" s="10">
        <f t="shared" si="33"/>
        <v>1</v>
      </c>
      <c r="U149" s="10">
        <f t="shared" si="34"/>
        <v>0</v>
      </c>
      <c r="V149" s="10">
        <f t="shared" si="35"/>
        <v>0</v>
      </c>
      <c r="Y149" s="10">
        <f t="shared" si="36"/>
        <v>0</v>
      </c>
      <c r="Z149" s="10">
        <f t="shared" si="36"/>
        <v>0</v>
      </c>
      <c r="AA149" s="10">
        <f t="shared" si="36"/>
        <v>0</v>
      </c>
      <c r="AB149" s="10">
        <f t="shared" si="37"/>
        <v>0.29917600024500002</v>
      </c>
      <c r="AC149" s="10">
        <f t="shared" si="37"/>
        <v>-6.8617067882421532</v>
      </c>
      <c r="AD149" s="10">
        <f t="shared" si="37"/>
        <v>11.068570336494654</v>
      </c>
      <c r="AH149" s="10">
        <f t="shared" si="38"/>
        <v>1</v>
      </c>
      <c r="AI149" s="10">
        <f t="shared" si="39"/>
        <v>0</v>
      </c>
      <c r="AJ149" s="10">
        <f t="shared" si="40"/>
        <v>0</v>
      </c>
    </row>
    <row r="150" spans="6:36" x14ac:dyDescent="0.25">
      <c r="F150" s="10">
        <v>7</v>
      </c>
      <c r="G150" s="10">
        <v>8</v>
      </c>
      <c r="H150" s="10">
        <v>1</v>
      </c>
      <c r="I150" s="10">
        <f t="shared" si="41"/>
        <v>10.461114754974387</v>
      </c>
      <c r="J150" s="10">
        <f t="shared" si="30"/>
        <v>14.99938962981048</v>
      </c>
      <c r="K150" s="10">
        <f t="shared" si="31"/>
        <v>1</v>
      </c>
      <c r="S150" s="10">
        <f t="shared" si="32"/>
        <v>94.53987299550289</v>
      </c>
      <c r="T150" s="10">
        <f t="shared" si="33"/>
        <v>1</v>
      </c>
      <c r="U150" s="10">
        <f t="shared" si="34"/>
        <v>0</v>
      </c>
      <c r="V150" s="10">
        <f t="shared" si="35"/>
        <v>0</v>
      </c>
      <c r="Y150" s="10">
        <f t="shared" si="36"/>
        <v>0</v>
      </c>
      <c r="Z150" s="10">
        <f t="shared" si="36"/>
        <v>0</v>
      </c>
      <c r="AA150" s="10">
        <f t="shared" si="36"/>
        <v>0</v>
      </c>
      <c r="AB150" s="10">
        <f t="shared" si="37"/>
        <v>0.29917600024500002</v>
      </c>
      <c r="AC150" s="10">
        <f t="shared" si="37"/>
        <v>-6.8617067882421532</v>
      </c>
      <c r="AD150" s="10">
        <f t="shared" si="37"/>
        <v>11.068570336494654</v>
      </c>
      <c r="AH150" s="10">
        <f t="shared" si="38"/>
        <v>1</v>
      </c>
      <c r="AI150" s="10">
        <f t="shared" si="39"/>
        <v>0</v>
      </c>
      <c r="AJ150" s="10">
        <f t="shared" si="40"/>
        <v>0</v>
      </c>
    </row>
    <row r="151" spans="6:36" x14ac:dyDescent="0.25">
      <c r="F151" s="10">
        <v>7</v>
      </c>
      <c r="G151" s="10">
        <v>9</v>
      </c>
      <c r="H151" s="10">
        <v>1</v>
      </c>
      <c r="I151" s="10">
        <f t="shared" si="41"/>
        <v>4.1553347214085523</v>
      </c>
      <c r="J151" s="10">
        <f t="shared" si="30"/>
        <v>14.99938962981048</v>
      </c>
      <c r="K151" s="10">
        <f t="shared" si="31"/>
        <v>1</v>
      </c>
      <c r="S151" s="10">
        <f t="shared" si="32"/>
        <v>137.8082866569834</v>
      </c>
      <c r="T151" s="10">
        <f t="shared" si="33"/>
        <v>1</v>
      </c>
      <c r="U151" s="10">
        <f t="shared" si="34"/>
        <v>0</v>
      </c>
      <c r="V151" s="10">
        <f t="shared" si="35"/>
        <v>0</v>
      </c>
      <c r="Y151" s="10">
        <f t="shared" si="36"/>
        <v>0</v>
      </c>
      <c r="Z151" s="10">
        <f t="shared" si="36"/>
        <v>0</v>
      </c>
      <c r="AA151" s="10">
        <f t="shared" si="36"/>
        <v>0</v>
      </c>
      <c r="AB151" s="10">
        <f t="shared" si="37"/>
        <v>0.29917600024500002</v>
      </c>
      <c r="AC151" s="10">
        <f t="shared" si="37"/>
        <v>-6.8617067882421532</v>
      </c>
      <c r="AD151" s="10">
        <f t="shared" si="37"/>
        <v>11.068570336494654</v>
      </c>
      <c r="AH151" s="10">
        <f t="shared" si="38"/>
        <v>1</v>
      </c>
      <c r="AI151" s="10">
        <f t="shared" si="39"/>
        <v>0</v>
      </c>
      <c r="AJ151" s="10">
        <f t="shared" si="40"/>
        <v>0</v>
      </c>
    </row>
    <row r="152" spans="6:36" x14ac:dyDescent="0.25">
      <c r="F152" s="10">
        <v>7</v>
      </c>
      <c r="G152" s="10">
        <v>10</v>
      </c>
      <c r="H152" s="10">
        <v>1</v>
      </c>
      <c r="I152" s="10">
        <f t="shared" si="41"/>
        <v>8.4627041466514576</v>
      </c>
      <c r="J152" s="10">
        <f t="shared" ref="J152:J215" si="42">IF(K152=1, D152*$C$9+$C$8,D152*$C$12+$C$11)</f>
        <v>14.99938962981048</v>
      </c>
      <c r="K152" s="10">
        <f t="shared" ref="K152:K215" si="43">IF(E152&lt;$C$14,1,-1)</f>
        <v>1</v>
      </c>
      <c r="S152" s="10">
        <f t="shared" ref="S152:S215" si="44">SUMPRODUCT(H152:J152,AB151:AD151)</f>
        <v>108.25238063232746</v>
      </c>
      <c r="T152" s="10">
        <f t="shared" ref="T152:T215" si="45">IF(S152&gt;=0,1,-1)</f>
        <v>1</v>
      </c>
      <c r="U152" s="10">
        <f t="shared" ref="U152:U215" si="46">(K152-T152)/2</f>
        <v>0</v>
      </c>
      <c r="V152" s="10">
        <f t="shared" ref="V152:V215" si="47">IF(U152&lt;&gt;0,1,0)</f>
        <v>0</v>
      </c>
      <c r="Y152" s="10">
        <f t="shared" ref="Y152:AA215" si="48">IF($U152=0,0,$C$14*($U152)*H152)</f>
        <v>0</v>
      </c>
      <c r="Z152" s="10">
        <f t="shared" si="48"/>
        <v>0</v>
      </c>
      <c r="AA152" s="10">
        <f t="shared" si="48"/>
        <v>0</v>
      </c>
      <c r="AB152" s="10">
        <f t="shared" ref="AB152:AD215" si="49">IF($U152=0,AB151,AB151+$C$14*($U152)*H152)</f>
        <v>0.29917600024500002</v>
      </c>
      <c r="AC152" s="10">
        <f t="shared" si="49"/>
        <v>-6.8617067882421532</v>
      </c>
      <c r="AD152" s="10">
        <f t="shared" si="49"/>
        <v>11.068570336494654</v>
      </c>
      <c r="AH152" s="10">
        <f t="shared" si="38"/>
        <v>1</v>
      </c>
      <c r="AI152" s="10">
        <f t="shared" si="39"/>
        <v>0</v>
      </c>
      <c r="AJ152" s="10">
        <f t="shared" si="40"/>
        <v>0</v>
      </c>
    </row>
    <row r="153" spans="6:36" x14ac:dyDescent="0.25">
      <c r="F153" s="10">
        <v>7</v>
      </c>
      <c r="G153" s="10">
        <v>11</v>
      </c>
      <c r="H153" s="10">
        <v>1</v>
      </c>
      <c r="I153" s="10">
        <f t="shared" si="41"/>
        <v>11.722530671423003</v>
      </c>
      <c r="J153" s="10">
        <f t="shared" si="42"/>
        <v>14.99938962981048</v>
      </c>
      <c r="K153" s="10">
        <f t="shared" si="43"/>
        <v>1</v>
      </c>
      <c r="S153" s="10">
        <f t="shared" si="44"/>
        <v>85.884406838810719</v>
      </c>
      <c r="T153" s="10">
        <f t="shared" si="45"/>
        <v>1</v>
      </c>
      <c r="U153" s="10">
        <f t="shared" si="46"/>
        <v>0</v>
      </c>
      <c r="V153" s="10">
        <f t="shared" si="47"/>
        <v>0</v>
      </c>
      <c r="Y153" s="10">
        <f t="shared" si="48"/>
        <v>0</v>
      </c>
      <c r="Z153" s="10">
        <f t="shared" si="48"/>
        <v>0</v>
      </c>
      <c r="AA153" s="10">
        <f t="shared" si="48"/>
        <v>0</v>
      </c>
      <c r="AB153" s="10">
        <f t="shared" si="49"/>
        <v>0.29917600024500002</v>
      </c>
      <c r="AC153" s="10">
        <f t="shared" si="49"/>
        <v>-6.8617067882421532</v>
      </c>
      <c r="AD153" s="10">
        <f t="shared" si="49"/>
        <v>11.068570336494654</v>
      </c>
      <c r="AH153" s="10">
        <f t="shared" si="38"/>
        <v>1</v>
      </c>
      <c r="AI153" s="10">
        <f t="shared" si="39"/>
        <v>0</v>
      </c>
      <c r="AJ153" s="10">
        <f t="shared" si="40"/>
        <v>0</v>
      </c>
    </row>
    <row r="154" spans="6:36" x14ac:dyDescent="0.25">
      <c r="F154" s="10">
        <v>7</v>
      </c>
      <c r="G154" s="10">
        <v>12</v>
      </c>
      <c r="H154" s="10">
        <v>1</v>
      </c>
      <c r="I154" s="10">
        <f t="shared" si="41"/>
        <v>9.6231558949622329</v>
      </c>
      <c r="J154" s="10">
        <f t="shared" si="42"/>
        <v>14.99938962981048</v>
      </c>
      <c r="K154" s="10">
        <f t="shared" si="43"/>
        <v>1</v>
      </c>
      <c r="S154" s="10">
        <f t="shared" si="44"/>
        <v>100.28970099351595</v>
      </c>
      <c r="T154" s="10">
        <f t="shared" si="45"/>
        <v>1</v>
      </c>
      <c r="U154" s="10">
        <f t="shared" si="46"/>
        <v>0</v>
      </c>
      <c r="V154" s="10">
        <f t="shared" si="47"/>
        <v>0</v>
      </c>
      <c r="Y154" s="10">
        <f t="shared" si="48"/>
        <v>0</v>
      </c>
      <c r="Z154" s="10">
        <f t="shared" si="48"/>
        <v>0</v>
      </c>
      <c r="AA154" s="10">
        <f t="shared" si="48"/>
        <v>0</v>
      </c>
      <c r="AB154" s="10">
        <f t="shared" si="49"/>
        <v>0.29917600024500002</v>
      </c>
      <c r="AC154" s="10">
        <f t="shared" si="49"/>
        <v>-6.8617067882421532</v>
      </c>
      <c r="AD154" s="10">
        <f t="shared" si="49"/>
        <v>11.068570336494654</v>
      </c>
      <c r="AH154" s="10">
        <f t="shared" ref="AH154:AH217" si="50">IF(SUMPRODUCT(H152:J152,$AH$21:$AJ$21)&gt;=0,1,-1)</f>
        <v>1</v>
      </c>
      <c r="AI154" s="10">
        <f t="shared" ref="AI154:AI217" si="51">(K152-AH154)/2</f>
        <v>0</v>
      </c>
      <c r="AJ154" s="10">
        <f t="shared" ref="AJ154:AJ217" si="52">IF(AI154&lt;&gt;0,1,0)</f>
        <v>0</v>
      </c>
    </row>
    <row r="155" spans="6:36" x14ac:dyDescent="0.25">
      <c r="F155" s="10">
        <v>7</v>
      </c>
      <c r="G155" s="10">
        <v>13</v>
      </c>
      <c r="H155" s="10">
        <v>1</v>
      </c>
      <c r="I155" s="10">
        <f t="shared" si="41"/>
        <v>8.0162683783311302</v>
      </c>
      <c r="J155" s="10">
        <f t="shared" si="42"/>
        <v>14.99938962981048</v>
      </c>
      <c r="K155" s="10">
        <f t="shared" si="43"/>
        <v>1</v>
      </c>
      <c r="S155" s="10">
        <f t="shared" si="44"/>
        <v>111.31569197432515</v>
      </c>
      <c r="T155" s="10">
        <f t="shared" si="45"/>
        <v>1</v>
      </c>
      <c r="U155" s="10">
        <f t="shared" si="46"/>
        <v>0</v>
      </c>
      <c r="V155" s="10">
        <f t="shared" si="47"/>
        <v>0</v>
      </c>
      <c r="Y155" s="10">
        <f t="shared" si="48"/>
        <v>0</v>
      </c>
      <c r="Z155" s="10">
        <f t="shared" si="48"/>
        <v>0</v>
      </c>
      <c r="AA155" s="10">
        <f t="shared" si="48"/>
        <v>0</v>
      </c>
      <c r="AB155" s="10">
        <f t="shared" si="49"/>
        <v>0.29917600024500002</v>
      </c>
      <c r="AC155" s="10">
        <f t="shared" si="49"/>
        <v>-6.8617067882421532</v>
      </c>
      <c r="AD155" s="10">
        <f t="shared" si="49"/>
        <v>11.068570336494654</v>
      </c>
      <c r="AH155" s="10">
        <f t="shared" si="50"/>
        <v>1</v>
      </c>
      <c r="AI155" s="10">
        <f t="shared" si="51"/>
        <v>0</v>
      </c>
      <c r="AJ155" s="10">
        <f t="shared" si="52"/>
        <v>0</v>
      </c>
    </row>
    <row r="156" spans="6:36" x14ac:dyDescent="0.25">
      <c r="F156" s="10">
        <v>7</v>
      </c>
      <c r="G156" s="10">
        <v>14</v>
      </c>
      <c r="H156" s="10">
        <v>1</v>
      </c>
      <c r="I156" s="10">
        <f t="shared" si="41"/>
        <v>11.270939377934512</v>
      </c>
      <c r="J156" s="10">
        <f t="shared" si="42"/>
        <v>14.99938962981048</v>
      </c>
      <c r="K156" s="10">
        <f t="shared" si="43"/>
        <v>1</v>
      </c>
      <c r="S156" s="10">
        <f t="shared" si="44"/>
        <v>88.983093882851762</v>
      </c>
      <c r="T156" s="10">
        <f t="shared" si="45"/>
        <v>1</v>
      </c>
      <c r="U156" s="10">
        <f t="shared" si="46"/>
        <v>0</v>
      </c>
      <c r="V156" s="10">
        <f t="shared" si="47"/>
        <v>0</v>
      </c>
      <c r="Y156" s="10">
        <f t="shared" si="48"/>
        <v>0</v>
      </c>
      <c r="Z156" s="10">
        <f t="shared" si="48"/>
        <v>0</v>
      </c>
      <c r="AA156" s="10">
        <f t="shared" si="48"/>
        <v>0</v>
      </c>
      <c r="AB156" s="10">
        <f t="shared" si="49"/>
        <v>0.29917600024500002</v>
      </c>
      <c r="AC156" s="10">
        <f t="shared" si="49"/>
        <v>-6.8617067882421532</v>
      </c>
      <c r="AD156" s="10">
        <f t="shared" si="49"/>
        <v>11.068570336494654</v>
      </c>
      <c r="AH156" s="10">
        <f t="shared" si="50"/>
        <v>1</v>
      </c>
      <c r="AI156" s="10">
        <f t="shared" si="51"/>
        <v>0</v>
      </c>
      <c r="AJ156" s="10">
        <f t="shared" si="52"/>
        <v>0</v>
      </c>
    </row>
    <row r="157" spans="6:36" x14ac:dyDescent="0.25">
      <c r="F157" s="10">
        <v>7</v>
      </c>
      <c r="G157" s="10">
        <v>15</v>
      </c>
      <c r="H157" s="10">
        <v>1</v>
      </c>
      <c r="I157" s="10">
        <f t="shared" si="41"/>
        <v>7.0021023351067502</v>
      </c>
      <c r="J157" s="10">
        <f t="shared" si="42"/>
        <v>14.99938962981048</v>
      </c>
      <c r="K157" s="10">
        <f t="shared" si="43"/>
        <v>1</v>
      </c>
      <c r="S157" s="10">
        <f t="shared" si="44"/>
        <v>118.27460199752257</v>
      </c>
      <c r="T157" s="10">
        <f t="shared" si="45"/>
        <v>1</v>
      </c>
      <c r="U157" s="10">
        <f t="shared" si="46"/>
        <v>0</v>
      </c>
      <c r="V157" s="10">
        <f t="shared" si="47"/>
        <v>0</v>
      </c>
      <c r="Y157" s="10">
        <f t="shared" si="48"/>
        <v>0</v>
      </c>
      <c r="Z157" s="10">
        <f t="shared" si="48"/>
        <v>0</v>
      </c>
      <c r="AA157" s="10">
        <f t="shared" si="48"/>
        <v>0</v>
      </c>
      <c r="AB157" s="10">
        <f t="shared" si="49"/>
        <v>0.29917600024500002</v>
      </c>
      <c r="AC157" s="10">
        <f t="shared" si="49"/>
        <v>-6.8617067882421532</v>
      </c>
      <c r="AD157" s="10">
        <f t="shared" si="49"/>
        <v>11.068570336494654</v>
      </c>
      <c r="AH157" s="10">
        <f t="shared" si="50"/>
        <v>1</v>
      </c>
      <c r="AI157" s="10">
        <f t="shared" si="51"/>
        <v>0</v>
      </c>
      <c r="AJ157" s="10">
        <f t="shared" si="52"/>
        <v>0</v>
      </c>
    </row>
    <row r="158" spans="6:36" x14ac:dyDescent="0.25">
      <c r="F158" s="10">
        <v>7</v>
      </c>
      <c r="G158" s="10">
        <v>16</v>
      </c>
      <c r="H158" s="10">
        <v>1</v>
      </c>
      <c r="I158" s="10">
        <f t="shared" si="41"/>
        <v>9.3873260438242312</v>
      </c>
      <c r="J158" s="10">
        <f t="shared" si="42"/>
        <v>14.99938962981048</v>
      </c>
      <c r="K158" s="10">
        <f t="shared" si="43"/>
        <v>1</v>
      </c>
      <c r="S158" s="10">
        <f t="shared" si="44"/>
        <v>101.90789628393971</v>
      </c>
      <c r="T158" s="10">
        <f t="shared" si="45"/>
        <v>1</v>
      </c>
      <c r="U158" s="10">
        <f t="shared" si="46"/>
        <v>0</v>
      </c>
      <c r="V158" s="10">
        <f t="shared" si="47"/>
        <v>0</v>
      </c>
      <c r="Y158" s="10">
        <f t="shared" si="48"/>
        <v>0</v>
      </c>
      <c r="Z158" s="10">
        <f t="shared" si="48"/>
        <v>0</v>
      </c>
      <c r="AA158" s="10">
        <f t="shared" si="48"/>
        <v>0</v>
      </c>
      <c r="AB158" s="10">
        <f t="shared" si="49"/>
        <v>0.29917600024500002</v>
      </c>
      <c r="AC158" s="10">
        <f t="shared" si="49"/>
        <v>-6.8617067882421532</v>
      </c>
      <c r="AD158" s="10">
        <f t="shared" si="49"/>
        <v>11.068570336494654</v>
      </c>
      <c r="AH158" s="10">
        <f t="shared" si="50"/>
        <v>1</v>
      </c>
      <c r="AI158" s="10">
        <f t="shared" si="51"/>
        <v>0</v>
      </c>
      <c r="AJ158" s="10">
        <f t="shared" si="52"/>
        <v>0</v>
      </c>
    </row>
    <row r="159" spans="6:36" x14ac:dyDescent="0.25">
      <c r="F159" s="10">
        <v>7</v>
      </c>
      <c r="G159" s="10">
        <v>17</v>
      </c>
      <c r="H159" s="10">
        <v>1</v>
      </c>
      <c r="I159" s="10">
        <f t="shared" si="41"/>
        <v>8.350479766806572</v>
      </c>
      <c r="J159" s="10">
        <f t="shared" si="42"/>
        <v>14.99938962981048</v>
      </c>
      <c r="K159" s="10">
        <f t="shared" si="43"/>
        <v>1</v>
      </c>
      <c r="S159" s="10">
        <f t="shared" si="44"/>
        <v>109.02243142131539</v>
      </c>
      <c r="T159" s="10">
        <f t="shared" si="45"/>
        <v>1</v>
      </c>
      <c r="U159" s="10">
        <f t="shared" si="46"/>
        <v>0</v>
      </c>
      <c r="V159" s="10">
        <f t="shared" si="47"/>
        <v>0</v>
      </c>
      <c r="Y159" s="10">
        <f t="shared" si="48"/>
        <v>0</v>
      </c>
      <c r="Z159" s="10">
        <f t="shared" si="48"/>
        <v>0</v>
      </c>
      <c r="AA159" s="10">
        <f t="shared" si="48"/>
        <v>0</v>
      </c>
      <c r="AB159" s="10">
        <f t="shared" si="49"/>
        <v>0.29917600024500002</v>
      </c>
      <c r="AC159" s="10">
        <f t="shared" si="49"/>
        <v>-6.8617067882421532</v>
      </c>
      <c r="AD159" s="10">
        <f t="shared" si="49"/>
        <v>11.068570336494654</v>
      </c>
      <c r="AH159" s="10">
        <f t="shared" si="50"/>
        <v>1</v>
      </c>
      <c r="AI159" s="10">
        <f t="shared" si="51"/>
        <v>0</v>
      </c>
      <c r="AJ159" s="10">
        <f t="shared" si="52"/>
        <v>0</v>
      </c>
    </row>
    <row r="160" spans="6:36" x14ac:dyDescent="0.25">
      <c r="F160" s="10">
        <v>7</v>
      </c>
      <c r="G160" s="10">
        <v>18</v>
      </c>
      <c r="H160" s="10">
        <v>1</v>
      </c>
      <c r="I160" s="10">
        <f t="shared" si="41"/>
        <v>8.8378960488846694</v>
      </c>
      <c r="J160" s="10">
        <f t="shared" si="42"/>
        <v>14.99938962981048</v>
      </c>
      <c r="K160" s="10">
        <f t="shared" si="43"/>
        <v>1</v>
      </c>
      <c r="S160" s="10">
        <f t="shared" si="44"/>
        <v>105.67792380988035</v>
      </c>
      <c r="T160" s="10">
        <f t="shared" si="45"/>
        <v>1</v>
      </c>
      <c r="U160" s="10">
        <f t="shared" si="46"/>
        <v>0</v>
      </c>
      <c r="V160" s="10">
        <f t="shared" si="47"/>
        <v>0</v>
      </c>
      <c r="Y160" s="10">
        <f t="shared" si="48"/>
        <v>0</v>
      </c>
      <c r="Z160" s="10">
        <f t="shared" si="48"/>
        <v>0</v>
      </c>
      <c r="AA160" s="10">
        <f t="shared" si="48"/>
        <v>0</v>
      </c>
      <c r="AB160" s="10">
        <f t="shared" si="49"/>
        <v>0.29917600024500002</v>
      </c>
      <c r="AC160" s="10">
        <f t="shared" si="49"/>
        <v>-6.8617067882421532</v>
      </c>
      <c r="AD160" s="10">
        <f t="shared" si="49"/>
        <v>11.068570336494654</v>
      </c>
      <c r="AH160" s="10">
        <f t="shared" si="50"/>
        <v>1</v>
      </c>
      <c r="AI160" s="10">
        <f t="shared" si="51"/>
        <v>0</v>
      </c>
      <c r="AJ160" s="10">
        <f t="shared" si="52"/>
        <v>0</v>
      </c>
    </row>
    <row r="161" spans="6:36" x14ac:dyDescent="0.25">
      <c r="F161" s="10">
        <v>7</v>
      </c>
      <c r="G161" s="10">
        <v>19</v>
      </c>
      <c r="H161" s="10">
        <v>1</v>
      </c>
      <c r="I161" s="10">
        <f t="shared" si="41"/>
        <v>5.9362821331723659</v>
      </c>
      <c r="J161" s="10">
        <f t="shared" si="42"/>
        <v>14.99938962981048</v>
      </c>
      <c r="K161" s="10">
        <f t="shared" si="43"/>
        <v>1</v>
      </c>
      <c r="S161" s="10">
        <f t="shared" si="44"/>
        <v>125.58794771218136</v>
      </c>
      <c r="T161" s="10">
        <f t="shared" si="45"/>
        <v>1</v>
      </c>
      <c r="U161" s="10">
        <f t="shared" si="46"/>
        <v>0</v>
      </c>
      <c r="V161" s="10">
        <f t="shared" si="47"/>
        <v>0</v>
      </c>
      <c r="Y161" s="10">
        <f t="shared" si="48"/>
        <v>0</v>
      </c>
      <c r="Z161" s="10">
        <f t="shared" si="48"/>
        <v>0</v>
      </c>
      <c r="AA161" s="10">
        <f t="shared" si="48"/>
        <v>0</v>
      </c>
      <c r="AB161" s="10">
        <f t="shared" si="49"/>
        <v>0.29917600024500002</v>
      </c>
      <c r="AC161" s="10">
        <f t="shared" si="49"/>
        <v>-6.8617067882421532</v>
      </c>
      <c r="AD161" s="10">
        <f t="shared" si="49"/>
        <v>11.068570336494654</v>
      </c>
      <c r="AH161" s="10">
        <f t="shared" si="50"/>
        <v>1</v>
      </c>
      <c r="AI161" s="10">
        <f t="shared" si="51"/>
        <v>0</v>
      </c>
      <c r="AJ161" s="10">
        <f t="shared" si="52"/>
        <v>0</v>
      </c>
    </row>
    <row r="162" spans="6:36" x14ac:dyDescent="0.25">
      <c r="F162" s="10">
        <v>7</v>
      </c>
      <c r="G162" s="10">
        <v>20</v>
      </c>
      <c r="H162" s="10">
        <v>1</v>
      </c>
      <c r="I162" s="10">
        <f t="shared" si="41"/>
        <v>6.5710893880029841</v>
      </c>
      <c r="J162" s="10">
        <f t="shared" si="42"/>
        <v>14.99938962981048</v>
      </c>
      <c r="K162" s="10">
        <f t="shared" si="43"/>
        <v>1</v>
      </c>
      <c r="S162" s="10">
        <f t="shared" si="44"/>
        <v>121.23208646248474</v>
      </c>
      <c r="T162" s="10">
        <f t="shared" si="45"/>
        <v>1</v>
      </c>
      <c r="U162" s="10">
        <f t="shared" si="46"/>
        <v>0</v>
      </c>
      <c r="V162" s="10">
        <f t="shared" si="47"/>
        <v>0</v>
      </c>
      <c r="X162" s="10">
        <f>SUM(V143:V162)</f>
        <v>0</v>
      </c>
      <c r="Y162" s="10">
        <f t="shared" si="48"/>
        <v>0</v>
      </c>
      <c r="Z162" s="10">
        <f t="shared" si="48"/>
        <v>0</v>
      </c>
      <c r="AA162" s="10">
        <f t="shared" si="48"/>
        <v>0</v>
      </c>
      <c r="AB162" s="10">
        <f t="shared" si="49"/>
        <v>0.29917600024500002</v>
      </c>
      <c r="AC162" s="10">
        <f t="shared" si="49"/>
        <v>-6.8617067882421532</v>
      </c>
      <c r="AD162" s="10">
        <f t="shared" si="49"/>
        <v>11.068570336494654</v>
      </c>
      <c r="AH162" s="10">
        <f t="shared" si="50"/>
        <v>1</v>
      </c>
      <c r="AI162" s="10">
        <f t="shared" si="51"/>
        <v>0</v>
      </c>
      <c r="AJ162" s="10">
        <f t="shared" si="52"/>
        <v>0</v>
      </c>
    </row>
    <row r="163" spans="6:36" x14ac:dyDescent="0.25">
      <c r="F163" s="10">
        <v>8</v>
      </c>
      <c r="G163" s="10">
        <v>1</v>
      </c>
      <c r="H163" s="10">
        <v>1</v>
      </c>
      <c r="I163" s="10">
        <f t="shared" si="41"/>
        <v>4.3149584625268673</v>
      </c>
      <c r="J163" s="10">
        <f t="shared" si="42"/>
        <v>14.99938962981048</v>
      </c>
      <c r="K163" s="10">
        <f t="shared" si="43"/>
        <v>1</v>
      </c>
      <c r="S163" s="12">
        <f t="shared" si="44"/>
        <v>136.71299534898725</v>
      </c>
      <c r="T163" s="12">
        <f t="shared" si="45"/>
        <v>1</v>
      </c>
      <c r="U163" s="12">
        <f t="shared" si="46"/>
        <v>0</v>
      </c>
      <c r="V163" s="12">
        <f t="shared" si="47"/>
        <v>0</v>
      </c>
      <c r="W163" s="12"/>
      <c r="X163" s="12"/>
      <c r="Y163" s="10">
        <f t="shared" si="48"/>
        <v>0</v>
      </c>
      <c r="Z163" s="10">
        <f t="shared" si="48"/>
        <v>0</v>
      </c>
      <c r="AA163" s="10">
        <f t="shared" si="48"/>
        <v>0</v>
      </c>
      <c r="AB163" s="10">
        <f t="shared" si="49"/>
        <v>0.29917600024500002</v>
      </c>
      <c r="AC163" s="10">
        <f t="shared" si="49"/>
        <v>-6.8617067882421532</v>
      </c>
      <c r="AD163" s="10">
        <f t="shared" si="49"/>
        <v>11.068570336494654</v>
      </c>
      <c r="AH163" s="10">
        <f t="shared" si="50"/>
        <v>1</v>
      </c>
      <c r="AI163" s="10">
        <f t="shared" si="51"/>
        <v>0</v>
      </c>
      <c r="AJ163" s="10">
        <f t="shared" si="52"/>
        <v>0</v>
      </c>
    </row>
    <row r="164" spans="6:36" x14ac:dyDescent="0.25">
      <c r="F164" s="10">
        <v>8</v>
      </c>
      <c r="G164" s="10">
        <v>2</v>
      </c>
      <c r="H164" s="10">
        <v>1</v>
      </c>
      <c r="I164" s="10">
        <f t="shared" si="41"/>
        <v>4.2336649521823988</v>
      </c>
      <c r="J164" s="10">
        <f t="shared" si="42"/>
        <v>14.99938962981048</v>
      </c>
      <c r="K164" s="10">
        <f t="shared" si="43"/>
        <v>1</v>
      </c>
      <c r="S164" s="10">
        <f t="shared" si="44"/>
        <v>137.27080758075795</v>
      </c>
      <c r="T164" s="10">
        <f t="shared" si="45"/>
        <v>1</v>
      </c>
      <c r="U164" s="10">
        <f t="shared" si="46"/>
        <v>0</v>
      </c>
      <c r="V164" s="10">
        <f t="shared" si="47"/>
        <v>0</v>
      </c>
      <c r="Y164" s="10">
        <f t="shared" si="48"/>
        <v>0</v>
      </c>
      <c r="Z164" s="10">
        <f t="shared" si="48"/>
        <v>0</v>
      </c>
      <c r="AA164" s="10">
        <f t="shared" si="48"/>
        <v>0</v>
      </c>
      <c r="AB164" s="10">
        <f t="shared" si="49"/>
        <v>0.29917600024500002</v>
      </c>
      <c r="AC164" s="10">
        <f t="shared" si="49"/>
        <v>-6.8617067882421532</v>
      </c>
      <c r="AD164" s="10">
        <f t="shared" si="49"/>
        <v>11.068570336494654</v>
      </c>
      <c r="AH164" s="10">
        <f t="shared" si="50"/>
        <v>1</v>
      </c>
      <c r="AI164" s="10">
        <f t="shared" si="51"/>
        <v>0</v>
      </c>
      <c r="AJ164" s="10">
        <f t="shared" si="52"/>
        <v>0</v>
      </c>
    </row>
    <row r="165" spans="6:36" x14ac:dyDescent="0.25">
      <c r="F165" s="10">
        <v>8</v>
      </c>
      <c r="G165" s="10">
        <v>3</v>
      </c>
      <c r="H165" s="10">
        <v>1</v>
      </c>
      <c r="I165" s="10">
        <f t="shared" si="41"/>
        <v>4.0760342132531742</v>
      </c>
      <c r="J165" s="10">
        <f t="shared" si="42"/>
        <v>14.99938962981048</v>
      </c>
      <c r="K165" s="10">
        <f t="shared" si="43"/>
        <v>1</v>
      </c>
      <c r="S165" s="10">
        <f t="shared" si="44"/>
        <v>138.35242349210421</v>
      </c>
      <c r="T165" s="10">
        <f t="shared" si="45"/>
        <v>1</v>
      </c>
      <c r="U165" s="10">
        <f t="shared" si="46"/>
        <v>0</v>
      </c>
      <c r="V165" s="10">
        <f t="shared" si="47"/>
        <v>0</v>
      </c>
      <c r="Y165" s="10">
        <f t="shared" si="48"/>
        <v>0</v>
      </c>
      <c r="Z165" s="10">
        <f t="shared" si="48"/>
        <v>0</v>
      </c>
      <c r="AA165" s="10">
        <f t="shared" si="48"/>
        <v>0</v>
      </c>
      <c r="AB165" s="10">
        <f t="shared" si="49"/>
        <v>0.29917600024500002</v>
      </c>
      <c r="AC165" s="10">
        <f t="shared" si="49"/>
        <v>-6.8617067882421532</v>
      </c>
      <c r="AD165" s="10">
        <f t="shared" si="49"/>
        <v>11.068570336494654</v>
      </c>
      <c r="AH165" s="10">
        <f t="shared" si="50"/>
        <v>1</v>
      </c>
      <c r="AI165" s="10">
        <f t="shared" si="51"/>
        <v>0</v>
      </c>
      <c r="AJ165" s="10">
        <f t="shared" si="52"/>
        <v>0</v>
      </c>
    </row>
    <row r="166" spans="6:36" x14ac:dyDescent="0.25">
      <c r="F166" s="10">
        <v>8</v>
      </c>
      <c r="G166" s="10">
        <v>4</v>
      </c>
      <c r="H166" s="10">
        <v>1</v>
      </c>
      <c r="I166" s="10">
        <f t="shared" si="41"/>
        <v>6.9682999690312606</v>
      </c>
      <c r="J166" s="10">
        <f t="shared" si="42"/>
        <v>14.99938962981048</v>
      </c>
      <c r="K166" s="10">
        <f t="shared" si="43"/>
        <v>1</v>
      </c>
      <c r="S166" s="10">
        <f t="shared" si="44"/>
        <v>118.50654392228139</v>
      </c>
      <c r="T166" s="10">
        <f t="shared" si="45"/>
        <v>1</v>
      </c>
      <c r="U166" s="10">
        <f t="shared" si="46"/>
        <v>0</v>
      </c>
      <c r="V166" s="10">
        <f t="shared" si="47"/>
        <v>0</v>
      </c>
      <c r="Y166" s="10">
        <f t="shared" si="48"/>
        <v>0</v>
      </c>
      <c r="Z166" s="10">
        <f t="shared" si="48"/>
        <v>0</v>
      </c>
      <c r="AA166" s="10">
        <f t="shared" si="48"/>
        <v>0</v>
      </c>
      <c r="AB166" s="10">
        <f t="shared" si="49"/>
        <v>0.29917600024500002</v>
      </c>
      <c r="AC166" s="10">
        <f t="shared" si="49"/>
        <v>-6.8617067882421532</v>
      </c>
      <c r="AD166" s="10">
        <f t="shared" si="49"/>
        <v>11.068570336494654</v>
      </c>
      <c r="AH166" s="10">
        <f t="shared" si="50"/>
        <v>1</v>
      </c>
      <c r="AI166" s="10">
        <f t="shared" si="51"/>
        <v>0</v>
      </c>
      <c r="AJ166" s="10">
        <f t="shared" si="52"/>
        <v>0</v>
      </c>
    </row>
    <row r="167" spans="6:36" x14ac:dyDescent="0.25">
      <c r="F167" s="10">
        <v>8</v>
      </c>
      <c r="G167" s="10">
        <v>5</v>
      </c>
      <c r="H167" s="10">
        <v>1</v>
      </c>
      <c r="I167" s="10">
        <f t="shared" si="41"/>
        <v>8.3649028089644606</v>
      </c>
      <c r="J167" s="10">
        <f t="shared" si="42"/>
        <v>14.99938962981048</v>
      </c>
      <c r="K167" s="10">
        <f t="shared" si="43"/>
        <v>1</v>
      </c>
      <c r="S167" s="10">
        <f t="shared" si="44"/>
        <v>108.92346473503349</v>
      </c>
      <c r="T167" s="10">
        <f t="shared" si="45"/>
        <v>1</v>
      </c>
      <c r="U167" s="10">
        <f t="shared" si="46"/>
        <v>0</v>
      </c>
      <c r="V167" s="10">
        <f t="shared" si="47"/>
        <v>0</v>
      </c>
      <c r="Y167" s="10">
        <f t="shared" si="48"/>
        <v>0</v>
      </c>
      <c r="Z167" s="10">
        <f t="shared" si="48"/>
        <v>0</v>
      </c>
      <c r="AA167" s="10">
        <f t="shared" si="48"/>
        <v>0</v>
      </c>
      <c r="AB167" s="10">
        <f t="shared" si="49"/>
        <v>0.29917600024500002</v>
      </c>
      <c r="AC167" s="10">
        <f t="shared" si="49"/>
        <v>-6.8617067882421532</v>
      </c>
      <c r="AD167" s="10">
        <f t="shared" si="49"/>
        <v>11.068570336494654</v>
      </c>
      <c r="AH167" s="10">
        <f t="shared" si="50"/>
        <v>1</v>
      </c>
      <c r="AI167" s="10">
        <f t="shared" si="51"/>
        <v>0</v>
      </c>
      <c r="AJ167" s="10">
        <f t="shared" si="52"/>
        <v>0</v>
      </c>
    </row>
    <row r="168" spans="6:36" x14ac:dyDescent="0.25">
      <c r="F168" s="10">
        <v>8</v>
      </c>
      <c r="G168" s="10">
        <v>6</v>
      </c>
      <c r="H168" s="10">
        <v>1</v>
      </c>
      <c r="I168" s="10">
        <f t="shared" si="41"/>
        <v>9.3848699915294151</v>
      </c>
      <c r="J168" s="10">
        <f t="shared" si="42"/>
        <v>14.99938962981048</v>
      </c>
      <c r="K168" s="10">
        <f t="shared" si="43"/>
        <v>1</v>
      </c>
      <c r="S168" s="10">
        <f t="shared" si="44"/>
        <v>101.92474899464332</v>
      </c>
      <c r="T168" s="10">
        <f t="shared" si="45"/>
        <v>1</v>
      </c>
      <c r="U168" s="10">
        <f t="shared" si="46"/>
        <v>0</v>
      </c>
      <c r="V168" s="10">
        <f t="shared" si="47"/>
        <v>0</v>
      </c>
      <c r="Y168" s="10">
        <f t="shared" si="48"/>
        <v>0</v>
      </c>
      <c r="Z168" s="10">
        <f t="shared" si="48"/>
        <v>0</v>
      </c>
      <c r="AA168" s="10">
        <f t="shared" si="48"/>
        <v>0</v>
      </c>
      <c r="AB168" s="10">
        <f t="shared" si="49"/>
        <v>0.29917600024500002</v>
      </c>
      <c r="AC168" s="10">
        <f t="shared" si="49"/>
        <v>-6.8617067882421532</v>
      </c>
      <c r="AD168" s="10">
        <f t="shared" si="49"/>
        <v>11.068570336494654</v>
      </c>
      <c r="AH168" s="10">
        <f t="shared" si="50"/>
        <v>1</v>
      </c>
      <c r="AI168" s="10">
        <f t="shared" si="51"/>
        <v>0</v>
      </c>
      <c r="AJ168" s="10">
        <f t="shared" si="52"/>
        <v>0</v>
      </c>
    </row>
    <row r="169" spans="6:36" x14ac:dyDescent="0.25">
      <c r="F169" s="10">
        <v>8</v>
      </c>
      <c r="G169" s="10">
        <v>7</v>
      </c>
      <c r="H169" s="10">
        <v>1</v>
      </c>
      <c r="I169" s="10">
        <f t="shared" si="41"/>
        <v>9.2116945315592211</v>
      </c>
      <c r="J169" s="10">
        <f t="shared" si="42"/>
        <v>14.99938962981048</v>
      </c>
      <c r="K169" s="10">
        <f t="shared" si="43"/>
        <v>1</v>
      </c>
      <c r="S169" s="10">
        <f t="shared" si="44"/>
        <v>103.11302822387776</v>
      </c>
      <c r="T169" s="10">
        <f t="shared" si="45"/>
        <v>1</v>
      </c>
      <c r="U169" s="10">
        <f t="shared" si="46"/>
        <v>0</v>
      </c>
      <c r="V169" s="10">
        <f t="shared" si="47"/>
        <v>0</v>
      </c>
      <c r="Y169" s="10">
        <f t="shared" si="48"/>
        <v>0</v>
      </c>
      <c r="Z169" s="10">
        <f t="shared" si="48"/>
        <v>0</v>
      </c>
      <c r="AA169" s="10">
        <f t="shared" si="48"/>
        <v>0</v>
      </c>
      <c r="AB169" s="10">
        <f t="shared" si="49"/>
        <v>0.29917600024500002</v>
      </c>
      <c r="AC169" s="10">
        <f t="shared" si="49"/>
        <v>-6.8617067882421532</v>
      </c>
      <c r="AD169" s="10">
        <f t="shared" si="49"/>
        <v>11.068570336494654</v>
      </c>
      <c r="AH169" s="10">
        <f t="shared" si="50"/>
        <v>1</v>
      </c>
      <c r="AI169" s="10">
        <f t="shared" si="51"/>
        <v>0</v>
      </c>
      <c r="AJ169" s="10">
        <f t="shared" si="52"/>
        <v>0</v>
      </c>
    </row>
    <row r="170" spans="6:36" x14ac:dyDescent="0.25">
      <c r="F170" s="10">
        <v>8</v>
      </c>
      <c r="G170" s="10">
        <v>8</v>
      </c>
      <c r="H170" s="10">
        <v>1</v>
      </c>
      <c r="I170" s="10">
        <f t="shared" si="41"/>
        <v>10.461114754974387</v>
      </c>
      <c r="J170" s="10">
        <f t="shared" si="42"/>
        <v>14.99938962981048</v>
      </c>
      <c r="K170" s="10">
        <f t="shared" si="43"/>
        <v>1</v>
      </c>
      <c r="S170" s="10">
        <f t="shared" si="44"/>
        <v>94.53987299550289</v>
      </c>
      <c r="T170" s="10">
        <f t="shared" si="45"/>
        <v>1</v>
      </c>
      <c r="U170" s="10">
        <f t="shared" si="46"/>
        <v>0</v>
      </c>
      <c r="V170" s="10">
        <f t="shared" si="47"/>
        <v>0</v>
      </c>
      <c r="Y170" s="10">
        <f t="shared" si="48"/>
        <v>0</v>
      </c>
      <c r="Z170" s="10">
        <f t="shared" si="48"/>
        <v>0</v>
      </c>
      <c r="AA170" s="10">
        <f t="shared" si="48"/>
        <v>0</v>
      </c>
      <c r="AB170" s="10">
        <f t="shared" si="49"/>
        <v>0.29917600024500002</v>
      </c>
      <c r="AC170" s="10">
        <f t="shared" si="49"/>
        <v>-6.8617067882421532</v>
      </c>
      <c r="AD170" s="10">
        <f t="shared" si="49"/>
        <v>11.068570336494654</v>
      </c>
      <c r="AH170" s="10">
        <f t="shared" si="50"/>
        <v>1</v>
      </c>
      <c r="AI170" s="10">
        <f t="shared" si="51"/>
        <v>0</v>
      </c>
      <c r="AJ170" s="10">
        <f t="shared" si="52"/>
        <v>0</v>
      </c>
    </row>
    <row r="171" spans="6:36" x14ac:dyDescent="0.25">
      <c r="F171" s="10">
        <v>8</v>
      </c>
      <c r="G171" s="10">
        <v>9</v>
      </c>
      <c r="H171" s="10">
        <v>1</v>
      </c>
      <c r="I171" s="10">
        <f t="shared" si="41"/>
        <v>4.1553347214085523</v>
      </c>
      <c r="J171" s="10">
        <f t="shared" si="42"/>
        <v>14.99938962981048</v>
      </c>
      <c r="K171" s="10">
        <f t="shared" si="43"/>
        <v>1</v>
      </c>
      <c r="S171" s="10">
        <f t="shared" si="44"/>
        <v>137.8082866569834</v>
      </c>
      <c r="T171" s="10">
        <f t="shared" si="45"/>
        <v>1</v>
      </c>
      <c r="U171" s="10">
        <f t="shared" si="46"/>
        <v>0</v>
      </c>
      <c r="V171" s="10">
        <f t="shared" si="47"/>
        <v>0</v>
      </c>
      <c r="Y171" s="10">
        <f t="shared" si="48"/>
        <v>0</v>
      </c>
      <c r="Z171" s="10">
        <f t="shared" si="48"/>
        <v>0</v>
      </c>
      <c r="AA171" s="10">
        <f t="shared" si="48"/>
        <v>0</v>
      </c>
      <c r="AB171" s="10">
        <f t="shared" si="49"/>
        <v>0.29917600024500002</v>
      </c>
      <c r="AC171" s="10">
        <f t="shared" si="49"/>
        <v>-6.8617067882421532</v>
      </c>
      <c r="AD171" s="10">
        <f t="shared" si="49"/>
        <v>11.068570336494654</v>
      </c>
      <c r="AH171" s="10">
        <f t="shared" si="50"/>
        <v>1</v>
      </c>
      <c r="AI171" s="10">
        <f t="shared" si="51"/>
        <v>0</v>
      </c>
      <c r="AJ171" s="10">
        <f t="shared" si="52"/>
        <v>0</v>
      </c>
    </row>
    <row r="172" spans="6:36" x14ac:dyDescent="0.25">
      <c r="F172" s="10">
        <v>8</v>
      </c>
      <c r="G172" s="10">
        <v>10</v>
      </c>
      <c r="H172" s="10">
        <v>1</v>
      </c>
      <c r="I172" s="10">
        <f t="shared" ref="I172:I222" si="53">I152</f>
        <v>8.4627041466514576</v>
      </c>
      <c r="J172" s="10">
        <f t="shared" si="42"/>
        <v>14.99938962981048</v>
      </c>
      <c r="K172" s="10">
        <f t="shared" si="43"/>
        <v>1</v>
      </c>
      <c r="S172" s="10">
        <f t="shared" si="44"/>
        <v>108.25238063232746</v>
      </c>
      <c r="T172" s="10">
        <f t="shared" si="45"/>
        <v>1</v>
      </c>
      <c r="U172" s="10">
        <f t="shared" si="46"/>
        <v>0</v>
      </c>
      <c r="V172" s="10">
        <f t="shared" si="47"/>
        <v>0</v>
      </c>
      <c r="Y172" s="10">
        <f t="shared" si="48"/>
        <v>0</v>
      </c>
      <c r="Z172" s="10">
        <f t="shared" si="48"/>
        <v>0</v>
      </c>
      <c r="AA172" s="10">
        <f t="shared" si="48"/>
        <v>0</v>
      </c>
      <c r="AB172" s="10">
        <f t="shared" si="49"/>
        <v>0.29917600024500002</v>
      </c>
      <c r="AC172" s="10">
        <f t="shared" si="49"/>
        <v>-6.8617067882421532</v>
      </c>
      <c r="AD172" s="10">
        <f t="shared" si="49"/>
        <v>11.068570336494654</v>
      </c>
      <c r="AH172" s="10">
        <f t="shared" si="50"/>
        <v>1</v>
      </c>
      <c r="AI172" s="10">
        <f t="shared" si="51"/>
        <v>0</v>
      </c>
      <c r="AJ172" s="10">
        <f t="shared" si="52"/>
        <v>0</v>
      </c>
    </row>
    <row r="173" spans="6:36" x14ac:dyDescent="0.25">
      <c r="F173" s="10">
        <v>8</v>
      </c>
      <c r="G173" s="10">
        <v>11</v>
      </c>
      <c r="H173" s="10">
        <v>1</v>
      </c>
      <c r="I173" s="10">
        <f t="shared" si="53"/>
        <v>11.722530671423003</v>
      </c>
      <c r="J173" s="10">
        <f t="shared" si="42"/>
        <v>14.99938962981048</v>
      </c>
      <c r="K173" s="10">
        <f t="shared" si="43"/>
        <v>1</v>
      </c>
      <c r="S173" s="10">
        <f t="shared" si="44"/>
        <v>85.884406838810719</v>
      </c>
      <c r="T173" s="10">
        <f t="shared" si="45"/>
        <v>1</v>
      </c>
      <c r="U173" s="10">
        <f t="shared" si="46"/>
        <v>0</v>
      </c>
      <c r="V173" s="10">
        <f t="shared" si="47"/>
        <v>0</v>
      </c>
      <c r="Y173" s="10">
        <f t="shared" si="48"/>
        <v>0</v>
      </c>
      <c r="Z173" s="10">
        <f t="shared" si="48"/>
        <v>0</v>
      </c>
      <c r="AA173" s="10">
        <f t="shared" si="48"/>
        <v>0</v>
      </c>
      <c r="AB173" s="10">
        <f t="shared" si="49"/>
        <v>0.29917600024500002</v>
      </c>
      <c r="AC173" s="10">
        <f t="shared" si="49"/>
        <v>-6.8617067882421532</v>
      </c>
      <c r="AD173" s="10">
        <f t="shared" si="49"/>
        <v>11.068570336494654</v>
      </c>
      <c r="AH173" s="10">
        <f t="shared" si="50"/>
        <v>1</v>
      </c>
      <c r="AI173" s="10">
        <f t="shared" si="51"/>
        <v>0</v>
      </c>
      <c r="AJ173" s="10">
        <f t="shared" si="52"/>
        <v>0</v>
      </c>
    </row>
    <row r="174" spans="6:36" x14ac:dyDescent="0.25">
      <c r="F174" s="10">
        <v>8</v>
      </c>
      <c r="G174" s="10">
        <v>12</v>
      </c>
      <c r="H174" s="10">
        <v>1</v>
      </c>
      <c r="I174" s="10">
        <f t="shared" si="53"/>
        <v>9.6231558949622329</v>
      </c>
      <c r="J174" s="10">
        <f t="shared" si="42"/>
        <v>14.99938962981048</v>
      </c>
      <c r="K174" s="10">
        <f t="shared" si="43"/>
        <v>1</v>
      </c>
      <c r="S174" s="10">
        <f t="shared" si="44"/>
        <v>100.28970099351595</v>
      </c>
      <c r="T174" s="10">
        <f t="shared" si="45"/>
        <v>1</v>
      </c>
      <c r="U174" s="10">
        <f t="shared" si="46"/>
        <v>0</v>
      </c>
      <c r="V174" s="10">
        <f t="shared" si="47"/>
        <v>0</v>
      </c>
      <c r="Y174" s="10">
        <f t="shared" si="48"/>
        <v>0</v>
      </c>
      <c r="Z174" s="10">
        <f t="shared" si="48"/>
        <v>0</v>
      </c>
      <c r="AA174" s="10">
        <f t="shared" si="48"/>
        <v>0</v>
      </c>
      <c r="AB174" s="10">
        <f t="shared" si="49"/>
        <v>0.29917600024500002</v>
      </c>
      <c r="AC174" s="10">
        <f t="shared" si="49"/>
        <v>-6.8617067882421532</v>
      </c>
      <c r="AD174" s="10">
        <f t="shared" si="49"/>
        <v>11.068570336494654</v>
      </c>
      <c r="AH174" s="10">
        <f t="shared" si="50"/>
        <v>1</v>
      </c>
      <c r="AI174" s="10">
        <f t="shared" si="51"/>
        <v>0</v>
      </c>
      <c r="AJ174" s="10">
        <f t="shared" si="52"/>
        <v>0</v>
      </c>
    </row>
    <row r="175" spans="6:36" x14ac:dyDescent="0.25">
      <c r="F175" s="10">
        <v>8</v>
      </c>
      <c r="G175" s="10">
        <v>13</v>
      </c>
      <c r="H175" s="10">
        <v>1</v>
      </c>
      <c r="I175" s="10">
        <f t="shared" si="53"/>
        <v>8.0162683783311302</v>
      </c>
      <c r="J175" s="10">
        <f t="shared" si="42"/>
        <v>14.99938962981048</v>
      </c>
      <c r="K175" s="10">
        <f t="shared" si="43"/>
        <v>1</v>
      </c>
      <c r="S175" s="10">
        <f t="shared" si="44"/>
        <v>111.31569197432515</v>
      </c>
      <c r="T175" s="10">
        <f t="shared" si="45"/>
        <v>1</v>
      </c>
      <c r="U175" s="10">
        <f t="shared" si="46"/>
        <v>0</v>
      </c>
      <c r="V175" s="10">
        <f t="shared" si="47"/>
        <v>0</v>
      </c>
      <c r="Y175" s="10">
        <f t="shared" si="48"/>
        <v>0</v>
      </c>
      <c r="Z175" s="10">
        <f t="shared" si="48"/>
        <v>0</v>
      </c>
      <c r="AA175" s="10">
        <f t="shared" si="48"/>
        <v>0</v>
      </c>
      <c r="AB175" s="10">
        <f t="shared" si="49"/>
        <v>0.29917600024500002</v>
      </c>
      <c r="AC175" s="10">
        <f t="shared" si="49"/>
        <v>-6.8617067882421532</v>
      </c>
      <c r="AD175" s="10">
        <f t="shared" si="49"/>
        <v>11.068570336494654</v>
      </c>
      <c r="AH175" s="10">
        <f t="shared" si="50"/>
        <v>1</v>
      </c>
      <c r="AI175" s="10">
        <f t="shared" si="51"/>
        <v>0</v>
      </c>
      <c r="AJ175" s="10">
        <f t="shared" si="52"/>
        <v>0</v>
      </c>
    </row>
    <row r="176" spans="6:36" x14ac:dyDescent="0.25">
      <c r="F176" s="10">
        <v>8</v>
      </c>
      <c r="G176" s="10">
        <v>14</v>
      </c>
      <c r="H176" s="10">
        <v>1</v>
      </c>
      <c r="I176" s="10">
        <f t="shared" si="53"/>
        <v>11.270939377934512</v>
      </c>
      <c r="J176" s="10">
        <f t="shared" si="42"/>
        <v>14.99938962981048</v>
      </c>
      <c r="K176" s="10">
        <f t="shared" si="43"/>
        <v>1</v>
      </c>
      <c r="S176" s="10">
        <f t="shared" si="44"/>
        <v>88.983093882851762</v>
      </c>
      <c r="T176" s="10">
        <f t="shared" si="45"/>
        <v>1</v>
      </c>
      <c r="U176" s="10">
        <f t="shared" si="46"/>
        <v>0</v>
      </c>
      <c r="V176" s="10">
        <f t="shared" si="47"/>
        <v>0</v>
      </c>
      <c r="Y176" s="10">
        <f t="shared" si="48"/>
        <v>0</v>
      </c>
      <c r="Z176" s="10">
        <f t="shared" si="48"/>
        <v>0</v>
      </c>
      <c r="AA176" s="10">
        <f t="shared" si="48"/>
        <v>0</v>
      </c>
      <c r="AB176" s="10">
        <f t="shared" si="49"/>
        <v>0.29917600024500002</v>
      </c>
      <c r="AC176" s="10">
        <f t="shared" si="49"/>
        <v>-6.8617067882421532</v>
      </c>
      <c r="AD176" s="10">
        <f t="shared" si="49"/>
        <v>11.068570336494654</v>
      </c>
      <c r="AH176" s="10">
        <f t="shared" si="50"/>
        <v>1</v>
      </c>
      <c r="AI176" s="10">
        <f t="shared" si="51"/>
        <v>0</v>
      </c>
      <c r="AJ176" s="10">
        <f t="shared" si="52"/>
        <v>0</v>
      </c>
    </row>
    <row r="177" spans="6:36" x14ac:dyDescent="0.25">
      <c r="F177" s="10">
        <v>8</v>
      </c>
      <c r="G177" s="10">
        <v>15</v>
      </c>
      <c r="H177" s="10">
        <v>1</v>
      </c>
      <c r="I177" s="10">
        <f t="shared" si="53"/>
        <v>7.0021023351067502</v>
      </c>
      <c r="J177" s="10">
        <f t="shared" si="42"/>
        <v>14.99938962981048</v>
      </c>
      <c r="K177" s="10">
        <f t="shared" si="43"/>
        <v>1</v>
      </c>
      <c r="S177" s="10">
        <f t="shared" si="44"/>
        <v>118.27460199752257</v>
      </c>
      <c r="T177" s="10">
        <f t="shared" si="45"/>
        <v>1</v>
      </c>
      <c r="U177" s="10">
        <f t="shared" si="46"/>
        <v>0</v>
      </c>
      <c r="V177" s="10">
        <f t="shared" si="47"/>
        <v>0</v>
      </c>
      <c r="Y177" s="10">
        <f t="shared" si="48"/>
        <v>0</v>
      </c>
      <c r="Z177" s="10">
        <f t="shared" si="48"/>
        <v>0</v>
      </c>
      <c r="AA177" s="10">
        <f t="shared" si="48"/>
        <v>0</v>
      </c>
      <c r="AB177" s="10">
        <f t="shared" si="49"/>
        <v>0.29917600024500002</v>
      </c>
      <c r="AC177" s="10">
        <f t="shared" si="49"/>
        <v>-6.8617067882421532</v>
      </c>
      <c r="AD177" s="10">
        <f t="shared" si="49"/>
        <v>11.068570336494654</v>
      </c>
      <c r="AH177" s="10">
        <f t="shared" si="50"/>
        <v>1</v>
      </c>
      <c r="AI177" s="10">
        <f t="shared" si="51"/>
        <v>0</v>
      </c>
      <c r="AJ177" s="10">
        <f t="shared" si="52"/>
        <v>0</v>
      </c>
    </row>
    <row r="178" spans="6:36" x14ac:dyDescent="0.25">
      <c r="F178" s="10">
        <v>8</v>
      </c>
      <c r="G178" s="10">
        <v>16</v>
      </c>
      <c r="H178" s="10">
        <v>1</v>
      </c>
      <c r="I178" s="10">
        <f t="shared" si="53"/>
        <v>9.3873260438242312</v>
      </c>
      <c r="J178" s="10">
        <f t="shared" si="42"/>
        <v>14.99938962981048</v>
      </c>
      <c r="K178" s="10">
        <f t="shared" si="43"/>
        <v>1</v>
      </c>
      <c r="S178" s="10">
        <f t="shared" si="44"/>
        <v>101.90789628393971</v>
      </c>
      <c r="T178" s="10">
        <f t="shared" si="45"/>
        <v>1</v>
      </c>
      <c r="U178" s="10">
        <f t="shared" si="46"/>
        <v>0</v>
      </c>
      <c r="V178" s="10">
        <f t="shared" si="47"/>
        <v>0</v>
      </c>
      <c r="Y178" s="10">
        <f t="shared" si="48"/>
        <v>0</v>
      </c>
      <c r="Z178" s="10">
        <f t="shared" si="48"/>
        <v>0</v>
      </c>
      <c r="AA178" s="10">
        <f t="shared" si="48"/>
        <v>0</v>
      </c>
      <c r="AB178" s="10">
        <f t="shared" si="49"/>
        <v>0.29917600024500002</v>
      </c>
      <c r="AC178" s="10">
        <f t="shared" si="49"/>
        <v>-6.8617067882421532</v>
      </c>
      <c r="AD178" s="10">
        <f t="shared" si="49"/>
        <v>11.068570336494654</v>
      </c>
      <c r="AH178" s="10">
        <f t="shared" si="50"/>
        <v>1</v>
      </c>
      <c r="AI178" s="10">
        <f t="shared" si="51"/>
        <v>0</v>
      </c>
      <c r="AJ178" s="10">
        <f t="shared" si="52"/>
        <v>0</v>
      </c>
    </row>
    <row r="179" spans="6:36" x14ac:dyDescent="0.25">
      <c r="F179" s="10">
        <v>8</v>
      </c>
      <c r="G179" s="10">
        <v>17</v>
      </c>
      <c r="H179" s="10">
        <v>1</v>
      </c>
      <c r="I179" s="10">
        <f t="shared" si="53"/>
        <v>8.350479766806572</v>
      </c>
      <c r="J179" s="10">
        <f t="shared" si="42"/>
        <v>14.99938962981048</v>
      </c>
      <c r="K179" s="10">
        <f t="shared" si="43"/>
        <v>1</v>
      </c>
      <c r="S179" s="10">
        <f t="shared" si="44"/>
        <v>109.02243142131539</v>
      </c>
      <c r="T179" s="10">
        <f t="shared" si="45"/>
        <v>1</v>
      </c>
      <c r="U179" s="10">
        <f t="shared" si="46"/>
        <v>0</v>
      </c>
      <c r="V179" s="10">
        <f t="shared" si="47"/>
        <v>0</v>
      </c>
      <c r="Y179" s="10">
        <f t="shared" si="48"/>
        <v>0</v>
      </c>
      <c r="Z179" s="10">
        <f t="shared" si="48"/>
        <v>0</v>
      </c>
      <c r="AA179" s="10">
        <f t="shared" si="48"/>
        <v>0</v>
      </c>
      <c r="AB179" s="10">
        <f t="shared" si="49"/>
        <v>0.29917600024500002</v>
      </c>
      <c r="AC179" s="10">
        <f t="shared" si="49"/>
        <v>-6.8617067882421532</v>
      </c>
      <c r="AD179" s="10">
        <f t="shared" si="49"/>
        <v>11.068570336494654</v>
      </c>
      <c r="AH179" s="10">
        <f t="shared" si="50"/>
        <v>1</v>
      </c>
      <c r="AI179" s="10">
        <f t="shared" si="51"/>
        <v>0</v>
      </c>
      <c r="AJ179" s="10">
        <f t="shared" si="52"/>
        <v>0</v>
      </c>
    </row>
    <row r="180" spans="6:36" x14ac:dyDescent="0.25">
      <c r="F180" s="10">
        <v>8</v>
      </c>
      <c r="G180" s="10">
        <v>18</v>
      </c>
      <c r="H180" s="10">
        <v>1</v>
      </c>
      <c r="I180" s="10">
        <f t="shared" si="53"/>
        <v>8.8378960488846694</v>
      </c>
      <c r="J180" s="10">
        <f t="shared" si="42"/>
        <v>14.99938962981048</v>
      </c>
      <c r="K180" s="10">
        <f t="shared" si="43"/>
        <v>1</v>
      </c>
      <c r="S180" s="10">
        <f t="shared" si="44"/>
        <v>105.67792380988035</v>
      </c>
      <c r="T180" s="10">
        <f t="shared" si="45"/>
        <v>1</v>
      </c>
      <c r="U180" s="10">
        <f t="shared" si="46"/>
        <v>0</v>
      </c>
      <c r="V180" s="10">
        <f t="shared" si="47"/>
        <v>0</v>
      </c>
      <c r="Y180" s="10">
        <f t="shared" si="48"/>
        <v>0</v>
      </c>
      <c r="Z180" s="10">
        <f t="shared" si="48"/>
        <v>0</v>
      </c>
      <c r="AA180" s="10">
        <f t="shared" si="48"/>
        <v>0</v>
      </c>
      <c r="AB180" s="10">
        <f t="shared" si="49"/>
        <v>0.29917600024500002</v>
      </c>
      <c r="AC180" s="10">
        <f t="shared" si="49"/>
        <v>-6.8617067882421532</v>
      </c>
      <c r="AD180" s="10">
        <f t="shared" si="49"/>
        <v>11.068570336494654</v>
      </c>
      <c r="AH180" s="10">
        <f t="shared" si="50"/>
        <v>1</v>
      </c>
      <c r="AI180" s="10">
        <f t="shared" si="51"/>
        <v>0</v>
      </c>
      <c r="AJ180" s="10">
        <f t="shared" si="52"/>
        <v>0</v>
      </c>
    </row>
    <row r="181" spans="6:36" x14ac:dyDescent="0.25">
      <c r="F181" s="10">
        <v>8</v>
      </c>
      <c r="G181" s="10">
        <v>19</v>
      </c>
      <c r="H181" s="10">
        <v>1</v>
      </c>
      <c r="I181" s="10">
        <f t="shared" si="53"/>
        <v>5.9362821331723659</v>
      </c>
      <c r="J181" s="10">
        <f t="shared" si="42"/>
        <v>14.99938962981048</v>
      </c>
      <c r="K181" s="10">
        <f t="shared" si="43"/>
        <v>1</v>
      </c>
      <c r="S181" s="10">
        <f t="shared" si="44"/>
        <v>125.58794771218136</v>
      </c>
      <c r="T181" s="10">
        <f t="shared" si="45"/>
        <v>1</v>
      </c>
      <c r="U181" s="10">
        <f t="shared" si="46"/>
        <v>0</v>
      </c>
      <c r="V181" s="10">
        <f t="shared" si="47"/>
        <v>0</v>
      </c>
      <c r="Y181" s="10">
        <f t="shared" si="48"/>
        <v>0</v>
      </c>
      <c r="Z181" s="10">
        <f t="shared" si="48"/>
        <v>0</v>
      </c>
      <c r="AA181" s="10">
        <f t="shared" si="48"/>
        <v>0</v>
      </c>
      <c r="AB181" s="10">
        <f t="shared" si="49"/>
        <v>0.29917600024500002</v>
      </c>
      <c r="AC181" s="10">
        <f t="shared" si="49"/>
        <v>-6.8617067882421532</v>
      </c>
      <c r="AD181" s="10">
        <f t="shared" si="49"/>
        <v>11.068570336494654</v>
      </c>
      <c r="AH181" s="10">
        <f t="shared" si="50"/>
        <v>1</v>
      </c>
      <c r="AI181" s="10">
        <f t="shared" si="51"/>
        <v>0</v>
      </c>
      <c r="AJ181" s="10">
        <f t="shared" si="52"/>
        <v>0</v>
      </c>
    </row>
    <row r="182" spans="6:36" x14ac:dyDescent="0.25">
      <c r="F182" s="10">
        <v>8</v>
      </c>
      <c r="G182" s="10">
        <v>20</v>
      </c>
      <c r="H182" s="10">
        <v>1</v>
      </c>
      <c r="I182" s="10">
        <f t="shared" si="53"/>
        <v>6.5710893880029841</v>
      </c>
      <c r="J182" s="10">
        <f t="shared" si="42"/>
        <v>14.99938962981048</v>
      </c>
      <c r="K182" s="10">
        <f t="shared" si="43"/>
        <v>1</v>
      </c>
      <c r="S182" s="10">
        <f t="shared" si="44"/>
        <v>121.23208646248474</v>
      </c>
      <c r="T182" s="10">
        <f t="shared" si="45"/>
        <v>1</v>
      </c>
      <c r="U182" s="10">
        <f t="shared" si="46"/>
        <v>0</v>
      </c>
      <c r="V182" s="10">
        <f t="shared" si="47"/>
        <v>0</v>
      </c>
      <c r="X182" s="10">
        <f>SUM(V163:V182)</f>
        <v>0</v>
      </c>
      <c r="Y182" s="10">
        <f t="shared" si="48"/>
        <v>0</v>
      </c>
      <c r="Z182" s="10">
        <f t="shared" si="48"/>
        <v>0</v>
      </c>
      <c r="AA182" s="10">
        <f t="shared" si="48"/>
        <v>0</v>
      </c>
      <c r="AB182" s="10">
        <f t="shared" si="49"/>
        <v>0.29917600024500002</v>
      </c>
      <c r="AC182" s="10">
        <f t="shared" si="49"/>
        <v>-6.8617067882421532</v>
      </c>
      <c r="AD182" s="10">
        <f t="shared" si="49"/>
        <v>11.068570336494654</v>
      </c>
      <c r="AH182" s="10">
        <f t="shared" si="50"/>
        <v>1</v>
      </c>
      <c r="AI182" s="10">
        <f t="shared" si="51"/>
        <v>0</v>
      </c>
      <c r="AJ182" s="10">
        <f t="shared" si="52"/>
        <v>0</v>
      </c>
    </row>
    <row r="183" spans="6:36" x14ac:dyDescent="0.25">
      <c r="F183" s="10">
        <v>9</v>
      </c>
      <c r="G183" s="10">
        <v>1</v>
      </c>
      <c r="H183" s="10">
        <v>1</v>
      </c>
      <c r="I183" s="10">
        <f t="shared" si="53"/>
        <v>4.3149584625268673</v>
      </c>
      <c r="J183" s="10">
        <f t="shared" si="42"/>
        <v>14.99938962981048</v>
      </c>
      <c r="K183" s="10">
        <f t="shared" si="43"/>
        <v>1</v>
      </c>
      <c r="S183" s="12">
        <f t="shared" si="44"/>
        <v>136.71299534898725</v>
      </c>
      <c r="T183" s="12">
        <f t="shared" si="45"/>
        <v>1</v>
      </c>
      <c r="U183" s="12">
        <f t="shared" si="46"/>
        <v>0</v>
      </c>
      <c r="V183" s="12">
        <f t="shared" si="47"/>
        <v>0</v>
      </c>
      <c r="W183" s="12"/>
      <c r="X183" s="12"/>
      <c r="Y183" s="10">
        <f t="shared" si="48"/>
        <v>0</v>
      </c>
      <c r="Z183" s="10">
        <f t="shared" si="48"/>
        <v>0</v>
      </c>
      <c r="AA183" s="10">
        <f t="shared" si="48"/>
        <v>0</v>
      </c>
      <c r="AB183" s="10">
        <f t="shared" si="49"/>
        <v>0.29917600024500002</v>
      </c>
      <c r="AC183" s="10">
        <f t="shared" si="49"/>
        <v>-6.8617067882421532</v>
      </c>
      <c r="AD183" s="10">
        <f t="shared" si="49"/>
        <v>11.068570336494654</v>
      </c>
      <c r="AH183" s="10">
        <f t="shared" si="50"/>
        <v>1</v>
      </c>
      <c r="AI183" s="10">
        <f t="shared" si="51"/>
        <v>0</v>
      </c>
      <c r="AJ183" s="10">
        <f t="shared" si="52"/>
        <v>0</v>
      </c>
    </row>
    <row r="184" spans="6:36" x14ac:dyDescent="0.25">
      <c r="F184" s="10">
        <v>9</v>
      </c>
      <c r="G184" s="10">
        <v>2</v>
      </c>
      <c r="H184" s="10">
        <v>1</v>
      </c>
      <c r="I184" s="10">
        <f t="shared" si="53"/>
        <v>4.2336649521823988</v>
      </c>
      <c r="J184" s="10">
        <f t="shared" si="42"/>
        <v>14.99938962981048</v>
      </c>
      <c r="K184" s="10">
        <f t="shared" si="43"/>
        <v>1</v>
      </c>
      <c r="S184" s="10">
        <f t="shared" si="44"/>
        <v>137.27080758075795</v>
      </c>
      <c r="T184" s="10">
        <f t="shared" si="45"/>
        <v>1</v>
      </c>
      <c r="U184" s="10">
        <f t="shared" si="46"/>
        <v>0</v>
      </c>
      <c r="V184" s="10">
        <f t="shared" si="47"/>
        <v>0</v>
      </c>
      <c r="Y184" s="10">
        <f t="shared" si="48"/>
        <v>0</v>
      </c>
      <c r="Z184" s="10">
        <f t="shared" si="48"/>
        <v>0</v>
      </c>
      <c r="AA184" s="10">
        <f t="shared" si="48"/>
        <v>0</v>
      </c>
      <c r="AB184" s="10">
        <f t="shared" si="49"/>
        <v>0.29917600024500002</v>
      </c>
      <c r="AC184" s="10">
        <f t="shared" si="49"/>
        <v>-6.8617067882421532</v>
      </c>
      <c r="AD184" s="10">
        <f t="shared" si="49"/>
        <v>11.068570336494654</v>
      </c>
      <c r="AH184" s="10">
        <f t="shared" si="50"/>
        <v>1</v>
      </c>
      <c r="AI184" s="10">
        <f t="shared" si="51"/>
        <v>0</v>
      </c>
      <c r="AJ184" s="10">
        <f t="shared" si="52"/>
        <v>0</v>
      </c>
    </row>
    <row r="185" spans="6:36" x14ac:dyDescent="0.25">
      <c r="F185" s="10">
        <v>9</v>
      </c>
      <c r="G185" s="10">
        <v>3</v>
      </c>
      <c r="H185" s="10">
        <v>1</v>
      </c>
      <c r="I185" s="10">
        <f t="shared" si="53"/>
        <v>4.0760342132531742</v>
      </c>
      <c r="J185" s="10">
        <f t="shared" si="42"/>
        <v>14.99938962981048</v>
      </c>
      <c r="K185" s="10">
        <f t="shared" si="43"/>
        <v>1</v>
      </c>
      <c r="S185" s="10">
        <f t="shared" si="44"/>
        <v>138.35242349210421</v>
      </c>
      <c r="T185" s="10">
        <f t="shared" si="45"/>
        <v>1</v>
      </c>
      <c r="U185" s="10">
        <f t="shared" si="46"/>
        <v>0</v>
      </c>
      <c r="V185" s="10">
        <f t="shared" si="47"/>
        <v>0</v>
      </c>
      <c r="Y185" s="10">
        <f t="shared" si="48"/>
        <v>0</v>
      </c>
      <c r="Z185" s="10">
        <f t="shared" si="48"/>
        <v>0</v>
      </c>
      <c r="AA185" s="10">
        <f t="shared" si="48"/>
        <v>0</v>
      </c>
      <c r="AB185" s="10">
        <f t="shared" si="49"/>
        <v>0.29917600024500002</v>
      </c>
      <c r="AC185" s="10">
        <f t="shared" si="49"/>
        <v>-6.8617067882421532</v>
      </c>
      <c r="AD185" s="10">
        <f t="shared" si="49"/>
        <v>11.068570336494654</v>
      </c>
      <c r="AH185" s="10">
        <f t="shared" si="50"/>
        <v>1</v>
      </c>
      <c r="AI185" s="10">
        <f t="shared" si="51"/>
        <v>0</v>
      </c>
      <c r="AJ185" s="10">
        <f t="shared" si="52"/>
        <v>0</v>
      </c>
    </row>
    <row r="186" spans="6:36" x14ac:dyDescent="0.25">
      <c r="F186" s="10">
        <v>9</v>
      </c>
      <c r="G186" s="10">
        <v>4</v>
      </c>
      <c r="H186" s="10">
        <v>1</v>
      </c>
      <c r="I186" s="10">
        <f t="shared" si="53"/>
        <v>6.9682999690312606</v>
      </c>
      <c r="J186" s="10">
        <f t="shared" si="42"/>
        <v>14.99938962981048</v>
      </c>
      <c r="K186" s="10">
        <f t="shared" si="43"/>
        <v>1</v>
      </c>
      <c r="S186" s="10">
        <f t="shared" si="44"/>
        <v>118.50654392228139</v>
      </c>
      <c r="T186" s="10">
        <f t="shared" si="45"/>
        <v>1</v>
      </c>
      <c r="U186" s="10">
        <f t="shared" si="46"/>
        <v>0</v>
      </c>
      <c r="V186" s="10">
        <f t="shared" si="47"/>
        <v>0</v>
      </c>
      <c r="Y186" s="10">
        <f t="shared" si="48"/>
        <v>0</v>
      </c>
      <c r="Z186" s="10">
        <f t="shared" si="48"/>
        <v>0</v>
      </c>
      <c r="AA186" s="10">
        <f t="shared" si="48"/>
        <v>0</v>
      </c>
      <c r="AB186" s="10">
        <f t="shared" si="49"/>
        <v>0.29917600024500002</v>
      </c>
      <c r="AC186" s="10">
        <f t="shared" si="49"/>
        <v>-6.8617067882421532</v>
      </c>
      <c r="AD186" s="10">
        <f t="shared" si="49"/>
        <v>11.068570336494654</v>
      </c>
      <c r="AH186" s="10">
        <f t="shared" si="50"/>
        <v>1</v>
      </c>
      <c r="AI186" s="10">
        <f t="shared" si="51"/>
        <v>0</v>
      </c>
      <c r="AJ186" s="10">
        <f t="shared" si="52"/>
        <v>0</v>
      </c>
    </row>
    <row r="187" spans="6:36" x14ac:dyDescent="0.25">
      <c r="F187" s="10">
        <v>9</v>
      </c>
      <c r="G187" s="10">
        <v>5</v>
      </c>
      <c r="H187" s="10">
        <v>1</v>
      </c>
      <c r="I187" s="10">
        <f t="shared" si="53"/>
        <v>8.3649028089644606</v>
      </c>
      <c r="J187" s="10">
        <f t="shared" si="42"/>
        <v>14.99938962981048</v>
      </c>
      <c r="K187" s="10">
        <f t="shared" si="43"/>
        <v>1</v>
      </c>
      <c r="S187" s="10">
        <f t="shared" si="44"/>
        <v>108.92346473503349</v>
      </c>
      <c r="T187" s="10">
        <f t="shared" si="45"/>
        <v>1</v>
      </c>
      <c r="U187" s="10">
        <f t="shared" si="46"/>
        <v>0</v>
      </c>
      <c r="V187" s="10">
        <f t="shared" si="47"/>
        <v>0</v>
      </c>
      <c r="Y187" s="10">
        <f t="shared" si="48"/>
        <v>0</v>
      </c>
      <c r="Z187" s="10">
        <f t="shared" si="48"/>
        <v>0</v>
      </c>
      <c r="AA187" s="10">
        <f t="shared" si="48"/>
        <v>0</v>
      </c>
      <c r="AB187" s="10">
        <f t="shared" si="49"/>
        <v>0.29917600024500002</v>
      </c>
      <c r="AC187" s="10">
        <f t="shared" si="49"/>
        <v>-6.8617067882421532</v>
      </c>
      <c r="AD187" s="10">
        <f t="shared" si="49"/>
        <v>11.068570336494654</v>
      </c>
      <c r="AH187" s="10">
        <f t="shared" si="50"/>
        <v>1</v>
      </c>
      <c r="AI187" s="10">
        <f t="shared" si="51"/>
        <v>0</v>
      </c>
      <c r="AJ187" s="10">
        <f t="shared" si="52"/>
        <v>0</v>
      </c>
    </row>
    <row r="188" spans="6:36" x14ac:dyDescent="0.25">
      <c r="F188" s="10">
        <v>9</v>
      </c>
      <c r="G188" s="10">
        <v>6</v>
      </c>
      <c r="H188" s="10">
        <v>1</v>
      </c>
      <c r="I188" s="10">
        <f t="shared" si="53"/>
        <v>9.3848699915294151</v>
      </c>
      <c r="J188" s="10">
        <f t="shared" si="42"/>
        <v>14.99938962981048</v>
      </c>
      <c r="K188" s="10">
        <f t="shared" si="43"/>
        <v>1</v>
      </c>
      <c r="S188" s="10">
        <f t="shared" si="44"/>
        <v>101.92474899464332</v>
      </c>
      <c r="T188" s="10">
        <f t="shared" si="45"/>
        <v>1</v>
      </c>
      <c r="U188" s="10">
        <f t="shared" si="46"/>
        <v>0</v>
      </c>
      <c r="V188" s="10">
        <f t="shared" si="47"/>
        <v>0</v>
      </c>
      <c r="Y188" s="10">
        <f t="shared" si="48"/>
        <v>0</v>
      </c>
      <c r="Z188" s="10">
        <f t="shared" si="48"/>
        <v>0</v>
      </c>
      <c r="AA188" s="10">
        <f t="shared" si="48"/>
        <v>0</v>
      </c>
      <c r="AB188" s="10">
        <f t="shared" si="49"/>
        <v>0.29917600024500002</v>
      </c>
      <c r="AC188" s="10">
        <f t="shared" si="49"/>
        <v>-6.8617067882421532</v>
      </c>
      <c r="AD188" s="10">
        <f t="shared" si="49"/>
        <v>11.068570336494654</v>
      </c>
      <c r="AH188" s="10">
        <f t="shared" si="50"/>
        <v>1</v>
      </c>
      <c r="AI188" s="10">
        <f t="shared" si="51"/>
        <v>0</v>
      </c>
      <c r="AJ188" s="10">
        <f t="shared" si="52"/>
        <v>0</v>
      </c>
    </row>
    <row r="189" spans="6:36" x14ac:dyDescent="0.25">
      <c r="F189" s="10">
        <v>9</v>
      </c>
      <c r="G189" s="10">
        <v>7</v>
      </c>
      <c r="H189" s="10">
        <v>1</v>
      </c>
      <c r="I189" s="10">
        <f t="shared" si="53"/>
        <v>9.2116945315592211</v>
      </c>
      <c r="J189" s="10">
        <f t="shared" si="42"/>
        <v>14.99938962981048</v>
      </c>
      <c r="K189" s="10">
        <f t="shared" si="43"/>
        <v>1</v>
      </c>
      <c r="S189" s="10">
        <f t="shared" si="44"/>
        <v>103.11302822387776</v>
      </c>
      <c r="T189" s="10">
        <f t="shared" si="45"/>
        <v>1</v>
      </c>
      <c r="U189" s="10">
        <f t="shared" si="46"/>
        <v>0</v>
      </c>
      <c r="V189" s="10">
        <f t="shared" si="47"/>
        <v>0</v>
      </c>
      <c r="Y189" s="10">
        <f t="shared" si="48"/>
        <v>0</v>
      </c>
      <c r="Z189" s="10">
        <f t="shared" si="48"/>
        <v>0</v>
      </c>
      <c r="AA189" s="10">
        <f t="shared" si="48"/>
        <v>0</v>
      </c>
      <c r="AB189" s="10">
        <f t="shared" si="49"/>
        <v>0.29917600024500002</v>
      </c>
      <c r="AC189" s="10">
        <f t="shared" si="49"/>
        <v>-6.8617067882421532</v>
      </c>
      <c r="AD189" s="10">
        <f t="shared" si="49"/>
        <v>11.068570336494654</v>
      </c>
      <c r="AH189" s="10">
        <f t="shared" si="50"/>
        <v>1</v>
      </c>
      <c r="AI189" s="10">
        <f t="shared" si="51"/>
        <v>0</v>
      </c>
      <c r="AJ189" s="10">
        <f t="shared" si="52"/>
        <v>0</v>
      </c>
    </row>
    <row r="190" spans="6:36" x14ac:dyDescent="0.25">
      <c r="F190" s="10">
        <v>9</v>
      </c>
      <c r="G190" s="10">
        <v>8</v>
      </c>
      <c r="H190" s="10">
        <v>1</v>
      </c>
      <c r="I190" s="10">
        <f t="shared" si="53"/>
        <v>10.461114754974387</v>
      </c>
      <c r="J190" s="10">
        <f t="shared" si="42"/>
        <v>14.99938962981048</v>
      </c>
      <c r="K190" s="10">
        <f t="shared" si="43"/>
        <v>1</v>
      </c>
      <c r="S190" s="10">
        <f t="shared" si="44"/>
        <v>94.53987299550289</v>
      </c>
      <c r="T190" s="10">
        <f t="shared" si="45"/>
        <v>1</v>
      </c>
      <c r="U190" s="10">
        <f t="shared" si="46"/>
        <v>0</v>
      </c>
      <c r="V190" s="10">
        <f t="shared" si="47"/>
        <v>0</v>
      </c>
      <c r="Y190" s="10">
        <f t="shared" si="48"/>
        <v>0</v>
      </c>
      <c r="Z190" s="10">
        <f t="shared" si="48"/>
        <v>0</v>
      </c>
      <c r="AA190" s="10">
        <f t="shared" si="48"/>
        <v>0</v>
      </c>
      <c r="AB190" s="10">
        <f t="shared" si="49"/>
        <v>0.29917600024500002</v>
      </c>
      <c r="AC190" s="10">
        <f t="shared" si="49"/>
        <v>-6.8617067882421532</v>
      </c>
      <c r="AD190" s="10">
        <f t="shared" si="49"/>
        <v>11.068570336494654</v>
      </c>
      <c r="AH190" s="10">
        <f t="shared" si="50"/>
        <v>1</v>
      </c>
      <c r="AI190" s="10">
        <f t="shared" si="51"/>
        <v>0</v>
      </c>
      <c r="AJ190" s="10">
        <f t="shared" si="52"/>
        <v>0</v>
      </c>
    </row>
    <row r="191" spans="6:36" x14ac:dyDescent="0.25">
      <c r="F191" s="10">
        <v>9</v>
      </c>
      <c r="G191" s="10">
        <v>9</v>
      </c>
      <c r="H191" s="10">
        <v>1</v>
      </c>
      <c r="I191" s="10">
        <f t="shared" si="53"/>
        <v>4.1553347214085523</v>
      </c>
      <c r="J191" s="10">
        <f t="shared" si="42"/>
        <v>14.99938962981048</v>
      </c>
      <c r="K191" s="10">
        <f t="shared" si="43"/>
        <v>1</v>
      </c>
      <c r="S191" s="10">
        <f t="shared" si="44"/>
        <v>137.8082866569834</v>
      </c>
      <c r="T191" s="10">
        <f t="shared" si="45"/>
        <v>1</v>
      </c>
      <c r="U191" s="10">
        <f t="shared" si="46"/>
        <v>0</v>
      </c>
      <c r="V191" s="10">
        <f t="shared" si="47"/>
        <v>0</v>
      </c>
      <c r="Y191" s="10">
        <f t="shared" si="48"/>
        <v>0</v>
      </c>
      <c r="Z191" s="10">
        <f t="shared" si="48"/>
        <v>0</v>
      </c>
      <c r="AA191" s="10">
        <f t="shared" si="48"/>
        <v>0</v>
      </c>
      <c r="AB191" s="10">
        <f t="shared" si="49"/>
        <v>0.29917600024500002</v>
      </c>
      <c r="AC191" s="10">
        <f t="shared" si="49"/>
        <v>-6.8617067882421532</v>
      </c>
      <c r="AD191" s="10">
        <f t="shared" si="49"/>
        <v>11.068570336494654</v>
      </c>
      <c r="AH191" s="10">
        <f t="shared" si="50"/>
        <v>1</v>
      </c>
      <c r="AI191" s="10">
        <f t="shared" si="51"/>
        <v>0</v>
      </c>
      <c r="AJ191" s="10">
        <f t="shared" si="52"/>
        <v>0</v>
      </c>
    </row>
    <row r="192" spans="6:36" x14ac:dyDescent="0.25">
      <c r="F192" s="10">
        <v>9</v>
      </c>
      <c r="G192" s="10">
        <v>10</v>
      </c>
      <c r="H192" s="10">
        <v>1</v>
      </c>
      <c r="I192" s="10">
        <f t="shared" si="53"/>
        <v>8.4627041466514576</v>
      </c>
      <c r="J192" s="10">
        <f t="shared" si="42"/>
        <v>14.99938962981048</v>
      </c>
      <c r="K192" s="10">
        <f t="shared" si="43"/>
        <v>1</v>
      </c>
      <c r="S192" s="10">
        <f t="shared" si="44"/>
        <v>108.25238063232746</v>
      </c>
      <c r="T192" s="10">
        <f t="shared" si="45"/>
        <v>1</v>
      </c>
      <c r="U192" s="10">
        <f t="shared" si="46"/>
        <v>0</v>
      </c>
      <c r="V192" s="10">
        <f t="shared" si="47"/>
        <v>0</v>
      </c>
      <c r="Y192" s="10">
        <f t="shared" si="48"/>
        <v>0</v>
      </c>
      <c r="Z192" s="10">
        <f t="shared" si="48"/>
        <v>0</v>
      </c>
      <c r="AA192" s="10">
        <f t="shared" si="48"/>
        <v>0</v>
      </c>
      <c r="AB192" s="10">
        <f t="shared" si="49"/>
        <v>0.29917600024500002</v>
      </c>
      <c r="AC192" s="10">
        <f t="shared" si="49"/>
        <v>-6.8617067882421532</v>
      </c>
      <c r="AD192" s="10">
        <f t="shared" si="49"/>
        <v>11.068570336494654</v>
      </c>
      <c r="AH192" s="10">
        <f t="shared" si="50"/>
        <v>1</v>
      </c>
      <c r="AI192" s="10">
        <f t="shared" si="51"/>
        <v>0</v>
      </c>
      <c r="AJ192" s="10">
        <f t="shared" si="52"/>
        <v>0</v>
      </c>
    </row>
    <row r="193" spans="6:36" x14ac:dyDescent="0.25">
      <c r="F193" s="10">
        <v>9</v>
      </c>
      <c r="G193" s="10">
        <v>11</v>
      </c>
      <c r="H193" s="10">
        <v>1</v>
      </c>
      <c r="I193" s="10">
        <f t="shared" si="53"/>
        <v>11.722530671423003</v>
      </c>
      <c r="J193" s="10">
        <f t="shared" si="42"/>
        <v>14.99938962981048</v>
      </c>
      <c r="K193" s="10">
        <f t="shared" si="43"/>
        <v>1</v>
      </c>
      <c r="S193" s="10">
        <f t="shared" si="44"/>
        <v>85.884406838810719</v>
      </c>
      <c r="T193" s="10">
        <f t="shared" si="45"/>
        <v>1</v>
      </c>
      <c r="U193" s="10">
        <f t="shared" si="46"/>
        <v>0</v>
      </c>
      <c r="V193" s="10">
        <f t="shared" si="47"/>
        <v>0</v>
      </c>
      <c r="Y193" s="10">
        <f t="shared" si="48"/>
        <v>0</v>
      </c>
      <c r="Z193" s="10">
        <f t="shared" si="48"/>
        <v>0</v>
      </c>
      <c r="AA193" s="10">
        <f t="shared" si="48"/>
        <v>0</v>
      </c>
      <c r="AB193" s="10">
        <f t="shared" si="49"/>
        <v>0.29917600024500002</v>
      </c>
      <c r="AC193" s="10">
        <f t="shared" si="49"/>
        <v>-6.8617067882421532</v>
      </c>
      <c r="AD193" s="10">
        <f t="shared" si="49"/>
        <v>11.068570336494654</v>
      </c>
      <c r="AH193" s="10">
        <f t="shared" si="50"/>
        <v>1</v>
      </c>
      <c r="AI193" s="10">
        <f t="shared" si="51"/>
        <v>0</v>
      </c>
      <c r="AJ193" s="10">
        <f t="shared" si="52"/>
        <v>0</v>
      </c>
    </row>
    <row r="194" spans="6:36" x14ac:dyDescent="0.25">
      <c r="F194" s="10">
        <v>9</v>
      </c>
      <c r="G194" s="10">
        <v>12</v>
      </c>
      <c r="H194" s="10">
        <v>1</v>
      </c>
      <c r="I194" s="10">
        <f t="shared" si="53"/>
        <v>9.6231558949622329</v>
      </c>
      <c r="J194" s="10">
        <f t="shared" si="42"/>
        <v>14.99938962981048</v>
      </c>
      <c r="K194" s="10">
        <f t="shared" si="43"/>
        <v>1</v>
      </c>
      <c r="S194" s="10">
        <f t="shared" si="44"/>
        <v>100.28970099351595</v>
      </c>
      <c r="T194" s="10">
        <f t="shared" si="45"/>
        <v>1</v>
      </c>
      <c r="U194" s="10">
        <f t="shared" si="46"/>
        <v>0</v>
      </c>
      <c r="V194" s="10">
        <f t="shared" si="47"/>
        <v>0</v>
      </c>
      <c r="Y194" s="10">
        <f t="shared" si="48"/>
        <v>0</v>
      </c>
      <c r="Z194" s="10">
        <f t="shared" si="48"/>
        <v>0</v>
      </c>
      <c r="AA194" s="10">
        <f t="shared" si="48"/>
        <v>0</v>
      </c>
      <c r="AB194" s="10">
        <f t="shared" si="49"/>
        <v>0.29917600024500002</v>
      </c>
      <c r="AC194" s="10">
        <f t="shared" si="49"/>
        <v>-6.8617067882421532</v>
      </c>
      <c r="AD194" s="10">
        <f t="shared" si="49"/>
        <v>11.068570336494654</v>
      </c>
      <c r="AH194" s="10">
        <f t="shared" si="50"/>
        <v>1</v>
      </c>
      <c r="AI194" s="10">
        <f t="shared" si="51"/>
        <v>0</v>
      </c>
      <c r="AJ194" s="10">
        <f t="shared" si="52"/>
        <v>0</v>
      </c>
    </row>
    <row r="195" spans="6:36" x14ac:dyDescent="0.25">
      <c r="F195" s="10">
        <v>9</v>
      </c>
      <c r="G195" s="10">
        <v>13</v>
      </c>
      <c r="H195" s="10">
        <v>1</v>
      </c>
      <c r="I195" s="10">
        <f t="shared" si="53"/>
        <v>8.0162683783311302</v>
      </c>
      <c r="J195" s="10">
        <f t="shared" si="42"/>
        <v>14.99938962981048</v>
      </c>
      <c r="K195" s="10">
        <f t="shared" si="43"/>
        <v>1</v>
      </c>
      <c r="S195" s="10">
        <f t="shared" si="44"/>
        <v>111.31569197432515</v>
      </c>
      <c r="T195" s="10">
        <f t="shared" si="45"/>
        <v>1</v>
      </c>
      <c r="U195" s="10">
        <f t="shared" si="46"/>
        <v>0</v>
      </c>
      <c r="V195" s="10">
        <f t="shared" si="47"/>
        <v>0</v>
      </c>
      <c r="Y195" s="10">
        <f t="shared" si="48"/>
        <v>0</v>
      </c>
      <c r="Z195" s="10">
        <f t="shared" si="48"/>
        <v>0</v>
      </c>
      <c r="AA195" s="10">
        <f t="shared" si="48"/>
        <v>0</v>
      </c>
      <c r="AB195" s="10">
        <f t="shared" si="49"/>
        <v>0.29917600024500002</v>
      </c>
      <c r="AC195" s="10">
        <f t="shared" si="49"/>
        <v>-6.8617067882421532</v>
      </c>
      <c r="AD195" s="10">
        <f t="shared" si="49"/>
        <v>11.068570336494654</v>
      </c>
      <c r="AH195" s="10">
        <f t="shared" si="50"/>
        <v>1</v>
      </c>
      <c r="AI195" s="10">
        <f t="shared" si="51"/>
        <v>0</v>
      </c>
      <c r="AJ195" s="10">
        <f t="shared" si="52"/>
        <v>0</v>
      </c>
    </row>
    <row r="196" spans="6:36" x14ac:dyDescent="0.25">
      <c r="F196" s="10">
        <v>9</v>
      </c>
      <c r="G196" s="10">
        <v>14</v>
      </c>
      <c r="H196" s="10">
        <v>1</v>
      </c>
      <c r="I196" s="10">
        <f t="shared" si="53"/>
        <v>11.270939377934512</v>
      </c>
      <c r="J196" s="10">
        <f t="shared" si="42"/>
        <v>14.99938962981048</v>
      </c>
      <c r="K196" s="10">
        <f t="shared" si="43"/>
        <v>1</v>
      </c>
      <c r="S196" s="10">
        <f t="shared" si="44"/>
        <v>88.983093882851762</v>
      </c>
      <c r="T196" s="10">
        <f t="shared" si="45"/>
        <v>1</v>
      </c>
      <c r="U196" s="10">
        <f t="shared" si="46"/>
        <v>0</v>
      </c>
      <c r="V196" s="10">
        <f t="shared" si="47"/>
        <v>0</v>
      </c>
      <c r="Y196" s="10">
        <f t="shared" si="48"/>
        <v>0</v>
      </c>
      <c r="Z196" s="10">
        <f t="shared" si="48"/>
        <v>0</v>
      </c>
      <c r="AA196" s="10">
        <f t="shared" si="48"/>
        <v>0</v>
      </c>
      <c r="AB196" s="10">
        <f t="shared" si="49"/>
        <v>0.29917600024500002</v>
      </c>
      <c r="AC196" s="10">
        <f t="shared" si="49"/>
        <v>-6.8617067882421532</v>
      </c>
      <c r="AD196" s="10">
        <f t="shared" si="49"/>
        <v>11.068570336494654</v>
      </c>
      <c r="AH196" s="10">
        <f t="shared" si="50"/>
        <v>1</v>
      </c>
      <c r="AI196" s="10">
        <f t="shared" si="51"/>
        <v>0</v>
      </c>
      <c r="AJ196" s="10">
        <f t="shared" si="52"/>
        <v>0</v>
      </c>
    </row>
    <row r="197" spans="6:36" x14ac:dyDescent="0.25">
      <c r="F197" s="10">
        <v>9</v>
      </c>
      <c r="G197" s="10">
        <v>15</v>
      </c>
      <c r="H197" s="10">
        <v>1</v>
      </c>
      <c r="I197" s="10">
        <f t="shared" si="53"/>
        <v>7.0021023351067502</v>
      </c>
      <c r="J197" s="10">
        <f t="shared" si="42"/>
        <v>14.99938962981048</v>
      </c>
      <c r="K197" s="10">
        <f t="shared" si="43"/>
        <v>1</v>
      </c>
      <c r="S197" s="10">
        <f t="shared" si="44"/>
        <v>118.27460199752257</v>
      </c>
      <c r="T197" s="10">
        <f t="shared" si="45"/>
        <v>1</v>
      </c>
      <c r="U197" s="10">
        <f t="shared" si="46"/>
        <v>0</v>
      </c>
      <c r="V197" s="10">
        <f t="shared" si="47"/>
        <v>0</v>
      </c>
      <c r="Y197" s="10">
        <f t="shared" si="48"/>
        <v>0</v>
      </c>
      <c r="Z197" s="10">
        <f t="shared" si="48"/>
        <v>0</v>
      </c>
      <c r="AA197" s="10">
        <f t="shared" si="48"/>
        <v>0</v>
      </c>
      <c r="AB197" s="10">
        <f t="shared" si="49"/>
        <v>0.29917600024500002</v>
      </c>
      <c r="AC197" s="10">
        <f t="shared" si="49"/>
        <v>-6.8617067882421532</v>
      </c>
      <c r="AD197" s="10">
        <f t="shared" si="49"/>
        <v>11.068570336494654</v>
      </c>
      <c r="AH197" s="10">
        <f t="shared" si="50"/>
        <v>1</v>
      </c>
      <c r="AI197" s="10">
        <f t="shared" si="51"/>
        <v>0</v>
      </c>
      <c r="AJ197" s="10">
        <f t="shared" si="52"/>
        <v>0</v>
      </c>
    </row>
    <row r="198" spans="6:36" x14ac:dyDescent="0.25">
      <c r="F198" s="10">
        <v>9</v>
      </c>
      <c r="G198" s="10">
        <v>16</v>
      </c>
      <c r="H198" s="10">
        <v>1</v>
      </c>
      <c r="I198" s="10">
        <f t="shared" si="53"/>
        <v>9.3873260438242312</v>
      </c>
      <c r="J198" s="10">
        <f t="shared" si="42"/>
        <v>14.99938962981048</v>
      </c>
      <c r="K198" s="10">
        <f t="shared" si="43"/>
        <v>1</v>
      </c>
      <c r="S198" s="10">
        <f t="shared" si="44"/>
        <v>101.90789628393971</v>
      </c>
      <c r="T198" s="10">
        <f t="shared" si="45"/>
        <v>1</v>
      </c>
      <c r="U198" s="10">
        <f t="shared" si="46"/>
        <v>0</v>
      </c>
      <c r="V198" s="10">
        <f t="shared" si="47"/>
        <v>0</v>
      </c>
      <c r="Y198" s="10">
        <f t="shared" si="48"/>
        <v>0</v>
      </c>
      <c r="Z198" s="10">
        <f t="shared" si="48"/>
        <v>0</v>
      </c>
      <c r="AA198" s="10">
        <f t="shared" si="48"/>
        <v>0</v>
      </c>
      <c r="AB198" s="10">
        <f t="shared" si="49"/>
        <v>0.29917600024500002</v>
      </c>
      <c r="AC198" s="10">
        <f t="shared" si="49"/>
        <v>-6.8617067882421532</v>
      </c>
      <c r="AD198" s="10">
        <f t="shared" si="49"/>
        <v>11.068570336494654</v>
      </c>
      <c r="AH198" s="10">
        <f t="shared" si="50"/>
        <v>1</v>
      </c>
      <c r="AI198" s="10">
        <f t="shared" si="51"/>
        <v>0</v>
      </c>
      <c r="AJ198" s="10">
        <f t="shared" si="52"/>
        <v>0</v>
      </c>
    </row>
    <row r="199" spans="6:36" x14ac:dyDescent="0.25">
      <c r="F199" s="10">
        <v>9</v>
      </c>
      <c r="G199" s="10">
        <v>17</v>
      </c>
      <c r="H199" s="10">
        <v>1</v>
      </c>
      <c r="I199" s="10">
        <f t="shared" si="53"/>
        <v>8.350479766806572</v>
      </c>
      <c r="J199" s="10">
        <f t="shared" si="42"/>
        <v>14.99938962981048</v>
      </c>
      <c r="K199" s="10">
        <f t="shared" si="43"/>
        <v>1</v>
      </c>
      <c r="S199" s="10">
        <f t="shared" si="44"/>
        <v>109.02243142131539</v>
      </c>
      <c r="T199" s="10">
        <f t="shared" si="45"/>
        <v>1</v>
      </c>
      <c r="U199" s="10">
        <f t="shared" si="46"/>
        <v>0</v>
      </c>
      <c r="V199" s="10">
        <f t="shared" si="47"/>
        <v>0</v>
      </c>
      <c r="Y199" s="10">
        <f t="shared" si="48"/>
        <v>0</v>
      </c>
      <c r="Z199" s="10">
        <f t="shared" si="48"/>
        <v>0</v>
      </c>
      <c r="AA199" s="10">
        <f t="shared" si="48"/>
        <v>0</v>
      </c>
      <c r="AB199" s="10">
        <f t="shared" si="49"/>
        <v>0.29917600024500002</v>
      </c>
      <c r="AC199" s="10">
        <f t="shared" si="49"/>
        <v>-6.8617067882421532</v>
      </c>
      <c r="AD199" s="10">
        <f t="shared" si="49"/>
        <v>11.068570336494654</v>
      </c>
      <c r="AH199" s="10">
        <f t="shared" si="50"/>
        <v>1</v>
      </c>
      <c r="AI199" s="10">
        <f t="shared" si="51"/>
        <v>0</v>
      </c>
      <c r="AJ199" s="10">
        <f t="shared" si="52"/>
        <v>0</v>
      </c>
    </row>
    <row r="200" spans="6:36" x14ac:dyDescent="0.25">
      <c r="F200" s="10">
        <v>9</v>
      </c>
      <c r="G200" s="10">
        <v>18</v>
      </c>
      <c r="H200" s="10">
        <v>1</v>
      </c>
      <c r="I200" s="10">
        <f t="shared" si="53"/>
        <v>8.8378960488846694</v>
      </c>
      <c r="J200" s="10">
        <f t="shared" si="42"/>
        <v>14.99938962981048</v>
      </c>
      <c r="K200" s="10">
        <f t="shared" si="43"/>
        <v>1</v>
      </c>
      <c r="S200" s="10">
        <f t="shared" si="44"/>
        <v>105.67792380988035</v>
      </c>
      <c r="T200" s="10">
        <f t="shared" si="45"/>
        <v>1</v>
      </c>
      <c r="U200" s="10">
        <f t="shared" si="46"/>
        <v>0</v>
      </c>
      <c r="V200" s="10">
        <f t="shared" si="47"/>
        <v>0</v>
      </c>
      <c r="Y200" s="10">
        <f t="shared" si="48"/>
        <v>0</v>
      </c>
      <c r="Z200" s="10">
        <f t="shared" si="48"/>
        <v>0</v>
      </c>
      <c r="AA200" s="10">
        <f t="shared" si="48"/>
        <v>0</v>
      </c>
      <c r="AB200" s="10">
        <f t="shared" si="49"/>
        <v>0.29917600024500002</v>
      </c>
      <c r="AC200" s="10">
        <f t="shared" si="49"/>
        <v>-6.8617067882421532</v>
      </c>
      <c r="AD200" s="10">
        <f t="shared" si="49"/>
        <v>11.068570336494654</v>
      </c>
      <c r="AH200" s="10">
        <f t="shared" si="50"/>
        <v>1</v>
      </c>
      <c r="AI200" s="10">
        <f t="shared" si="51"/>
        <v>0</v>
      </c>
      <c r="AJ200" s="10">
        <f t="shared" si="52"/>
        <v>0</v>
      </c>
    </row>
    <row r="201" spans="6:36" x14ac:dyDescent="0.25">
      <c r="F201" s="10">
        <v>9</v>
      </c>
      <c r="G201" s="10">
        <v>19</v>
      </c>
      <c r="H201" s="10">
        <v>1</v>
      </c>
      <c r="I201" s="10">
        <f t="shared" si="53"/>
        <v>5.9362821331723659</v>
      </c>
      <c r="J201" s="10">
        <f t="shared" si="42"/>
        <v>14.99938962981048</v>
      </c>
      <c r="K201" s="10">
        <f t="shared" si="43"/>
        <v>1</v>
      </c>
      <c r="S201" s="10">
        <f t="shared" si="44"/>
        <v>125.58794771218136</v>
      </c>
      <c r="T201" s="10">
        <f t="shared" si="45"/>
        <v>1</v>
      </c>
      <c r="U201" s="10">
        <f t="shared" si="46"/>
        <v>0</v>
      </c>
      <c r="V201" s="10">
        <f t="shared" si="47"/>
        <v>0</v>
      </c>
      <c r="Y201" s="10">
        <f t="shared" si="48"/>
        <v>0</v>
      </c>
      <c r="Z201" s="10">
        <f t="shared" si="48"/>
        <v>0</v>
      </c>
      <c r="AA201" s="10">
        <f t="shared" si="48"/>
        <v>0</v>
      </c>
      <c r="AB201" s="10">
        <f t="shared" si="49"/>
        <v>0.29917600024500002</v>
      </c>
      <c r="AC201" s="10">
        <f t="shared" si="49"/>
        <v>-6.8617067882421532</v>
      </c>
      <c r="AD201" s="10">
        <f t="shared" si="49"/>
        <v>11.068570336494654</v>
      </c>
      <c r="AH201" s="10">
        <f t="shared" si="50"/>
        <v>1</v>
      </c>
      <c r="AI201" s="10">
        <f t="shared" si="51"/>
        <v>0</v>
      </c>
      <c r="AJ201" s="10">
        <f t="shared" si="52"/>
        <v>0</v>
      </c>
    </row>
    <row r="202" spans="6:36" x14ac:dyDescent="0.25">
      <c r="F202" s="10">
        <v>9</v>
      </c>
      <c r="G202" s="10">
        <v>20</v>
      </c>
      <c r="H202" s="10">
        <v>1</v>
      </c>
      <c r="I202" s="10">
        <f t="shared" si="53"/>
        <v>6.5710893880029841</v>
      </c>
      <c r="J202" s="10">
        <f t="shared" si="42"/>
        <v>14.99938962981048</v>
      </c>
      <c r="K202" s="10">
        <f t="shared" si="43"/>
        <v>1</v>
      </c>
      <c r="S202" s="10">
        <f t="shared" si="44"/>
        <v>121.23208646248474</v>
      </c>
      <c r="T202" s="10">
        <f t="shared" si="45"/>
        <v>1</v>
      </c>
      <c r="U202" s="10">
        <f t="shared" si="46"/>
        <v>0</v>
      </c>
      <c r="V202" s="10">
        <f t="shared" si="47"/>
        <v>0</v>
      </c>
      <c r="X202" s="10">
        <f>SUM(V183:V202)</f>
        <v>0</v>
      </c>
      <c r="Y202" s="10">
        <f t="shared" si="48"/>
        <v>0</v>
      </c>
      <c r="Z202" s="10">
        <f t="shared" si="48"/>
        <v>0</v>
      </c>
      <c r="AA202" s="10">
        <f t="shared" si="48"/>
        <v>0</v>
      </c>
      <c r="AB202" s="10">
        <f t="shared" si="49"/>
        <v>0.29917600024500002</v>
      </c>
      <c r="AC202" s="10">
        <f t="shared" si="49"/>
        <v>-6.8617067882421532</v>
      </c>
      <c r="AD202" s="10">
        <f t="shared" si="49"/>
        <v>11.068570336494654</v>
      </c>
      <c r="AH202" s="10">
        <f t="shared" si="50"/>
        <v>1</v>
      </c>
      <c r="AI202" s="10">
        <f t="shared" si="51"/>
        <v>0</v>
      </c>
      <c r="AJ202" s="10">
        <f t="shared" si="52"/>
        <v>0</v>
      </c>
    </row>
    <row r="203" spans="6:36" x14ac:dyDescent="0.25">
      <c r="F203" s="10">
        <v>10</v>
      </c>
      <c r="G203" s="10">
        <v>1</v>
      </c>
      <c r="H203" s="10">
        <v>1</v>
      </c>
      <c r="I203" s="10">
        <f t="shared" si="53"/>
        <v>4.3149584625268673</v>
      </c>
      <c r="J203" s="10">
        <f t="shared" si="42"/>
        <v>14.99938962981048</v>
      </c>
      <c r="K203" s="10">
        <f t="shared" si="43"/>
        <v>1</v>
      </c>
      <c r="S203" s="12">
        <f t="shared" si="44"/>
        <v>136.71299534898725</v>
      </c>
      <c r="T203" s="12">
        <f t="shared" si="45"/>
        <v>1</v>
      </c>
      <c r="U203" s="12">
        <f t="shared" si="46"/>
        <v>0</v>
      </c>
      <c r="V203" s="12">
        <f t="shared" si="47"/>
        <v>0</v>
      </c>
      <c r="W203" s="12"/>
      <c r="X203" s="12"/>
      <c r="Y203" s="10">
        <f t="shared" si="48"/>
        <v>0</v>
      </c>
      <c r="Z203" s="10">
        <f t="shared" si="48"/>
        <v>0</v>
      </c>
      <c r="AA203" s="10">
        <f t="shared" si="48"/>
        <v>0</v>
      </c>
      <c r="AB203" s="10">
        <f t="shared" si="49"/>
        <v>0.29917600024500002</v>
      </c>
      <c r="AC203" s="10">
        <f t="shared" si="49"/>
        <v>-6.8617067882421532</v>
      </c>
      <c r="AD203" s="10">
        <f t="shared" si="49"/>
        <v>11.068570336494654</v>
      </c>
      <c r="AH203" s="10">
        <f t="shared" si="50"/>
        <v>1</v>
      </c>
      <c r="AI203" s="10">
        <f t="shared" si="51"/>
        <v>0</v>
      </c>
      <c r="AJ203" s="10">
        <f t="shared" si="52"/>
        <v>0</v>
      </c>
    </row>
    <row r="204" spans="6:36" x14ac:dyDescent="0.25">
      <c r="F204" s="10">
        <v>10</v>
      </c>
      <c r="G204" s="10">
        <v>2</v>
      </c>
      <c r="H204" s="10">
        <v>1</v>
      </c>
      <c r="I204" s="10">
        <f t="shared" si="53"/>
        <v>4.2336649521823988</v>
      </c>
      <c r="J204" s="10">
        <f t="shared" si="42"/>
        <v>14.99938962981048</v>
      </c>
      <c r="K204" s="10">
        <f t="shared" si="43"/>
        <v>1</v>
      </c>
      <c r="S204" s="10">
        <f t="shared" si="44"/>
        <v>137.27080758075795</v>
      </c>
      <c r="T204" s="10">
        <f t="shared" si="45"/>
        <v>1</v>
      </c>
      <c r="U204" s="10">
        <f t="shared" si="46"/>
        <v>0</v>
      </c>
      <c r="V204" s="10">
        <f t="shared" si="47"/>
        <v>0</v>
      </c>
      <c r="Y204" s="10">
        <f t="shared" si="48"/>
        <v>0</v>
      </c>
      <c r="Z204" s="10">
        <f t="shared" si="48"/>
        <v>0</v>
      </c>
      <c r="AA204" s="10">
        <f t="shared" si="48"/>
        <v>0</v>
      </c>
      <c r="AB204" s="10">
        <f t="shared" si="49"/>
        <v>0.29917600024500002</v>
      </c>
      <c r="AC204" s="10">
        <f t="shared" si="49"/>
        <v>-6.8617067882421532</v>
      </c>
      <c r="AD204" s="10">
        <f t="shared" si="49"/>
        <v>11.068570336494654</v>
      </c>
      <c r="AH204" s="10">
        <f t="shared" si="50"/>
        <v>1</v>
      </c>
      <c r="AI204" s="10">
        <f t="shared" si="51"/>
        <v>0</v>
      </c>
      <c r="AJ204" s="10">
        <f t="shared" si="52"/>
        <v>0</v>
      </c>
    </row>
    <row r="205" spans="6:36" x14ac:dyDescent="0.25">
      <c r="F205" s="10">
        <v>10</v>
      </c>
      <c r="G205" s="10">
        <v>3</v>
      </c>
      <c r="H205" s="10">
        <v>1</v>
      </c>
      <c r="I205" s="10">
        <f t="shared" si="53"/>
        <v>4.0760342132531742</v>
      </c>
      <c r="J205" s="10">
        <f t="shared" si="42"/>
        <v>14.99938962981048</v>
      </c>
      <c r="K205" s="10">
        <f t="shared" si="43"/>
        <v>1</v>
      </c>
      <c r="S205" s="10">
        <f t="shared" si="44"/>
        <v>138.35242349210421</v>
      </c>
      <c r="T205" s="10">
        <f t="shared" si="45"/>
        <v>1</v>
      </c>
      <c r="U205" s="10">
        <f t="shared" si="46"/>
        <v>0</v>
      </c>
      <c r="V205" s="10">
        <f t="shared" si="47"/>
        <v>0</v>
      </c>
      <c r="Y205" s="10">
        <f t="shared" si="48"/>
        <v>0</v>
      </c>
      <c r="Z205" s="10">
        <f t="shared" si="48"/>
        <v>0</v>
      </c>
      <c r="AA205" s="10">
        <f t="shared" si="48"/>
        <v>0</v>
      </c>
      <c r="AB205" s="10">
        <f t="shared" si="49"/>
        <v>0.29917600024500002</v>
      </c>
      <c r="AC205" s="10">
        <f t="shared" si="49"/>
        <v>-6.8617067882421532</v>
      </c>
      <c r="AD205" s="10">
        <f t="shared" si="49"/>
        <v>11.068570336494654</v>
      </c>
      <c r="AH205" s="10">
        <f t="shared" si="50"/>
        <v>1</v>
      </c>
      <c r="AI205" s="10">
        <f t="shared" si="51"/>
        <v>0</v>
      </c>
      <c r="AJ205" s="10">
        <f t="shared" si="52"/>
        <v>0</v>
      </c>
    </row>
    <row r="206" spans="6:36" x14ac:dyDescent="0.25">
      <c r="F206" s="10">
        <v>10</v>
      </c>
      <c r="G206" s="10">
        <v>4</v>
      </c>
      <c r="H206" s="10">
        <v>1</v>
      </c>
      <c r="I206" s="10">
        <f t="shared" si="53"/>
        <v>6.9682999690312606</v>
      </c>
      <c r="J206" s="10">
        <f t="shared" si="42"/>
        <v>14.99938962981048</v>
      </c>
      <c r="K206" s="10">
        <f t="shared" si="43"/>
        <v>1</v>
      </c>
      <c r="S206" s="10">
        <f t="shared" si="44"/>
        <v>118.50654392228139</v>
      </c>
      <c r="T206" s="10">
        <f t="shared" si="45"/>
        <v>1</v>
      </c>
      <c r="U206" s="10">
        <f t="shared" si="46"/>
        <v>0</v>
      </c>
      <c r="V206" s="10">
        <f t="shared" si="47"/>
        <v>0</v>
      </c>
      <c r="Y206" s="10">
        <f t="shared" si="48"/>
        <v>0</v>
      </c>
      <c r="Z206" s="10">
        <f t="shared" si="48"/>
        <v>0</v>
      </c>
      <c r="AA206" s="10">
        <f t="shared" si="48"/>
        <v>0</v>
      </c>
      <c r="AB206" s="10">
        <f t="shared" si="49"/>
        <v>0.29917600024500002</v>
      </c>
      <c r="AC206" s="10">
        <f t="shared" si="49"/>
        <v>-6.8617067882421532</v>
      </c>
      <c r="AD206" s="10">
        <f t="shared" si="49"/>
        <v>11.068570336494654</v>
      </c>
      <c r="AH206" s="10">
        <f t="shared" si="50"/>
        <v>1</v>
      </c>
      <c r="AI206" s="10">
        <f t="shared" si="51"/>
        <v>0</v>
      </c>
      <c r="AJ206" s="10">
        <f t="shared" si="52"/>
        <v>0</v>
      </c>
    </row>
    <row r="207" spans="6:36" x14ac:dyDescent="0.25">
      <c r="F207" s="10">
        <v>10</v>
      </c>
      <c r="G207" s="10">
        <v>5</v>
      </c>
      <c r="H207" s="10">
        <v>1</v>
      </c>
      <c r="I207" s="10">
        <f t="shared" si="53"/>
        <v>8.3649028089644606</v>
      </c>
      <c r="J207" s="10">
        <f t="shared" si="42"/>
        <v>14.99938962981048</v>
      </c>
      <c r="K207" s="10">
        <f t="shared" si="43"/>
        <v>1</v>
      </c>
      <c r="S207" s="10">
        <f t="shared" si="44"/>
        <v>108.92346473503349</v>
      </c>
      <c r="T207" s="10">
        <f t="shared" si="45"/>
        <v>1</v>
      </c>
      <c r="U207" s="10">
        <f t="shared" si="46"/>
        <v>0</v>
      </c>
      <c r="V207" s="10">
        <f t="shared" si="47"/>
        <v>0</v>
      </c>
      <c r="Y207" s="10">
        <f t="shared" si="48"/>
        <v>0</v>
      </c>
      <c r="Z207" s="10">
        <f t="shared" si="48"/>
        <v>0</v>
      </c>
      <c r="AA207" s="10">
        <f t="shared" si="48"/>
        <v>0</v>
      </c>
      <c r="AB207" s="10">
        <f t="shared" si="49"/>
        <v>0.29917600024500002</v>
      </c>
      <c r="AC207" s="10">
        <f t="shared" si="49"/>
        <v>-6.8617067882421532</v>
      </c>
      <c r="AD207" s="10">
        <f t="shared" si="49"/>
        <v>11.068570336494654</v>
      </c>
      <c r="AH207" s="10">
        <f t="shared" si="50"/>
        <v>1</v>
      </c>
      <c r="AI207" s="10">
        <f t="shared" si="51"/>
        <v>0</v>
      </c>
      <c r="AJ207" s="10">
        <f t="shared" si="52"/>
        <v>0</v>
      </c>
    </row>
    <row r="208" spans="6:36" x14ac:dyDescent="0.25">
      <c r="F208" s="10">
        <v>10</v>
      </c>
      <c r="G208" s="10">
        <v>6</v>
      </c>
      <c r="H208" s="10">
        <v>1</v>
      </c>
      <c r="I208" s="10">
        <f t="shared" si="53"/>
        <v>9.3848699915294151</v>
      </c>
      <c r="J208" s="10">
        <f t="shared" si="42"/>
        <v>14.99938962981048</v>
      </c>
      <c r="K208" s="10">
        <f t="shared" si="43"/>
        <v>1</v>
      </c>
      <c r="S208" s="10">
        <f t="shared" si="44"/>
        <v>101.92474899464332</v>
      </c>
      <c r="T208" s="10">
        <f t="shared" si="45"/>
        <v>1</v>
      </c>
      <c r="U208" s="10">
        <f t="shared" si="46"/>
        <v>0</v>
      </c>
      <c r="V208" s="10">
        <f t="shared" si="47"/>
        <v>0</v>
      </c>
      <c r="Y208" s="10">
        <f t="shared" si="48"/>
        <v>0</v>
      </c>
      <c r="Z208" s="10">
        <f t="shared" si="48"/>
        <v>0</v>
      </c>
      <c r="AA208" s="10">
        <f t="shared" si="48"/>
        <v>0</v>
      </c>
      <c r="AB208" s="10">
        <f t="shared" si="49"/>
        <v>0.29917600024500002</v>
      </c>
      <c r="AC208" s="10">
        <f t="shared" si="49"/>
        <v>-6.8617067882421532</v>
      </c>
      <c r="AD208" s="10">
        <f t="shared" si="49"/>
        <v>11.068570336494654</v>
      </c>
      <c r="AH208" s="10">
        <f t="shared" si="50"/>
        <v>1</v>
      </c>
      <c r="AI208" s="10">
        <f t="shared" si="51"/>
        <v>0</v>
      </c>
      <c r="AJ208" s="10">
        <f t="shared" si="52"/>
        <v>0</v>
      </c>
    </row>
    <row r="209" spans="6:36" x14ac:dyDescent="0.25">
      <c r="F209" s="10">
        <v>10</v>
      </c>
      <c r="G209" s="10">
        <v>7</v>
      </c>
      <c r="H209" s="10">
        <v>1</v>
      </c>
      <c r="I209" s="10">
        <f t="shared" si="53"/>
        <v>9.2116945315592211</v>
      </c>
      <c r="J209" s="10">
        <f t="shared" si="42"/>
        <v>14.99938962981048</v>
      </c>
      <c r="K209" s="10">
        <f t="shared" si="43"/>
        <v>1</v>
      </c>
      <c r="S209" s="10">
        <f t="shared" si="44"/>
        <v>103.11302822387776</v>
      </c>
      <c r="T209" s="10">
        <f t="shared" si="45"/>
        <v>1</v>
      </c>
      <c r="U209" s="10">
        <f t="shared" si="46"/>
        <v>0</v>
      </c>
      <c r="V209" s="10">
        <f t="shared" si="47"/>
        <v>0</v>
      </c>
      <c r="Y209" s="10">
        <f t="shared" si="48"/>
        <v>0</v>
      </c>
      <c r="Z209" s="10">
        <f t="shared" si="48"/>
        <v>0</v>
      </c>
      <c r="AA209" s="10">
        <f t="shared" si="48"/>
        <v>0</v>
      </c>
      <c r="AB209" s="10">
        <f t="shared" si="49"/>
        <v>0.29917600024500002</v>
      </c>
      <c r="AC209" s="10">
        <f t="shared" si="49"/>
        <v>-6.8617067882421532</v>
      </c>
      <c r="AD209" s="10">
        <f t="shared" si="49"/>
        <v>11.068570336494654</v>
      </c>
      <c r="AH209" s="10">
        <f t="shared" si="50"/>
        <v>1</v>
      </c>
      <c r="AI209" s="10">
        <f t="shared" si="51"/>
        <v>0</v>
      </c>
      <c r="AJ209" s="10">
        <f t="shared" si="52"/>
        <v>0</v>
      </c>
    </row>
    <row r="210" spans="6:36" x14ac:dyDescent="0.25">
      <c r="F210" s="10">
        <v>10</v>
      </c>
      <c r="G210" s="10">
        <v>8</v>
      </c>
      <c r="H210" s="10">
        <v>1</v>
      </c>
      <c r="I210" s="10">
        <f t="shared" si="53"/>
        <v>10.461114754974387</v>
      </c>
      <c r="J210" s="10">
        <f t="shared" si="42"/>
        <v>14.99938962981048</v>
      </c>
      <c r="K210" s="10">
        <f t="shared" si="43"/>
        <v>1</v>
      </c>
      <c r="S210" s="10">
        <f t="shared" si="44"/>
        <v>94.53987299550289</v>
      </c>
      <c r="T210" s="10">
        <f t="shared" si="45"/>
        <v>1</v>
      </c>
      <c r="U210" s="10">
        <f t="shared" si="46"/>
        <v>0</v>
      </c>
      <c r="V210" s="10">
        <f t="shared" si="47"/>
        <v>0</v>
      </c>
      <c r="Y210" s="10">
        <f t="shared" si="48"/>
        <v>0</v>
      </c>
      <c r="Z210" s="10">
        <f t="shared" si="48"/>
        <v>0</v>
      </c>
      <c r="AA210" s="10">
        <f t="shared" si="48"/>
        <v>0</v>
      </c>
      <c r="AB210" s="10">
        <f t="shared" si="49"/>
        <v>0.29917600024500002</v>
      </c>
      <c r="AC210" s="10">
        <f t="shared" si="49"/>
        <v>-6.8617067882421532</v>
      </c>
      <c r="AD210" s="10">
        <f t="shared" si="49"/>
        <v>11.068570336494654</v>
      </c>
      <c r="AH210" s="10">
        <f t="shared" si="50"/>
        <v>1</v>
      </c>
      <c r="AI210" s="10">
        <f t="shared" si="51"/>
        <v>0</v>
      </c>
      <c r="AJ210" s="10">
        <f t="shared" si="52"/>
        <v>0</v>
      </c>
    </row>
    <row r="211" spans="6:36" x14ac:dyDescent="0.25">
      <c r="F211" s="10">
        <v>10</v>
      </c>
      <c r="G211" s="10">
        <v>9</v>
      </c>
      <c r="H211" s="10">
        <v>1</v>
      </c>
      <c r="I211" s="10">
        <f t="shared" si="53"/>
        <v>4.1553347214085523</v>
      </c>
      <c r="J211" s="10">
        <f t="shared" si="42"/>
        <v>14.99938962981048</v>
      </c>
      <c r="K211" s="10">
        <f t="shared" si="43"/>
        <v>1</v>
      </c>
      <c r="S211" s="10">
        <f t="shared" si="44"/>
        <v>137.8082866569834</v>
      </c>
      <c r="T211" s="10">
        <f t="shared" si="45"/>
        <v>1</v>
      </c>
      <c r="U211" s="10">
        <f t="shared" si="46"/>
        <v>0</v>
      </c>
      <c r="V211" s="10">
        <f t="shared" si="47"/>
        <v>0</v>
      </c>
      <c r="Y211" s="10">
        <f t="shared" si="48"/>
        <v>0</v>
      </c>
      <c r="Z211" s="10">
        <f t="shared" si="48"/>
        <v>0</v>
      </c>
      <c r="AA211" s="10">
        <f t="shared" si="48"/>
        <v>0</v>
      </c>
      <c r="AB211" s="10">
        <f t="shared" si="49"/>
        <v>0.29917600024500002</v>
      </c>
      <c r="AC211" s="10">
        <f t="shared" si="49"/>
        <v>-6.8617067882421532</v>
      </c>
      <c r="AD211" s="10">
        <f t="shared" si="49"/>
        <v>11.068570336494654</v>
      </c>
      <c r="AH211" s="10">
        <f t="shared" si="50"/>
        <v>1</v>
      </c>
      <c r="AI211" s="10">
        <f t="shared" si="51"/>
        <v>0</v>
      </c>
      <c r="AJ211" s="10">
        <f t="shared" si="52"/>
        <v>0</v>
      </c>
    </row>
    <row r="212" spans="6:36" x14ac:dyDescent="0.25">
      <c r="F212" s="10">
        <v>10</v>
      </c>
      <c r="G212" s="10">
        <v>10</v>
      </c>
      <c r="H212" s="10">
        <v>1</v>
      </c>
      <c r="I212" s="10">
        <f t="shared" si="53"/>
        <v>8.4627041466514576</v>
      </c>
      <c r="J212" s="10">
        <f t="shared" si="42"/>
        <v>14.99938962981048</v>
      </c>
      <c r="K212" s="10">
        <f t="shared" si="43"/>
        <v>1</v>
      </c>
      <c r="S212" s="10">
        <f t="shared" si="44"/>
        <v>108.25238063232746</v>
      </c>
      <c r="T212" s="10">
        <f t="shared" si="45"/>
        <v>1</v>
      </c>
      <c r="U212" s="10">
        <f t="shared" si="46"/>
        <v>0</v>
      </c>
      <c r="V212" s="10">
        <f t="shared" si="47"/>
        <v>0</v>
      </c>
      <c r="Y212" s="10">
        <f t="shared" si="48"/>
        <v>0</v>
      </c>
      <c r="Z212" s="10">
        <f t="shared" si="48"/>
        <v>0</v>
      </c>
      <c r="AA212" s="10">
        <f t="shared" si="48"/>
        <v>0</v>
      </c>
      <c r="AB212" s="10">
        <f t="shared" si="49"/>
        <v>0.29917600024500002</v>
      </c>
      <c r="AC212" s="10">
        <f t="shared" si="49"/>
        <v>-6.8617067882421532</v>
      </c>
      <c r="AD212" s="10">
        <f t="shared" si="49"/>
        <v>11.068570336494654</v>
      </c>
      <c r="AH212" s="10">
        <f t="shared" si="50"/>
        <v>1</v>
      </c>
      <c r="AI212" s="10">
        <f t="shared" si="51"/>
        <v>0</v>
      </c>
      <c r="AJ212" s="10">
        <f t="shared" si="52"/>
        <v>0</v>
      </c>
    </row>
    <row r="213" spans="6:36" x14ac:dyDescent="0.25">
      <c r="F213" s="10">
        <v>10</v>
      </c>
      <c r="G213" s="10">
        <v>11</v>
      </c>
      <c r="H213" s="10">
        <v>1</v>
      </c>
      <c r="I213" s="10">
        <f t="shared" si="53"/>
        <v>11.722530671423003</v>
      </c>
      <c r="J213" s="10">
        <f t="shared" si="42"/>
        <v>14.99938962981048</v>
      </c>
      <c r="K213" s="10">
        <f t="shared" si="43"/>
        <v>1</v>
      </c>
      <c r="S213" s="10">
        <f t="shared" si="44"/>
        <v>85.884406838810719</v>
      </c>
      <c r="T213" s="10">
        <f t="shared" si="45"/>
        <v>1</v>
      </c>
      <c r="U213" s="10">
        <f t="shared" si="46"/>
        <v>0</v>
      </c>
      <c r="V213" s="10">
        <f t="shared" si="47"/>
        <v>0</v>
      </c>
      <c r="Y213" s="10">
        <f t="shared" si="48"/>
        <v>0</v>
      </c>
      <c r="Z213" s="10">
        <f t="shared" si="48"/>
        <v>0</v>
      </c>
      <c r="AA213" s="10">
        <f t="shared" si="48"/>
        <v>0</v>
      </c>
      <c r="AB213" s="10">
        <f t="shared" si="49"/>
        <v>0.29917600024500002</v>
      </c>
      <c r="AC213" s="10">
        <f t="shared" si="49"/>
        <v>-6.8617067882421532</v>
      </c>
      <c r="AD213" s="10">
        <f t="shared" si="49"/>
        <v>11.068570336494654</v>
      </c>
      <c r="AH213" s="10">
        <f t="shared" si="50"/>
        <v>1</v>
      </c>
      <c r="AI213" s="10">
        <f t="shared" si="51"/>
        <v>0</v>
      </c>
      <c r="AJ213" s="10">
        <f t="shared" si="52"/>
        <v>0</v>
      </c>
    </row>
    <row r="214" spans="6:36" x14ac:dyDescent="0.25">
      <c r="F214" s="10">
        <v>10</v>
      </c>
      <c r="G214" s="10">
        <v>12</v>
      </c>
      <c r="H214" s="10">
        <v>1</v>
      </c>
      <c r="I214" s="10">
        <f t="shared" si="53"/>
        <v>9.6231558949622329</v>
      </c>
      <c r="J214" s="10">
        <f t="shared" si="42"/>
        <v>14.99938962981048</v>
      </c>
      <c r="K214" s="10">
        <f t="shared" si="43"/>
        <v>1</v>
      </c>
      <c r="S214" s="10">
        <f t="shared" si="44"/>
        <v>100.28970099351595</v>
      </c>
      <c r="T214" s="10">
        <f t="shared" si="45"/>
        <v>1</v>
      </c>
      <c r="U214" s="10">
        <f t="shared" si="46"/>
        <v>0</v>
      </c>
      <c r="V214" s="10">
        <f t="shared" si="47"/>
        <v>0</v>
      </c>
      <c r="Y214" s="10">
        <f t="shared" si="48"/>
        <v>0</v>
      </c>
      <c r="Z214" s="10">
        <f t="shared" si="48"/>
        <v>0</v>
      </c>
      <c r="AA214" s="10">
        <f t="shared" si="48"/>
        <v>0</v>
      </c>
      <c r="AB214" s="10">
        <f t="shared" si="49"/>
        <v>0.29917600024500002</v>
      </c>
      <c r="AC214" s="10">
        <f t="shared" si="49"/>
        <v>-6.8617067882421532</v>
      </c>
      <c r="AD214" s="10">
        <f t="shared" si="49"/>
        <v>11.068570336494654</v>
      </c>
      <c r="AH214" s="10">
        <f t="shared" si="50"/>
        <v>1</v>
      </c>
      <c r="AI214" s="10">
        <f t="shared" si="51"/>
        <v>0</v>
      </c>
      <c r="AJ214" s="10">
        <f t="shared" si="52"/>
        <v>0</v>
      </c>
    </row>
    <row r="215" spans="6:36" x14ac:dyDescent="0.25">
      <c r="F215" s="10">
        <v>10</v>
      </c>
      <c r="G215" s="10">
        <v>13</v>
      </c>
      <c r="H215" s="10">
        <v>1</v>
      </c>
      <c r="I215" s="10">
        <f t="shared" si="53"/>
        <v>8.0162683783311302</v>
      </c>
      <c r="J215" s="10">
        <f t="shared" si="42"/>
        <v>14.99938962981048</v>
      </c>
      <c r="K215" s="10">
        <f t="shared" si="43"/>
        <v>1</v>
      </c>
      <c r="S215" s="10">
        <f t="shared" si="44"/>
        <v>111.31569197432515</v>
      </c>
      <c r="T215" s="10">
        <f t="shared" si="45"/>
        <v>1</v>
      </c>
      <c r="U215" s="10">
        <f t="shared" si="46"/>
        <v>0</v>
      </c>
      <c r="V215" s="10">
        <f t="shared" si="47"/>
        <v>0</v>
      </c>
      <c r="Y215" s="10">
        <f t="shared" si="48"/>
        <v>0</v>
      </c>
      <c r="Z215" s="10">
        <f t="shared" si="48"/>
        <v>0</v>
      </c>
      <c r="AA215" s="10">
        <f t="shared" si="48"/>
        <v>0</v>
      </c>
      <c r="AB215" s="10">
        <f t="shared" si="49"/>
        <v>0.29917600024500002</v>
      </c>
      <c r="AC215" s="10">
        <f t="shared" si="49"/>
        <v>-6.8617067882421532</v>
      </c>
      <c r="AD215" s="10">
        <f t="shared" si="49"/>
        <v>11.068570336494654</v>
      </c>
      <c r="AH215" s="10">
        <f t="shared" si="50"/>
        <v>1</v>
      </c>
      <c r="AI215" s="10">
        <f t="shared" si="51"/>
        <v>0</v>
      </c>
      <c r="AJ215" s="10">
        <f t="shared" si="52"/>
        <v>0</v>
      </c>
    </row>
    <row r="216" spans="6:36" x14ac:dyDescent="0.25">
      <c r="F216" s="10">
        <v>10</v>
      </c>
      <c r="G216" s="10">
        <v>14</v>
      </c>
      <c r="H216" s="10">
        <v>1</v>
      </c>
      <c r="I216" s="10">
        <f t="shared" si="53"/>
        <v>11.270939377934512</v>
      </c>
      <c r="J216" s="10">
        <f t="shared" ref="J216:J222" si="54">IF(K216=1, D216*$C$9+$C$8,D216*$C$12+$C$11)</f>
        <v>14.99938962981048</v>
      </c>
      <c r="K216" s="10">
        <f t="shared" ref="K216:K222" si="55">IF(E216&lt;$C$14,1,-1)</f>
        <v>1</v>
      </c>
      <c r="S216" s="10">
        <f t="shared" ref="S216:S222" si="56">SUMPRODUCT(H216:J216,AB215:AD215)</f>
        <v>88.983093882851762</v>
      </c>
      <c r="T216" s="10">
        <f t="shared" ref="T216:T222" si="57">IF(S216&gt;=0,1,-1)</f>
        <v>1</v>
      </c>
      <c r="U216" s="10">
        <f t="shared" ref="U216:U222" si="58">(K216-T216)/2</f>
        <v>0</v>
      </c>
      <c r="V216" s="10">
        <f t="shared" ref="V216:V222" si="59">IF(U216&lt;&gt;0,1,0)</f>
        <v>0</v>
      </c>
      <c r="Y216" s="10">
        <f t="shared" ref="Y216:AA222" si="60">IF($U216=0,0,$C$14*($U216)*H216)</f>
        <v>0</v>
      </c>
      <c r="Z216" s="10">
        <f t="shared" si="60"/>
        <v>0</v>
      </c>
      <c r="AA216" s="10">
        <f t="shared" si="60"/>
        <v>0</v>
      </c>
      <c r="AB216" s="10">
        <f t="shared" ref="AB216:AD222" si="61">IF($U216=0,AB215,AB215+$C$14*($U216)*H216)</f>
        <v>0.29917600024500002</v>
      </c>
      <c r="AC216" s="10">
        <f t="shared" si="61"/>
        <v>-6.8617067882421532</v>
      </c>
      <c r="AD216" s="10">
        <f t="shared" si="61"/>
        <v>11.068570336494654</v>
      </c>
      <c r="AH216" s="10">
        <f t="shared" si="50"/>
        <v>1</v>
      </c>
      <c r="AI216" s="10">
        <f t="shared" si="51"/>
        <v>0</v>
      </c>
      <c r="AJ216" s="10">
        <f t="shared" si="52"/>
        <v>0</v>
      </c>
    </row>
    <row r="217" spans="6:36" x14ac:dyDescent="0.25">
      <c r="F217" s="10">
        <v>10</v>
      </c>
      <c r="G217" s="10">
        <v>15</v>
      </c>
      <c r="H217" s="10">
        <v>1</v>
      </c>
      <c r="I217" s="10">
        <f t="shared" si="53"/>
        <v>7.0021023351067502</v>
      </c>
      <c r="J217" s="10">
        <f t="shared" si="54"/>
        <v>14.99938962981048</v>
      </c>
      <c r="K217" s="10">
        <f t="shared" si="55"/>
        <v>1</v>
      </c>
      <c r="S217" s="10">
        <f t="shared" si="56"/>
        <v>118.27460199752257</v>
      </c>
      <c r="T217" s="10">
        <f t="shared" si="57"/>
        <v>1</v>
      </c>
      <c r="U217" s="10">
        <f t="shared" si="58"/>
        <v>0</v>
      </c>
      <c r="V217" s="10">
        <f t="shared" si="59"/>
        <v>0</v>
      </c>
      <c r="Y217" s="10">
        <f t="shared" si="60"/>
        <v>0</v>
      </c>
      <c r="Z217" s="10">
        <f t="shared" si="60"/>
        <v>0</v>
      </c>
      <c r="AA217" s="10">
        <f t="shared" si="60"/>
        <v>0</v>
      </c>
      <c r="AB217" s="10">
        <f t="shared" si="61"/>
        <v>0.29917600024500002</v>
      </c>
      <c r="AC217" s="10">
        <f t="shared" si="61"/>
        <v>-6.8617067882421532</v>
      </c>
      <c r="AD217" s="10">
        <f t="shared" si="61"/>
        <v>11.068570336494654</v>
      </c>
      <c r="AH217" s="10">
        <f t="shared" si="50"/>
        <v>1</v>
      </c>
      <c r="AI217" s="10">
        <f t="shared" si="51"/>
        <v>0</v>
      </c>
      <c r="AJ217" s="10">
        <f t="shared" si="52"/>
        <v>0</v>
      </c>
    </row>
    <row r="218" spans="6:36" x14ac:dyDescent="0.25">
      <c r="F218" s="10">
        <v>10</v>
      </c>
      <c r="G218" s="10">
        <v>16</v>
      </c>
      <c r="H218" s="10">
        <v>1</v>
      </c>
      <c r="I218" s="10">
        <f t="shared" si="53"/>
        <v>9.3873260438242312</v>
      </c>
      <c r="J218" s="10">
        <f t="shared" si="54"/>
        <v>14.99938962981048</v>
      </c>
      <c r="K218" s="10">
        <f t="shared" si="55"/>
        <v>1</v>
      </c>
      <c r="S218" s="10">
        <f t="shared" si="56"/>
        <v>101.90789628393971</v>
      </c>
      <c r="T218" s="10">
        <f t="shared" si="57"/>
        <v>1</v>
      </c>
      <c r="U218" s="10">
        <f t="shared" si="58"/>
        <v>0</v>
      </c>
      <c r="V218" s="10">
        <f t="shared" si="59"/>
        <v>0</v>
      </c>
      <c r="Y218" s="10">
        <f t="shared" si="60"/>
        <v>0</v>
      </c>
      <c r="Z218" s="10">
        <f t="shared" si="60"/>
        <v>0</v>
      </c>
      <c r="AA218" s="10">
        <f t="shared" si="60"/>
        <v>0</v>
      </c>
      <c r="AB218" s="10">
        <f t="shared" si="61"/>
        <v>0.29917600024500002</v>
      </c>
      <c r="AC218" s="10">
        <f t="shared" si="61"/>
        <v>-6.8617067882421532</v>
      </c>
      <c r="AD218" s="10">
        <f t="shared" si="61"/>
        <v>11.068570336494654</v>
      </c>
      <c r="AH218" s="10">
        <f t="shared" ref="AH218:AH224" si="62">IF(SUMPRODUCT(H216:J216,$AH$21:$AJ$21)&gt;=0,1,-1)</f>
        <v>1</v>
      </c>
      <c r="AI218" s="10">
        <f t="shared" ref="AI218:AI224" si="63">(K216-AH218)/2</f>
        <v>0</v>
      </c>
      <c r="AJ218" s="10">
        <f t="shared" ref="AJ218:AJ224" si="64">IF(AI218&lt;&gt;0,1,0)</f>
        <v>0</v>
      </c>
    </row>
    <row r="219" spans="6:36" x14ac:dyDescent="0.25">
      <c r="F219" s="10">
        <v>10</v>
      </c>
      <c r="G219" s="10">
        <v>17</v>
      </c>
      <c r="H219" s="10">
        <v>1</v>
      </c>
      <c r="I219" s="10">
        <f t="shared" si="53"/>
        <v>8.350479766806572</v>
      </c>
      <c r="J219" s="10">
        <f t="shared" si="54"/>
        <v>14.99938962981048</v>
      </c>
      <c r="K219" s="10">
        <f t="shared" si="55"/>
        <v>1</v>
      </c>
      <c r="S219" s="10">
        <f t="shared" si="56"/>
        <v>109.02243142131539</v>
      </c>
      <c r="T219" s="10">
        <f t="shared" si="57"/>
        <v>1</v>
      </c>
      <c r="U219" s="10">
        <f t="shared" si="58"/>
        <v>0</v>
      </c>
      <c r="V219" s="10">
        <f t="shared" si="59"/>
        <v>0</v>
      </c>
      <c r="Y219" s="10">
        <f t="shared" si="60"/>
        <v>0</v>
      </c>
      <c r="Z219" s="10">
        <f t="shared" si="60"/>
        <v>0</v>
      </c>
      <c r="AA219" s="10">
        <f t="shared" si="60"/>
        <v>0</v>
      </c>
      <c r="AB219" s="10">
        <f t="shared" si="61"/>
        <v>0.29917600024500002</v>
      </c>
      <c r="AC219" s="10">
        <f t="shared" si="61"/>
        <v>-6.8617067882421532</v>
      </c>
      <c r="AD219" s="10">
        <f t="shared" si="61"/>
        <v>11.068570336494654</v>
      </c>
      <c r="AH219" s="10">
        <f t="shared" si="62"/>
        <v>1</v>
      </c>
      <c r="AI219" s="10">
        <f t="shared" si="63"/>
        <v>0</v>
      </c>
      <c r="AJ219" s="10">
        <f t="shared" si="64"/>
        <v>0</v>
      </c>
    </row>
    <row r="220" spans="6:36" x14ac:dyDescent="0.25">
      <c r="F220" s="10">
        <v>10</v>
      </c>
      <c r="G220" s="10">
        <v>18</v>
      </c>
      <c r="H220" s="10">
        <v>1</v>
      </c>
      <c r="I220" s="10">
        <f t="shared" si="53"/>
        <v>8.8378960488846694</v>
      </c>
      <c r="J220" s="10">
        <f t="shared" si="54"/>
        <v>14.99938962981048</v>
      </c>
      <c r="K220" s="10">
        <f t="shared" si="55"/>
        <v>1</v>
      </c>
      <c r="S220" s="10">
        <f t="shared" si="56"/>
        <v>105.67792380988035</v>
      </c>
      <c r="T220" s="10">
        <f t="shared" si="57"/>
        <v>1</v>
      </c>
      <c r="U220" s="10">
        <f t="shared" si="58"/>
        <v>0</v>
      </c>
      <c r="V220" s="10">
        <f t="shared" si="59"/>
        <v>0</v>
      </c>
      <c r="Y220" s="10">
        <f t="shared" si="60"/>
        <v>0</v>
      </c>
      <c r="Z220" s="10">
        <f t="shared" si="60"/>
        <v>0</v>
      </c>
      <c r="AA220" s="10">
        <f t="shared" si="60"/>
        <v>0</v>
      </c>
      <c r="AB220" s="10">
        <f t="shared" si="61"/>
        <v>0.29917600024500002</v>
      </c>
      <c r="AC220" s="10">
        <f t="shared" si="61"/>
        <v>-6.8617067882421532</v>
      </c>
      <c r="AD220" s="10">
        <f t="shared" si="61"/>
        <v>11.068570336494654</v>
      </c>
      <c r="AH220" s="10">
        <f t="shared" si="62"/>
        <v>1</v>
      </c>
      <c r="AI220" s="10">
        <f t="shared" si="63"/>
        <v>0</v>
      </c>
      <c r="AJ220" s="10">
        <f t="shared" si="64"/>
        <v>0</v>
      </c>
    </row>
    <row r="221" spans="6:36" x14ac:dyDescent="0.25">
      <c r="F221" s="10">
        <v>10</v>
      </c>
      <c r="G221" s="10">
        <v>19</v>
      </c>
      <c r="H221" s="10">
        <v>1</v>
      </c>
      <c r="I221" s="10">
        <f t="shared" si="53"/>
        <v>5.9362821331723659</v>
      </c>
      <c r="J221" s="10">
        <f t="shared" si="54"/>
        <v>14.99938962981048</v>
      </c>
      <c r="K221" s="10">
        <f t="shared" si="55"/>
        <v>1</v>
      </c>
      <c r="S221" s="10">
        <f t="shared" si="56"/>
        <v>125.58794771218136</v>
      </c>
      <c r="T221" s="10">
        <f t="shared" si="57"/>
        <v>1</v>
      </c>
      <c r="U221" s="10">
        <f t="shared" si="58"/>
        <v>0</v>
      </c>
      <c r="V221" s="10">
        <f t="shared" si="59"/>
        <v>0</v>
      </c>
      <c r="Y221" s="10">
        <f t="shared" si="60"/>
        <v>0</v>
      </c>
      <c r="Z221" s="10">
        <f t="shared" si="60"/>
        <v>0</v>
      </c>
      <c r="AA221" s="10">
        <f t="shared" si="60"/>
        <v>0</v>
      </c>
      <c r="AB221" s="10">
        <f t="shared" si="61"/>
        <v>0.29917600024500002</v>
      </c>
      <c r="AC221" s="10">
        <f t="shared" si="61"/>
        <v>-6.8617067882421532</v>
      </c>
      <c r="AD221" s="10">
        <f t="shared" si="61"/>
        <v>11.068570336494654</v>
      </c>
      <c r="AH221" s="10">
        <f t="shared" si="62"/>
        <v>1</v>
      </c>
      <c r="AI221" s="10">
        <f t="shared" si="63"/>
        <v>0</v>
      </c>
      <c r="AJ221" s="10">
        <f t="shared" si="64"/>
        <v>0</v>
      </c>
    </row>
    <row r="222" spans="6:36" x14ac:dyDescent="0.25">
      <c r="F222" s="10">
        <v>10</v>
      </c>
      <c r="G222" s="10">
        <v>20</v>
      </c>
      <c r="H222" s="10">
        <v>1</v>
      </c>
      <c r="I222" s="10">
        <f t="shared" si="53"/>
        <v>6.5710893880029841</v>
      </c>
      <c r="J222" s="10">
        <f t="shared" si="54"/>
        <v>14.99938962981048</v>
      </c>
      <c r="K222" s="10">
        <f t="shared" si="55"/>
        <v>1</v>
      </c>
      <c r="S222" s="10">
        <f t="shared" si="56"/>
        <v>121.23208646248474</v>
      </c>
      <c r="T222" s="10">
        <f t="shared" si="57"/>
        <v>1</v>
      </c>
      <c r="U222" s="10">
        <f t="shared" si="58"/>
        <v>0</v>
      </c>
      <c r="V222" s="10">
        <f t="shared" si="59"/>
        <v>0</v>
      </c>
      <c r="X222" s="10">
        <f>SUM(V203:V222)</f>
        <v>0</v>
      </c>
      <c r="Y222" s="10">
        <f t="shared" si="60"/>
        <v>0</v>
      </c>
      <c r="Z222" s="10">
        <f t="shared" si="60"/>
        <v>0</v>
      </c>
      <c r="AA222" s="10">
        <f t="shared" si="60"/>
        <v>0</v>
      </c>
      <c r="AB222" s="10">
        <f t="shared" si="61"/>
        <v>0.29917600024500002</v>
      </c>
      <c r="AC222" s="10">
        <f t="shared" si="61"/>
        <v>-6.8617067882421532</v>
      </c>
      <c r="AD222" s="10">
        <f t="shared" si="61"/>
        <v>11.068570336494654</v>
      </c>
      <c r="AH222" s="10">
        <f t="shared" si="62"/>
        <v>1</v>
      </c>
      <c r="AI222" s="10">
        <f t="shared" si="63"/>
        <v>0</v>
      </c>
      <c r="AJ222" s="10">
        <f t="shared" si="64"/>
        <v>0</v>
      </c>
    </row>
    <row r="223" spans="6:36" x14ac:dyDescent="0.25">
      <c r="AH223" s="10">
        <f t="shared" si="62"/>
        <v>1</v>
      </c>
      <c r="AI223" s="10">
        <f t="shared" si="63"/>
        <v>0</v>
      </c>
      <c r="AJ223" s="10">
        <f t="shared" si="64"/>
        <v>0</v>
      </c>
    </row>
    <row r="224" spans="6:36" x14ac:dyDescent="0.25">
      <c r="AH224" s="10">
        <f t="shared" si="62"/>
        <v>1</v>
      </c>
      <c r="AI224" s="10">
        <f t="shared" si="63"/>
        <v>0</v>
      </c>
      <c r="AJ224" s="10">
        <f t="shared" si="64"/>
        <v>0</v>
      </c>
    </row>
  </sheetData>
  <mergeCells count="16">
    <mergeCell ref="AS33:AW33"/>
    <mergeCell ref="B20:E20"/>
    <mergeCell ref="N20:Q20"/>
    <mergeCell ref="T20:AD20"/>
    <mergeCell ref="C21:E21"/>
    <mergeCell ref="N21:O21"/>
    <mergeCell ref="P21:Q21"/>
    <mergeCell ref="AI19:AK19"/>
    <mergeCell ref="AN19:AQ19"/>
    <mergeCell ref="AT19:AW19"/>
    <mergeCell ref="A11:B11"/>
    <mergeCell ref="A12:B12"/>
    <mergeCell ref="A13:B13"/>
    <mergeCell ref="A14:B14"/>
    <mergeCell ref="A15:B15"/>
    <mergeCell ref="A16:B1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B06B0-29C0-429B-B083-39A1D6D4A72E}">
  <dimension ref="A6:AW224"/>
  <sheetViews>
    <sheetView topLeftCell="AH26" zoomScale="85" zoomScaleNormal="85" workbookViewId="0">
      <selection activeCell="J23" sqref="J23"/>
    </sheetView>
  </sheetViews>
  <sheetFormatPr defaultRowHeight="15" x14ac:dyDescent="0.25"/>
  <cols>
    <col min="1" max="16384" width="9.140625" style="10"/>
  </cols>
  <sheetData>
    <row r="6" spans="1:5" x14ac:dyDescent="0.25">
      <c r="A6" s="13">
        <v>1</v>
      </c>
      <c r="B6" s="7" t="s">
        <v>10</v>
      </c>
      <c r="C6" s="22"/>
      <c r="D6" s="22"/>
      <c r="E6" s="22"/>
    </row>
    <row r="7" spans="1:5" x14ac:dyDescent="0.25">
      <c r="A7" s="5" t="s">
        <v>0</v>
      </c>
      <c r="B7" s="5"/>
      <c r="C7" s="10">
        <v>6.2074648274178292</v>
      </c>
    </row>
    <row r="8" spans="1:5" x14ac:dyDescent="0.25">
      <c r="A8" s="6" t="s">
        <v>1</v>
      </c>
      <c r="B8" s="6"/>
      <c r="C8" s="10">
        <v>14.99938962981048</v>
      </c>
    </row>
    <row r="9" spans="1:5" x14ac:dyDescent="0.25">
      <c r="A9" s="6" t="s">
        <v>2</v>
      </c>
      <c r="B9" s="6"/>
      <c r="C9" s="10">
        <v>1.4416638691366312</v>
      </c>
    </row>
    <row r="10" spans="1:5" x14ac:dyDescent="0.25">
      <c r="A10" s="6" t="s">
        <v>3</v>
      </c>
      <c r="B10" s="6"/>
      <c r="C10" s="10">
        <v>10.992309335612049</v>
      </c>
    </row>
    <row r="11" spans="1:5" x14ac:dyDescent="0.25">
      <c r="A11" s="40" t="s">
        <v>4</v>
      </c>
      <c r="B11" s="40"/>
      <c r="C11" s="10">
        <v>1.8970305490279853</v>
      </c>
    </row>
    <row r="12" spans="1:5" x14ac:dyDescent="0.25">
      <c r="A12" s="40" t="s">
        <v>5</v>
      </c>
      <c r="B12" s="40"/>
      <c r="C12" s="10">
        <v>1.8117313150425733</v>
      </c>
    </row>
    <row r="13" spans="1:5" x14ac:dyDescent="0.25">
      <c r="A13" s="40" t="s">
        <v>6</v>
      </c>
      <c r="B13" s="40"/>
      <c r="C13" s="10">
        <v>0.50297555467390975</v>
      </c>
    </row>
    <row r="14" spans="1:5" x14ac:dyDescent="0.25">
      <c r="A14" s="40" t="s">
        <v>7</v>
      </c>
      <c r="B14" s="40"/>
      <c r="C14" s="10">
        <v>0.70082399975499998</v>
      </c>
    </row>
    <row r="15" spans="1:5" x14ac:dyDescent="0.25">
      <c r="A15" s="40" t="s">
        <v>8</v>
      </c>
      <c r="B15" s="40"/>
      <c r="C15" s="10">
        <v>9.4762718588824129</v>
      </c>
    </row>
    <row r="16" spans="1:5" x14ac:dyDescent="0.25">
      <c r="A16" s="41" t="s">
        <v>9</v>
      </c>
      <c r="B16" s="41"/>
      <c r="C16" s="10">
        <v>20.149357585375501</v>
      </c>
    </row>
    <row r="19" spans="1:49" x14ac:dyDescent="0.25">
      <c r="AE19" s="23"/>
      <c r="AF19" s="24"/>
      <c r="AH19" s="13">
        <v>7</v>
      </c>
      <c r="AI19" s="36" t="s">
        <v>47</v>
      </c>
      <c r="AJ19" s="36"/>
      <c r="AK19" s="36"/>
      <c r="AM19" s="13">
        <v>6</v>
      </c>
      <c r="AN19" s="36" t="s">
        <v>14</v>
      </c>
      <c r="AO19" s="36"/>
      <c r="AP19" s="36"/>
      <c r="AQ19" s="36"/>
      <c r="AS19" s="13">
        <v>8</v>
      </c>
      <c r="AT19" s="36" t="s">
        <v>52</v>
      </c>
      <c r="AU19" s="36"/>
      <c r="AV19" s="36"/>
      <c r="AW19" s="36"/>
    </row>
    <row r="20" spans="1:49" x14ac:dyDescent="0.25">
      <c r="A20" s="13">
        <v>2</v>
      </c>
      <c r="B20" s="36" t="s">
        <v>11</v>
      </c>
      <c r="C20" s="36"/>
      <c r="D20" s="36"/>
      <c r="E20" s="36"/>
      <c r="F20" s="13">
        <v>3</v>
      </c>
      <c r="G20" s="7" t="s">
        <v>12</v>
      </c>
      <c r="H20" s="22"/>
      <c r="I20" s="22"/>
      <c r="J20" s="22"/>
      <c r="M20" s="13">
        <v>4</v>
      </c>
      <c r="N20" s="36" t="s">
        <v>13</v>
      </c>
      <c r="O20" s="36"/>
      <c r="P20" s="36"/>
      <c r="Q20" s="36"/>
      <c r="S20" s="13">
        <v>5</v>
      </c>
      <c r="T20" s="36" t="s">
        <v>14</v>
      </c>
      <c r="U20" s="36"/>
      <c r="V20" s="36"/>
      <c r="W20" s="36"/>
      <c r="X20" s="36"/>
      <c r="Y20" s="36"/>
      <c r="Z20" s="36"/>
      <c r="AA20" s="36"/>
      <c r="AB20" s="36"/>
      <c r="AC20" s="36"/>
      <c r="AD20" s="36"/>
      <c r="AJ20" s="10" t="s">
        <v>48</v>
      </c>
      <c r="AK20" s="10">
        <f>SUMXMY2(K23:K222,AH25:AH224)</f>
        <v>24</v>
      </c>
      <c r="AM20" s="10" t="s">
        <v>50</v>
      </c>
      <c r="AN20" s="10" t="s">
        <v>51</v>
      </c>
      <c r="AO20" s="10" t="s">
        <v>23</v>
      </c>
      <c r="AP20" s="10" t="s">
        <v>24</v>
      </c>
      <c r="AQ20" s="10" t="s">
        <v>25</v>
      </c>
      <c r="AS20" s="10" t="s">
        <v>50</v>
      </c>
      <c r="AT20" s="10" t="s">
        <v>30</v>
      </c>
      <c r="AU20" s="10" t="s">
        <v>31</v>
      </c>
      <c r="AV20" s="10" t="s">
        <v>30</v>
      </c>
      <c r="AW20" s="10" t="s">
        <v>31</v>
      </c>
    </row>
    <row r="21" spans="1:49" x14ac:dyDescent="0.25">
      <c r="B21" s="10" t="s">
        <v>15</v>
      </c>
      <c r="C21" s="38" t="s">
        <v>40</v>
      </c>
      <c r="D21" s="38"/>
      <c r="E21" s="38"/>
      <c r="K21" s="10" t="s">
        <v>17</v>
      </c>
      <c r="N21" s="38" t="s">
        <v>18</v>
      </c>
      <c r="O21" s="38"/>
      <c r="P21" s="38" t="s">
        <v>19</v>
      </c>
      <c r="Q21" s="38"/>
      <c r="X21" s="10" t="s">
        <v>22</v>
      </c>
      <c r="AB21" s="10" t="s">
        <v>23</v>
      </c>
      <c r="AC21" s="10" t="s">
        <v>24</v>
      </c>
      <c r="AD21" s="10" t="s">
        <v>25</v>
      </c>
      <c r="AH21" s="10">
        <v>-8.1387307998438914</v>
      </c>
      <c r="AI21" s="10">
        <v>23.156503179649128</v>
      </c>
      <c r="AJ21" s="10">
        <v>9.9600055767036846</v>
      </c>
      <c r="AM21" s="10">
        <v>0</v>
      </c>
      <c r="AO21" s="10">
        <f>AB22</f>
        <v>0</v>
      </c>
      <c r="AP21" s="10">
        <f t="shared" ref="AP21:AQ21" si="0">AC22</f>
        <v>70</v>
      </c>
      <c r="AQ21" s="10">
        <f t="shared" si="0"/>
        <v>0</v>
      </c>
      <c r="AS21" s="10">
        <v>0</v>
      </c>
      <c r="AT21" s="10">
        <v>-5</v>
      </c>
      <c r="AU21" s="10" t="e">
        <f>-AO21/AQ21-AP21/AQ21*AT21</f>
        <v>#DIV/0!</v>
      </c>
      <c r="AV21" s="10">
        <v>15</v>
      </c>
      <c r="AW21" s="10" t="e">
        <f>-AO21/AQ21-AP21/AQ21*AV21</f>
        <v>#DIV/0!</v>
      </c>
    </row>
    <row r="22" spans="1:49" x14ac:dyDescent="0.25">
      <c r="B22" s="10">
        <v>0</v>
      </c>
      <c r="C22" s="10" t="s">
        <v>26</v>
      </c>
      <c r="D22" s="10" t="s">
        <v>27</v>
      </c>
      <c r="E22" s="10" t="s">
        <v>28</v>
      </c>
      <c r="F22" s="10" t="s">
        <v>59</v>
      </c>
      <c r="G22" s="10" t="s">
        <v>60</v>
      </c>
      <c r="H22" s="10" t="s">
        <v>29</v>
      </c>
      <c r="I22" s="10" t="s">
        <v>30</v>
      </c>
      <c r="J22" s="10" t="s">
        <v>31</v>
      </c>
      <c r="K22" s="10" t="s">
        <v>32</v>
      </c>
      <c r="N22" s="10" t="s">
        <v>30</v>
      </c>
      <c r="O22" s="10" t="s">
        <v>31</v>
      </c>
      <c r="P22" s="10" t="s">
        <v>30</v>
      </c>
      <c r="Q22" s="10" t="s">
        <v>31</v>
      </c>
      <c r="S22" s="10" t="s">
        <v>33</v>
      </c>
      <c r="T22" s="10" t="s">
        <v>41</v>
      </c>
      <c r="U22" s="10" t="s">
        <v>42</v>
      </c>
      <c r="V22" s="10" t="s">
        <v>36</v>
      </c>
      <c r="Y22" s="10" t="s">
        <v>37</v>
      </c>
      <c r="Z22" s="10" t="s">
        <v>38</v>
      </c>
      <c r="AA22" s="10" t="s">
        <v>39</v>
      </c>
      <c r="AC22" s="10">
        <v>70</v>
      </c>
      <c r="AD22" s="10">
        <v>0</v>
      </c>
      <c r="AH22" s="10" t="s">
        <v>23</v>
      </c>
      <c r="AI22" s="10" t="s">
        <v>24</v>
      </c>
      <c r="AJ22" s="10" t="s">
        <v>25</v>
      </c>
      <c r="AM22" s="10">
        <v>1</v>
      </c>
      <c r="AN22" s="10">
        <f>X42</f>
        <v>6</v>
      </c>
      <c r="AO22" s="10">
        <f>AB42</f>
        <v>0</v>
      </c>
      <c r="AP22" s="10">
        <f t="shared" ref="AP22:AQ22" si="1">AC42</f>
        <v>27.32749567811409</v>
      </c>
      <c r="AQ22" s="10">
        <f t="shared" si="1"/>
        <v>-9.3815386535522194</v>
      </c>
      <c r="AS22" s="10">
        <v>1</v>
      </c>
      <c r="AT22" s="10">
        <v>-5</v>
      </c>
      <c r="AU22" s="10">
        <f>-AO22/AQ22-AP22/AQ22*AT22</f>
        <v>-14.56450625386851</v>
      </c>
      <c r="AV22" s="10">
        <v>15</v>
      </c>
      <c r="AW22" s="10">
        <f t="shared" ref="AW22:AW31" si="2">-AO22/AQ22-AP22/AQ22*AV22</f>
        <v>43.693518761605532</v>
      </c>
    </row>
    <row r="23" spans="1:49" x14ac:dyDescent="0.25">
      <c r="B23" s="10">
        <v>1</v>
      </c>
      <c r="C23" s="10">
        <v>-1.3127237252774648</v>
      </c>
      <c r="D23" s="10">
        <v>-0.9794825928111095</v>
      </c>
      <c r="E23" s="10">
        <v>0.55067598498489334</v>
      </c>
      <c r="F23" s="10">
        <v>1</v>
      </c>
      <c r="G23" s="10">
        <v>1</v>
      </c>
      <c r="H23" s="10">
        <v>0</v>
      </c>
      <c r="I23" s="10">
        <f>IF(K23=1, C23*$C$9+$C$7,C23*$C$12+$C$10)</f>
        <v>4.3149584625268673</v>
      </c>
      <c r="J23" s="10">
        <f>IF(K23=1, D23*$C$9+$C$8,D23*$C$12+$C$11)</f>
        <v>13.587304965306437</v>
      </c>
      <c r="K23" s="10">
        <f>IF(E23&lt;$C$14,1,-1)</f>
        <v>1</v>
      </c>
      <c r="N23" s="10">
        <f>IF($K23=1,I23,-100)</f>
        <v>4.3149584625268673</v>
      </c>
      <c r="O23" s="10">
        <f>IF($K23=1,J23,-100)</f>
        <v>13.587304965306437</v>
      </c>
      <c r="P23" s="10">
        <f>IF($K23=-1,I23,-100)</f>
        <v>-100</v>
      </c>
      <c r="Q23" s="10">
        <f>IF($K23=-1,J23,-100)</f>
        <v>-100</v>
      </c>
      <c r="S23" s="12">
        <f>SUMPRODUCT(H23:J23,AB22:AD22)</f>
        <v>302.0470923768807</v>
      </c>
      <c r="T23" s="12">
        <f>IF(S23&gt;=0,1,-1)</f>
        <v>1</v>
      </c>
      <c r="U23" s="12">
        <f>(K23-T23)/2</f>
        <v>0</v>
      </c>
      <c r="V23" s="12">
        <f>IF(U23&lt;&gt;0,1,0)</f>
        <v>0</v>
      </c>
      <c r="W23" s="12"/>
      <c r="X23" s="12"/>
      <c r="Y23" s="10">
        <f>IF($U23=0,0,$C$14*($U23)*H23)</f>
        <v>0</v>
      </c>
      <c r="Z23" s="10">
        <f t="shared" ref="Z23:AA38" si="3">IF($U23=0,0,$C$14*($U23)*I23)</f>
        <v>0</v>
      </c>
      <c r="AA23" s="10">
        <f t="shared" si="3"/>
        <v>0</v>
      </c>
      <c r="AC23" s="10">
        <f t="shared" ref="AC23:AD38" si="4">IF($U23=0,AC22,AC22+$C$14*($U23)*I23)</f>
        <v>70</v>
      </c>
      <c r="AD23" s="10">
        <f t="shared" si="4"/>
        <v>0</v>
      </c>
      <c r="AI23" s="10" t="s">
        <v>44</v>
      </c>
      <c r="AJ23" s="10">
        <f>SUM(AJ25:AJ224)</f>
        <v>6</v>
      </c>
      <c r="AM23" s="10">
        <v>2</v>
      </c>
      <c r="AN23" s="10">
        <f>X62</f>
        <v>1</v>
      </c>
      <c r="AO23" s="10">
        <f>AB62</f>
        <v>0</v>
      </c>
      <c r="AP23" s="10">
        <f t="shared" ref="AP23:AQ23" si="5">AC62</f>
        <v>30.351522126598855</v>
      </c>
      <c r="AQ23" s="10">
        <f t="shared" si="5"/>
        <v>1.1303935806952303</v>
      </c>
      <c r="AS23" s="10">
        <v>2</v>
      </c>
      <c r="AT23" s="10">
        <v>-5</v>
      </c>
      <c r="AU23" s="10">
        <f>-AO23/AQ23-AP23/AQ23*AT23</f>
        <v>134.2520102950852</v>
      </c>
      <c r="AV23" s="10">
        <v>15</v>
      </c>
      <c r="AW23" s="10">
        <f t="shared" si="2"/>
        <v>-402.7560308852556</v>
      </c>
    </row>
    <row r="24" spans="1:49" x14ac:dyDescent="0.25">
      <c r="B24" s="10">
        <v>2</v>
      </c>
      <c r="C24" s="10">
        <v>-1.3691123967873864</v>
      </c>
      <c r="D24" s="10">
        <v>-1.5906061889836565</v>
      </c>
      <c r="E24" s="10">
        <v>0.44584490493484297</v>
      </c>
      <c r="F24" s="10">
        <v>1</v>
      </c>
      <c r="G24" s="10">
        <v>2</v>
      </c>
      <c r="H24" s="10">
        <v>0</v>
      </c>
      <c r="I24" s="10">
        <f t="shared" ref="I24:I41" si="6">IF(K24=1, C24*$C$9+$C$7,C24*$C$12+$C$10)</f>
        <v>4.2336649521823988</v>
      </c>
      <c r="J24" s="10">
        <f t="shared" ref="J24:J87" si="7">IF(K24=1, D24*$C$9+$C$8,D24*$C$12+$C$11)</f>
        <v>12.70627015712763</v>
      </c>
      <c r="K24" s="10">
        <f t="shared" ref="K24:K87" si="8">IF(E24&lt;$C$14,1,-1)</f>
        <v>1</v>
      </c>
      <c r="N24" s="10">
        <f t="shared" ref="N24:O42" si="9">IF($K24=1,I24,-100)</f>
        <v>4.2336649521823988</v>
      </c>
      <c r="O24" s="10">
        <f t="shared" si="9"/>
        <v>12.70627015712763</v>
      </c>
      <c r="P24" s="10">
        <f t="shared" ref="P24:Q42" si="10">IF($K24=-1,I24,-100)</f>
        <v>-100</v>
      </c>
      <c r="Q24" s="10">
        <f t="shared" si="10"/>
        <v>-100</v>
      </c>
      <c r="S24" s="10">
        <f t="shared" ref="S24:S87" si="11">SUMPRODUCT(H24:J24,AB23:AD23)</f>
        <v>296.35654665276792</v>
      </c>
      <c r="T24" s="10">
        <f t="shared" ref="T24:T87" si="12">IF(S24&gt;=0,1,-1)</f>
        <v>1</v>
      </c>
      <c r="U24" s="10">
        <f t="shared" ref="U24:U87" si="13">(K24-T24)/2</f>
        <v>0</v>
      </c>
      <c r="V24" s="10">
        <f t="shared" ref="V24:V87" si="14">IF(U24&lt;&gt;0,1,0)</f>
        <v>0</v>
      </c>
      <c r="Y24" s="10">
        <f t="shared" ref="Y24:AA87" si="15">IF($U24=0,0,$C$14*($U24)*H24)</f>
        <v>0</v>
      </c>
      <c r="Z24" s="10">
        <f t="shared" si="3"/>
        <v>0</v>
      </c>
      <c r="AA24" s="10">
        <f t="shared" si="3"/>
        <v>0</v>
      </c>
      <c r="AC24" s="10">
        <f t="shared" si="4"/>
        <v>70</v>
      </c>
      <c r="AD24" s="10">
        <f t="shared" si="4"/>
        <v>0</v>
      </c>
      <c r="AH24" s="10" t="s">
        <v>49</v>
      </c>
      <c r="AI24" s="10" t="s">
        <v>43</v>
      </c>
      <c r="AJ24" s="10" t="s">
        <v>36</v>
      </c>
      <c r="AM24" s="10">
        <v>3</v>
      </c>
      <c r="AN24" s="10">
        <f>X82</f>
        <v>0</v>
      </c>
      <c r="AO24" s="10">
        <f>AB82</f>
        <v>0</v>
      </c>
      <c r="AP24" s="10">
        <f t="shared" ref="AP24:AQ24" si="16">AC82</f>
        <v>30.351522126598855</v>
      </c>
      <c r="AQ24" s="10">
        <f t="shared" si="16"/>
        <v>1.1303935806952303</v>
      </c>
      <c r="AS24" s="10">
        <v>3</v>
      </c>
      <c r="AT24" s="10">
        <v>-5</v>
      </c>
      <c r="AU24" s="10">
        <f t="shared" ref="AU24:AU31" si="17">-AO24/AQ24-AP24/AQ24*AT24</f>
        <v>134.2520102950852</v>
      </c>
      <c r="AV24" s="10">
        <v>15</v>
      </c>
      <c r="AW24" s="10">
        <f t="shared" si="2"/>
        <v>-402.7560308852556</v>
      </c>
    </row>
    <row r="25" spans="1:49" x14ac:dyDescent="0.25">
      <c r="B25" s="10">
        <v>3</v>
      </c>
      <c r="C25" s="10">
        <v>-1.4784518498345278</v>
      </c>
      <c r="D25" s="10">
        <v>-0.36737446862389334</v>
      </c>
      <c r="E25" s="10">
        <v>0.63283181249427778</v>
      </c>
      <c r="F25" s="10">
        <v>1</v>
      </c>
      <c r="G25" s="10">
        <v>3</v>
      </c>
      <c r="H25" s="10">
        <v>0</v>
      </c>
      <c r="I25" s="10">
        <f t="shared" si="6"/>
        <v>4.0760342132531742</v>
      </c>
      <c r="J25" s="10">
        <f t="shared" si="7"/>
        <v>14.469759131952143</v>
      </c>
      <c r="K25" s="10">
        <f t="shared" si="8"/>
        <v>1</v>
      </c>
      <c r="N25" s="10">
        <f t="shared" si="9"/>
        <v>4.0760342132531742</v>
      </c>
      <c r="O25" s="10">
        <f t="shared" si="9"/>
        <v>14.469759131952143</v>
      </c>
      <c r="P25" s="10">
        <f t="shared" si="10"/>
        <v>-100</v>
      </c>
      <c r="Q25" s="10">
        <f t="shared" si="10"/>
        <v>-100</v>
      </c>
      <c r="S25" s="10">
        <f t="shared" si="11"/>
        <v>285.3223949277222</v>
      </c>
      <c r="T25" s="10">
        <f t="shared" si="12"/>
        <v>1</v>
      </c>
      <c r="U25" s="10">
        <f t="shared" si="13"/>
        <v>0</v>
      </c>
      <c r="V25" s="10">
        <f t="shared" si="14"/>
        <v>0</v>
      </c>
      <c r="Y25" s="10">
        <f t="shared" si="15"/>
        <v>0</v>
      </c>
      <c r="Z25" s="10">
        <f t="shared" si="3"/>
        <v>0</v>
      </c>
      <c r="AA25" s="10">
        <f t="shared" si="3"/>
        <v>0</v>
      </c>
      <c r="AC25" s="10">
        <f t="shared" si="4"/>
        <v>70</v>
      </c>
      <c r="AD25" s="10">
        <f t="shared" si="4"/>
        <v>0</v>
      </c>
      <c r="AH25" s="10">
        <f>IF(SUMPRODUCT(H23:J23,$AH$21:$AJ$21)&gt;=0,1,-1)</f>
        <v>1</v>
      </c>
      <c r="AI25" s="10">
        <f>(K23-AH25)/2</f>
        <v>0</v>
      </c>
      <c r="AJ25" s="10">
        <f>IF(AI25&lt;&gt;0,1,0)</f>
        <v>0</v>
      </c>
      <c r="AM25" s="10">
        <v>4</v>
      </c>
      <c r="AN25" s="10">
        <f>X102</f>
        <v>0</v>
      </c>
      <c r="AO25" s="10">
        <f>AB102</f>
        <v>0</v>
      </c>
      <c r="AP25" s="10">
        <f t="shared" ref="AP25:AQ25" si="18">AC102</f>
        <v>30.351522126598855</v>
      </c>
      <c r="AQ25" s="10">
        <f t="shared" si="18"/>
        <v>1.1303935806952303</v>
      </c>
      <c r="AS25" s="10">
        <v>4</v>
      </c>
      <c r="AT25" s="10">
        <v>-5</v>
      </c>
      <c r="AU25" s="10">
        <f t="shared" si="17"/>
        <v>134.2520102950852</v>
      </c>
      <c r="AV25" s="10">
        <v>15</v>
      </c>
      <c r="AW25" s="10">
        <f t="shared" si="2"/>
        <v>-402.7560308852556</v>
      </c>
    </row>
    <row r="26" spans="1:49" x14ac:dyDescent="0.25">
      <c r="B26" s="10">
        <v>4</v>
      </c>
      <c r="C26" s="10">
        <v>0.5277479431242682</v>
      </c>
      <c r="D26" s="10">
        <v>2.022225089604035</v>
      </c>
      <c r="E26" s="10">
        <v>0.19806512649922178</v>
      </c>
      <c r="F26" s="10">
        <v>1</v>
      </c>
      <c r="G26" s="10">
        <v>4</v>
      </c>
      <c r="H26" s="10">
        <v>0</v>
      </c>
      <c r="I26" s="10">
        <f t="shared" si="6"/>
        <v>6.9682999690312606</v>
      </c>
      <c r="J26" s="10">
        <f t="shared" si="7"/>
        <v>17.914758476754205</v>
      </c>
      <c r="K26" s="10">
        <f t="shared" si="8"/>
        <v>1</v>
      </c>
      <c r="N26" s="10">
        <f t="shared" si="9"/>
        <v>6.9682999690312606</v>
      </c>
      <c r="O26" s="10">
        <f t="shared" si="9"/>
        <v>17.914758476754205</v>
      </c>
      <c r="P26" s="10">
        <f t="shared" si="10"/>
        <v>-100</v>
      </c>
      <c r="Q26" s="10">
        <f t="shared" si="10"/>
        <v>-100</v>
      </c>
      <c r="S26" s="10">
        <f t="shared" si="11"/>
        <v>487.78099783218823</v>
      </c>
      <c r="T26" s="10">
        <f t="shared" si="12"/>
        <v>1</v>
      </c>
      <c r="U26" s="10">
        <f t="shared" si="13"/>
        <v>0</v>
      </c>
      <c r="V26" s="10">
        <f t="shared" si="14"/>
        <v>0</v>
      </c>
      <c r="Y26" s="10">
        <f t="shared" si="15"/>
        <v>0</v>
      </c>
      <c r="Z26" s="10">
        <f t="shared" si="3"/>
        <v>0</v>
      </c>
      <c r="AA26" s="10">
        <f t="shared" si="3"/>
        <v>0</v>
      </c>
      <c r="AC26" s="10">
        <f t="shared" si="4"/>
        <v>70</v>
      </c>
      <c r="AD26" s="10">
        <f t="shared" si="4"/>
        <v>0</v>
      </c>
      <c r="AH26" s="10">
        <f t="shared" ref="AH26:AH89" si="19">IF(SUMPRODUCT(H24:J24,$AH$21:$AJ$21)&gt;=0,1,-1)</f>
        <v>1</v>
      </c>
      <c r="AI26" s="10">
        <f t="shared" ref="AI26:AI89" si="20">(K24-AH26)/2</f>
        <v>0</v>
      </c>
      <c r="AJ26" s="10">
        <f t="shared" ref="AJ26:AJ89" si="21">IF(AI26&lt;&gt;0,1,0)</f>
        <v>0</v>
      </c>
      <c r="AM26" s="10">
        <v>5</v>
      </c>
      <c r="AN26" s="10">
        <f>X122</f>
        <v>0</v>
      </c>
      <c r="AO26" s="10">
        <f>AB122</f>
        <v>0</v>
      </c>
      <c r="AP26" s="10">
        <f t="shared" ref="AP26:AQ26" si="22">AC122</f>
        <v>30.351522126598855</v>
      </c>
      <c r="AQ26" s="10">
        <f t="shared" si="22"/>
        <v>1.1303935806952303</v>
      </c>
      <c r="AS26" s="10">
        <v>5</v>
      </c>
      <c r="AT26" s="10">
        <v>-5</v>
      </c>
      <c r="AU26" s="10">
        <f t="shared" si="17"/>
        <v>134.2520102950852</v>
      </c>
      <c r="AV26" s="10">
        <v>15</v>
      </c>
      <c r="AW26" s="10">
        <f t="shared" si="2"/>
        <v>-402.7560308852556</v>
      </c>
    </row>
    <row r="27" spans="1:49" x14ac:dyDescent="0.25">
      <c r="B27" s="10">
        <v>5</v>
      </c>
      <c r="C27" s="10">
        <v>1.4964916772441939</v>
      </c>
      <c r="D27" s="10">
        <v>-1.5814612197573297</v>
      </c>
      <c r="E27" s="10">
        <v>0.39292580950346384</v>
      </c>
      <c r="F27" s="10">
        <v>1</v>
      </c>
      <c r="G27" s="10">
        <v>5</v>
      </c>
      <c r="H27" s="10">
        <v>0</v>
      </c>
      <c r="I27" s="10">
        <f t="shared" si="6"/>
        <v>8.3649028089644606</v>
      </c>
      <c r="J27" s="10">
        <f t="shared" si="7"/>
        <v>12.719454128845591</v>
      </c>
      <c r="K27" s="10">
        <f t="shared" si="8"/>
        <v>1</v>
      </c>
      <c r="N27" s="10">
        <f t="shared" si="9"/>
        <v>8.3649028089644606</v>
      </c>
      <c r="O27" s="10">
        <f t="shared" si="9"/>
        <v>12.719454128845591</v>
      </c>
      <c r="P27" s="10">
        <f t="shared" si="10"/>
        <v>-100</v>
      </c>
      <c r="Q27" s="10">
        <f t="shared" si="10"/>
        <v>-100</v>
      </c>
      <c r="S27" s="10">
        <f t="shared" si="11"/>
        <v>585.5431966275122</v>
      </c>
      <c r="T27" s="10">
        <f t="shared" si="12"/>
        <v>1</v>
      </c>
      <c r="U27" s="10">
        <f t="shared" si="13"/>
        <v>0</v>
      </c>
      <c r="V27" s="10">
        <f t="shared" si="14"/>
        <v>0</v>
      </c>
      <c r="Y27" s="10">
        <f t="shared" si="15"/>
        <v>0</v>
      </c>
      <c r="Z27" s="10">
        <f t="shared" si="3"/>
        <v>0</v>
      </c>
      <c r="AA27" s="10">
        <f t="shared" si="3"/>
        <v>0</v>
      </c>
      <c r="AC27" s="10">
        <f t="shared" si="4"/>
        <v>70</v>
      </c>
      <c r="AD27" s="10">
        <f t="shared" si="4"/>
        <v>0</v>
      </c>
      <c r="AH27" s="10">
        <f t="shared" si="19"/>
        <v>1</v>
      </c>
      <c r="AI27" s="10">
        <f t="shared" si="20"/>
        <v>0</v>
      </c>
      <c r="AJ27" s="10">
        <f t="shared" si="21"/>
        <v>0</v>
      </c>
      <c r="AM27" s="10">
        <v>6</v>
      </c>
      <c r="AN27" s="10">
        <f>X142</f>
        <v>0</v>
      </c>
      <c r="AO27" s="10">
        <f>AB142</f>
        <v>0</v>
      </c>
      <c r="AP27" s="10">
        <f t="shared" ref="AP27:AQ27" si="23">AC142</f>
        <v>30.351522126598855</v>
      </c>
      <c r="AQ27" s="10">
        <f t="shared" si="23"/>
        <v>1.1303935806952303</v>
      </c>
      <c r="AS27" s="10">
        <v>6</v>
      </c>
      <c r="AT27" s="10">
        <v>-5</v>
      </c>
      <c r="AU27" s="10">
        <f t="shared" si="17"/>
        <v>134.2520102950852</v>
      </c>
      <c r="AV27" s="10">
        <v>15</v>
      </c>
      <c r="AW27" s="10">
        <f t="shared" si="2"/>
        <v>-402.7560308852556</v>
      </c>
    </row>
    <row r="28" spans="1:49" x14ac:dyDescent="0.25">
      <c r="B28" s="10">
        <v>6</v>
      </c>
      <c r="C28" s="10">
        <v>-0.88723936642054468</v>
      </c>
      <c r="D28" s="10">
        <v>-0.27098735699837562</v>
      </c>
      <c r="E28" s="10">
        <v>0.82949308755760365</v>
      </c>
      <c r="F28" s="10">
        <v>1</v>
      </c>
      <c r="G28" s="10">
        <v>6</v>
      </c>
      <c r="H28" s="10">
        <v>0</v>
      </c>
      <c r="I28" s="10">
        <f t="shared" si="6"/>
        <v>9.3848699915294151</v>
      </c>
      <c r="J28" s="10">
        <f t="shared" si="7"/>
        <v>1.4060742683734069</v>
      </c>
      <c r="K28" s="10">
        <f t="shared" si="8"/>
        <v>-1</v>
      </c>
      <c r="N28" s="10">
        <f t="shared" si="9"/>
        <v>-100</v>
      </c>
      <c r="O28" s="10">
        <f t="shared" si="9"/>
        <v>-100</v>
      </c>
      <c r="P28" s="10">
        <f t="shared" si="10"/>
        <v>9.3848699915294151</v>
      </c>
      <c r="Q28" s="10">
        <f t="shared" si="10"/>
        <v>1.4060742683734069</v>
      </c>
      <c r="S28" s="10">
        <f t="shared" si="11"/>
        <v>656.94089940705908</v>
      </c>
      <c r="T28" s="10">
        <f t="shared" si="12"/>
        <v>1</v>
      </c>
      <c r="U28" s="10">
        <f t="shared" si="13"/>
        <v>-1</v>
      </c>
      <c r="V28" s="10">
        <f t="shared" si="14"/>
        <v>1</v>
      </c>
      <c r="Y28" s="10">
        <f t="shared" si="15"/>
        <v>0</v>
      </c>
      <c r="Z28" s="10">
        <f t="shared" si="3"/>
        <v>-6.5771421246443174</v>
      </c>
      <c r="AA28" s="10">
        <f t="shared" si="3"/>
        <v>-0.9854105927140363</v>
      </c>
      <c r="AC28" s="10">
        <f t="shared" si="4"/>
        <v>63.422857875355682</v>
      </c>
      <c r="AD28" s="10">
        <f t="shared" si="4"/>
        <v>-0.9854105927140363</v>
      </c>
      <c r="AH28" s="10">
        <f t="shared" si="19"/>
        <v>1</v>
      </c>
      <c r="AI28" s="10">
        <f t="shared" si="20"/>
        <v>0</v>
      </c>
      <c r="AJ28" s="10">
        <f t="shared" si="21"/>
        <v>0</v>
      </c>
      <c r="AM28" s="10">
        <v>7</v>
      </c>
      <c r="AN28" s="10">
        <f>X162</f>
        <v>0</v>
      </c>
      <c r="AO28" s="10">
        <f>AB162</f>
        <v>0</v>
      </c>
      <c r="AP28" s="10">
        <f t="shared" ref="AP28:AQ28" si="24">AC162</f>
        <v>30.351522126598855</v>
      </c>
      <c r="AQ28" s="10">
        <f t="shared" si="24"/>
        <v>1.1303935806952303</v>
      </c>
      <c r="AS28" s="10">
        <v>7</v>
      </c>
      <c r="AT28" s="10">
        <v>-5</v>
      </c>
      <c r="AU28" s="10">
        <f t="shared" si="17"/>
        <v>134.2520102950852</v>
      </c>
      <c r="AV28" s="10">
        <v>15</v>
      </c>
      <c r="AW28" s="10">
        <f t="shared" si="2"/>
        <v>-402.7560308852556</v>
      </c>
    </row>
    <row r="29" spans="1:49" x14ac:dyDescent="0.25">
      <c r="B29" s="10">
        <v>7</v>
      </c>
      <c r="C29" s="10">
        <v>-0.98282498584012501</v>
      </c>
      <c r="D29" s="10">
        <v>0.40072904994303826</v>
      </c>
      <c r="E29" s="10">
        <v>0.87780388805810727</v>
      </c>
      <c r="F29" s="10">
        <v>1</v>
      </c>
      <c r="G29" s="10">
        <v>7</v>
      </c>
      <c r="H29" s="10">
        <v>0</v>
      </c>
      <c r="I29" s="10">
        <f t="shared" si="6"/>
        <v>9.2116945315592211</v>
      </c>
      <c r="J29" s="10">
        <f t="shared" si="7"/>
        <v>2.6230439176570473</v>
      </c>
      <c r="K29" s="10">
        <f t="shared" si="8"/>
        <v>-1</v>
      </c>
      <c r="N29" s="10">
        <f t="shared" si="9"/>
        <v>-100</v>
      </c>
      <c r="O29" s="10">
        <f t="shared" si="9"/>
        <v>-100</v>
      </c>
      <c r="P29" s="10">
        <f t="shared" si="10"/>
        <v>9.2116945315592211</v>
      </c>
      <c r="Q29" s="10">
        <f t="shared" si="10"/>
        <v>2.6230439176570473</v>
      </c>
      <c r="S29" s="10">
        <f t="shared" si="11"/>
        <v>581.64721780465823</v>
      </c>
      <c r="T29" s="10">
        <f t="shared" si="12"/>
        <v>1</v>
      </c>
      <c r="U29" s="10">
        <f t="shared" si="13"/>
        <v>-1</v>
      </c>
      <c r="V29" s="10">
        <f t="shared" si="14"/>
        <v>1</v>
      </c>
      <c r="Y29" s="10">
        <f t="shared" si="15"/>
        <v>0</v>
      </c>
      <c r="Z29" s="10">
        <f t="shared" si="3"/>
        <v>-6.4557766061285946</v>
      </c>
      <c r="AA29" s="10">
        <f t="shared" si="3"/>
        <v>-1.8382921299054367</v>
      </c>
      <c r="AC29" s="10">
        <f t="shared" si="4"/>
        <v>56.967081269227087</v>
      </c>
      <c r="AD29" s="10">
        <f t="shared" si="4"/>
        <v>-2.8237027226194731</v>
      </c>
      <c r="AH29" s="10">
        <f t="shared" si="19"/>
        <v>1</v>
      </c>
      <c r="AI29" s="10">
        <f t="shared" si="20"/>
        <v>0</v>
      </c>
      <c r="AJ29" s="10">
        <f t="shared" si="21"/>
        <v>0</v>
      </c>
      <c r="AM29" s="10">
        <v>8</v>
      </c>
      <c r="AN29" s="10">
        <f>X182</f>
        <v>0</v>
      </c>
      <c r="AO29" s="10">
        <f>AB182</f>
        <v>0</v>
      </c>
      <c r="AP29" s="10">
        <f t="shared" ref="AP29:AQ29" si="25">AC182</f>
        <v>30.351522126598855</v>
      </c>
      <c r="AQ29" s="10">
        <f t="shared" si="25"/>
        <v>1.1303935806952303</v>
      </c>
      <c r="AS29" s="10">
        <v>8</v>
      </c>
      <c r="AT29" s="10">
        <v>-5</v>
      </c>
      <c r="AU29" s="10">
        <f t="shared" si="17"/>
        <v>134.2520102950852</v>
      </c>
      <c r="AV29" s="10">
        <v>15</v>
      </c>
      <c r="AW29" s="10">
        <f t="shared" si="2"/>
        <v>-402.7560308852556</v>
      </c>
    </row>
    <row r="30" spans="1:49" x14ac:dyDescent="0.25">
      <c r="B30" s="10">
        <v>8</v>
      </c>
      <c r="C30" s="10">
        <v>-0.29319721761567052</v>
      </c>
      <c r="D30" s="10">
        <v>-0.71606336859986186</v>
      </c>
      <c r="E30" s="10">
        <v>0.89480269783623767</v>
      </c>
      <c r="F30" s="10">
        <v>1</v>
      </c>
      <c r="G30" s="10">
        <v>8</v>
      </c>
      <c r="H30" s="10">
        <v>0</v>
      </c>
      <c r="I30" s="10">
        <f t="shared" si="6"/>
        <v>10.461114754974387</v>
      </c>
      <c r="J30" s="10">
        <f t="shared" si="7"/>
        <v>0.59971612058074264</v>
      </c>
      <c r="K30" s="10">
        <f t="shared" si="8"/>
        <v>-1</v>
      </c>
      <c r="N30" s="10">
        <f t="shared" si="9"/>
        <v>-100</v>
      </c>
      <c r="O30" s="10">
        <f t="shared" si="9"/>
        <v>-100</v>
      </c>
      <c r="P30" s="10">
        <f t="shared" si="10"/>
        <v>10.461114754974387</v>
      </c>
      <c r="Q30" s="10">
        <f t="shared" si="10"/>
        <v>0.59971612058074264</v>
      </c>
      <c r="S30" s="10">
        <f t="shared" si="11"/>
        <v>594.24575437085389</v>
      </c>
      <c r="T30" s="10">
        <f t="shared" si="12"/>
        <v>1</v>
      </c>
      <c r="U30" s="10">
        <f t="shared" si="13"/>
        <v>-1</v>
      </c>
      <c r="V30" s="10">
        <f t="shared" si="14"/>
        <v>1</v>
      </c>
      <c r="Y30" s="10">
        <f t="shared" si="15"/>
        <v>0</v>
      </c>
      <c r="Z30" s="10">
        <f t="shared" si="3"/>
        <v>-7.3314002844771968</v>
      </c>
      <c r="AA30" s="10">
        <f t="shared" si="3"/>
        <v>-0.42029545034294791</v>
      </c>
      <c r="AC30" s="10">
        <f t="shared" si="4"/>
        <v>49.635680984749889</v>
      </c>
      <c r="AD30" s="10">
        <f t="shared" si="4"/>
        <v>-3.2439981729624208</v>
      </c>
      <c r="AH30" s="10">
        <f t="shared" si="19"/>
        <v>1</v>
      </c>
      <c r="AI30" s="10">
        <f t="shared" si="20"/>
        <v>-1</v>
      </c>
      <c r="AJ30" s="10">
        <f t="shared" si="21"/>
        <v>1</v>
      </c>
      <c r="AM30" s="10">
        <v>9</v>
      </c>
      <c r="AN30" s="10">
        <f>X202</f>
        <v>0</v>
      </c>
      <c r="AO30" s="10">
        <f>AB202</f>
        <v>0</v>
      </c>
      <c r="AP30" s="10">
        <f t="shared" ref="AP30:AQ30" si="26">AC202</f>
        <v>30.351522126598855</v>
      </c>
      <c r="AQ30" s="10">
        <f t="shared" si="26"/>
        <v>1.1303935806952303</v>
      </c>
      <c r="AS30" s="10">
        <v>9</v>
      </c>
      <c r="AT30" s="10">
        <v>-5</v>
      </c>
      <c r="AU30" s="10">
        <f t="shared" si="17"/>
        <v>134.2520102950852</v>
      </c>
      <c r="AV30" s="10">
        <v>15</v>
      </c>
      <c r="AW30" s="10">
        <f t="shared" si="2"/>
        <v>-402.7560308852556</v>
      </c>
    </row>
    <row r="31" spans="1:49" x14ac:dyDescent="0.25">
      <c r="B31" s="10">
        <v>9</v>
      </c>
      <c r="C31" s="10">
        <v>-1.4234456102713011</v>
      </c>
      <c r="D31" s="10">
        <v>-0.4698711109085707</v>
      </c>
      <c r="E31" s="10">
        <v>0.15045625171666616</v>
      </c>
      <c r="F31" s="10">
        <v>1</v>
      </c>
      <c r="G31" s="10">
        <v>9</v>
      </c>
      <c r="H31" s="10">
        <v>0</v>
      </c>
      <c r="I31" s="10">
        <f t="shared" si="6"/>
        <v>4.1553347214085523</v>
      </c>
      <c r="J31" s="10">
        <f t="shared" si="7"/>
        <v>14.321993426062503</v>
      </c>
      <c r="K31" s="10">
        <f t="shared" si="8"/>
        <v>1</v>
      </c>
      <c r="N31" s="10">
        <f t="shared" si="9"/>
        <v>4.1553347214085523</v>
      </c>
      <c r="O31" s="10">
        <f t="shared" si="9"/>
        <v>14.321993426062503</v>
      </c>
      <c r="P31" s="10">
        <f t="shared" si="10"/>
        <v>-100</v>
      </c>
      <c r="Q31" s="10">
        <f t="shared" si="10"/>
        <v>-100</v>
      </c>
      <c r="S31" s="10">
        <f t="shared" si="11"/>
        <v>159.79234810936288</v>
      </c>
      <c r="T31" s="10">
        <f t="shared" si="12"/>
        <v>1</v>
      </c>
      <c r="U31" s="10">
        <f t="shared" si="13"/>
        <v>0</v>
      </c>
      <c r="V31" s="10">
        <f t="shared" si="14"/>
        <v>0</v>
      </c>
      <c r="Y31" s="10">
        <f t="shared" si="15"/>
        <v>0</v>
      </c>
      <c r="Z31" s="10">
        <f t="shared" si="3"/>
        <v>0</v>
      </c>
      <c r="AA31" s="10">
        <f t="shared" si="3"/>
        <v>0</v>
      </c>
      <c r="AC31" s="10">
        <f t="shared" si="4"/>
        <v>49.635680984749889</v>
      </c>
      <c r="AD31" s="10">
        <f t="shared" si="4"/>
        <v>-3.2439981729624208</v>
      </c>
      <c r="AH31" s="10">
        <f t="shared" si="19"/>
        <v>1</v>
      </c>
      <c r="AI31" s="10">
        <f t="shared" si="20"/>
        <v>-1</v>
      </c>
      <c r="AJ31" s="10">
        <f t="shared" si="21"/>
        <v>1</v>
      </c>
      <c r="AM31" s="10">
        <v>10</v>
      </c>
      <c r="AN31" s="10">
        <f>X222</f>
        <v>0</v>
      </c>
      <c r="AO31" s="10">
        <f>AB222</f>
        <v>0</v>
      </c>
      <c r="AP31" s="10">
        <f t="shared" ref="AP31:AQ31" si="27">AC222</f>
        <v>30.351522126598855</v>
      </c>
      <c r="AQ31" s="10">
        <f t="shared" si="27"/>
        <v>1.1303935806952303</v>
      </c>
      <c r="AS31" s="10">
        <v>10</v>
      </c>
      <c r="AT31" s="10">
        <v>-5</v>
      </c>
      <c r="AU31" s="10">
        <f t="shared" si="17"/>
        <v>134.2520102950852</v>
      </c>
      <c r="AV31" s="10">
        <v>15</v>
      </c>
      <c r="AW31" s="10">
        <f t="shared" si="2"/>
        <v>-402.7560308852556</v>
      </c>
    </row>
    <row r="32" spans="1:49" x14ac:dyDescent="0.25">
      <c r="B32" s="10">
        <v>10</v>
      </c>
      <c r="C32" s="10">
        <v>1.5643308870494366</v>
      </c>
      <c r="D32" s="10">
        <v>0.3155525973852491</v>
      </c>
      <c r="E32" s="10">
        <v>0.58604693746757408</v>
      </c>
      <c r="F32" s="10">
        <v>1</v>
      </c>
      <c r="G32" s="10">
        <v>10</v>
      </c>
      <c r="H32" s="10">
        <v>0</v>
      </c>
      <c r="I32" s="10">
        <f t="shared" si="6"/>
        <v>8.4627041466514576</v>
      </c>
      <c r="J32" s="10">
        <f t="shared" si="7"/>
        <v>15.454310408273011</v>
      </c>
      <c r="K32" s="10">
        <f t="shared" si="8"/>
        <v>1</v>
      </c>
      <c r="N32" s="10">
        <f t="shared" si="9"/>
        <v>8.4627041466514576</v>
      </c>
      <c r="O32" s="10">
        <f t="shared" si="9"/>
        <v>15.454310408273011</v>
      </c>
      <c r="P32" s="10">
        <f t="shared" si="10"/>
        <v>-100</v>
      </c>
      <c r="Q32" s="10">
        <f t="shared" si="10"/>
        <v>-100</v>
      </c>
      <c r="S32" s="10">
        <f t="shared" si="11"/>
        <v>369.91832856268002</v>
      </c>
      <c r="T32" s="10">
        <f t="shared" si="12"/>
        <v>1</v>
      </c>
      <c r="U32" s="10">
        <f t="shared" si="13"/>
        <v>0</v>
      </c>
      <c r="V32" s="10">
        <f t="shared" si="14"/>
        <v>0</v>
      </c>
      <c r="Y32" s="10">
        <f t="shared" si="15"/>
        <v>0</v>
      </c>
      <c r="Z32" s="10">
        <f t="shared" si="3"/>
        <v>0</v>
      </c>
      <c r="AA32" s="10">
        <f t="shared" si="3"/>
        <v>0</v>
      </c>
      <c r="AC32" s="10">
        <f t="shared" si="4"/>
        <v>49.635680984749889</v>
      </c>
      <c r="AD32" s="10">
        <f t="shared" si="4"/>
        <v>-3.2439981729624208</v>
      </c>
      <c r="AH32" s="10">
        <f t="shared" si="19"/>
        <v>1</v>
      </c>
      <c r="AI32" s="10">
        <f t="shared" si="20"/>
        <v>-1</v>
      </c>
      <c r="AJ32" s="10">
        <f t="shared" si="21"/>
        <v>1</v>
      </c>
    </row>
    <row r="33" spans="2:49" x14ac:dyDescent="0.25">
      <c r="B33" s="10">
        <v>11</v>
      </c>
      <c r="C33" s="10">
        <v>0.40305167203769088</v>
      </c>
      <c r="D33" s="10">
        <v>0.35227571970608551</v>
      </c>
      <c r="E33" s="10">
        <v>0.80382702108829007</v>
      </c>
      <c r="F33" s="10">
        <v>1</v>
      </c>
      <c r="G33" s="10">
        <v>11</v>
      </c>
      <c r="H33" s="10">
        <v>0</v>
      </c>
      <c r="I33" s="10">
        <f t="shared" si="6"/>
        <v>11.722530671423003</v>
      </c>
      <c r="J33" s="10">
        <f t="shared" si="7"/>
        <v>2.5352595019486603</v>
      </c>
      <c r="K33" s="10">
        <f t="shared" si="8"/>
        <v>-1</v>
      </c>
      <c r="N33" s="10">
        <f t="shared" si="9"/>
        <v>-100</v>
      </c>
      <c r="O33" s="10">
        <f t="shared" si="9"/>
        <v>-100</v>
      </c>
      <c r="P33" s="10">
        <f t="shared" si="10"/>
        <v>11.722530671423003</v>
      </c>
      <c r="Q33" s="10">
        <f t="shared" si="10"/>
        <v>2.5352595019486603</v>
      </c>
      <c r="S33" s="10">
        <f t="shared" si="11"/>
        <v>573.63141554839103</v>
      </c>
      <c r="T33" s="10">
        <f t="shared" si="12"/>
        <v>1</v>
      </c>
      <c r="U33" s="10">
        <f t="shared" si="13"/>
        <v>-1</v>
      </c>
      <c r="V33" s="10">
        <f t="shared" si="14"/>
        <v>1</v>
      </c>
      <c r="Y33" s="10">
        <f t="shared" si="15"/>
        <v>0</v>
      </c>
      <c r="Z33" s="10">
        <f t="shared" si="3"/>
        <v>-8.2154308323973346</v>
      </c>
      <c r="AA33" s="10">
        <f t="shared" si="3"/>
        <v>-1.7767707045725294</v>
      </c>
      <c r="AC33" s="10">
        <f t="shared" si="4"/>
        <v>41.420250152352551</v>
      </c>
      <c r="AD33" s="10">
        <f t="shared" si="4"/>
        <v>-5.0207688775349499</v>
      </c>
      <c r="AH33" s="10">
        <f t="shared" si="19"/>
        <v>1</v>
      </c>
      <c r="AI33" s="10">
        <f t="shared" si="20"/>
        <v>0</v>
      </c>
      <c r="AJ33" s="10">
        <f t="shared" si="21"/>
        <v>0</v>
      </c>
      <c r="AS33" s="39" t="s">
        <v>56</v>
      </c>
      <c r="AT33" s="39"/>
      <c r="AU33" s="39"/>
      <c r="AV33" s="39"/>
      <c r="AW33" s="39"/>
    </row>
    <row r="34" spans="2:49" x14ac:dyDescent="0.25">
      <c r="B34" s="10">
        <v>12</v>
      </c>
      <c r="C34" s="10">
        <v>2.369270077906549</v>
      </c>
      <c r="D34" s="10">
        <v>1.5264595276676118</v>
      </c>
      <c r="E34" s="10">
        <v>0.68010498367259742</v>
      </c>
      <c r="F34" s="10">
        <v>1</v>
      </c>
      <c r="G34" s="10">
        <v>12</v>
      </c>
      <c r="H34" s="10">
        <v>0</v>
      </c>
      <c r="I34" s="10">
        <f t="shared" si="6"/>
        <v>9.6231558949622329</v>
      </c>
      <c r="J34" s="10">
        <f t="shared" si="7"/>
        <v>17.200031178548244</v>
      </c>
      <c r="K34" s="10">
        <f t="shared" si="8"/>
        <v>1</v>
      </c>
      <c r="N34" s="10">
        <f t="shared" si="9"/>
        <v>9.6231558949622329</v>
      </c>
      <c r="O34" s="10">
        <f t="shared" si="9"/>
        <v>17.200031178548244</v>
      </c>
      <c r="P34" s="10">
        <f t="shared" si="10"/>
        <v>-100</v>
      </c>
      <c r="Q34" s="10">
        <f t="shared" si="10"/>
        <v>-100</v>
      </c>
      <c r="S34" s="10">
        <f t="shared" si="11"/>
        <v>312.23614319053598</v>
      </c>
      <c r="T34" s="10">
        <f t="shared" si="12"/>
        <v>1</v>
      </c>
      <c r="U34" s="10">
        <f t="shared" si="13"/>
        <v>0</v>
      </c>
      <c r="V34" s="10">
        <f>IF(U34&lt;&gt;0,1,0)</f>
        <v>0</v>
      </c>
      <c r="Y34" s="10">
        <f t="shared" si="15"/>
        <v>0</v>
      </c>
      <c r="Z34" s="10">
        <f t="shared" si="3"/>
        <v>0</v>
      </c>
      <c r="AA34" s="10">
        <f t="shared" si="3"/>
        <v>0</v>
      </c>
      <c r="AC34" s="10">
        <f t="shared" si="4"/>
        <v>41.420250152352551</v>
      </c>
      <c r="AD34" s="10">
        <f t="shared" si="4"/>
        <v>-5.0207688775349499</v>
      </c>
      <c r="AH34" s="10">
        <f t="shared" si="19"/>
        <v>1</v>
      </c>
      <c r="AI34" s="10">
        <f t="shared" si="20"/>
        <v>0</v>
      </c>
      <c r="AJ34" s="10">
        <f t="shared" si="21"/>
        <v>0</v>
      </c>
      <c r="AS34" s="10" t="s">
        <v>57</v>
      </c>
      <c r="AT34" s="10">
        <v>0</v>
      </c>
      <c r="AU34" s="10">
        <f>-AH21/AJ21-AI21/AJ21*AT34</f>
        <v>0.81714118904514177</v>
      </c>
      <c r="AV34" s="10">
        <v>15</v>
      </c>
      <c r="AW34" s="10">
        <f>-AH21/AJ21-AI21/AJ21*AV34</f>
        <v>-34.057091061103193</v>
      </c>
    </row>
    <row r="35" spans="2:49" x14ac:dyDescent="0.25">
      <c r="B35" s="10">
        <v>13</v>
      </c>
      <c r="C35" s="10">
        <v>1.2546638572530355</v>
      </c>
      <c r="D35" s="10">
        <v>0.51888719099224545</v>
      </c>
      <c r="E35" s="10">
        <v>0.65324869533371988</v>
      </c>
      <c r="F35" s="10">
        <v>1</v>
      </c>
      <c r="G35" s="10">
        <v>13</v>
      </c>
      <c r="H35" s="10">
        <v>0</v>
      </c>
      <c r="I35" s="10">
        <f t="shared" si="6"/>
        <v>8.0162683783311302</v>
      </c>
      <c r="J35" s="10">
        <f t="shared" si="7"/>
        <v>15.747450545221799</v>
      </c>
      <c r="K35" s="10">
        <f t="shared" si="8"/>
        <v>1</v>
      </c>
      <c r="N35" s="10">
        <f t="shared" si="9"/>
        <v>8.0162683783311302</v>
      </c>
      <c r="O35" s="10">
        <f t="shared" si="9"/>
        <v>15.747450545221799</v>
      </c>
      <c r="P35" s="10">
        <f t="shared" si="10"/>
        <v>-100</v>
      </c>
      <c r="Q35" s="10">
        <f t="shared" si="10"/>
        <v>-100</v>
      </c>
      <c r="S35" s="10">
        <f t="shared" si="11"/>
        <v>252.97153192089854</v>
      </c>
      <c r="T35" s="10">
        <f t="shared" si="12"/>
        <v>1</v>
      </c>
      <c r="U35" s="10">
        <f t="shared" si="13"/>
        <v>0</v>
      </c>
      <c r="V35" s="10">
        <f t="shared" si="14"/>
        <v>0</v>
      </c>
      <c r="Y35" s="10">
        <f t="shared" si="15"/>
        <v>0</v>
      </c>
      <c r="Z35" s="10">
        <f t="shared" si="3"/>
        <v>0</v>
      </c>
      <c r="AA35" s="10">
        <f t="shared" si="3"/>
        <v>0</v>
      </c>
      <c r="AC35" s="10">
        <f t="shared" si="4"/>
        <v>41.420250152352551</v>
      </c>
      <c r="AD35" s="10">
        <f t="shared" si="4"/>
        <v>-5.0207688775349499</v>
      </c>
      <c r="AH35" s="10">
        <f t="shared" si="19"/>
        <v>1</v>
      </c>
      <c r="AI35" s="10">
        <f t="shared" si="20"/>
        <v>-1</v>
      </c>
      <c r="AJ35" s="10">
        <f t="shared" si="21"/>
        <v>1</v>
      </c>
      <c r="AS35" s="10" t="s">
        <v>58</v>
      </c>
      <c r="AT35" s="10">
        <v>0</v>
      </c>
      <c r="AU35" s="10">
        <v>0</v>
      </c>
      <c r="AV35" s="10">
        <f>AI21/SQRT(SUMSQ($AI$21:$AJ$21))</f>
        <v>0.91863018018688791</v>
      </c>
      <c r="AW35" s="10">
        <f>AJ21/SQRT(SUMSQ($AI$21:$AJ$21))</f>
        <v>0.39511845318816186</v>
      </c>
    </row>
    <row r="36" spans="2:49" x14ac:dyDescent="0.25">
      <c r="B36" s="10">
        <v>14</v>
      </c>
      <c r="C36" s="10">
        <v>0.15379214346467052</v>
      </c>
      <c r="D36" s="10">
        <v>0.62068579609331209</v>
      </c>
      <c r="E36" s="10">
        <v>0.85515915402691733</v>
      </c>
      <c r="F36" s="10">
        <v>1</v>
      </c>
      <c r="G36" s="10">
        <v>14</v>
      </c>
      <c r="H36" s="10">
        <v>0</v>
      </c>
      <c r="I36" s="10">
        <f t="shared" si="6"/>
        <v>11.270939377934512</v>
      </c>
      <c r="J36" s="10">
        <f t="shared" si="7"/>
        <v>3.0215464426123679</v>
      </c>
      <c r="K36" s="10">
        <f t="shared" si="8"/>
        <v>-1</v>
      </c>
      <c r="N36" s="10">
        <f t="shared" si="9"/>
        <v>-100</v>
      </c>
      <c r="O36" s="10">
        <f t="shared" si="9"/>
        <v>-100</v>
      </c>
      <c r="P36" s="10">
        <f t="shared" si="10"/>
        <v>11.270939377934512</v>
      </c>
      <c r="Q36" s="10">
        <f t="shared" si="10"/>
        <v>3.0215464426123679</v>
      </c>
      <c r="S36" s="10">
        <f t="shared" si="11"/>
        <v>451.67464214495374</v>
      </c>
      <c r="T36" s="10">
        <f t="shared" si="12"/>
        <v>1</v>
      </c>
      <c r="U36" s="10">
        <f t="shared" si="13"/>
        <v>-1</v>
      </c>
      <c r="V36" s="10">
        <f t="shared" si="14"/>
        <v>1</v>
      </c>
      <c r="Y36" s="10">
        <f t="shared" si="15"/>
        <v>0</v>
      </c>
      <c r="Z36" s="10">
        <f t="shared" si="3"/>
        <v>-7.8989448158401965</v>
      </c>
      <c r="AA36" s="10">
        <f t="shared" si="3"/>
        <v>-2.1175722633570913</v>
      </c>
      <c r="AC36" s="10">
        <f t="shared" si="4"/>
        <v>33.521305336512356</v>
      </c>
      <c r="AD36" s="10">
        <f t="shared" si="4"/>
        <v>-7.1383411408920416</v>
      </c>
      <c r="AH36" s="10">
        <f t="shared" si="19"/>
        <v>1</v>
      </c>
      <c r="AI36" s="10">
        <f t="shared" si="20"/>
        <v>0</v>
      </c>
      <c r="AJ36" s="10">
        <f t="shared" si="21"/>
        <v>0</v>
      </c>
    </row>
    <row r="37" spans="2:49" x14ac:dyDescent="0.25">
      <c r="B37" s="10">
        <v>15</v>
      </c>
      <c r="C37" s="10">
        <v>0.55119471653597429</v>
      </c>
      <c r="D37" s="10">
        <v>-3.2173375075217336E-2</v>
      </c>
      <c r="E37" s="10">
        <v>0.6038087099826045</v>
      </c>
      <c r="F37" s="10">
        <v>1</v>
      </c>
      <c r="G37" s="10">
        <v>15</v>
      </c>
      <c r="H37" s="10">
        <v>0</v>
      </c>
      <c r="I37" s="10">
        <f t="shared" si="6"/>
        <v>7.0021023351067502</v>
      </c>
      <c r="J37" s="10">
        <f t="shared" si="7"/>
        <v>14.953006437416358</v>
      </c>
      <c r="K37" s="10">
        <f t="shared" si="8"/>
        <v>1</v>
      </c>
      <c r="N37" s="10">
        <f t="shared" si="9"/>
        <v>7.0021023351067502</v>
      </c>
      <c r="O37" s="10">
        <f t="shared" si="9"/>
        <v>14.953006437416358</v>
      </c>
      <c r="P37" s="10">
        <f t="shared" si="10"/>
        <v>-100</v>
      </c>
      <c r="Q37" s="10">
        <f t="shared" si="10"/>
        <v>-100</v>
      </c>
      <c r="S37" s="10">
        <f t="shared" si="11"/>
        <v>127.97994934038681</v>
      </c>
      <c r="T37" s="10">
        <f t="shared" si="12"/>
        <v>1</v>
      </c>
      <c r="U37" s="10">
        <f t="shared" si="13"/>
        <v>0</v>
      </c>
      <c r="V37" s="10">
        <f t="shared" si="14"/>
        <v>0</v>
      </c>
      <c r="Y37" s="10">
        <f t="shared" si="15"/>
        <v>0</v>
      </c>
      <c r="Z37" s="10">
        <f t="shared" si="3"/>
        <v>0</v>
      </c>
      <c r="AA37" s="10">
        <f t="shared" si="3"/>
        <v>0</v>
      </c>
      <c r="AC37" s="10">
        <f t="shared" si="4"/>
        <v>33.521305336512356</v>
      </c>
      <c r="AD37" s="10">
        <f t="shared" si="4"/>
        <v>-7.1383411408920416</v>
      </c>
      <c r="AH37" s="10">
        <f t="shared" si="19"/>
        <v>1</v>
      </c>
      <c r="AI37" s="10">
        <f t="shared" si="20"/>
        <v>0</v>
      </c>
      <c r="AJ37" s="10">
        <f t="shared" si="21"/>
        <v>0</v>
      </c>
    </row>
    <row r="38" spans="2:49" x14ac:dyDescent="0.25">
      <c r="B38" s="10">
        <v>16</v>
      </c>
      <c r="C38" s="10">
        <v>2.2056883608456701</v>
      </c>
      <c r="D38" s="10">
        <v>0.30720116228621919</v>
      </c>
      <c r="E38" s="10">
        <v>0.63979003265480516</v>
      </c>
      <c r="F38" s="10">
        <v>1</v>
      </c>
      <c r="G38" s="10">
        <v>16</v>
      </c>
      <c r="H38" s="10">
        <v>0</v>
      </c>
      <c r="I38" s="10">
        <f t="shared" si="6"/>
        <v>9.3873260438242312</v>
      </c>
      <c r="J38" s="10">
        <f t="shared" si="7"/>
        <v>15.442270446035302</v>
      </c>
      <c r="K38" s="10">
        <f t="shared" si="8"/>
        <v>1</v>
      </c>
      <c r="N38" s="10">
        <f t="shared" si="9"/>
        <v>9.3873260438242312</v>
      </c>
      <c r="O38" s="10">
        <f t="shared" si="9"/>
        <v>15.442270446035302</v>
      </c>
      <c r="P38" s="10">
        <f t="shared" si="10"/>
        <v>-100</v>
      </c>
      <c r="Q38" s="10">
        <f t="shared" si="10"/>
        <v>-100</v>
      </c>
      <c r="S38" s="10">
        <f t="shared" si="11"/>
        <v>204.44322817471152</v>
      </c>
      <c r="T38" s="10">
        <f t="shared" si="12"/>
        <v>1</v>
      </c>
      <c r="U38" s="10">
        <f t="shared" si="13"/>
        <v>0</v>
      </c>
      <c r="V38" s="10">
        <f t="shared" si="14"/>
        <v>0</v>
      </c>
      <c r="Y38" s="10">
        <f t="shared" si="15"/>
        <v>0</v>
      </c>
      <c r="Z38" s="10">
        <f t="shared" si="3"/>
        <v>0</v>
      </c>
      <c r="AA38" s="10">
        <f t="shared" si="3"/>
        <v>0</v>
      </c>
      <c r="AC38" s="10">
        <f t="shared" si="4"/>
        <v>33.521305336512356</v>
      </c>
      <c r="AD38" s="10">
        <f t="shared" si="4"/>
        <v>-7.1383411408920416</v>
      </c>
      <c r="AH38" s="10">
        <f t="shared" si="19"/>
        <v>1</v>
      </c>
      <c r="AI38" s="10">
        <f t="shared" si="20"/>
        <v>-1</v>
      </c>
      <c r="AJ38" s="10">
        <f t="shared" si="21"/>
        <v>1</v>
      </c>
    </row>
    <row r="39" spans="2:49" x14ac:dyDescent="0.25">
      <c r="B39" s="10">
        <v>17</v>
      </c>
      <c r="C39" s="10">
        <v>1.4864872355246916</v>
      </c>
      <c r="D39" s="10">
        <v>-1.8683840607991442</v>
      </c>
      <c r="E39" s="10">
        <v>0.15027314065981018</v>
      </c>
      <c r="F39" s="10">
        <v>1</v>
      </c>
      <c r="G39" s="10">
        <v>17</v>
      </c>
      <c r="H39" s="10">
        <v>0</v>
      </c>
      <c r="I39" s="10">
        <f t="shared" si="6"/>
        <v>8.350479766806572</v>
      </c>
      <c r="J39" s="10">
        <f t="shared" si="7"/>
        <v>12.305807835685576</v>
      </c>
      <c r="K39" s="10">
        <f t="shared" si="8"/>
        <v>1</v>
      </c>
      <c r="N39" s="10">
        <f t="shared" si="9"/>
        <v>8.350479766806572</v>
      </c>
      <c r="O39" s="10">
        <f t="shared" si="9"/>
        <v>12.305807835685576</v>
      </c>
      <c r="P39" s="10">
        <f t="shared" si="10"/>
        <v>-100</v>
      </c>
      <c r="Q39" s="10">
        <f t="shared" si="10"/>
        <v>-100</v>
      </c>
      <c r="S39" s="10">
        <f t="shared" si="11"/>
        <v>192.07592762410559</v>
      </c>
      <c r="T39" s="10">
        <f t="shared" si="12"/>
        <v>1</v>
      </c>
      <c r="U39" s="10">
        <f t="shared" si="13"/>
        <v>0</v>
      </c>
      <c r="V39" s="10">
        <f t="shared" si="14"/>
        <v>0</v>
      </c>
      <c r="Y39" s="10">
        <f t="shared" si="15"/>
        <v>0</v>
      </c>
      <c r="Z39" s="10">
        <f t="shared" si="15"/>
        <v>0</v>
      </c>
      <c r="AA39" s="10">
        <f t="shared" si="15"/>
        <v>0</v>
      </c>
      <c r="AC39" s="10">
        <f t="shared" ref="AC39:AD87" si="28">IF($U39=0,AC38,AC38+$C$14*($U39)*I39)</f>
        <v>33.521305336512356</v>
      </c>
      <c r="AD39" s="10">
        <f t="shared" si="28"/>
        <v>-7.1383411408920416</v>
      </c>
      <c r="AH39" s="10">
        <f t="shared" si="19"/>
        <v>1</v>
      </c>
      <c r="AI39" s="10">
        <f t="shared" si="20"/>
        <v>0</v>
      </c>
      <c r="AJ39" s="10">
        <f t="shared" si="21"/>
        <v>0</v>
      </c>
    </row>
    <row r="40" spans="2:49" x14ac:dyDescent="0.25">
      <c r="B40" s="10">
        <v>18</v>
      </c>
      <c r="C40" s="10">
        <v>-1.1891461326740682</v>
      </c>
      <c r="D40" s="10">
        <v>0.71962631409405731</v>
      </c>
      <c r="E40" s="10">
        <v>0.87050996429334393</v>
      </c>
      <c r="F40" s="10">
        <v>1</v>
      </c>
      <c r="G40" s="10">
        <v>18</v>
      </c>
      <c r="H40" s="10">
        <v>0</v>
      </c>
      <c r="I40" s="10">
        <f t="shared" si="6"/>
        <v>8.8378960488846694</v>
      </c>
      <c r="J40" s="10">
        <f t="shared" si="7"/>
        <v>3.2008000774008516</v>
      </c>
      <c r="K40" s="10">
        <f t="shared" si="8"/>
        <v>-1</v>
      </c>
      <c r="N40" s="10">
        <f t="shared" si="9"/>
        <v>-100</v>
      </c>
      <c r="O40" s="10">
        <f t="shared" si="9"/>
        <v>-100</v>
      </c>
      <c r="P40" s="10">
        <f t="shared" si="10"/>
        <v>8.8378960488846694</v>
      </c>
      <c r="Q40" s="10">
        <f t="shared" si="10"/>
        <v>3.2008000774008516</v>
      </c>
      <c r="S40" s="10">
        <f t="shared" si="11"/>
        <v>273.40940911073818</v>
      </c>
      <c r="T40" s="10">
        <f t="shared" si="12"/>
        <v>1</v>
      </c>
      <c r="U40" s="10">
        <f t="shared" si="13"/>
        <v>-1</v>
      </c>
      <c r="V40" s="10">
        <f t="shared" si="14"/>
        <v>1</v>
      </c>
      <c r="Y40" s="10">
        <f t="shared" si="15"/>
        <v>0</v>
      </c>
      <c r="Z40" s="10">
        <f t="shared" si="15"/>
        <v>-6.1938096583982647</v>
      </c>
      <c r="AA40" s="10">
        <f t="shared" si="15"/>
        <v>-2.2431975126601782</v>
      </c>
      <c r="AC40" s="10">
        <f t="shared" si="28"/>
        <v>27.32749567811409</v>
      </c>
      <c r="AD40" s="10">
        <f t="shared" si="28"/>
        <v>-9.3815386535522194</v>
      </c>
      <c r="AH40" s="10">
        <f t="shared" si="19"/>
        <v>1</v>
      </c>
      <c r="AI40" s="10">
        <f t="shared" si="20"/>
        <v>0</v>
      </c>
      <c r="AJ40" s="10">
        <f t="shared" si="21"/>
        <v>0</v>
      </c>
    </row>
    <row r="41" spans="2:49" x14ac:dyDescent="0.25">
      <c r="B41" s="10">
        <v>19</v>
      </c>
      <c r="C41" s="10">
        <v>-0.18810396795743145</v>
      </c>
      <c r="D41" s="10">
        <v>-0.93107018983573653</v>
      </c>
      <c r="E41" s="10">
        <v>0.13385418256172368</v>
      </c>
      <c r="F41" s="10">
        <v>1</v>
      </c>
      <c r="G41" s="10">
        <v>19</v>
      </c>
      <c r="H41" s="10">
        <v>0</v>
      </c>
      <c r="I41" s="10">
        <f t="shared" si="6"/>
        <v>5.9362821331723659</v>
      </c>
      <c r="J41" s="10">
        <f t="shared" si="7"/>
        <v>13.657099377494115</v>
      </c>
      <c r="K41" s="10">
        <f t="shared" si="8"/>
        <v>1</v>
      </c>
      <c r="N41" s="10">
        <f t="shared" si="9"/>
        <v>5.9362821331723659</v>
      </c>
      <c r="O41" s="10">
        <f t="shared" si="9"/>
        <v>13.657099377494115</v>
      </c>
      <c r="P41" s="10">
        <f t="shared" si="10"/>
        <v>-100</v>
      </c>
      <c r="Q41" s="10">
        <f t="shared" si="10"/>
        <v>-100</v>
      </c>
      <c r="S41" s="10">
        <f t="shared" si="11"/>
        <v>34.099118632968725</v>
      </c>
      <c r="T41" s="10">
        <f t="shared" si="12"/>
        <v>1</v>
      </c>
      <c r="U41" s="10">
        <f t="shared" si="13"/>
        <v>0</v>
      </c>
      <c r="V41" s="10">
        <f t="shared" si="14"/>
        <v>0</v>
      </c>
      <c r="Y41" s="10">
        <f t="shared" si="15"/>
        <v>0</v>
      </c>
      <c r="Z41" s="10">
        <f t="shared" si="15"/>
        <v>0</v>
      </c>
      <c r="AA41" s="10">
        <f t="shared" si="15"/>
        <v>0</v>
      </c>
      <c r="AC41" s="10">
        <f t="shared" si="28"/>
        <v>27.32749567811409</v>
      </c>
      <c r="AD41" s="10">
        <f t="shared" si="28"/>
        <v>-9.3815386535522194</v>
      </c>
      <c r="AH41" s="10">
        <f t="shared" si="19"/>
        <v>1</v>
      </c>
      <c r="AI41" s="10">
        <f t="shared" si="20"/>
        <v>0</v>
      </c>
      <c r="AJ41" s="10">
        <f t="shared" si="21"/>
        <v>0</v>
      </c>
    </row>
    <row r="42" spans="2:49" x14ac:dyDescent="0.25">
      <c r="B42" s="10">
        <v>20</v>
      </c>
      <c r="C42" s="10">
        <v>0.25222561816917732</v>
      </c>
      <c r="D42" s="10">
        <v>-0.96244548331014812</v>
      </c>
      <c r="E42" s="10">
        <v>3.4241767632068848E-2</v>
      </c>
      <c r="F42" s="10">
        <v>1</v>
      </c>
      <c r="G42" s="10">
        <v>20</v>
      </c>
      <c r="H42" s="10">
        <v>0</v>
      </c>
      <c r="I42" s="10">
        <f>IF(K42=1, C42*$C$9+$C$7,C42*$C$12+$C$10)</f>
        <v>6.5710893880029841</v>
      </c>
      <c r="J42" s="10">
        <f t="shared" si="7"/>
        <v>13.611866750508497</v>
      </c>
      <c r="K42" s="10">
        <f t="shared" si="8"/>
        <v>1</v>
      </c>
      <c r="N42" s="10">
        <f t="shared" si="9"/>
        <v>6.5710893880029841</v>
      </c>
      <c r="O42" s="10">
        <f t="shared" si="9"/>
        <v>13.611866750508497</v>
      </c>
      <c r="P42" s="10">
        <f t="shared" si="10"/>
        <v>-100</v>
      </c>
      <c r="Q42" s="10">
        <f t="shared" si="10"/>
        <v>-100</v>
      </c>
      <c r="S42" s="10">
        <f t="shared" si="11"/>
        <v>51.871162784255205</v>
      </c>
      <c r="T42" s="10">
        <f t="shared" si="12"/>
        <v>1</v>
      </c>
      <c r="U42" s="10">
        <f t="shared" si="13"/>
        <v>0</v>
      </c>
      <c r="V42" s="10">
        <f t="shared" si="14"/>
        <v>0</v>
      </c>
      <c r="X42" s="10">
        <f>SUM(V23:V42)</f>
        <v>6</v>
      </c>
      <c r="Y42" s="10">
        <f t="shared" si="15"/>
        <v>0</v>
      </c>
      <c r="Z42" s="10">
        <f t="shared" si="15"/>
        <v>0</v>
      </c>
      <c r="AA42" s="10">
        <f t="shared" si="15"/>
        <v>0</v>
      </c>
      <c r="AC42" s="10">
        <f t="shared" si="28"/>
        <v>27.32749567811409</v>
      </c>
      <c r="AD42" s="10">
        <f t="shared" si="28"/>
        <v>-9.3815386535522194</v>
      </c>
      <c r="AH42" s="10">
        <f t="shared" si="19"/>
        <v>1</v>
      </c>
      <c r="AI42" s="10">
        <f t="shared" si="20"/>
        <v>-1</v>
      </c>
      <c r="AJ42" s="10">
        <f t="shared" si="21"/>
        <v>1</v>
      </c>
    </row>
    <row r="43" spans="2:49" x14ac:dyDescent="0.25">
      <c r="F43" s="10">
        <v>2</v>
      </c>
      <c r="G43" s="10">
        <v>1</v>
      </c>
      <c r="H43" s="10">
        <v>0</v>
      </c>
      <c r="I43" s="10">
        <f>I23</f>
        <v>4.3149584625268673</v>
      </c>
      <c r="J43" s="10">
        <f t="shared" si="7"/>
        <v>14.99938962981048</v>
      </c>
      <c r="K43" s="10">
        <f t="shared" si="8"/>
        <v>1</v>
      </c>
      <c r="S43" s="12">
        <f t="shared" si="11"/>
        <v>-22.80034485581254</v>
      </c>
      <c r="T43" s="12">
        <f t="shared" si="12"/>
        <v>-1</v>
      </c>
      <c r="U43" s="12">
        <f t="shared" si="13"/>
        <v>1</v>
      </c>
      <c r="V43" s="12">
        <f t="shared" si="14"/>
        <v>1</v>
      </c>
      <c r="W43" s="12"/>
      <c r="X43" s="12"/>
      <c r="Y43" s="10">
        <f t="shared" si="15"/>
        <v>0</v>
      </c>
      <c r="Z43" s="10">
        <f t="shared" si="15"/>
        <v>3.0240264484847645</v>
      </c>
      <c r="AA43" s="10">
        <f t="shared" si="15"/>
        <v>10.51193223424745</v>
      </c>
      <c r="AC43" s="10">
        <f t="shared" si="28"/>
        <v>30.351522126598855</v>
      </c>
      <c r="AD43" s="10">
        <f t="shared" si="28"/>
        <v>1.1303935806952303</v>
      </c>
      <c r="AH43" s="10">
        <f t="shared" si="19"/>
        <v>1</v>
      </c>
      <c r="AI43" s="10">
        <f t="shared" si="20"/>
        <v>0</v>
      </c>
      <c r="AJ43" s="10">
        <f t="shared" si="21"/>
        <v>0</v>
      </c>
    </row>
    <row r="44" spans="2:49" x14ac:dyDescent="0.25">
      <c r="F44" s="10">
        <v>2</v>
      </c>
      <c r="G44" s="10">
        <v>2</v>
      </c>
      <c r="H44" s="10">
        <v>0</v>
      </c>
      <c r="I44" s="10">
        <f t="shared" ref="I44:I59" si="29">I24</f>
        <v>4.2336649521823988</v>
      </c>
      <c r="J44" s="10">
        <f t="shared" si="7"/>
        <v>14.99938962981048</v>
      </c>
      <c r="K44" s="10">
        <f t="shared" si="8"/>
        <v>1</v>
      </c>
      <c r="S44" s="10">
        <f t="shared" si="11"/>
        <v>145.45338922465453</v>
      </c>
      <c r="T44" s="10">
        <f t="shared" si="12"/>
        <v>1</v>
      </c>
      <c r="U44" s="10">
        <f t="shared" si="13"/>
        <v>0</v>
      </c>
      <c r="V44" s="10">
        <f t="shared" si="14"/>
        <v>0</v>
      </c>
      <c r="Y44" s="10">
        <f t="shared" si="15"/>
        <v>0</v>
      </c>
      <c r="Z44" s="10">
        <f t="shared" si="15"/>
        <v>0</v>
      </c>
      <c r="AA44" s="10">
        <f t="shared" si="15"/>
        <v>0</v>
      </c>
      <c r="AC44" s="10">
        <f t="shared" si="28"/>
        <v>30.351522126598855</v>
      </c>
      <c r="AD44" s="10">
        <f t="shared" si="28"/>
        <v>1.1303935806952303</v>
      </c>
      <c r="AH44" s="10">
        <f t="shared" si="19"/>
        <v>1</v>
      </c>
      <c r="AI44" s="10">
        <f t="shared" si="20"/>
        <v>0</v>
      </c>
      <c r="AJ44" s="10">
        <f t="shared" si="21"/>
        <v>0</v>
      </c>
    </row>
    <row r="45" spans="2:49" x14ac:dyDescent="0.25">
      <c r="F45" s="10">
        <v>2</v>
      </c>
      <c r="G45" s="10">
        <v>3</v>
      </c>
      <c r="H45" s="10">
        <v>0</v>
      </c>
      <c r="I45" s="10">
        <f t="shared" si="29"/>
        <v>4.0760342132531742</v>
      </c>
      <c r="J45" s="10">
        <f t="shared" si="7"/>
        <v>14.99938962981048</v>
      </c>
      <c r="K45" s="10">
        <f t="shared" si="8"/>
        <v>1</v>
      </c>
      <c r="S45" s="10">
        <f t="shared" si="11"/>
        <v>140.66905636421205</v>
      </c>
      <c r="T45" s="10">
        <f t="shared" si="12"/>
        <v>1</v>
      </c>
      <c r="U45" s="10">
        <f t="shared" si="13"/>
        <v>0</v>
      </c>
      <c r="V45" s="10">
        <f t="shared" si="14"/>
        <v>0</v>
      </c>
      <c r="Y45" s="10">
        <f t="shared" si="15"/>
        <v>0</v>
      </c>
      <c r="Z45" s="10">
        <f t="shared" si="15"/>
        <v>0</v>
      </c>
      <c r="AA45" s="10">
        <f t="shared" si="15"/>
        <v>0</v>
      </c>
      <c r="AC45" s="10">
        <f t="shared" si="28"/>
        <v>30.351522126598855</v>
      </c>
      <c r="AD45" s="10">
        <f t="shared" si="28"/>
        <v>1.1303935806952303</v>
      </c>
      <c r="AH45" s="10">
        <f t="shared" si="19"/>
        <v>1</v>
      </c>
      <c r="AI45" s="10">
        <f t="shared" si="20"/>
        <v>0</v>
      </c>
      <c r="AJ45" s="10">
        <f t="shared" si="21"/>
        <v>0</v>
      </c>
    </row>
    <row r="46" spans="2:49" x14ac:dyDescent="0.25">
      <c r="F46" s="10">
        <v>2</v>
      </c>
      <c r="G46" s="10">
        <v>4</v>
      </c>
      <c r="H46" s="10">
        <v>0</v>
      </c>
      <c r="I46" s="10">
        <f t="shared" si="29"/>
        <v>6.9682999690312606</v>
      </c>
      <c r="J46" s="10">
        <f t="shared" si="7"/>
        <v>14.99938962981048</v>
      </c>
      <c r="K46" s="10">
        <f t="shared" si="8"/>
        <v>1</v>
      </c>
      <c r="S46" s="10">
        <f t="shared" si="11"/>
        <v>228.4537244467148</v>
      </c>
      <c r="T46" s="10">
        <f t="shared" si="12"/>
        <v>1</v>
      </c>
      <c r="U46" s="10">
        <f t="shared" si="13"/>
        <v>0</v>
      </c>
      <c r="V46" s="10">
        <f t="shared" si="14"/>
        <v>0</v>
      </c>
      <c r="Y46" s="10">
        <f t="shared" si="15"/>
        <v>0</v>
      </c>
      <c r="Z46" s="10">
        <f t="shared" si="15"/>
        <v>0</v>
      </c>
      <c r="AA46" s="10">
        <f t="shared" si="15"/>
        <v>0</v>
      </c>
      <c r="AC46" s="10">
        <f t="shared" si="28"/>
        <v>30.351522126598855</v>
      </c>
      <c r="AD46" s="10">
        <f t="shared" si="28"/>
        <v>1.1303935806952303</v>
      </c>
      <c r="AH46" s="10">
        <f t="shared" si="19"/>
        <v>1</v>
      </c>
      <c r="AI46" s="10">
        <f t="shared" si="20"/>
        <v>0</v>
      </c>
      <c r="AJ46" s="10">
        <f t="shared" si="21"/>
        <v>0</v>
      </c>
    </row>
    <row r="47" spans="2:49" x14ac:dyDescent="0.25">
      <c r="F47" s="10">
        <v>2</v>
      </c>
      <c r="G47" s="10">
        <v>5</v>
      </c>
      <c r="H47" s="10">
        <v>0</v>
      </c>
      <c r="I47" s="10">
        <f t="shared" si="29"/>
        <v>8.3649028089644606</v>
      </c>
      <c r="J47" s="10">
        <f t="shared" si="7"/>
        <v>14.99938962981048</v>
      </c>
      <c r="K47" s="10">
        <f t="shared" si="8"/>
        <v>1</v>
      </c>
      <c r="S47" s="10">
        <f t="shared" si="11"/>
        <v>270.84274644501812</v>
      </c>
      <c r="T47" s="10">
        <f t="shared" si="12"/>
        <v>1</v>
      </c>
      <c r="U47" s="10">
        <f t="shared" si="13"/>
        <v>0</v>
      </c>
      <c r="V47" s="10">
        <f t="shared" si="14"/>
        <v>0</v>
      </c>
      <c r="Y47" s="10">
        <f t="shared" si="15"/>
        <v>0</v>
      </c>
      <c r="Z47" s="10">
        <f t="shared" si="15"/>
        <v>0</v>
      </c>
      <c r="AA47" s="10">
        <f t="shared" si="15"/>
        <v>0</v>
      </c>
      <c r="AC47" s="10">
        <f t="shared" si="28"/>
        <v>30.351522126598855</v>
      </c>
      <c r="AD47" s="10">
        <f t="shared" si="28"/>
        <v>1.1303935806952303</v>
      </c>
      <c r="AH47" s="10">
        <f t="shared" si="19"/>
        <v>1</v>
      </c>
      <c r="AI47" s="10">
        <f t="shared" si="20"/>
        <v>0</v>
      </c>
      <c r="AJ47" s="10">
        <f t="shared" si="21"/>
        <v>0</v>
      </c>
    </row>
    <row r="48" spans="2:49" x14ac:dyDescent="0.25">
      <c r="F48" s="10">
        <v>2</v>
      </c>
      <c r="G48" s="10">
        <v>6</v>
      </c>
      <c r="H48" s="10">
        <v>0</v>
      </c>
      <c r="I48" s="10">
        <f t="shared" si="29"/>
        <v>9.3848699915294151</v>
      </c>
      <c r="J48" s="10">
        <f t="shared" si="7"/>
        <v>14.99938962981048</v>
      </c>
      <c r="K48" s="10">
        <f t="shared" si="8"/>
        <v>1</v>
      </c>
      <c r="S48" s="10">
        <f>SUMPRODUCT(H48:J48,AB47:AD47)</f>
        <v>301.80030295504298</v>
      </c>
      <c r="T48" s="10">
        <f t="shared" si="12"/>
        <v>1</v>
      </c>
      <c r="U48" s="10">
        <f t="shared" si="13"/>
        <v>0</v>
      </c>
      <c r="V48" s="10">
        <f t="shared" si="14"/>
        <v>0</v>
      </c>
      <c r="Y48" s="10">
        <f t="shared" si="15"/>
        <v>0</v>
      </c>
      <c r="Z48" s="10">
        <f t="shared" si="15"/>
        <v>0</v>
      </c>
      <c r="AA48" s="10">
        <f t="shared" si="15"/>
        <v>0</v>
      </c>
      <c r="AC48" s="10">
        <f t="shared" si="28"/>
        <v>30.351522126598855</v>
      </c>
      <c r="AD48" s="10">
        <f t="shared" si="28"/>
        <v>1.1303935806952303</v>
      </c>
      <c r="AH48" s="10">
        <f t="shared" si="19"/>
        <v>1</v>
      </c>
      <c r="AI48" s="10">
        <f t="shared" si="20"/>
        <v>0</v>
      </c>
      <c r="AJ48" s="10">
        <f t="shared" si="21"/>
        <v>0</v>
      </c>
    </row>
    <row r="49" spans="6:36" x14ac:dyDescent="0.25">
      <c r="F49" s="10">
        <v>2</v>
      </c>
      <c r="G49" s="10">
        <v>7</v>
      </c>
      <c r="H49" s="10">
        <v>0</v>
      </c>
      <c r="I49" s="10">
        <f t="shared" si="29"/>
        <v>9.2116945315592211</v>
      </c>
      <c r="J49" s="10">
        <f t="shared" si="7"/>
        <v>14.99938962981048</v>
      </c>
      <c r="K49" s="10">
        <f t="shared" si="8"/>
        <v>1</v>
      </c>
      <c r="S49" s="10">
        <f t="shared" si="11"/>
        <v>296.54416414997377</v>
      </c>
      <c r="T49" s="10">
        <f t="shared" si="12"/>
        <v>1</v>
      </c>
      <c r="U49" s="10">
        <f t="shared" si="13"/>
        <v>0</v>
      </c>
      <c r="V49" s="10">
        <f t="shared" si="14"/>
        <v>0</v>
      </c>
      <c r="Y49" s="10">
        <f t="shared" si="15"/>
        <v>0</v>
      </c>
      <c r="Z49" s="10">
        <f t="shared" si="15"/>
        <v>0</v>
      </c>
      <c r="AA49" s="10">
        <f t="shared" si="15"/>
        <v>0</v>
      </c>
      <c r="AC49" s="10">
        <f t="shared" si="28"/>
        <v>30.351522126598855</v>
      </c>
      <c r="AD49" s="10">
        <f t="shared" si="28"/>
        <v>1.1303935806952303</v>
      </c>
      <c r="AH49" s="10">
        <f t="shared" si="19"/>
        <v>1</v>
      </c>
      <c r="AI49" s="10">
        <f t="shared" si="20"/>
        <v>0</v>
      </c>
      <c r="AJ49" s="10">
        <f t="shared" si="21"/>
        <v>0</v>
      </c>
    </row>
    <row r="50" spans="6:36" x14ac:dyDescent="0.25">
      <c r="F50" s="10">
        <v>2</v>
      </c>
      <c r="G50" s="10">
        <v>8</v>
      </c>
      <c r="H50" s="10">
        <v>0</v>
      </c>
      <c r="I50" s="10">
        <f t="shared" si="29"/>
        <v>10.461114754974387</v>
      </c>
      <c r="J50" s="10">
        <f t="shared" si="7"/>
        <v>14.99938962981048</v>
      </c>
      <c r="K50" s="10">
        <f t="shared" si="8"/>
        <v>1</v>
      </c>
      <c r="S50" s="10">
        <f t="shared" si="11"/>
        <v>334.46596970637927</v>
      </c>
      <c r="T50" s="10">
        <f t="shared" si="12"/>
        <v>1</v>
      </c>
      <c r="U50" s="10">
        <f t="shared" si="13"/>
        <v>0</v>
      </c>
      <c r="V50" s="10">
        <f t="shared" si="14"/>
        <v>0</v>
      </c>
      <c r="Y50" s="10">
        <f t="shared" si="15"/>
        <v>0</v>
      </c>
      <c r="Z50" s="10">
        <f t="shared" si="15"/>
        <v>0</v>
      </c>
      <c r="AA50" s="10">
        <f t="shared" si="15"/>
        <v>0</v>
      </c>
      <c r="AC50" s="10">
        <f t="shared" si="28"/>
        <v>30.351522126598855</v>
      </c>
      <c r="AD50" s="10">
        <f t="shared" si="28"/>
        <v>1.1303935806952303</v>
      </c>
      <c r="AH50" s="10">
        <f t="shared" si="19"/>
        <v>1</v>
      </c>
      <c r="AI50" s="10">
        <f t="shared" si="20"/>
        <v>0</v>
      </c>
      <c r="AJ50" s="10">
        <f t="shared" si="21"/>
        <v>0</v>
      </c>
    </row>
    <row r="51" spans="6:36" x14ac:dyDescent="0.25">
      <c r="F51" s="10">
        <v>2</v>
      </c>
      <c r="G51" s="10">
        <v>9</v>
      </c>
      <c r="H51" s="10">
        <v>0</v>
      </c>
      <c r="I51" s="10">
        <f t="shared" si="29"/>
        <v>4.1553347214085523</v>
      </c>
      <c r="J51" s="10">
        <f t="shared" si="7"/>
        <v>14.99938962981048</v>
      </c>
      <c r="K51" s="10">
        <f t="shared" si="8"/>
        <v>1</v>
      </c>
      <c r="S51" s="10">
        <f t="shared" si="11"/>
        <v>143.07594749214053</v>
      </c>
      <c r="T51" s="10">
        <f t="shared" si="12"/>
        <v>1</v>
      </c>
      <c r="U51" s="10">
        <f t="shared" si="13"/>
        <v>0</v>
      </c>
      <c r="V51" s="10">
        <f t="shared" si="14"/>
        <v>0</v>
      </c>
      <c r="Y51" s="10">
        <f t="shared" si="15"/>
        <v>0</v>
      </c>
      <c r="Z51" s="10">
        <f t="shared" si="15"/>
        <v>0</v>
      </c>
      <c r="AA51" s="10">
        <f t="shared" si="15"/>
        <v>0</v>
      </c>
      <c r="AC51" s="10">
        <f t="shared" si="28"/>
        <v>30.351522126598855</v>
      </c>
      <c r="AD51" s="10">
        <f t="shared" si="28"/>
        <v>1.1303935806952303</v>
      </c>
      <c r="AH51" s="10">
        <f t="shared" si="19"/>
        <v>1</v>
      </c>
      <c r="AI51" s="10">
        <f t="shared" si="20"/>
        <v>0</v>
      </c>
      <c r="AJ51" s="10">
        <f t="shared" si="21"/>
        <v>0</v>
      </c>
    </row>
    <row r="52" spans="6:36" x14ac:dyDescent="0.25">
      <c r="F52" s="10">
        <v>2</v>
      </c>
      <c r="G52" s="10">
        <v>10</v>
      </c>
      <c r="H52" s="10">
        <v>0</v>
      </c>
      <c r="I52" s="10">
        <f t="shared" si="29"/>
        <v>8.4627041466514576</v>
      </c>
      <c r="J52" s="10">
        <f t="shared" si="7"/>
        <v>14.99938962981048</v>
      </c>
      <c r="K52" s="10">
        <f t="shared" si="8"/>
        <v>1</v>
      </c>
      <c r="S52" s="10">
        <f t="shared" si="11"/>
        <v>273.81116590983595</v>
      </c>
      <c r="T52" s="10">
        <f t="shared" si="12"/>
        <v>1</v>
      </c>
      <c r="U52" s="10">
        <f t="shared" si="13"/>
        <v>0</v>
      </c>
      <c r="V52" s="10">
        <f t="shared" si="14"/>
        <v>0</v>
      </c>
      <c r="Y52" s="10">
        <f t="shared" si="15"/>
        <v>0</v>
      </c>
      <c r="Z52" s="10">
        <f t="shared" si="15"/>
        <v>0</v>
      </c>
      <c r="AA52" s="10">
        <f t="shared" si="15"/>
        <v>0</v>
      </c>
      <c r="AC52" s="10">
        <f t="shared" si="28"/>
        <v>30.351522126598855</v>
      </c>
      <c r="AD52" s="10">
        <f t="shared" si="28"/>
        <v>1.1303935806952303</v>
      </c>
      <c r="AH52" s="10">
        <f t="shared" si="19"/>
        <v>1</v>
      </c>
      <c r="AI52" s="10">
        <f t="shared" si="20"/>
        <v>0</v>
      </c>
      <c r="AJ52" s="10">
        <f t="shared" si="21"/>
        <v>0</v>
      </c>
    </row>
    <row r="53" spans="6:36" x14ac:dyDescent="0.25">
      <c r="F53" s="10">
        <v>2</v>
      </c>
      <c r="G53" s="10">
        <v>11</v>
      </c>
      <c r="H53" s="10">
        <v>0</v>
      </c>
      <c r="I53" s="10">
        <f t="shared" si="29"/>
        <v>11.722530671423003</v>
      </c>
      <c r="J53" s="10">
        <f t="shared" si="7"/>
        <v>14.99938962981048</v>
      </c>
      <c r="K53" s="10">
        <f t="shared" si="8"/>
        <v>1</v>
      </c>
      <c r="S53" s="10">
        <f t="shared" si="11"/>
        <v>372.75186280531341</v>
      </c>
      <c r="T53" s="10">
        <f t="shared" si="12"/>
        <v>1</v>
      </c>
      <c r="U53" s="10">
        <f t="shared" si="13"/>
        <v>0</v>
      </c>
      <c r="V53" s="10">
        <f t="shared" si="14"/>
        <v>0</v>
      </c>
      <c r="Y53" s="10">
        <f t="shared" si="15"/>
        <v>0</v>
      </c>
      <c r="Z53" s="10">
        <f t="shared" si="15"/>
        <v>0</v>
      </c>
      <c r="AA53" s="10">
        <f t="shared" si="15"/>
        <v>0</v>
      </c>
      <c r="AC53" s="10">
        <f t="shared" si="28"/>
        <v>30.351522126598855</v>
      </c>
      <c r="AD53" s="10">
        <f t="shared" si="28"/>
        <v>1.1303935806952303</v>
      </c>
      <c r="AH53" s="10">
        <f t="shared" si="19"/>
        <v>1</v>
      </c>
      <c r="AI53" s="10">
        <f t="shared" si="20"/>
        <v>0</v>
      </c>
      <c r="AJ53" s="10">
        <f t="shared" si="21"/>
        <v>0</v>
      </c>
    </row>
    <row r="54" spans="6:36" x14ac:dyDescent="0.25">
      <c r="F54" s="10">
        <v>2</v>
      </c>
      <c r="G54" s="10">
        <v>12</v>
      </c>
      <c r="H54" s="10">
        <v>0</v>
      </c>
      <c r="I54" s="10">
        <f t="shared" si="29"/>
        <v>9.6231558949622329</v>
      </c>
      <c r="J54" s="10">
        <f t="shared" si="7"/>
        <v>14.99938962981048</v>
      </c>
      <c r="K54" s="10">
        <f t="shared" si="8"/>
        <v>1</v>
      </c>
      <c r="S54" s="10">
        <f t="shared" si="11"/>
        <v>309.03264282554085</v>
      </c>
      <c r="T54" s="10">
        <f t="shared" si="12"/>
        <v>1</v>
      </c>
      <c r="U54" s="10">
        <f t="shared" si="13"/>
        <v>0</v>
      </c>
      <c r="V54" s="10">
        <f t="shared" si="14"/>
        <v>0</v>
      </c>
      <c r="Y54" s="10">
        <f t="shared" si="15"/>
        <v>0</v>
      </c>
      <c r="Z54" s="10">
        <f t="shared" si="15"/>
        <v>0</v>
      </c>
      <c r="AA54" s="10">
        <f t="shared" si="15"/>
        <v>0</v>
      </c>
      <c r="AC54" s="10">
        <f t="shared" si="28"/>
        <v>30.351522126598855</v>
      </c>
      <c r="AD54" s="10">
        <f t="shared" si="28"/>
        <v>1.1303935806952303</v>
      </c>
      <c r="AH54" s="10">
        <f t="shared" si="19"/>
        <v>1</v>
      </c>
      <c r="AI54" s="10">
        <f t="shared" si="20"/>
        <v>0</v>
      </c>
      <c r="AJ54" s="10">
        <f t="shared" si="21"/>
        <v>0</v>
      </c>
    </row>
    <row r="55" spans="6:36" x14ac:dyDescent="0.25">
      <c r="F55" s="10">
        <v>2</v>
      </c>
      <c r="G55" s="10">
        <v>13</v>
      </c>
      <c r="H55" s="10">
        <v>0</v>
      </c>
      <c r="I55" s="10">
        <f t="shared" si="29"/>
        <v>8.0162683783311302</v>
      </c>
      <c r="J55" s="10">
        <f t="shared" si="7"/>
        <v>14.99938962981048</v>
      </c>
      <c r="K55" s="10">
        <f t="shared" si="8"/>
        <v>1</v>
      </c>
      <c r="S55" s="10">
        <f t="shared" si="11"/>
        <v>260.26116080955637</v>
      </c>
      <c r="T55" s="10">
        <f t="shared" si="12"/>
        <v>1</v>
      </c>
      <c r="U55" s="10">
        <f t="shared" si="13"/>
        <v>0</v>
      </c>
      <c r="V55" s="10">
        <f t="shared" si="14"/>
        <v>0</v>
      </c>
      <c r="Y55" s="10">
        <f t="shared" si="15"/>
        <v>0</v>
      </c>
      <c r="Z55" s="10">
        <f t="shared" si="15"/>
        <v>0</v>
      </c>
      <c r="AA55" s="10">
        <f t="shared" si="15"/>
        <v>0</v>
      </c>
      <c r="AC55" s="10">
        <f t="shared" si="28"/>
        <v>30.351522126598855</v>
      </c>
      <c r="AD55" s="10">
        <f t="shared" si="28"/>
        <v>1.1303935806952303</v>
      </c>
      <c r="AH55" s="10">
        <f t="shared" si="19"/>
        <v>1</v>
      </c>
      <c r="AI55" s="10">
        <f t="shared" si="20"/>
        <v>0</v>
      </c>
      <c r="AJ55" s="10">
        <f t="shared" si="21"/>
        <v>0</v>
      </c>
    </row>
    <row r="56" spans="6:36" x14ac:dyDescent="0.25">
      <c r="F56" s="10">
        <v>2</v>
      </c>
      <c r="G56" s="10">
        <v>14</v>
      </c>
      <c r="H56" s="10">
        <v>0</v>
      </c>
      <c r="I56" s="10">
        <f t="shared" si="29"/>
        <v>11.270939377934512</v>
      </c>
      <c r="J56" s="10">
        <f t="shared" si="7"/>
        <v>14.99938962981048</v>
      </c>
      <c r="K56" s="10">
        <f t="shared" si="8"/>
        <v>1</v>
      </c>
      <c r="S56" s="10">
        <f t="shared" si="11"/>
        <v>359.0453796688181</v>
      </c>
      <c r="T56" s="10">
        <f t="shared" si="12"/>
        <v>1</v>
      </c>
      <c r="U56" s="10">
        <f t="shared" si="13"/>
        <v>0</v>
      </c>
      <c r="V56" s="10">
        <f t="shared" si="14"/>
        <v>0</v>
      </c>
      <c r="Y56" s="10">
        <f t="shared" si="15"/>
        <v>0</v>
      </c>
      <c r="Z56" s="10">
        <f t="shared" si="15"/>
        <v>0</v>
      </c>
      <c r="AA56" s="10">
        <f t="shared" si="15"/>
        <v>0</v>
      </c>
      <c r="AC56" s="10">
        <f t="shared" si="28"/>
        <v>30.351522126598855</v>
      </c>
      <c r="AD56" s="10">
        <f t="shared" si="28"/>
        <v>1.1303935806952303</v>
      </c>
      <c r="AH56" s="10">
        <f t="shared" si="19"/>
        <v>1</v>
      </c>
      <c r="AI56" s="10">
        <f t="shared" si="20"/>
        <v>0</v>
      </c>
      <c r="AJ56" s="10">
        <f t="shared" si="21"/>
        <v>0</v>
      </c>
    </row>
    <row r="57" spans="6:36" x14ac:dyDescent="0.25">
      <c r="F57" s="10">
        <v>2</v>
      </c>
      <c r="G57" s="10">
        <v>15</v>
      </c>
      <c r="H57" s="10">
        <v>0</v>
      </c>
      <c r="I57" s="10">
        <f t="shared" si="29"/>
        <v>7.0021023351067502</v>
      </c>
      <c r="J57" s="10">
        <f t="shared" si="7"/>
        <v>14.99938962981048</v>
      </c>
      <c r="K57" s="10">
        <f t="shared" si="8"/>
        <v>1</v>
      </c>
      <c r="S57" s="10">
        <f t="shared" si="11"/>
        <v>229.47967770858642</v>
      </c>
      <c r="T57" s="10">
        <f t="shared" si="12"/>
        <v>1</v>
      </c>
      <c r="U57" s="10">
        <f t="shared" si="13"/>
        <v>0</v>
      </c>
      <c r="V57" s="10">
        <f t="shared" si="14"/>
        <v>0</v>
      </c>
      <c r="Y57" s="10">
        <f t="shared" si="15"/>
        <v>0</v>
      </c>
      <c r="Z57" s="10">
        <f t="shared" si="15"/>
        <v>0</v>
      </c>
      <c r="AA57" s="10">
        <f t="shared" si="15"/>
        <v>0</v>
      </c>
      <c r="AC57" s="10">
        <f t="shared" si="28"/>
        <v>30.351522126598855</v>
      </c>
      <c r="AD57" s="10">
        <f t="shared" si="28"/>
        <v>1.1303935806952303</v>
      </c>
      <c r="AH57" s="10">
        <f t="shared" si="19"/>
        <v>1</v>
      </c>
      <c r="AI57" s="10">
        <f t="shared" si="20"/>
        <v>0</v>
      </c>
      <c r="AJ57" s="10">
        <f t="shared" si="21"/>
        <v>0</v>
      </c>
    </row>
    <row r="58" spans="6:36" x14ac:dyDescent="0.25">
      <c r="F58" s="10">
        <v>2</v>
      </c>
      <c r="G58" s="10">
        <v>16</v>
      </c>
      <c r="H58" s="10">
        <v>0</v>
      </c>
      <c r="I58" s="10">
        <f t="shared" si="29"/>
        <v>9.3873260438242312</v>
      </c>
      <c r="J58" s="10">
        <f t="shared" si="7"/>
        <v>14.99938962981048</v>
      </c>
      <c r="K58" s="10">
        <f t="shared" si="8"/>
        <v>1</v>
      </c>
      <c r="S58" s="10">
        <f t="shared" si="11"/>
        <v>301.87484788061317</v>
      </c>
      <c r="T58" s="10">
        <f t="shared" si="12"/>
        <v>1</v>
      </c>
      <c r="U58" s="10">
        <f t="shared" si="13"/>
        <v>0</v>
      </c>
      <c r="V58" s="10">
        <f t="shared" si="14"/>
        <v>0</v>
      </c>
      <c r="Y58" s="10">
        <f t="shared" si="15"/>
        <v>0</v>
      </c>
      <c r="Z58" s="10">
        <f t="shared" si="15"/>
        <v>0</v>
      </c>
      <c r="AA58" s="10">
        <f t="shared" si="15"/>
        <v>0</v>
      </c>
      <c r="AC58" s="10">
        <f t="shared" si="28"/>
        <v>30.351522126598855</v>
      </c>
      <c r="AD58" s="10">
        <f t="shared" si="28"/>
        <v>1.1303935806952303</v>
      </c>
      <c r="AH58" s="10">
        <f t="shared" si="19"/>
        <v>1</v>
      </c>
      <c r="AI58" s="10">
        <f t="shared" si="20"/>
        <v>0</v>
      </c>
      <c r="AJ58" s="10">
        <f t="shared" si="21"/>
        <v>0</v>
      </c>
    </row>
    <row r="59" spans="6:36" x14ac:dyDescent="0.25">
      <c r="F59" s="10">
        <v>2</v>
      </c>
      <c r="G59" s="10">
        <v>17</v>
      </c>
      <c r="H59" s="10">
        <v>0</v>
      </c>
      <c r="I59" s="10">
        <f t="shared" si="29"/>
        <v>8.350479766806572</v>
      </c>
      <c r="J59" s="10">
        <f t="shared" si="7"/>
        <v>14.99938962981048</v>
      </c>
      <c r="K59" s="10">
        <f t="shared" si="8"/>
        <v>1</v>
      </c>
      <c r="S59" s="10">
        <f t="shared" si="11"/>
        <v>270.4049851618301</v>
      </c>
      <c r="T59" s="10">
        <f t="shared" si="12"/>
        <v>1</v>
      </c>
      <c r="U59" s="10">
        <f t="shared" si="13"/>
        <v>0</v>
      </c>
      <c r="V59" s="10">
        <f t="shared" si="14"/>
        <v>0</v>
      </c>
      <c r="Y59" s="10">
        <f t="shared" si="15"/>
        <v>0</v>
      </c>
      <c r="Z59" s="10">
        <f t="shared" si="15"/>
        <v>0</v>
      </c>
      <c r="AA59" s="10">
        <f t="shared" si="15"/>
        <v>0</v>
      </c>
      <c r="AC59" s="10">
        <f t="shared" si="28"/>
        <v>30.351522126598855</v>
      </c>
      <c r="AD59" s="10">
        <f t="shared" si="28"/>
        <v>1.1303935806952303</v>
      </c>
      <c r="AH59" s="10">
        <f t="shared" si="19"/>
        <v>1</v>
      </c>
      <c r="AI59" s="10">
        <f t="shared" si="20"/>
        <v>0</v>
      </c>
      <c r="AJ59" s="10">
        <f t="shared" si="21"/>
        <v>0</v>
      </c>
    </row>
    <row r="60" spans="6:36" x14ac:dyDescent="0.25">
      <c r="F60" s="10">
        <v>2</v>
      </c>
      <c r="G60" s="10">
        <v>18</v>
      </c>
      <c r="H60" s="10">
        <v>0</v>
      </c>
      <c r="I60" s="10">
        <f t="shared" ref="I60:I75" si="30">I40</f>
        <v>8.8378960488846694</v>
      </c>
      <c r="J60" s="10">
        <f t="shared" si="7"/>
        <v>14.99938962981048</v>
      </c>
      <c r="K60" s="10">
        <f t="shared" si="8"/>
        <v>1</v>
      </c>
      <c r="S60" s="10">
        <f t="shared" si="11"/>
        <v>285.19881123218806</v>
      </c>
      <c r="T60" s="10">
        <f t="shared" si="12"/>
        <v>1</v>
      </c>
      <c r="U60" s="10">
        <f t="shared" si="13"/>
        <v>0</v>
      </c>
      <c r="V60" s="10">
        <f t="shared" si="14"/>
        <v>0</v>
      </c>
      <c r="Y60" s="10">
        <f t="shared" si="15"/>
        <v>0</v>
      </c>
      <c r="Z60" s="10">
        <f t="shared" si="15"/>
        <v>0</v>
      </c>
      <c r="AA60" s="10">
        <f t="shared" si="15"/>
        <v>0</v>
      </c>
      <c r="AC60" s="10">
        <f t="shared" si="28"/>
        <v>30.351522126598855</v>
      </c>
      <c r="AD60" s="10">
        <f t="shared" si="28"/>
        <v>1.1303935806952303</v>
      </c>
      <c r="AH60" s="10">
        <f t="shared" si="19"/>
        <v>1</v>
      </c>
      <c r="AI60" s="10">
        <f t="shared" si="20"/>
        <v>0</v>
      </c>
      <c r="AJ60" s="10">
        <f t="shared" si="21"/>
        <v>0</v>
      </c>
    </row>
    <row r="61" spans="6:36" x14ac:dyDescent="0.25">
      <c r="F61" s="10">
        <v>2</v>
      </c>
      <c r="G61" s="10">
        <v>19</v>
      </c>
      <c r="H61" s="10">
        <v>0</v>
      </c>
      <c r="I61" s="10">
        <f t="shared" si="30"/>
        <v>5.9362821331723659</v>
      </c>
      <c r="J61" s="10">
        <f t="shared" si="7"/>
        <v>14.99938962981048</v>
      </c>
      <c r="K61" s="10">
        <f t="shared" si="8"/>
        <v>1</v>
      </c>
      <c r="S61" s="10">
        <f t="shared" si="11"/>
        <v>197.13041226659888</v>
      </c>
      <c r="T61" s="10">
        <f t="shared" si="12"/>
        <v>1</v>
      </c>
      <c r="U61" s="10">
        <f t="shared" si="13"/>
        <v>0</v>
      </c>
      <c r="V61" s="10">
        <f t="shared" si="14"/>
        <v>0</v>
      </c>
      <c r="Y61" s="10">
        <f t="shared" si="15"/>
        <v>0</v>
      </c>
      <c r="Z61" s="10">
        <f t="shared" si="15"/>
        <v>0</v>
      </c>
      <c r="AA61" s="10">
        <f t="shared" si="15"/>
        <v>0</v>
      </c>
      <c r="AC61" s="10">
        <f t="shared" si="28"/>
        <v>30.351522126598855</v>
      </c>
      <c r="AD61" s="10">
        <f t="shared" si="28"/>
        <v>1.1303935806952303</v>
      </c>
      <c r="AH61" s="10">
        <f t="shared" si="19"/>
        <v>1</v>
      </c>
      <c r="AI61" s="10">
        <f t="shared" si="20"/>
        <v>0</v>
      </c>
      <c r="AJ61" s="10">
        <f t="shared" si="21"/>
        <v>0</v>
      </c>
    </row>
    <row r="62" spans="6:36" x14ac:dyDescent="0.25">
      <c r="F62" s="10">
        <v>2</v>
      </c>
      <c r="G62" s="10">
        <v>20</v>
      </c>
      <c r="H62" s="10">
        <v>0</v>
      </c>
      <c r="I62" s="10">
        <f t="shared" si="30"/>
        <v>6.5710893880029841</v>
      </c>
      <c r="J62" s="10">
        <f t="shared" si="7"/>
        <v>14.99938962981048</v>
      </c>
      <c r="K62" s="10">
        <f t="shared" si="8"/>
        <v>1</v>
      </c>
      <c r="S62" s="10">
        <f t="shared" si="11"/>
        <v>216.39777870771587</v>
      </c>
      <c r="T62" s="10">
        <f t="shared" si="12"/>
        <v>1</v>
      </c>
      <c r="U62" s="10">
        <f t="shared" si="13"/>
        <v>0</v>
      </c>
      <c r="V62" s="10">
        <f t="shared" si="14"/>
        <v>0</v>
      </c>
      <c r="X62" s="10">
        <f>SUM(V43:V62)</f>
        <v>1</v>
      </c>
      <c r="Y62" s="10">
        <f t="shared" si="15"/>
        <v>0</v>
      </c>
      <c r="Z62" s="10">
        <f t="shared" si="15"/>
        <v>0</v>
      </c>
      <c r="AA62" s="10">
        <f t="shared" si="15"/>
        <v>0</v>
      </c>
      <c r="AC62" s="10">
        <f t="shared" si="28"/>
        <v>30.351522126598855</v>
      </c>
      <c r="AD62" s="10">
        <f t="shared" si="28"/>
        <v>1.1303935806952303</v>
      </c>
      <c r="AH62" s="10">
        <f t="shared" si="19"/>
        <v>1</v>
      </c>
      <c r="AI62" s="10">
        <f t="shared" si="20"/>
        <v>0</v>
      </c>
      <c r="AJ62" s="10">
        <f t="shared" si="21"/>
        <v>0</v>
      </c>
    </row>
    <row r="63" spans="6:36" x14ac:dyDescent="0.25">
      <c r="F63" s="10">
        <v>3</v>
      </c>
      <c r="G63" s="10">
        <v>1</v>
      </c>
      <c r="H63" s="10">
        <v>0</v>
      </c>
      <c r="I63" s="10">
        <f t="shared" si="30"/>
        <v>4.3149584625268673</v>
      </c>
      <c r="J63" s="10">
        <f t="shared" si="7"/>
        <v>14.99938962981048</v>
      </c>
      <c r="K63" s="10">
        <f t="shared" si="8"/>
        <v>1</v>
      </c>
      <c r="S63" s="12">
        <f t="shared" si="11"/>
        <v>147.92077100262355</v>
      </c>
      <c r="T63" s="12">
        <f t="shared" si="12"/>
        <v>1</v>
      </c>
      <c r="U63" s="12">
        <f t="shared" si="13"/>
        <v>0</v>
      </c>
      <c r="V63" s="12">
        <f t="shared" si="14"/>
        <v>0</v>
      </c>
      <c r="W63" s="12"/>
      <c r="X63" s="12"/>
      <c r="Y63" s="10">
        <f t="shared" si="15"/>
        <v>0</v>
      </c>
      <c r="Z63" s="10">
        <f t="shared" si="15"/>
        <v>0</v>
      </c>
      <c r="AA63" s="10">
        <f t="shared" si="15"/>
        <v>0</v>
      </c>
      <c r="AC63" s="10">
        <f t="shared" si="28"/>
        <v>30.351522126598855</v>
      </c>
      <c r="AD63" s="10">
        <f t="shared" si="28"/>
        <v>1.1303935806952303</v>
      </c>
      <c r="AH63" s="10">
        <f t="shared" si="19"/>
        <v>1</v>
      </c>
      <c r="AI63" s="10">
        <f t="shared" si="20"/>
        <v>0</v>
      </c>
      <c r="AJ63" s="10">
        <f t="shared" si="21"/>
        <v>0</v>
      </c>
    </row>
    <row r="64" spans="6:36" x14ac:dyDescent="0.25">
      <c r="F64" s="10">
        <v>3</v>
      </c>
      <c r="G64" s="10">
        <v>2</v>
      </c>
      <c r="H64" s="10">
        <v>0</v>
      </c>
      <c r="I64" s="10">
        <f t="shared" si="30"/>
        <v>4.2336649521823988</v>
      </c>
      <c r="J64" s="10">
        <f t="shared" si="7"/>
        <v>14.99938962981048</v>
      </c>
      <c r="K64" s="10">
        <f t="shared" si="8"/>
        <v>1</v>
      </c>
      <c r="S64" s="10">
        <f t="shared" si="11"/>
        <v>145.45338922465453</v>
      </c>
      <c r="T64" s="10">
        <f t="shared" si="12"/>
        <v>1</v>
      </c>
      <c r="U64" s="10">
        <f t="shared" si="13"/>
        <v>0</v>
      </c>
      <c r="V64" s="10">
        <f t="shared" si="14"/>
        <v>0</v>
      </c>
      <c r="Y64" s="10">
        <f t="shared" si="15"/>
        <v>0</v>
      </c>
      <c r="Z64" s="10">
        <f t="shared" si="15"/>
        <v>0</v>
      </c>
      <c r="AA64" s="10">
        <f t="shared" si="15"/>
        <v>0</v>
      </c>
      <c r="AC64" s="10">
        <f t="shared" si="28"/>
        <v>30.351522126598855</v>
      </c>
      <c r="AD64" s="10">
        <f t="shared" si="28"/>
        <v>1.1303935806952303</v>
      </c>
      <c r="AH64" s="10">
        <f t="shared" si="19"/>
        <v>1</v>
      </c>
      <c r="AI64" s="10">
        <f t="shared" si="20"/>
        <v>0</v>
      </c>
      <c r="AJ64" s="10">
        <f t="shared" si="21"/>
        <v>0</v>
      </c>
    </row>
    <row r="65" spans="6:36" x14ac:dyDescent="0.25">
      <c r="F65" s="10">
        <v>3</v>
      </c>
      <c r="G65" s="10">
        <v>3</v>
      </c>
      <c r="H65" s="10">
        <v>0</v>
      </c>
      <c r="I65" s="10">
        <f t="shared" si="30"/>
        <v>4.0760342132531742</v>
      </c>
      <c r="J65" s="10">
        <f t="shared" si="7"/>
        <v>14.99938962981048</v>
      </c>
      <c r="K65" s="10">
        <f t="shared" si="8"/>
        <v>1</v>
      </c>
      <c r="S65" s="10">
        <f t="shared" si="11"/>
        <v>140.66905636421205</v>
      </c>
      <c r="T65" s="10">
        <f t="shared" si="12"/>
        <v>1</v>
      </c>
      <c r="U65" s="10">
        <f t="shared" si="13"/>
        <v>0</v>
      </c>
      <c r="V65" s="10">
        <f t="shared" si="14"/>
        <v>0</v>
      </c>
      <c r="Y65" s="10">
        <f t="shared" si="15"/>
        <v>0</v>
      </c>
      <c r="Z65" s="10">
        <f t="shared" si="15"/>
        <v>0</v>
      </c>
      <c r="AA65" s="10">
        <f t="shared" si="15"/>
        <v>0</v>
      </c>
      <c r="AC65" s="10">
        <f t="shared" si="28"/>
        <v>30.351522126598855</v>
      </c>
      <c r="AD65" s="10">
        <f t="shared" si="28"/>
        <v>1.1303935806952303</v>
      </c>
      <c r="AH65" s="10">
        <f t="shared" si="19"/>
        <v>1</v>
      </c>
      <c r="AI65" s="10">
        <f t="shared" si="20"/>
        <v>0</v>
      </c>
      <c r="AJ65" s="10">
        <f t="shared" si="21"/>
        <v>0</v>
      </c>
    </row>
    <row r="66" spans="6:36" x14ac:dyDescent="0.25">
      <c r="F66" s="10">
        <v>3</v>
      </c>
      <c r="G66" s="10">
        <v>4</v>
      </c>
      <c r="H66" s="10">
        <v>0</v>
      </c>
      <c r="I66" s="10">
        <f t="shared" si="30"/>
        <v>6.9682999690312606</v>
      </c>
      <c r="J66" s="10">
        <f t="shared" si="7"/>
        <v>14.99938962981048</v>
      </c>
      <c r="K66" s="10">
        <f t="shared" si="8"/>
        <v>1</v>
      </c>
      <c r="S66" s="10">
        <f t="shared" si="11"/>
        <v>228.4537244467148</v>
      </c>
      <c r="T66" s="10">
        <f t="shared" si="12"/>
        <v>1</v>
      </c>
      <c r="U66" s="10">
        <f t="shared" si="13"/>
        <v>0</v>
      </c>
      <c r="V66" s="10">
        <f t="shared" si="14"/>
        <v>0</v>
      </c>
      <c r="Y66" s="10">
        <f t="shared" si="15"/>
        <v>0</v>
      </c>
      <c r="Z66" s="10">
        <f t="shared" si="15"/>
        <v>0</v>
      </c>
      <c r="AA66" s="10">
        <f t="shared" si="15"/>
        <v>0</v>
      </c>
      <c r="AC66" s="10">
        <f t="shared" si="28"/>
        <v>30.351522126598855</v>
      </c>
      <c r="AD66" s="10">
        <f t="shared" si="28"/>
        <v>1.1303935806952303</v>
      </c>
      <c r="AH66" s="10">
        <f t="shared" si="19"/>
        <v>1</v>
      </c>
      <c r="AI66" s="10">
        <f t="shared" si="20"/>
        <v>0</v>
      </c>
      <c r="AJ66" s="10">
        <f t="shared" si="21"/>
        <v>0</v>
      </c>
    </row>
    <row r="67" spans="6:36" x14ac:dyDescent="0.25">
      <c r="F67" s="10">
        <v>3</v>
      </c>
      <c r="G67" s="10">
        <v>5</v>
      </c>
      <c r="H67" s="10">
        <v>0</v>
      </c>
      <c r="I67" s="10">
        <f t="shared" si="30"/>
        <v>8.3649028089644606</v>
      </c>
      <c r="J67" s="10">
        <f t="shared" si="7"/>
        <v>14.99938962981048</v>
      </c>
      <c r="K67" s="10">
        <f t="shared" si="8"/>
        <v>1</v>
      </c>
      <c r="S67" s="10">
        <f t="shared" si="11"/>
        <v>270.84274644501812</v>
      </c>
      <c r="T67" s="10">
        <f t="shared" si="12"/>
        <v>1</v>
      </c>
      <c r="U67" s="10">
        <f t="shared" si="13"/>
        <v>0</v>
      </c>
      <c r="V67" s="10">
        <f t="shared" si="14"/>
        <v>0</v>
      </c>
      <c r="Y67" s="10">
        <f t="shared" si="15"/>
        <v>0</v>
      </c>
      <c r="Z67" s="10">
        <f t="shared" si="15"/>
        <v>0</v>
      </c>
      <c r="AA67" s="10">
        <f t="shared" si="15"/>
        <v>0</v>
      </c>
      <c r="AC67" s="10">
        <f t="shared" si="28"/>
        <v>30.351522126598855</v>
      </c>
      <c r="AD67" s="10">
        <f t="shared" si="28"/>
        <v>1.1303935806952303</v>
      </c>
      <c r="AH67" s="10">
        <f t="shared" si="19"/>
        <v>1</v>
      </c>
      <c r="AI67" s="10">
        <f t="shared" si="20"/>
        <v>0</v>
      </c>
      <c r="AJ67" s="10">
        <f t="shared" si="21"/>
        <v>0</v>
      </c>
    </row>
    <row r="68" spans="6:36" x14ac:dyDescent="0.25">
      <c r="F68" s="10">
        <v>3</v>
      </c>
      <c r="G68" s="10">
        <v>6</v>
      </c>
      <c r="H68" s="10">
        <v>0</v>
      </c>
      <c r="I68" s="10">
        <f t="shared" si="30"/>
        <v>9.3848699915294151</v>
      </c>
      <c r="J68" s="10">
        <f t="shared" si="7"/>
        <v>14.99938962981048</v>
      </c>
      <c r="K68" s="10">
        <f t="shared" si="8"/>
        <v>1</v>
      </c>
      <c r="S68" s="10">
        <f t="shared" si="11"/>
        <v>301.80030295504298</v>
      </c>
      <c r="T68" s="10">
        <f t="shared" si="12"/>
        <v>1</v>
      </c>
      <c r="U68" s="10">
        <f t="shared" si="13"/>
        <v>0</v>
      </c>
      <c r="V68" s="10">
        <f t="shared" si="14"/>
        <v>0</v>
      </c>
      <c r="Y68" s="10">
        <f t="shared" si="15"/>
        <v>0</v>
      </c>
      <c r="Z68" s="10">
        <f t="shared" si="15"/>
        <v>0</v>
      </c>
      <c r="AA68" s="10">
        <f t="shared" si="15"/>
        <v>0</v>
      </c>
      <c r="AC68" s="10">
        <f t="shared" si="28"/>
        <v>30.351522126598855</v>
      </c>
      <c r="AD68" s="10">
        <f t="shared" si="28"/>
        <v>1.1303935806952303</v>
      </c>
      <c r="AH68" s="10">
        <f t="shared" si="19"/>
        <v>1</v>
      </c>
      <c r="AI68" s="10">
        <f t="shared" si="20"/>
        <v>0</v>
      </c>
      <c r="AJ68" s="10">
        <f t="shared" si="21"/>
        <v>0</v>
      </c>
    </row>
    <row r="69" spans="6:36" x14ac:dyDescent="0.25">
      <c r="F69" s="10">
        <v>3</v>
      </c>
      <c r="G69" s="10">
        <v>7</v>
      </c>
      <c r="H69" s="10">
        <v>0</v>
      </c>
      <c r="I69" s="10">
        <f t="shared" si="30"/>
        <v>9.2116945315592211</v>
      </c>
      <c r="J69" s="10">
        <f t="shared" si="7"/>
        <v>14.99938962981048</v>
      </c>
      <c r="K69" s="10">
        <f t="shared" si="8"/>
        <v>1</v>
      </c>
      <c r="S69" s="10">
        <f t="shared" si="11"/>
        <v>296.54416414997377</v>
      </c>
      <c r="T69" s="10">
        <f t="shared" si="12"/>
        <v>1</v>
      </c>
      <c r="U69" s="10">
        <f t="shared" si="13"/>
        <v>0</v>
      </c>
      <c r="V69" s="10">
        <f t="shared" si="14"/>
        <v>0</v>
      </c>
      <c r="Y69" s="10">
        <f t="shared" si="15"/>
        <v>0</v>
      </c>
      <c r="Z69" s="10">
        <f t="shared" si="15"/>
        <v>0</v>
      </c>
      <c r="AA69" s="10">
        <f t="shared" si="15"/>
        <v>0</v>
      </c>
      <c r="AC69" s="10">
        <f t="shared" si="28"/>
        <v>30.351522126598855</v>
      </c>
      <c r="AD69" s="10">
        <f t="shared" si="28"/>
        <v>1.1303935806952303</v>
      </c>
      <c r="AH69" s="10">
        <f t="shared" si="19"/>
        <v>1</v>
      </c>
      <c r="AI69" s="10">
        <f t="shared" si="20"/>
        <v>0</v>
      </c>
      <c r="AJ69" s="10">
        <f t="shared" si="21"/>
        <v>0</v>
      </c>
    </row>
    <row r="70" spans="6:36" x14ac:dyDescent="0.25">
      <c r="F70" s="10">
        <v>3</v>
      </c>
      <c r="G70" s="10">
        <v>8</v>
      </c>
      <c r="H70" s="10">
        <v>0</v>
      </c>
      <c r="I70" s="10">
        <f t="shared" si="30"/>
        <v>10.461114754974387</v>
      </c>
      <c r="J70" s="10">
        <f t="shared" si="7"/>
        <v>14.99938962981048</v>
      </c>
      <c r="K70" s="10">
        <f t="shared" si="8"/>
        <v>1</v>
      </c>
      <c r="S70" s="10">
        <f t="shared" si="11"/>
        <v>334.46596970637927</v>
      </c>
      <c r="T70" s="10">
        <f t="shared" si="12"/>
        <v>1</v>
      </c>
      <c r="U70" s="10">
        <f t="shared" si="13"/>
        <v>0</v>
      </c>
      <c r="V70" s="10">
        <f t="shared" si="14"/>
        <v>0</v>
      </c>
      <c r="Y70" s="10">
        <f t="shared" si="15"/>
        <v>0</v>
      </c>
      <c r="Z70" s="10">
        <f t="shared" si="15"/>
        <v>0</v>
      </c>
      <c r="AA70" s="10">
        <f t="shared" si="15"/>
        <v>0</v>
      </c>
      <c r="AC70" s="10">
        <f t="shared" si="28"/>
        <v>30.351522126598855</v>
      </c>
      <c r="AD70" s="10">
        <f t="shared" si="28"/>
        <v>1.1303935806952303</v>
      </c>
      <c r="AH70" s="10">
        <f t="shared" si="19"/>
        <v>1</v>
      </c>
      <c r="AI70" s="10">
        <f t="shared" si="20"/>
        <v>0</v>
      </c>
      <c r="AJ70" s="10">
        <f t="shared" si="21"/>
        <v>0</v>
      </c>
    </row>
    <row r="71" spans="6:36" x14ac:dyDescent="0.25">
      <c r="F71" s="10">
        <v>3</v>
      </c>
      <c r="G71" s="10">
        <v>9</v>
      </c>
      <c r="H71" s="10">
        <v>0</v>
      </c>
      <c r="I71" s="10">
        <f t="shared" si="30"/>
        <v>4.1553347214085523</v>
      </c>
      <c r="J71" s="10">
        <f t="shared" si="7"/>
        <v>14.99938962981048</v>
      </c>
      <c r="K71" s="10">
        <f t="shared" si="8"/>
        <v>1</v>
      </c>
      <c r="S71" s="10">
        <f t="shared" si="11"/>
        <v>143.07594749214053</v>
      </c>
      <c r="T71" s="10">
        <f t="shared" si="12"/>
        <v>1</v>
      </c>
      <c r="U71" s="10">
        <f t="shared" si="13"/>
        <v>0</v>
      </c>
      <c r="V71" s="10">
        <f t="shared" si="14"/>
        <v>0</v>
      </c>
      <c r="Y71" s="10">
        <f t="shared" si="15"/>
        <v>0</v>
      </c>
      <c r="Z71" s="10">
        <f t="shared" si="15"/>
        <v>0</v>
      </c>
      <c r="AA71" s="10">
        <f t="shared" si="15"/>
        <v>0</v>
      </c>
      <c r="AC71" s="10">
        <f t="shared" si="28"/>
        <v>30.351522126598855</v>
      </c>
      <c r="AD71" s="10">
        <f t="shared" si="28"/>
        <v>1.1303935806952303</v>
      </c>
      <c r="AH71" s="10">
        <f t="shared" si="19"/>
        <v>1</v>
      </c>
      <c r="AI71" s="10">
        <f t="shared" si="20"/>
        <v>0</v>
      </c>
      <c r="AJ71" s="10">
        <f t="shared" si="21"/>
        <v>0</v>
      </c>
    </row>
    <row r="72" spans="6:36" x14ac:dyDescent="0.25">
      <c r="F72" s="10">
        <v>3</v>
      </c>
      <c r="G72" s="10">
        <v>10</v>
      </c>
      <c r="H72" s="10">
        <v>0</v>
      </c>
      <c r="I72" s="10">
        <f t="shared" si="30"/>
        <v>8.4627041466514576</v>
      </c>
      <c r="J72" s="10">
        <f t="shared" si="7"/>
        <v>14.99938962981048</v>
      </c>
      <c r="K72" s="10">
        <f t="shared" si="8"/>
        <v>1</v>
      </c>
      <c r="S72" s="10">
        <f t="shared" si="11"/>
        <v>273.81116590983595</v>
      </c>
      <c r="T72" s="10">
        <f t="shared" si="12"/>
        <v>1</v>
      </c>
      <c r="U72" s="10">
        <f t="shared" si="13"/>
        <v>0</v>
      </c>
      <c r="V72" s="10">
        <f t="shared" si="14"/>
        <v>0</v>
      </c>
      <c r="Y72" s="10">
        <f t="shared" si="15"/>
        <v>0</v>
      </c>
      <c r="Z72" s="10">
        <f t="shared" si="15"/>
        <v>0</v>
      </c>
      <c r="AA72" s="10">
        <f t="shared" si="15"/>
        <v>0</v>
      </c>
      <c r="AC72" s="10">
        <f t="shared" si="28"/>
        <v>30.351522126598855</v>
      </c>
      <c r="AD72" s="10">
        <f t="shared" si="28"/>
        <v>1.1303935806952303</v>
      </c>
      <c r="AH72" s="10">
        <f t="shared" si="19"/>
        <v>1</v>
      </c>
      <c r="AI72" s="10">
        <f t="shared" si="20"/>
        <v>0</v>
      </c>
      <c r="AJ72" s="10">
        <f t="shared" si="21"/>
        <v>0</v>
      </c>
    </row>
    <row r="73" spans="6:36" x14ac:dyDescent="0.25">
      <c r="F73" s="10">
        <v>3</v>
      </c>
      <c r="G73" s="10">
        <v>11</v>
      </c>
      <c r="H73" s="10">
        <v>0</v>
      </c>
      <c r="I73" s="10">
        <f t="shared" si="30"/>
        <v>11.722530671423003</v>
      </c>
      <c r="J73" s="10">
        <f t="shared" si="7"/>
        <v>14.99938962981048</v>
      </c>
      <c r="K73" s="10">
        <f t="shared" si="8"/>
        <v>1</v>
      </c>
      <c r="S73" s="10">
        <f t="shared" si="11"/>
        <v>372.75186280531341</v>
      </c>
      <c r="T73" s="10">
        <f t="shared" si="12"/>
        <v>1</v>
      </c>
      <c r="U73" s="10">
        <f t="shared" si="13"/>
        <v>0</v>
      </c>
      <c r="V73" s="10">
        <f t="shared" si="14"/>
        <v>0</v>
      </c>
      <c r="Y73" s="10">
        <f t="shared" si="15"/>
        <v>0</v>
      </c>
      <c r="Z73" s="10">
        <f t="shared" si="15"/>
        <v>0</v>
      </c>
      <c r="AA73" s="10">
        <f t="shared" si="15"/>
        <v>0</v>
      </c>
      <c r="AC73" s="10">
        <f t="shared" si="28"/>
        <v>30.351522126598855</v>
      </c>
      <c r="AD73" s="10">
        <f t="shared" si="28"/>
        <v>1.1303935806952303</v>
      </c>
      <c r="AH73" s="10">
        <f t="shared" si="19"/>
        <v>1</v>
      </c>
      <c r="AI73" s="10">
        <f t="shared" si="20"/>
        <v>0</v>
      </c>
      <c r="AJ73" s="10">
        <f t="shared" si="21"/>
        <v>0</v>
      </c>
    </row>
    <row r="74" spans="6:36" x14ac:dyDescent="0.25">
      <c r="F74" s="10">
        <v>3</v>
      </c>
      <c r="G74" s="10">
        <v>12</v>
      </c>
      <c r="H74" s="10">
        <v>0</v>
      </c>
      <c r="I74" s="10">
        <f t="shared" si="30"/>
        <v>9.6231558949622329</v>
      </c>
      <c r="J74" s="10">
        <f t="shared" si="7"/>
        <v>14.99938962981048</v>
      </c>
      <c r="K74" s="10">
        <f t="shared" si="8"/>
        <v>1</v>
      </c>
      <c r="S74" s="10">
        <f t="shared" si="11"/>
        <v>309.03264282554085</v>
      </c>
      <c r="T74" s="10">
        <f t="shared" si="12"/>
        <v>1</v>
      </c>
      <c r="U74" s="10">
        <f t="shared" si="13"/>
        <v>0</v>
      </c>
      <c r="V74" s="10">
        <f t="shared" si="14"/>
        <v>0</v>
      </c>
      <c r="Y74" s="10">
        <f t="shared" si="15"/>
        <v>0</v>
      </c>
      <c r="Z74" s="10">
        <f t="shared" si="15"/>
        <v>0</v>
      </c>
      <c r="AA74" s="10">
        <f t="shared" si="15"/>
        <v>0</v>
      </c>
      <c r="AC74" s="10">
        <f t="shared" si="28"/>
        <v>30.351522126598855</v>
      </c>
      <c r="AD74" s="10">
        <f t="shared" si="28"/>
        <v>1.1303935806952303</v>
      </c>
      <c r="AH74" s="10">
        <f t="shared" si="19"/>
        <v>1</v>
      </c>
      <c r="AI74" s="10">
        <f t="shared" si="20"/>
        <v>0</v>
      </c>
      <c r="AJ74" s="10">
        <f t="shared" si="21"/>
        <v>0</v>
      </c>
    </row>
    <row r="75" spans="6:36" x14ac:dyDescent="0.25">
      <c r="F75" s="10">
        <v>3</v>
      </c>
      <c r="G75" s="10">
        <v>13</v>
      </c>
      <c r="H75" s="10">
        <v>0</v>
      </c>
      <c r="I75" s="10">
        <f t="shared" si="30"/>
        <v>8.0162683783311302</v>
      </c>
      <c r="J75" s="10">
        <f t="shared" si="7"/>
        <v>14.99938962981048</v>
      </c>
      <c r="K75" s="10">
        <f t="shared" si="8"/>
        <v>1</v>
      </c>
      <c r="S75" s="10">
        <f t="shared" si="11"/>
        <v>260.26116080955637</v>
      </c>
      <c r="T75" s="10">
        <f t="shared" si="12"/>
        <v>1</v>
      </c>
      <c r="U75" s="10">
        <f t="shared" si="13"/>
        <v>0</v>
      </c>
      <c r="V75" s="10">
        <f t="shared" si="14"/>
        <v>0</v>
      </c>
      <c r="Y75" s="10">
        <f t="shared" si="15"/>
        <v>0</v>
      </c>
      <c r="Z75" s="10">
        <f t="shared" si="15"/>
        <v>0</v>
      </c>
      <c r="AA75" s="10">
        <f t="shared" si="15"/>
        <v>0</v>
      </c>
      <c r="AC75" s="10">
        <f t="shared" si="28"/>
        <v>30.351522126598855</v>
      </c>
      <c r="AD75" s="10">
        <f t="shared" si="28"/>
        <v>1.1303935806952303</v>
      </c>
      <c r="AH75" s="10">
        <f t="shared" si="19"/>
        <v>1</v>
      </c>
      <c r="AI75" s="10">
        <f t="shared" si="20"/>
        <v>0</v>
      </c>
      <c r="AJ75" s="10">
        <f t="shared" si="21"/>
        <v>0</v>
      </c>
    </row>
    <row r="76" spans="6:36" x14ac:dyDescent="0.25">
      <c r="F76" s="10">
        <v>3</v>
      </c>
      <c r="G76" s="10">
        <v>14</v>
      </c>
      <c r="H76" s="10">
        <v>0</v>
      </c>
      <c r="I76" s="10">
        <f t="shared" ref="I76:I91" si="31">I56</f>
        <v>11.270939377934512</v>
      </c>
      <c r="J76" s="10">
        <f t="shared" si="7"/>
        <v>14.99938962981048</v>
      </c>
      <c r="K76" s="10">
        <f t="shared" si="8"/>
        <v>1</v>
      </c>
      <c r="S76" s="10">
        <f t="shared" si="11"/>
        <v>359.0453796688181</v>
      </c>
      <c r="T76" s="10">
        <f t="shared" si="12"/>
        <v>1</v>
      </c>
      <c r="U76" s="10">
        <f t="shared" si="13"/>
        <v>0</v>
      </c>
      <c r="V76" s="10">
        <f t="shared" si="14"/>
        <v>0</v>
      </c>
      <c r="Y76" s="10">
        <f t="shared" si="15"/>
        <v>0</v>
      </c>
      <c r="Z76" s="10">
        <f t="shared" si="15"/>
        <v>0</v>
      </c>
      <c r="AA76" s="10">
        <f t="shared" si="15"/>
        <v>0</v>
      </c>
      <c r="AC76" s="10">
        <f t="shared" si="28"/>
        <v>30.351522126598855</v>
      </c>
      <c r="AD76" s="10">
        <f t="shared" si="28"/>
        <v>1.1303935806952303</v>
      </c>
      <c r="AH76" s="10">
        <f t="shared" si="19"/>
        <v>1</v>
      </c>
      <c r="AI76" s="10">
        <f t="shared" si="20"/>
        <v>0</v>
      </c>
      <c r="AJ76" s="10">
        <f t="shared" si="21"/>
        <v>0</v>
      </c>
    </row>
    <row r="77" spans="6:36" x14ac:dyDescent="0.25">
      <c r="F77" s="10">
        <v>3</v>
      </c>
      <c r="G77" s="10">
        <v>15</v>
      </c>
      <c r="H77" s="10">
        <v>0</v>
      </c>
      <c r="I77" s="10">
        <f t="shared" si="31"/>
        <v>7.0021023351067502</v>
      </c>
      <c r="J77" s="10">
        <f t="shared" si="7"/>
        <v>14.99938962981048</v>
      </c>
      <c r="K77" s="10">
        <f t="shared" si="8"/>
        <v>1</v>
      </c>
      <c r="S77" s="10">
        <f t="shared" si="11"/>
        <v>229.47967770858642</v>
      </c>
      <c r="T77" s="10">
        <f t="shared" si="12"/>
        <v>1</v>
      </c>
      <c r="U77" s="10">
        <f t="shared" si="13"/>
        <v>0</v>
      </c>
      <c r="V77" s="10">
        <f t="shared" si="14"/>
        <v>0</v>
      </c>
      <c r="Y77" s="10">
        <f t="shared" si="15"/>
        <v>0</v>
      </c>
      <c r="Z77" s="10">
        <f t="shared" si="15"/>
        <v>0</v>
      </c>
      <c r="AA77" s="10">
        <f t="shared" si="15"/>
        <v>0</v>
      </c>
      <c r="AC77" s="10">
        <f t="shared" si="28"/>
        <v>30.351522126598855</v>
      </c>
      <c r="AD77" s="10">
        <f t="shared" si="28"/>
        <v>1.1303935806952303</v>
      </c>
      <c r="AH77" s="10">
        <f t="shared" si="19"/>
        <v>1</v>
      </c>
      <c r="AI77" s="10">
        <f t="shared" si="20"/>
        <v>0</v>
      </c>
      <c r="AJ77" s="10">
        <f t="shared" si="21"/>
        <v>0</v>
      </c>
    </row>
    <row r="78" spans="6:36" x14ac:dyDescent="0.25">
      <c r="F78" s="10">
        <v>3</v>
      </c>
      <c r="G78" s="10">
        <v>16</v>
      </c>
      <c r="H78" s="10">
        <v>0</v>
      </c>
      <c r="I78" s="10">
        <f t="shared" si="31"/>
        <v>9.3873260438242312</v>
      </c>
      <c r="J78" s="10">
        <f t="shared" si="7"/>
        <v>14.99938962981048</v>
      </c>
      <c r="K78" s="10">
        <f t="shared" si="8"/>
        <v>1</v>
      </c>
      <c r="S78" s="10">
        <f t="shared" si="11"/>
        <v>301.87484788061317</v>
      </c>
      <c r="T78" s="10">
        <f t="shared" si="12"/>
        <v>1</v>
      </c>
      <c r="U78" s="10">
        <f t="shared" si="13"/>
        <v>0</v>
      </c>
      <c r="V78" s="10">
        <f t="shared" si="14"/>
        <v>0</v>
      </c>
      <c r="Y78" s="10">
        <f t="shared" si="15"/>
        <v>0</v>
      </c>
      <c r="Z78" s="10">
        <f t="shared" si="15"/>
        <v>0</v>
      </c>
      <c r="AA78" s="10">
        <f t="shared" si="15"/>
        <v>0</v>
      </c>
      <c r="AC78" s="10">
        <f t="shared" si="28"/>
        <v>30.351522126598855</v>
      </c>
      <c r="AD78" s="10">
        <f t="shared" si="28"/>
        <v>1.1303935806952303</v>
      </c>
      <c r="AH78" s="10">
        <f t="shared" si="19"/>
        <v>1</v>
      </c>
      <c r="AI78" s="10">
        <f t="shared" si="20"/>
        <v>0</v>
      </c>
      <c r="AJ78" s="10">
        <f t="shared" si="21"/>
        <v>0</v>
      </c>
    </row>
    <row r="79" spans="6:36" x14ac:dyDescent="0.25">
      <c r="F79" s="10">
        <v>3</v>
      </c>
      <c r="G79" s="10">
        <v>17</v>
      </c>
      <c r="H79" s="10">
        <v>0</v>
      </c>
      <c r="I79" s="10">
        <f t="shared" si="31"/>
        <v>8.350479766806572</v>
      </c>
      <c r="J79" s="10">
        <f t="shared" si="7"/>
        <v>14.99938962981048</v>
      </c>
      <c r="K79" s="10">
        <f t="shared" si="8"/>
        <v>1</v>
      </c>
      <c r="S79" s="10">
        <f t="shared" si="11"/>
        <v>270.4049851618301</v>
      </c>
      <c r="T79" s="10">
        <f t="shared" si="12"/>
        <v>1</v>
      </c>
      <c r="U79" s="10">
        <f t="shared" si="13"/>
        <v>0</v>
      </c>
      <c r="V79" s="10">
        <f t="shared" si="14"/>
        <v>0</v>
      </c>
      <c r="Y79" s="10">
        <f t="shared" si="15"/>
        <v>0</v>
      </c>
      <c r="Z79" s="10">
        <f t="shared" si="15"/>
        <v>0</v>
      </c>
      <c r="AA79" s="10">
        <f t="shared" si="15"/>
        <v>0</v>
      </c>
      <c r="AC79" s="10">
        <f t="shared" si="28"/>
        <v>30.351522126598855</v>
      </c>
      <c r="AD79" s="10">
        <f t="shared" si="28"/>
        <v>1.1303935806952303</v>
      </c>
      <c r="AH79" s="10">
        <f t="shared" si="19"/>
        <v>1</v>
      </c>
      <c r="AI79" s="10">
        <f t="shared" si="20"/>
        <v>0</v>
      </c>
      <c r="AJ79" s="10">
        <f t="shared" si="21"/>
        <v>0</v>
      </c>
    </row>
    <row r="80" spans="6:36" x14ac:dyDescent="0.25">
      <c r="F80" s="10">
        <v>3</v>
      </c>
      <c r="G80" s="10">
        <v>18</v>
      </c>
      <c r="H80" s="10">
        <v>0</v>
      </c>
      <c r="I80" s="10">
        <f t="shared" si="31"/>
        <v>8.8378960488846694</v>
      </c>
      <c r="J80" s="10">
        <f t="shared" si="7"/>
        <v>14.99938962981048</v>
      </c>
      <c r="K80" s="10">
        <f t="shared" si="8"/>
        <v>1</v>
      </c>
      <c r="S80" s="10">
        <f t="shared" si="11"/>
        <v>285.19881123218806</v>
      </c>
      <c r="T80" s="10">
        <f t="shared" si="12"/>
        <v>1</v>
      </c>
      <c r="U80" s="10">
        <f t="shared" si="13"/>
        <v>0</v>
      </c>
      <c r="V80" s="10">
        <f t="shared" si="14"/>
        <v>0</v>
      </c>
      <c r="Y80" s="10">
        <f t="shared" si="15"/>
        <v>0</v>
      </c>
      <c r="Z80" s="10">
        <f t="shared" si="15"/>
        <v>0</v>
      </c>
      <c r="AA80" s="10">
        <f t="shared" si="15"/>
        <v>0</v>
      </c>
      <c r="AC80" s="10">
        <f t="shared" si="28"/>
        <v>30.351522126598855</v>
      </c>
      <c r="AD80" s="10">
        <f t="shared" si="28"/>
        <v>1.1303935806952303</v>
      </c>
      <c r="AH80" s="10">
        <f t="shared" si="19"/>
        <v>1</v>
      </c>
      <c r="AI80" s="10">
        <f t="shared" si="20"/>
        <v>0</v>
      </c>
      <c r="AJ80" s="10">
        <f t="shared" si="21"/>
        <v>0</v>
      </c>
    </row>
    <row r="81" spans="6:36" x14ac:dyDescent="0.25">
      <c r="F81" s="10">
        <v>3</v>
      </c>
      <c r="G81" s="10">
        <v>19</v>
      </c>
      <c r="H81" s="10">
        <v>0</v>
      </c>
      <c r="I81" s="10">
        <f t="shared" si="31"/>
        <v>5.9362821331723659</v>
      </c>
      <c r="J81" s="10">
        <f t="shared" si="7"/>
        <v>14.99938962981048</v>
      </c>
      <c r="K81" s="10">
        <f t="shared" si="8"/>
        <v>1</v>
      </c>
      <c r="S81" s="10">
        <f t="shared" si="11"/>
        <v>197.13041226659888</v>
      </c>
      <c r="T81" s="10">
        <f t="shared" si="12"/>
        <v>1</v>
      </c>
      <c r="U81" s="10">
        <f t="shared" si="13"/>
        <v>0</v>
      </c>
      <c r="V81" s="10">
        <f t="shared" si="14"/>
        <v>0</v>
      </c>
      <c r="Y81" s="10">
        <f t="shared" si="15"/>
        <v>0</v>
      </c>
      <c r="Z81" s="10">
        <f t="shared" si="15"/>
        <v>0</v>
      </c>
      <c r="AA81" s="10">
        <f t="shared" si="15"/>
        <v>0</v>
      </c>
      <c r="AC81" s="10">
        <f t="shared" si="28"/>
        <v>30.351522126598855</v>
      </c>
      <c r="AD81" s="10">
        <f t="shared" si="28"/>
        <v>1.1303935806952303</v>
      </c>
      <c r="AH81" s="10">
        <f t="shared" si="19"/>
        <v>1</v>
      </c>
      <c r="AI81" s="10">
        <f t="shared" si="20"/>
        <v>0</v>
      </c>
      <c r="AJ81" s="10">
        <f t="shared" si="21"/>
        <v>0</v>
      </c>
    </row>
    <row r="82" spans="6:36" x14ac:dyDescent="0.25">
      <c r="F82" s="10">
        <v>3</v>
      </c>
      <c r="G82" s="10">
        <v>20</v>
      </c>
      <c r="H82" s="10">
        <v>0</v>
      </c>
      <c r="I82" s="10">
        <f t="shared" si="31"/>
        <v>6.5710893880029841</v>
      </c>
      <c r="J82" s="10">
        <f t="shared" si="7"/>
        <v>14.99938962981048</v>
      </c>
      <c r="K82" s="10">
        <f t="shared" si="8"/>
        <v>1</v>
      </c>
      <c r="S82" s="10">
        <f t="shared" si="11"/>
        <v>216.39777870771587</v>
      </c>
      <c r="T82" s="10">
        <f t="shared" si="12"/>
        <v>1</v>
      </c>
      <c r="U82" s="10">
        <f t="shared" si="13"/>
        <v>0</v>
      </c>
      <c r="V82" s="10">
        <f t="shared" si="14"/>
        <v>0</v>
      </c>
      <c r="X82" s="10">
        <f>SUM(V63:V82)</f>
        <v>0</v>
      </c>
      <c r="Y82" s="10">
        <f t="shared" si="15"/>
        <v>0</v>
      </c>
      <c r="Z82" s="10">
        <f t="shared" si="15"/>
        <v>0</v>
      </c>
      <c r="AA82" s="10">
        <f t="shared" si="15"/>
        <v>0</v>
      </c>
      <c r="AC82" s="10">
        <f t="shared" si="28"/>
        <v>30.351522126598855</v>
      </c>
      <c r="AD82" s="10">
        <f t="shared" si="28"/>
        <v>1.1303935806952303</v>
      </c>
      <c r="AH82" s="10">
        <f t="shared" si="19"/>
        <v>1</v>
      </c>
      <c r="AI82" s="10">
        <f t="shared" si="20"/>
        <v>0</v>
      </c>
      <c r="AJ82" s="10">
        <f t="shared" si="21"/>
        <v>0</v>
      </c>
    </row>
    <row r="83" spans="6:36" x14ac:dyDescent="0.25">
      <c r="F83" s="10">
        <v>4</v>
      </c>
      <c r="G83" s="10">
        <v>1</v>
      </c>
      <c r="H83" s="10">
        <v>0</v>
      </c>
      <c r="I83" s="10">
        <f t="shared" si="31"/>
        <v>4.3149584625268673</v>
      </c>
      <c r="J83" s="10">
        <f t="shared" si="7"/>
        <v>14.99938962981048</v>
      </c>
      <c r="K83" s="10">
        <f t="shared" si="8"/>
        <v>1</v>
      </c>
      <c r="S83" s="12">
        <f t="shared" si="11"/>
        <v>147.92077100262355</v>
      </c>
      <c r="T83" s="12">
        <f t="shared" si="12"/>
        <v>1</v>
      </c>
      <c r="U83" s="12">
        <f t="shared" si="13"/>
        <v>0</v>
      </c>
      <c r="V83" s="12">
        <f t="shared" si="14"/>
        <v>0</v>
      </c>
      <c r="W83" s="12"/>
      <c r="X83" s="12"/>
      <c r="Y83" s="10">
        <f t="shared" si="15"/>
        <v>0</v>
      </c>
      <c r="Z83" s="10">
        <f t="shared" si="15"/>
        <v>0</v>
      </c>
      <c r="AA83" s="10">
        <f t="shared" si="15"/>
        <v>0</v>
      </c>
      <c r="AC83" s="10">
        <f t="shared" si="28"/>
        <v>30.351522126598855</v>
      </c>
      <c r="AD83" s="10">
        <f t="shared" si="28"/>
        <v>1.1303935806952303</v>
      </c>
      <c r="AH83" s="10">
        <f t="shared" si="19"/>
        <v>1</v>
      </c>
      <c r="AI83" s="10">
        <f t="shared" si="20"/>
        <v>0</v>
      </c>
      <c r="AJ83" s="10">
        <f t="shared" si="21"/>
        <v>0</v>
      </c>
    </row>
    <row r="84" spans="6:36" x14ac:dyDescent="0.25">
      <c r="F84" s="10">
        <v>4</v>
      </c>
      <c r="G84" s="10">
        <v>2</v>
      </c>
      <c r="H84" s="10">
        <v>0</v>
      </c>
      <c r="I84" s="10">
        <f t="shared" si="31"/>
        <v>4.2336649521823988</v>
      </c>
      <c r="J84" s="10">
        <f t="shared" si="7"/>
        <v>14.99938962981048</v>
      </c>
      <c r="K84" s="10">
        <f t="shared" si="8"/>
        <v>1</v>
      </c>
      <c r="S84" s="10">
        <f t="shared" si="11"/>
        <v>145.45338922465453</v>
      </c>
      <c r="T84" s="10">
        <f t="shared" si="12"/>
        <v>1</v>
      </c>
      <c r="U84" s="10">
        <f t="shared" si="13"/>
        <v>0</v>
      </c>
      <c r="V84" s="10">
        <f t="shared" si="14"/>
        <v>0</v>
      </c>
      <c r="Y84" s="10">
        <f t="shared" si="15"/>
        <v>0</v>
      </c>
      <c r="Z84" s="10">
        <f t="shared" si="15"/>
        <v>0</v>
      </c>
      <c r="AA84" s="10">
        <f t="shared" si="15"/>
        <v>0</v>
      </c>
      <c r="AC84" s="10">
        <f t="shared" si="28"/>
        <v>30.351522126598855</v>
      </c>
      <c r="AD84" s="10">
        <f t="shared" si="28"/>
        <v>1.1303935806952303</v>
      </c>
      <c r="AH84" s="10">
        <f t="shared" si="19"/>
        <v>1</v>
      </c>
      <c r="AI84" s="10">
        <f t="shared" si="20"/>
        <v>0</v>
      </c>
      <c r="AJ84" s="10">
        <f t="shared" si="21"/>
        <v>0</v>
      </c>
    </row>
    <row r="85" spans="6:36" x14ac:dyDescent="0.25">
      <c r="F85" s="10">
        <v>4</v>
      </c>
      <c r="G85" s="10">
        <v>3</v>
      </c>
      <c r="H85" s="10">
        <v>0</v>
      </c>
      <c r="I85" s="10">
        <f t="shared" si="31"/>
        <v>4.0760342132531742</v>
      </c>
      <c r="J85" s="10">
        <f t="shared" si="7"/>
        <v>14.99938962981048</v>
      </c>
      <c r="K85" s="10">
        <f t="shared" si="8"/>
        <v>1</v>
      </c>
      <c r="S85" s="10">
        <f t="shared" si="11"/>
        <v>140.66905636421205</v>
      </c>
      <c r="T85" s="10">
        <f t="shared" si="12"/>
        <v>1</v>
      </c>
      <c r="U85" s="10">
        <f t="shared" si="13"/>
        <v>0</v>
      </c>
      <c r="V85" s="10">
        <f t="shared" si="14"/>
        <v>0</v>
      </c>
      <c r="Y85" s="10">
        <f t="shared" si="15"/>
        <v>0</v>
      </c>
      <c r="Z85" s="10">
        <f t="shared" si="15"/>
        <v>0</v>
      </c>
      <c r="AA85" s="10">
        <f t="shared" si="15"/>
        <v>0</v>
      </c>
      <c r="AC85" s="10">
        <f t="shared" si="28"/>
        <v>30.351522126598855</v>
      </c>
      <c r="AD85" s="10">
        <f t="shared" si="28"/>
        <v>1.1303935806952303</v>
      </c>
      <c r="AH85" s="10">
        <f t="shared" si="19"/>
        <v>1</v>
      </c>
      <c r="AI85" s="10">
        <f t="shared" si="20"/>
        <v>0</v>
      </c>
      <c r="AJ85" s="10">
        <f t="shared" si="21"/>
        <v>0</v>
      </c>
    </row>
    <row r="86" spans="6:36" x14ac:dyDescent="0.25">
      <c r="F86" s="10">
        <v>4</v>
      </c>
      <c r="G86" s="10">
        <v>4</v>
      </c>
      <c r="H86" s="10">
        <v>0</v>
      </c>
      <c r="I86" s="10">
        <f t="shared" si="31"/>
        <v>6.9682999690312606</v>
      </c>
      <c r="J86" s="10">
        <f t="shared" si="7"/>
        <v>14.99938962981048</v>
      </c>
      <c r="K86" s="10">
        <f t="shared" si="8"/>
        <v>1</v>
      </c>
      <c r="S86" s="10">
        <f t="shared" si="11"/>
        <v>228.4537244467148</v>
      </c>
      <c r="T86" s="10">
        <f t="shared" si="12"/>
        <v>1</v>
      </c>
      <c r="U86" s="10">
        <f t="shared" si="13"/>
        <v>0</v>
      </c>
      <c r="V86" s="10">
        <f t="shared" si="14"/>
        <v>0</v>
      </c>
      <c r="Y86" s="10">
        <f t="shared" si="15"/>
        <v>0</v>
      </c>
      <c r="Z86" s="10">
        <f t="shared" si="15"/>
        <v>0</v>
      </c>
      <c r="AA86" s="10">
        <f t="shared" si="15"/>
        <v>0</v>
      </c>
      <c r="AC86" s="10">
        <f t="shared" si="28"/>
        <v>30.351522126598855</v>
      </c>
      <c r="AD86" s="10">
        <f t="shared" si="28"/>
        <v>1.1303935806952303</v>
      </c>
      <c r="AH86" s="10">
        <f t="shared" si="19"/>
        <v>1</v>
      </c>
      <c r="AI86" s="10">
        <f t="shared" si="20"/>
        <v>0</v>
      </c>
      <c r="AJ86" s="10">
        <f t="shared" si="21"/>
        <v>0</v>
      </c>
    </row>
    <row r="87" spans="6:36" x14ac:dyDescent="0.25">
      <c r="F87" s="10">
        <v>4</v>
      </c>
      <c r="G87" s="10">
        <v>5</v>
      </c>
      <c r="H87" s="10">
        <v>0</v>
      </c>
      <c r="I87" s="10">
        <f t="shared" si="31"/>
        <v>8.3649028089644606</v>
      </c>
      <c r="J87" s="10">
        <f t="shared" si="7"/>
        <v>14.99938962981048</v>
      </c>
      <c r="K87" s="10">
        <f t="shared" si="8"/>
        <v>1</v>
      </c>
      <c r="S87" s="10">
        <f t="shared" si="11"/>
        <v>270.84274644501812</v>
      </c>
      <c r="T87" s="10">
        <f t="shared" si="12"/>
        <v>1</v>
      </c>
      <c r="U87" s="10">
        <f t="shared" si="13"/>
        <v>0</v>
      </c>
      <c r="V87" s="10">
        <f t="shared" si="14"/>
        <v>0</v>
      </c>
      <c r="Y87" s="10">
        <f t="shared" si="15"/>
        <v>0</v>
      </c>
      <c r="Z87" s="10">
        <f t="shared" si="15"/>
        <v>0</v>
      </c>
      <c r="AA87" s="10">
        <f t="shared" si="15"/>
        <v>0</v>
      </c>
      <c r="AC87" s="10">
        <f t="shared" si="28"/>
        <v>30.351522126598855</v>
      </c>
      <c r="AD87" s="10">
        <f t="shared" si="28"/>
        <v>1.1303935806952303</v>
      </c>
      <c r="AH87" s="10">
        <f t="shared" si="19"/>
        <v>1</v>
      </c>
      <c r="AI87" s="10">
        <f t="shared" si="20"/>
        <v>0</v>
      </c>
      <c r="AJ87" s="10">
        <f t="shared" si="21"/>
        <v>0</v>
      </c>
    </row>
    <row r="88" spans="6:36" x14ac:dyDescent="0.25">
      <c r="F88" s="10">
        <v>4</v>
      </c>
      <c r="G88" s="10">
        <v>6</v>
      </c>
      <c r="H88" s="10">
        <v>0</v>
      </c>
      <c r="I88" s="10">
        <f t="shared" si="31"/>
        <v>9.3848699915294151</v>
      </c>
      <c r="J88" s="10">
        <f t="shared" ref="J88:J151" si="32">IF(K88=1, D88*$C$9+$C$8,D88*$C$12+$C$11)</f>
        <v>14.99938962981048</v>
      </c>
      <c r="K88" s="10">
        <f t="shared" ref="K88:K151" si="33">IF(E88&lt;$C$14,1,-1)</f>
        <v>1</v>
      </c>
      <c r="S88" s="10">
        <f t="shared" ref="S88:S151" si="34">SUMPRODUCT(H88:J88,AB87:AD87)</f>
        <v>301.80030295504298</v>
      </c>
      <c r="T88" s="10">
        <f t="shared" ref="T88:T151" si="35">IF(S88&gt;=0,1,-1)</f>
        <v>1</v>
      </c>
      <c r="U88" s="10">
        <f t="shared" ref="U88:U151" si="36">(K88-T88)/2</f>
        <v>0</v>
      </c>
      <c r="V88" s="10">
        <f t="shared" ref="V88:V151" si="37">IF(U88&lt;&gt;0,1,0)</f>
        <v>0</v>
      </c>
      <c r="Y88" s="10">
        <f t="shared" ref="Y88:AA151" si="38">IF($U88=0,0,$C$14*($U88)*H88)</f>
        <v>0</v>
      </c>
      <c r="Z88" s="10">
        <f t="shared" si="38"/>
        <v>0</v>
      </c>
      <c r="AA88" s="10">
        <f t="shared" si="38"/>
        <v>0</v>
      </c>
      <c r="AC88" s="10">
        <f t="shared" ref="AC88:AD151" si="39">IF($U88=0,AC87,AC87+$C$14*($U88)*I88)</f>
        <v>30.351522126598855</v>
      </c>
      <c r="AD88" s="10">
        <f t="shared" si="39"/>
        <v>1.1303935806952303</v>
      </c>
      <c r="AH88" s="10">
        <f t="shared" si="19"/>
        <v>1</v>
      </c>
      <c r="AI88" s="10">
        <f t="shared" si="20"/>
        <v>0</v>
      </c>
      <c r="AJ88" s="10">
        <f t="shared" si="21"/>
        <v>0</v>
      </c>
    </row>
    <row r="89" spans="6:36" x14ac:dyDescent="0.25">
      <c r="F89" s="10">
        <v>4</v>
      </c>
      <c r="G89" s="10">
        <v>7</v>
      </c>
      <c r="H89" s="10">
        <v>0</v>
      </c>
      <c r="I89" s="10">
        <f t="shared" si="31"/>
        <v>9.2116945315592211</v>
      </c>
      <c r="J89" s="10">
        <f t="shared" si="32"/>
        <v>14.99938962981048</v>
      </c>
      <c r="K89" s="10">
        <f t="shared" si="33"/>
        <v>1</v>
      </c>
      <c r="S89" s="10">
        <f t="shared" si="34"/>
        <v>296.54416414997377</v>
      </c>
      <c r="T89" s="10">
        <f t="shared" si="35"/>
        <v>1</v>
      </c>
      <c r="U89" s="10">
        <f t="shared" si="36"/>
        <v>0</v>
      </c>
      <c r="V89" s="10">
        <f t="shared" si="37"/>
        <v>0</v>
      </c>
      <c r="Y89" s="10">
        <f t="shared" si="38"/>
        <v>0</v>
      </c>
      <c r="Z89" s="10">
        <f t="shared" si="38"/>
        <v>0</v>
      </c>
      <c r="AA89" s="10">
        <f t="shared" si="38"/>
        <v>0</v>
      </c>
      <c r="AC89" s="10">
        <f t="shared" si="39"/>
        <v>30.351522126598855</v>
      </c>
      <c r="AD89" s="10">
        <f t="shared" si="39"/>
        <v>1.1303935806952303</v>
      </c>
      <c r="AH89" s="10">
        <f t="shared" si="19"/>
        <v>1</v>
      </c>
      <c r="AI89" s="10">
        <f t="shared" si="20"/>
        <v>0</v>
      </c>
      <c r="AJ89" s="10">
        <f t="shared" si="21"/>
        <v>0</v>
      </c>
    </row>
    <row r="90" spans="6:36" x14ac:dyDescent="0.25">
      <c r="F90" s="10">
        <v>4</v>
      </c>
      <c r="G90" s="10">
        <v>8</v>
      </c>
      <c r="H90" s="10">
        <v>0</v>
      </c>
      <c r="I90" s="10">
        <f t="shared" si="31"/>
        <v>10.461114754974387</v>
      </c>
      <c r="J90" s="10">
        <f t="shared" si="32"/>
        <v>14.99938962981048</v>
      </c>
      <c r="K90" s="10">
        <f t="shared" si="33"/>
        <v>1</v>
      </c>
      <c r="S90" s="10">
        <f t="shared" si="34"/>
        <v>334.46596970637927</v>
      </c>
      <c r="T90" s="10">
        <f t="shared" si="35"/>
        <v>1</v>
      </c>
      <c r="U90" s="10">
        <f t="shared" si="36"/>
        <v>0</v>
      </c>
      <c r="V90" s="10">
        <f t="shared" si="37"/>
        <v>0</v>
      </c>
      <c r="Y90" s="10">
        <f t="shared" si="38"/>
        <v>0</v>
      </c>
      <c r="Z90" s="10">
        <f t="shared" si="38"/>
        <v>0</v>
      </c>
      <c r="AA90" s="10">
        <f t="shared" si="38"/>
        <v>0</v>
      </c>
      <c r="AC90" s="10">
        <f t="shared" si="39"/>
        <v>30.351522126598855</v>
      </c>
      <c r="AD90" s="10">
        <f t="shared" si="39"/>
        <v>1.1303935806952303</v>
      </c>
      <c r="AH90" s="10">
        <f t="shared" ref="AH90:AH153" si="40">IF(SUMPRODUCT(H88:J88,$AH$21:$AJ$21)&gt;=0,1,-1)</f>
        <v>1</v>
      </c>
      <c r="AI90" s="10">
        <f t="shared" ref="AI90:AI153" si="41">(K88-AH90)/2</f>
        <v>0</v>
      </c>
      <c r="AJ90" s="10">
        <f t="shared" ref="AJ90:AJ153" si="42">IF(AI90&lt;&gt;0,1,0)</f>
        <v>0</v>
      </c>
    </row>
    <row r="91" spans="6:36" x14ac:dyDescent="0.25">
      <c r="F91" s="10">
        <v>4</v>
      </c>
      <c r="G91" s="10">
        <v>9</v>
      </c>
      <c r="H91" s="10">
        <v>0</v>
      </c>
      <c r="I91" s="10">
        <f t="shared" si="31"/>
        <v>4.1553347214085523</v>
      </c>
      <c r="J91" s="10">
        <f t="shared" si="32"/>
        <v>14.99938962981048</v>
      </c>
      <c r="K91" s="10">
        <f t="shared" si="33"/>
        <v>1</v>
      </c>
      <c r="S91" s="10">
        <f t="shared" si="34"/>
        <v>143.07594749214053</v>
      </c>
      <c r="T91" s="10">
        <f t="shared" si="35"/>
        <v>1</v>
      </c>
      <c r="U91" s="10">
        <f t="shared" si="36"/>
        <v>0</v>
      </c>
      <c r="V91" s="10">
        <f t="shared" si="37"/>
        <v>0</v>
      </c>
      <c r="Y91" s="10">
        <f t="shared" si="38"/>
        <v>0</v>
      </c>
      <c r="Z91" s="10">
        <f t="shared" si="38"/>
        <v>0</v>
      </c>
      <c r="AA91" s="10">
        <f t="shared" si="38"/>
        <v>0</v>
      </c>
      <c r="AC91" s="10">
        <f t="shared" si="39"/>
        <v>30.351522126598855</v>
      </c>
      <c r="AD91" s="10">
        <f t="shared" si="39"/>
        <v>1.1303935806952303</v>
      </c>
      <c r="AH91" s="10">
        <f t="shared" si="40"/>
        <v>1</v>
      </c>
      <c r="AI91" s="10">
        <f t="shared" si="41"/>
        <v>0</v>
      </c>
      <c r="AJ91" s="10">
        <f t="shared" si="42"/>
        <v>0</v>
      </c>
    </row>
    <row r="92" spans="6:36" x14ac:dyDescent="0.25">
      <c r="F92" s="10">
        <v>4</v>
      </c>
      <c r="G92" s="10">
        <v>10</v>
      </c>
      <c r="H92" s="10">
        <v>0</v>
      </c>
      <c r="I92" s="10">
        <f t="shared" ref="I92:I107" si="43">I72</f>
        <v>8.4627041466514576</v>
      </c>
      <c r="J92" s="10">
        <f t="shared" si="32"/>
        <v>14.99938962981048</v>
      </c>
      <c r="K92" s="10">
        <f t="shared" si="33"/>
        <v>1</v>
      </c>
      <c r="S92" s="10">
        <f t="shared" si="34"/>
        <v>273.81116590983595</v>
      </c>
      <c r="T92" s="10">
        <f t="shared" si="35"/>
        <v>1</v>
      </c>
      <c r="U92" s="10">
        <f t="shared" si="36"/>
        <v>0</v>
      </c>
      <c r="V92" s="10">
        <f t="shared" si="37"/>
        <v>0</v>
      </c>
      <c r="Y92" s="10">
        <f t="shared" si="38"/>
        <v>0</v>
      </c>
      <c r="Z92" s="10">
        <f t="shared" si="38"/>
        <v>0</v>
      </c>
      <c r="AA92" s="10">
        <f t="shared" si="38"/>
        <v>0</v>
      </c>
      <c r="AC92" s="10">
        <f t="shared" si="39"/>
        <v>30.351522126598855</v>
      </c>
      <c r="AD92" s="10">
        <f t="shared" si="39"/>
        <v>1.1303935806952303</v>
      </c>
      <c r="AH92" s="10">
        <f t="shared" si="40"/>
        <v>1</v>
      </c>
      <c r="AI92" s="10">
        <f t="shared" si="41"/>
        <v>0</v>
      </c>
      <c r="AJ92" s="10">
        <f t="shared" si="42"/>
        <v>0</v>
      </c>
    </row>
    <row r="93" spans="6:36" x14ac:dyDescent="0.25">
      <c r="F93" s="10">
        <v>4</v>
      </c>
      <c r="G93" s="10">
        <v>11</v>
      </c>
      <c r="H93" s="10">
        <v>0</v>
      </c>
      <c r="I93" s="10">
        <f t="shared" si="43"/>
        <v>11.722530671423003</v>
      </c>
      <c r="J93" s="10">
        <f t="shared" si="32"/>
        <v>14.99938962981048</v>
      </c>
      <c r="K93" s="10">
        <f t="shared" si="33"/>
        <v>1</v>
      </c>
      <c r="S93" s="10">
        <f t="shared" si="34"/>
        <v>372.75186280531341</v>
      </c>
      <c r="T93" s="10">
        <f t="shared" si="35"/>
        <v>1</v>
      </c>
      <c r="U93" s="10">
        <f t="shared" si="36"/>
        <v>0</v>
      </c>
      <c r="V93" s="10">
        <f t="shared" si="37"/>
        <v>0</v>
      </c>
      <c r="Y93" s="10">
        <f t="shared" si="38"/>
        <v>0</v>
      </c>
      <c r="Z93" s="10">
        <f t="shared" si="38"/>
        <v>0</v>
      </c>
      <c r="AA93" s="10">
        <f t="shared" si="38"/>
        <v>0</v>
      </c>
      <c r="AC93" s="10">
        <f t="shared" si="39"/>
        <v>30.351522126598855</v>
      </c>
      <c r="AD93" s="10">
        <f t="shared" si="39"/>
        <v>1.1303935806952303</v>
      </c>
      <c r="AH93" s="10">
        <f t="shared" si="40"/>
        <v>1</v>
      </c>
      <c r="AI93" s="10">
        <f t="shared" si="41"/>
        <v>0</v>
      </c>
      <c r="AJ93" s="10">
        <f t="shared" si="42"/>
        <v>0</v>
      </c>
    </row>
    <row r="94" spans="6:36" x14ac:dyDescent="0.25">
      <c r="F94" s="10">
        <v>4</v>
      </c>
      <c r="G94" s="10">
        <v>12</v>
      </c>
      <c r="H94" s="10">
        <v>0</v>
      </c>
      <c r="I94" s="10">
        <f t="shared" si="43"/>
        <v>9.6231558949622329</v>
      </c>
      <c r="J94" s="10">
        <f t="shared" si="32"/>
        <v>14.99938962981048</v>
      </c>
      <c r="K94" s="10">
        <f t="shared" si="33"/>
        <v>1</v>
      </c>
      <c r="S94" s="10">
        <f t="shared" si="34"/>
        <v>309.03264282554085</v>
      </c>
      <c r="T94" s="10">
        <f t="shared" si="35"/>
        <v>1</v>
      </c>
      <c r="U94" s="10">
        <f t="shared" si="36"/>
        <v>0</v>
      </c>
      <c r="V94" s="10">
        <f t="shared" si="37"/>
        <v>0</v>
      </c>
      <c r="Y94" s="10">
        <f t="shared" si="38"/>
        <v>0</v>
      </c>
      <c r="Z94" s="10">
        <f t="shared" si="38"/>
        <v>0</v>
      </c>
      <c r="AA94" s="10">
        <f t="shared" si="38"/>
        <v>0</v>
      </c>
      <c r="AC94" s="10">
        <f t="shared" si="39"/>
        <v>30.351522126598855</v>
      </c>
      <c r="AD94" s="10">
        <f t="shared" si="39"/>
        <v>1.1303935806952303</v>
      </c>
      <c r="AH94" s="10">
        <f t="shared" si="40"/>
        <v>1</v>
      </c>
      <c r="AI94" s="10">
        <f t="shared" si="41"/>
        <v>0</v>
      </c>
      <c r="AJ94" s="10">
        <f t="shared" si="42"/>
        <v>0</v>
      </c>
    </row>
    <row r="95" spans="6:36" x14ac:dyDescent="0.25">
      <c r="F95" s="10">
        <v>4</v>
      </c>
      <c r="G95" s="10">
        <v>13</v>
      </c>
      <c r="H95" s="10">
        <v>0</v>
      </c>
      <c r="I95" s="10">
        <f t="shared" si="43"/>
        <v>8.0162683783311302</v>
      </c>
      <c r="J95" s="10">
        <f t="shared" si="32"/>
        <v>14.99938962981048</v>
      </c>
      <c r="K95" s="10">
        <f t="shared" si="33"/>
        <v>1</v>
      </c>
      <c r="S95" s="10">
        <f t="shared" si="34"/>
        <v>260.26116080955637</v>
      </c>
      <c r="T95" s="10">
        <f t="shared" si="35"/>
        <v>1</v>
      </c>
      <c r="U95" s="10">
        <f t="shared" si="36"/>
        <v>0</v>
      </c>
      <c r="V95" s="10">
        <f t="shared" si="37"/>
        <v>0</v>
      </c>
      <c r="Y95" s="10">
        <f t="shared" si="38"/>
        <v>0</v>
      </c>
      <c r="Z95" s="10">
        <f t="shared" si="38"/>
        <v>0</v>
      </c>
      <c r="AA95" s="10">
        <f t="shared" si="38"/>
        <v>0</v>
      </c>
      <c r="AC95" s="10">
        <f t="shared" si="39"/>
        <v>30.351522126598855</v>
      </c>
      <c r="AD95" s="10">
        <f t="shared" si="39"/>
        <v>1.1303935806952303</v>
      </c>
      <c r="AH95" s="10">
        <f t="shared" si="40"/>
        <v>1</v>
      </c>
      <c r="AI95" s="10">
        <f t="shared" si="41"/>
        <v>0</v>
      </c>
      <c r="AJ95" s="10">
        <f t="shared" si="42"/>
        <v>0</v>
      </c>
    </row>
    <row r="96" spans="6:36" x14ac:dyDescent="0.25">
      <c r="F96" s="10">
        <v>4</v>
      </c>
      <c r="G96" s="10">
        <v>14</v>
      </c>
      <c r="H96" s="10">
        <v>0</v>
      </c>
      <c r="I96" s="10">
        <f t="shared" si="43"/>
        <v>11.270939377934512</v>
      </c>
      <c r="J96" s="10">
        <f t="shared" si="32"/>
        <v>14.99938962981048</v>
      </c>
      <c r="K96" s="10">
        <f t="shared" si="33"/>
        <v>1</v>
      </c>
      <c r="S96" s="10">
        <f t="shared" si="34"/>
        <v>359.0453796688181</v>
      </c>
      <c r="T96" s="10">
        <f t="shared" si="35"/>
        <v>1</v>
      </c>
      <c r="U96" s="10">
        <f t="shared" si="36"/>
        <v>0</v>
      </c>
      <c r="V96" s="10">
        <f t="shared" si="37"/>
        <v>0</v>
      </c>
      <c r="Y96" s="10">
        <f t="shared" si="38"/>
        <v>0</v>
      </c>
      <c r="Z96" s="10">
        <f t="shared" si="38"/>
        <v>0</v>
      </c>
      <c r="AA96" s="10">
        <f t="shared" si="38"/>
        <v>0</v>
      </c>
      <c r="AC96" s="10">
        <f t="shared" si="39"/>
        <v>30.351522126598855</v>
      </c>
      <c r="AD96" s="10">
        <f t="shared" si="39"/>
        <v>1.1303935806952303</v>
      </c>
      <c r="AH96" s="10">
        <f t="shared" si="40"/>
        <v>1</v>
      </c>
      <c r="AI96" s="10">
        <f t="shared" si="41"/>
        <v>0</v>
      </c>
      <c r="AJ96" s="10">
        <f t="shared" si="42"/>
        <v>0</v>
      </c>
    </row>
    <row r="97" spans="6:36" x14ac:dyDescent="0.25">
      <c r="F97" s="10">
        <v>4</v>
      </c>
      <c r="G97" s="10">
        <v>15</v>
      </c>
      <c r="H97" s="10">
        <v>0</v>
      </c>
      <c r="I97" s="10">
        <f t="shared" si="43"/>
        <v>7.0021023351067502</v>
      </c>
      <c r="J97" s="10">
        <f t="shared" si="32"/>
        <v>14.99938962981048</v>
      </c>
      <c r="K97" s="10">
        <f t="shared" si="33"/>
        <v>1</v>
      </c>
      <c r="S97" s="10">
        <f t="shared" si="34"/>
        <v>229.47967770858642</v>
      </c>
      <c r="T97" s="10">
        <f t="shared" si="35"/>
        <v>1</v>
      </c>
      <c r="U97" s="10">
        <f t="shared" si="36"/>
        <v>0</v>
      </c>
      <c r="V97" s="10">
        <f t="shared" si="37"/>
        <v>0</v>
      </c>
      <c r="Y97" s="10">
        <f t="shared" si="38"/>
        <v>0</v>
      </c>
      <c r="Z97" s="10">
        <f t="shared" si="38"/>
        <v>0</v>
      </c>
      <c r="AA97" s="10">
        <f t="shared" si="38"/>
        <v>0</v>
      </c>
      <c r="AC97" s="10">
        <f t="shared" si="39"/>
        <v>30.351522126598855</v>
      </c>
      <c r="AD97" s="10">
        <f t="shared" si="39"/>
        <v>1.1303935806952303</v>
      </c>
      <c r="AH97" s="10">
        <f t="shared" si="40"/>
        <v>1</v>
      </c>
      <c r="AI97" s="10">
        <f t="shared" si="41"/>
        <v>0</v>
      </c>
      <c r="AJ97" s="10">
        <f t="shared" si="42"/>
        <v>0</v>
      </c>
    </row>
    <row r="98" spans="6:36" x14ac:dyDescent="0.25">
      <c r="F98" s="10">
        <v>4</v>
      </c>
      <c r="G98" s="10">
        <v>16</v>
      </c>
      <c r="H98" s="10">
        <v>0</v>
      </c>
      <c r="I98" s="10">
        <f t="shared" si="43"/>
        <v>9.3873260438242312</v>
      </c>
      <c r="J98" s="10">
        <f t="shared" si="32"/>
        <v>14.99938962981048</v>
      </c>
      <c r="K98" s="10">
        <f t="shared" si="33"/>
        <v>1</v>
      </c>
      <c r="S98" s="10">
        <f t="shared" si="34"/>
        <v>301.87484788061317</v>
      </c>
      <c r="T98" s="10">
        <f t="shared" si="35"/>
        <v>1</v>
      </c>
      <c r="U98" s="10">
        <f t="shared" si="36"/>
        <v>0</v>
      </c>
      <c r="V98" s="10">
        <f t="shared" si="37"/>
        <v>0</v>
      </c>
      <c r="Y98" s="10">
        <f t="shared" si="38"/>
        <v>0</v>
      </c>
      <c r="Z98" s="10">
        <f t="shared" si="38"/>
        <v>0</v>
      </c>
      <c r="AA98" s="10">
        <f t="shared" si="38"/>
        <v>0</v>
      </c>
      <c r="AC98" s="10">
        <f t="shared" si="39"/>
        <v>30.351522126598855</v>
      </c>
      <c r="AD98" s="10">
        <f t="shared" si="39"/>
        <v>1.1303935806952303</v>
      </c>
      <c r="AH98" s="10">
        <f t="shared" si="40"/>
        <v>1</v>
      </c>
      <c r="AI98" s="10">
        <f t="shared" si="41"/>
        <v>0</v>
      </c>
      <c r="AJ98" s="10">
        <f t="shared" si="42"/>
        <v>0</v>
      </c>
    </row>
    <row r="99" spans="6:36" x14ac:dyDescent="0.25">
      <c r="F99" s="10">
        <v>4</v>
      </c>
      <c r="G99" s="10">
        <v>17</v>
      </c>
      <c r="H99" s="10">
        <v>0</v>
      </c>
      <c r="I99" s="10">
        <f t="shared" si="43"/>
        <v>8.350479766806572</v>
      </c>
      <c r="J99" s="10">
        <f t="shared" si="32"/>
        <v>14.99938962981048</v>
      </c>
      <c r="K99" s="10">
        <f t="shared" si="33"/>
        <v>1</v>
      </c>
      <c r="S99" s="10">
        <f t="shared" si="34"/>
        <v>270.4049851618301</v>
      </c>
      <c r="T99" s="10">
        <f t="shared" si="35"/>
        <v>1</v>
      </c>
      <c r="U99" s="10">
        <f t="shared" si="36"/>
        <v>0</v>
      </c>
      <c r="V99" s="10">
        <f t="shared" si="37"/>
        <v>0</v>
      </c>
      <c r="Y99" s="10">
        <f t="shared" si="38"/>
        <v>0</v>
      </c>
      <c r="Z99" s="10">
        <f t="shared" si="38"/>
        <v>0</v>
      </c>
      <c r="AA99" s="10">
        <f t="shared" si="38"/>
        <v>0</v>
      </c>
      <c r="AC99" s="10">
        <f t="shared" si="39"/>
        <v>30.351522126598855</v>
      </c>
      <c r="AD99" s="10">
        <f t="shared" si="39"/>
        <v>1.1303935806952303</v>
      </c>
      <c r="AH99" s="10">
        <f t="shared" si="40"/>
        <v>1</v>
      </c>
      <c r="AI99" s="10">
        <f t="shared" si="41"/>
        <v>0</v>
      </c>
      <c r="AJ99" s="10">
        <f t="shared" si="42"/>
        <v>0</v>
      </c>
    </row>
    <row r="100" spans="6:36" x14ac:dyDescent="0.25">
      <c r="F100" s="10">
        <v>4</v>
      </c>
      <c r="G100" s="10">
        <v>18</v>
      </c>
      <c r="H100" s="10">
        <v>0</v>
      </c>
      <c r="I100" s="10">
        <f t="shared" si="43"/>
        <v>8.8378960488846694</v>
      </c>
      <c r="J100" s="10">
        <f t="shared" si="32"/>
        <v>14.99938962981048</v>
      </c>
      <c r="K100" s="10">
        <f t="shared" si="33"/>
        <v>1</v>
      </c>
      <c r="S100" s="10">
        <f t="shared" si="34"/>
        <v>285.19881123218806</v>
      </c>
      <c r="T100" s="10">
        <f t="shared" si="35"/>
        <v>1</v>
      </c>
      <c r="U100" s="10">
        <f t="shared" si="36"/>
        <v>0</v>
      </c>
      <c r="V100" s="10">
        <f t="shared" si="37"/>
        <v>0</v>
      </c>
      <c r="Y100" s="10">
        <f t="shared" si="38"/>
        <v>0</v>
      </c>
      <c r="Z100" s="10">
        <f t="shared" si="38"/>
        <v>0</v>
      </c>
      <c r="AA100" s="10">
        <f t="shared" si="38"/>
        <v>0</v>
      </c>
      <c r="AC100" s="10">
        <f t="shared" si="39"/>
        <v>30.351522126598855</v>
      </c>
      <c r="AD100" s="10">
        <f t="shared" si="39"/>
        <v>1.1303935806952303</v>
      </c>
      <c r="AH100" s="10">
        <f t="shared" si="40"/>
        <v>1</v>
      </c>
      <c r="AI100" s="10">
        <f t="shared" si="41"/>
        <v>0</v>
      </c>
      <c r="AJ100" s="10">
        <f t="shared" si="42"/>
        <v>0</v>
      </c>
    </row>
    <row r="101" spans="6:36" x14ac:dyDescent="0.25">
      <c r="F101" s="10">
        <v>4</v>
      </c>
      <c r="G101" s="10">
        <v>19</v>
      </c>
      <c r="H101" s="10">
        <v>0</v>
      </c>
      <c r="I101" s="10">
        <f t="shared" si="43"/>
        <v>5.9362821331723659</v>
      </c>
      <c r="J101" s="10">
        <f t="shared" si="32"/>
        <v>14.99938962981048</v>
      </c>
      <c r="K101" s="10">
        <f t="shared" si="33"/>
        <v>1</v>
      </c>
      <c r="S101" s="10">
        <f t="shared" si="34"/>
        <v>197.13041226659888</v>
      </c>
      <c r="T101" s="10">
        <f t="shared" si="35"/>
        <v>1</v>
      </c>
      <c r="U101" s="10">
        <f t="shared" si="36"/>
        <v>0</v>
      </c>
      <c r="V101" s="10">
        <f t="shared" si="37"/>
        <v>0</v>
      </c>
      <c r="Y101" s="10">
        <f t="shared" si="38"/>
        <v>0</v>
      </c>
      <c r="Z101" s="10">
        <f t="shared" si="38"/>
        <v>0</v>
      </c>
      <c r="AA101" s="10">
        <f t="shared" si="38"/>
        <v>0</v>
      </c>
      <c r="AC101" s="10">
        <f t="shared" si="39"/>
        <v>30.351522126598855</v>
      </c>
      <c r="AD101" s="10">
        <f t="shared" si="39"/>
        <v>1.1303935806952303</v>
      </c>
      <c r="AH101" s="10">
        <f t="shared" si="40"/>
        <v>1</v>
      </c>
      <c r="AI101" s="10">
        <f t="shared" si="41"/>
        <v>0</v>
      </c>
      <c r="AJ101" s="10">
        <f t="shared" si="42"/>
        <v>0</v>
      </c>
    </row>
    <row r="102" spans="6:36" x14ac:dyDescent="0.25">
      <c r="F102" s="10">
        <v>4</v>
      </c>
      <c r="G102" s="10">
        <v>20</v>
      </c>
      <c r="H102" s="10">
        <v>0</v>
      </c>
      <c r="I102" s="10">
        <f t="shared" si="43"/>
        <v>6.5710893880029841</v>
      </c>
      <c r="J102" s="10">
        <f t="shared" si="32"/>
        <v>14.99938962981048</v>
      </c>
      <c r="K102" s="10">
        <f t="shared" si="33"/>
        <v>1</v>
      </c>
      <c r="S102" s="10">
        <f t="shared" si="34"/>
        <v>216.39777870771587</v>
      </c>
      <c r="T102" s="10">
        <f t="shared" si="35"/>
        <v>1</v>
      </c>
      <c r="U102" s="10">
        <f t="shared" si="36"/>
        <v>0</v>
      </c>
      <c r="V102" s="10">
        <f t="shared" si="37"/>
        <v>0</v>
      </c>
      <c r="X102" s="10">
        <f>SUM(V83:V102)</f>
        <v>0</v>
      </c>
      <c r="Y102" s="10">
        <f t="shared" si="38"/>
        <v>0</v>
      </c>
      <c r="Z102" s="10">
        <f t="shared" si="38"/>
        <v>0</v>
      </c>
      <c r="AA102" s="10">
        <f t="shared" si="38"/>
        <v>0</v>
      </c>
      <c r="AC102" s="10">
        <f t="shared" si="39"/>
        <v>30.351522126598855</v>
      </c>
      <c r="AD102" s="10">
        <f t="shared" si="39"/>
        <v>1.1303935806952303</v>
      </c>
      <c r="AH102" s="10">
        <f t="shared" si="40"/>
        <v>1</v>
      </c>
      <c r="AI102" s="10">
        <f t="shared" si="41"/>
        <v>0</v>
      </c>
      <c r="AJ102" s="10">
        <f t="shared" si="42"/>
        <v>0</v>
      </c>
    </row>
    <row r="103" spans="6:36" x14ac:dyDescent="0.25">
      <c r="F103" s="10">
        <v>5</v>
      </c>
      <c r="G103" s="10">
        <v>1</v>
      </c>
      <c r="H103" s="10">
        <v>0</v>
      </c>
      <c r="I103" s="10">
        <f t="shared" si="43"/>
        <v>4.3149584625268673</v>
      </c>
      <c r="J103" s="10">
        <f t="shared" si="32"/>
        <v>14.99938962981048</v>
      </c>
      <c r="K103" s="10">
        <f t="shared" si="33"/>
        <v>1</v>
      </c>
      <c r="S103" s="12">
        <f t="shared" si="34"/>
        <v>147.92077100262355</v>
      </c>
      <c r="T103" s="12">
        <f t="shared" si="35"/>
        <v>1</v>
      </c>
      <c r="U103" s="12">
        <f t="shared" si="36"/>
        <v>0</v>
      </c>
      <c r="V103" s="12">
        <f t="shared" si="37"/>
        <v>0</v>
      </c>
      <c r="W103" s="12"/>
      <c r="X103" s="12"/>
      <c r="Y103" s="10">
        <f t="shared" si="38"/>
        <v>0</v>
      </c>
      <c r="Z103" s="10">
        <f t="shared" si="38"/>
        <v>0</v>
      </c>
      <c r="AA103" s="10">
        <f t="shared" si="38"/>
        <v>0</v>
      </c>
      <c r="AC103" s="10">
        <f t="shared" si="39"/>
        <v>30.351522126598855</v>
      </c>
      <c r="AD103" s="10">
        <f t="shared" si="39"/>
        <v>1.1303935806952303</v>
      </c>
      <c r="AH103" s="10">
        <f t="shared" si="40"/>
        <v>1</v>
      </c>
      <c r="AI103" s="10">
        <f t="shared" si="41"/>
        <v>0</v>
      </c>
      <c r="AJ103" s="10">
        <f t="shared" si="42"/>
        <v>0</v>
      </c>
    </row>
    <row r="104" spans="6:36" x14ac:dyDescent="0.25">
      <c r="F104" s="10">
        <v>5</v>
      </c>
      <c r="G104" s="10">
        <v>2</v>
      </c>
      <c r="H104" s="10">
        <v>0</v>
      </c>
      <c r="I104" s="10">
        <f t="shared" si="43"/>
        <v>4.2336649521823988</v>
      </c>
      <c r="J104" s="10">
        <f t="shared" si="32"/>
        <v>14.99938962981048</v>
      </c>
      <c r="K104" s="10">
        <f t="shared" si="33"/>
        <v>1</v>
      </c>
      <c r="S104" s="10">
        <f t="shared" si="34"/>
        <v>145.45338922465453</v>
      </c>
      <c r="T104" s="10">
        <f t="shared" si="35"/>
        <v>1</v>
      </c>
      <c r="U104" s="10">
        <f t="shared" si="36"/>
        <v>0</v>
      </c>
      <c r="V104" s="10">
        <f t="shared" si="37"/>
        <v>0</v>
      </c>
      <c r="Y104" s="10">
        <f t="shared" si="38"/>
        <v>0</v>
      </c>
      <c r="Z104" s="10">
        <f t="shared" si="38"/>
        <v>0</v>
      </c>
      <c r="AA104" s="10">
        <f t="shared" si="38"/>
        <v>0</v>
      </c>
      <c r="AC104" s="10">
        <f t="shared" si="39"/>
        <v>30.351522126598855</v>
      </c>
      <c r="AD104" s="10">
        <f t="shared" si="39"/>
        <v>1.1303935806952303</v>
      </c>
      <c r="AH104" s="10">
        <f t="shared" si="40"/>
        <v>1</v>
      </c>
      <c r="AI104" s="10">
        <f t="shared" si="41"/>
        <v>0</v>
      </c>
      <c r="AJ104" s="10">
        <f t="shared" si="42"/>
        <v>0</v>
      </c>
    </row>
    <row r="105" spans="6:36" x14ac:dyDescent="0.25">
      <c r="F105" s="10">
        <v>5</v>
      </c>
      <c r="G105" s="10">
        <v>3</v>
      </c>
      <c r="H105" s="10">
        <v>0</v>
      </c>
      <c r="I105" s="10">
        <f t="shared" si="43"/>
        <v>4.0760342132531742</v>
      </c>
      <c r="J105" s="10">
        <f t="shared" si="32"/>
        <v>14.99938962981048</v>
      </c>
      <c r="K105" s="10">
        <f t="shared" si="33"/>
        <v>1</v>
      </c>
      <c r="S105" s="10">
        <f t="shared" si="34"/>
        <v>140.66905636421205</v>
      </c>
      <c r="T105" s="10">
        <f t="shared" si="35"/>
        <v>1</v>
      </c>
      <c r="U105" s="10">
        <f t="shared" si="36"/>
        <v>0</v>
      </c>
      <c r="V105" s="10">
        <f t="shared" si="37"/>
        <v>0</v>
      </c>
      <c r="Y105" s="10">
        <f t="shared" si="38"/>
        <v>0</v>
      </c>
      <c r="Z105" s="10">
        <f t="shared" si="38"/>
        <v>0</v>
      </c>
      <c r="AA105" s="10">
        <f t="shared" si="38"/>
        <v>0</v>
      </c>
      <c r="AC105" s="10">
        <f t="shared" si="39"/>
        <v>30.351522126598855</v>
      </c>
      <c r="AD105" s="10">
        <f t="shared" si="39"/>
        <v>1.1303935806952303</v>
      </c>
      <c r="AH105" s="10">
        <f t="shared" si="40"/>
        <v>1</v>
      </c>
      <c r="AI105" s="10">
        <f t="shared" si="41"/>
        <v>0</v>
      </c>
      <c r="AJ105" s="10">
        <f t="shared" si="42"/>
        <v>0</v>
      </c>
    </row>
    <row r="106" spans="6:36" x14ac:dyDescent="0.25">
      <c r="F106" s="10">
        <v>5</v>
      </c>
      <c r="G106" s="10">
        <v>4</v>
      </c>
      <c r="H106" s="10">
        <v>0</v>
      </c>
      <c r="I106" s="10">
        <f t="shared" si="43"/>
        <v>6.9682999690312606</v>
      </c>
      <c r="J106" s="10">
        <f t="shared" si="32"/>
        <v>14.99938962981048</v>
      </c>
      <c r="K106" s="10">
        <f t="shared" si="33"/>
        <v>1</v>
      </c>
      <c r="S106" s="10">
        <f t="shared" si="34"/>
        <v>228.4537244467148</v>
      </c>
      <c r="T106" s="10">
        <f t="shared" si="35"/>
        <v>1</v>
      </c>
      <c r="U106" s="10">
        <f t="shared" si="36"/>
        <v>0</v>
      </c>
      <c r="V106" s="10">
        <f t="shared" si="37"/>
        <v>0</v>
      </c>
      <c r="Y106" s="10">
        <f t="shared" si="38"/>
        <v>0</v>
      </c>
      <c r="Z106" s="10">
        <f t="shared" si="38"/>
        <v>0</v>
      </c>
      <c r="AA106" s="10">
        <f t="shared" si="38"/>
        <v>0</v>
      </c>
      <c r="AC106" s="10">
        <f t="shared" si="39"/>
        <v>30.351522126598855</v>
      </c>
      <c r="AD106" s="10">
        <f t="shared" si="39"/>
        <v>1.1303935806952303</v>
      </c>
      <c r="AH106" s="10">
        <f t="shared" si="40"/>
        <v>1</v>
      </c>
      <c r="AI106" s="10">
        <f t="shared" si="41"/>
        <v>0</v>
      </c>
      <c r="AJ106" s="10">
        <f t="shared" si="42"/>
        <v>0</v>
      </c>
    </row>
    <row r="107" spans="6:36" x14ac:dyDescent="0.25">
      <c r="F107" s="10">
        <v>5</v>
      </c>
      <c r="G107" s="10">
        <v>5</v>
      </c>
      <c r="H107" s="10">
        <v>0</v>
      </c>
      <c r="I107" s="10">
        <f t="shared" si="43"/>
        <v>8.3649028089644606</v>
      </c>
      <c r="J107" s="10">
        <f t="shared" si="32"/>
        <v>14.99938962981048</v>
      </c>
      <c r="K107" s="10">
        <f t="shared" si="33"/>
        <v>1</v>
      </c>
      <c r="S107" s="10">
        <f t="shared" si="34"/>
        <v>270.84274644501812</v>
      </c>
      <c r="T107" s="10">
        <f t="shared" si="35"/>
        <v>1</v>
      </c>
      <c r="U107" s="10">
        <f t="shared" si="36"/>
        <v>0</v>
      </c>
      <c r="V107" s="10">
        <f t="shared" si="37"/>
        <v>0</v>
      </c>
      <c r="Y107" s="10">
        <f t="shared" si="38"/>
        <v>0</v>
      </c>
      <c r="Z107" s="10">
        <f t="shared" si="38"/>
        <v>0</v>
      </c>
      <c r="AA107" s="10">
        <f t="shared" si="38"/>
        <v>0</v>
      </c>
      <c r="AC107" s="10">
        <f t="shared" si="39"/>
        <v>30.351522126598855</v>
      </c>
      <c r="AD107" s="10">
        <f t="shared" si="39"/>
        <v>1.1303935806952303</v>
      </c>
      <c r="AH107" s="10">
        <f t="shared" si="40"/>
        <v>1</v>
      </c>
      <c r="AI107" s="10">
        <f t="shared" si="41"/>
        <v>0</v>
      </c>
      <c r="AJ107" s="10">
        <f t="shared" si="42"/>
        <v>0</v>
      </c>
    </row>
    <row r="108" spans="6:36" x14ac:dyDescent="0.25">
      <c r="F108" s="10">
        <v>5</v>
      </c>
      <c r="G108" s="10">
        <v>6</v>
      </c>
      <c r="H108" s="10">
        <v>0</v>
      </c>
      <c r="I108" s="10">
        <f t="shared" ref="I108:I123" si="44">I88</f>
        <v>9.3848699915294151</v>
      </c>
      <c r="J108" s="10">
        <f t="shared" si="32"/>
        <v>14.99938962981048</v>
      </c>
      <c r="K108" s="10">
        <f t="shared" si="33"/>
        <v>1</v>
      </c>
      <c r="S108" s="10">
        <f t="shared" si="34"/>
        <v>301.80030295504298</v>
      </c>
      <c r="T108" s="10">
        <f t="shared" si="35"/>
        <v>1</v>
      </c>
      <c r="U108" s="10">
        <f t="shared" si="36"/>
        <v>0</v>
      </c>
      <c r="V108" s="10">
        <f t="shared" si="37"/>
        <v>0</v>
      </c>
      <c r="Y108" s="10">
        <f t="shared" si="38"/>
        <v>0</v>
      </c>
      <c r="Z108" s="10">
        <f t="shared" si="38"/>
        <v>0</v>
      </c>
      <c r="AA108" s="10">
        <f t="shared" si="38"/>
        <v>0</v>
      </c>
      <c r="AC108" s="10">
        <f t="shared" si="39"/>
        <v>30.351522126598855</v>
      </c>
      <c r="AD108" s="10">
        <f t="shared" si="39"/>
        <v>1.1303935806952303</v>
      </c>
      <c r="AH108" s="10">
        <f t="shared" si="40"/>
        <v>1</v>
      </c>
      <c r="AI108" s="10">
        <f t="shared" si="41"/>
        <v>0</v>
      </c>
      <c r="AJ108" s="10">
        <f t="shared" si="42"/>
        <v>0</v>
      </c>
    </row>
    <row r="109" spans="6:36" x14ac:dyDescent="0.25">
      <c r="F109" s="10">
        <v>5</v>
      </c>
      <c r="G109" s="10">
        <v>7</v>
      </c>
      <c r="H109" s="10">
        <v>0</v>
      </c>
      <c r="I109" s="10">
        <f t="shared" si="44"/>
        <v>9.2116945315592211</v>
      </c>
      <c r="J109" s="10">
        <f t="shared" si="32"/>
        <v>14.99938962981048</v>
      </c>
      <c r="K109" s="10">
        <f t="shared" si="33"/>
        <v>1</v>
      </c>
      <c r="S109" s="10">
        <f t="shared" si="34"/>
        <v>296.54416414997377</v>
      </c>
      <c r="T109" s="10">
        <f t="shared" si="35"/>
        <v>1</v>
      </c>
      <c r="U109" s="10">
        <f t="shared" si="36"/>
        <v>0</v>
      </c>
      <c r="V109" s="10">
        <f t="shared" si="37"/>
        <v>0</v>
      </c>
      <c r="Y109" s="10">
        <f t="shared" si="38"/>
        <v>0</v>
      </c>
      <c r="Z109" s="10">
        <f t="shared" si="38"/>
        <v>0</v>
      </c>
      <c r="AA109" s="10">
        <f t="shared" si="38"/>
        <v>0</v>
      </c>
      <c r="AC109" s="10">
        <f t="shared" si="39"/>
        <v>30.351522126598855</v>
      </c>
      <c r="AD109" s="10">
        <f t="shared" si="39"/>
        <v>1.1303935806952303</v>
      </c>
      <c r="AH109" s="10">
        <f t="shared" si="40"/>
        <v>1</v>
      </c>
      <c r="AI109" s="10">
        <f t="shared" si="41"/>
        <v>0</v>
      </c>
      <c r="AJ109" s="10">
        <f t="shared" si="42"/>
        <v>0</v>
      </c>
    </row>
    <row r="110" spans="6:36" x14ac:dyDescent="0.25">
      <c r="F110" s="10">
        <v>5</v>
      </c>
      <c r="G110" s="10">
        <v>8</v>
      </c>
      <c r="H110" s="10">
        <v>0</v>
      </c>
      <c r="I110" s="10">
        <f t="shared" si="44"/>
        <v>10.461114754974387</v>
      </c>
      <c r="J110" s="10">
        <f t="shared" si="32"/>
        <v>14.99938962981048</v>
      </c>
      <c r="K110" s="10">
        <f t="shared" si="33"/>
        <v>1</v>
      </c>
      <c r="S110" s="10">
        <f t="shared" si="34"/>
        <v>334.46596970637927</v>
      </c>
      <c r="T110" s="10">
        <f t="shared" si="35"/>
        <v>1</v>
      </c>
      <c r="U110" s="10">
        <f t="shared" si="36"/>
        <v>0</v>
      </c>
      <c r="V110" s="10">
        <f t="shared" si="37"/>
        <v>0</v>
      </c>
      <c r="Y110" s="10">
        <f t="shared" si="38"/>
        <v>0</v>
      </c>
      <c r="Z110" s="10">
        <f t="shared" si="38"/>
        <v>0</v>
      </c>
      <c r="AA110" s="10">
        <f t="shared" si="38"/>
        <v>0</v>
      </c>
      <c r="AC110" s="10">
        <f t="shared" si="39"/>
        <v>30.351522126598855</v>
      </c>
      <c r="AD110" s="10">
        <f t="shared" si="39"/>
        <v>1.1303935806952303</v>
      </c>
      <c r="AH110" s="10">
        <f t="shared" si="40"/>
        <v>1</v>
      </c>
      <c r="AI110" s="10">
        <f t="shared" si="41"/>
        <v>0</v>
      </c>
      <c r="AJ110" s="10">
        <f t="shared" si="42"/>
        <v>0</v>
      </c>
    </row>
    <row r="111" spans="6:36" x14ac:dyDescent="0.25">
      <c r="F111" s="10">
        <v>5</v>
      </c>
      <c r="G111" s="10">
        <v>9</v>
      </c>
      <c r="H111" s="10">
        <v>0</v>
      </c>
      <c r="I111" s="10">
        <f t="shared" si="44"/>
        <v>4.1553347214085523</v>
      </c>
      <c r="J111" s="10">
        <f t="shared" si="32"/>
        <v>14.99938962981048</v>
      </c>
      <c r="K111" s="10">
        <f t="shared" si="33"/>
        <v>1</v>
      </c>
      <c r="S111" s="10">
        <f t="shared" si="34"/>
        <v>143.07594749214053</v>
      </c>
      <c r="T111" s="10">
        <f t="shared" si="35"/>
        <v>1</v>
      </c>
      <c r="U111" s="10">
        <f t="shared" si="36"/>
        <v>0</v>
      </c>
      <c r="V111" s="10">
        <f t="shared" si="37"/>
        <v>0</v>
      </c>
      <c r="Y111" s="10">
        <f t="shared" si="38"/>
        <v>0</v>
      </c>
      <c r="Z111" s="10">
        <f t="shared" si="38"/>
        <v>0</v>
      </c>
      <c r="AA111" s="10">
        <f t="shared" si="38"/>
        <v>0</v>
      </c>
      <c r="AC111" s="10">
        <f t="shared" si="39"/>
        <v>30.351522126598855</v>
      </c>
      <c r="AD111" s="10">
        <f t="shared" si="39"/>
        <v>1.1303935806952303</v>
      </c>
      <c r="AH111" s="10">
        <f t="shared" si="40"/>
        <v>1</v>
      </c>
      <c r="AI111" s="10">
        <f t="shared" si="41"/>
        <v>0</v>
      </c>
      <c r="AJ111" s="10">
        <f t="shared" si="42"/>
        <v>0</v>
      </c>
    </row>
    <row r="112" spans="6:36" x14ac:dyDescent="0.25">
      <c r="F112" s="10">
        <v>5</v>
      </c>
      <c r="G112" s="10">
        <v>10</v>
      </c>
      <c r="H112" s="10">
        <v>0</v>
      </c>
      <c r="I112" s="10">
        <f t="shared" si="44"/>
        <v>8.4627041466514576</v>
      </c>
      <c r="J112" s="10">
        <f t="shared" si="32"/>
        <v>14.99938962981048</v>
      </c>
      <c r="K112" s="10">
        <f t="shared" si="33"/>
        <v>1</v>
      </c>
      <c r="S112" s="10">
        <f t="shared" si="34"/>
        <v>273.81116590983595</v>
      </c>
      <c r="T112" s="10">
        <f t="shared" si="35"/>
        <v>1</v>
      </c>
      <c r="U112" s="10">
        <f t="shared" si="36"/>
        <v>0</v>
      </c>
      <c r="V112" s="10">
        <f t="shared" si="37"/>
        <v>0</v>
      </c>
      <c r="Y112" s="10">
        <f t="shared" si="38"/>
        <v>0</v>
      </c>
      <c r="Z112" s="10">
        <f t="shared" si="38"/>
        <v>0</v>
      </c>
      <c r="AA112" s="10">
        <f t="shared" si="38"/>
        <v>0</v>
      </c>
      <c r="AC112" s="10">
        <f t="shared" si="39"/>
        <v>30.351522126598855</v>
      </c>
      <c r="AD112" s="10">
        <f t="shared" si="39"/>
        <v>1.1303935806952303</v>
      </c>
      <c r="AH112" s="10">
        <f t="shared" si="40"/>
        <v>1</v>
      </c>
      <c r="AI112" s="10">
        <f t="shared" si="41"/>
        <v>0</v>
      </c>
      <c r="AJ112" s="10">
        <f t="shared" si="42"/>
        <v>0</v>
      </c>
    </row>
    <row r="113" spans="6:36" x14ac:dyDescent="0.25">
      <c r="F113" s="10">
        <v>5</v>
      </c>
      <c r="G113" s="10">
        <v>11</v>
      </c>
      <c r="H113" s="10">
        <v>0</v>
      </c>
      <c r="I113" s="10">
        <f t="shared" si="44"/>
        <v>11.722530671423003</v>
      </c>
      <c r="J113" s="10">
        <f t="shared" si="32"/>
        <v>14.99938962981048</v>
      </c>
      <c r="K113" s="10">
        <f t="shared" si="33"/>
        <v>1</v>
      </c>
      <c r="S113" s="10">
        <f t="shared" si="34"/>
        <v>372.75186280531341</v>
      </c>
      <c r="T113" s="10">
        <f t="shared" si="35"/>
        <v>1</v>
      </c>
      <c r="U113" s="10">
        <f t="shared" si="36"/>
        <v>0</v>
      </c>
      <c r="V113" s="10">
        <f t="shared" si="37"/>
        <v>0</v>
      </c>
      <c r="Y113" s="10">
        <f t="shared" si="38"/>
        <v>0</v>
      </c>
      <c r="Z113" s="10">
        <f t="shared" si="38"/>
        <v>0</v>
      </c>
      <c r="AA113" s="10">
        <f t="shared" si="38"/>
        <v>0</v>
      </c>
      <c r="AC113" s="10">
        <f t="shared" si="39"/>
        <v>30.351522126598855</v>
      </c>
      <c r="AD113" s="10">
        <f t="shared" si="39"/>
        <v>1.1303935806952303</v>
      </c>
      <c r="AH113" s="10">
        <f t="shared" si="40"/>
        <v>1</v>
      </c>
      <c r="AI113" s="10">
        <f t="shared" si="41"/>
        <v>0</v>
      </c>
      <c r="AJ113" s="10">
        <f t="shared" si="42"/>
        <v>0</v>
      </c>
    </row>
    <row r="114" spans="6:36" x14ac:dyDescent="0.25">
      <c r="F114" s="10">
        <v>5</v>
      </c>
      <c r="G114" s="10">
        <v>12</v>
      </c>
      <c r="H114" s="10">
        <v>0</v>
      </c>
      <c r="I114" s="10">
        <f t="shared" si="44"/>
        <v>9.6231558949622329</v>
      </c>
      <c r="J114" s="10">
        <f t="shared" si="32"/>
        <v>14.99938962981048</v>
      </c>
      <c r="K114" s="10">
        <f t="shared" si="33"/>
        <v>1</v>
      </c>
      <c r="S114" s="10">
        <f t="shared" si="34"/>
        <v>309.03264282554085</v>
      </c>
      <c r="T114" s="10">
        <f t="shared" si="35"/>
        <v>1</v>
      </c>
      <c r="U114" s="10">
        <f t="shared" si="36"/>
        <v>0</v>
      </c>
      <c r="V114" s="10">
        <f t="shared" si="37"/>
        <v>0</v>
      </c>
      <c r="Y114" s="10">
        <f t="shared" si="38"/>
        <v>0</v>
      </c>
      <c r="Z114" s="10">
        <f t="shared" si="38"/>
        <v>0</v>
      </c>
      <c r="AA114" s="10">
        <f t="shared" si="38"/>
        <v>0</v>
      </c>
      <c r="AC114" s="10">
        <f t="shared" si="39"/>
        <v>30.351522126598855</v>
      </c>
      <c r="AD114" s="10">
        <f t="shared" si="39"/>
        <v>1.1303935806952303</v>
      </c>
      <c r="AH114" s="10">
        <f t="shared" si="40"/>
        <v>1</v>
      </c>
      <c r="AI114" s="10">
        <f t="shared" si="41"/>
        <v>0</v>
      </c>
      <c r="AJ114" s="10">
        <f t="shared" si="42"/>
        <v>0</v>
      </c>
    </row>
    <row r="115" spans="6:36" x14ac:dyDescent="0.25">
      <c r="F115" s="10">
        <v>5</v>
      </c>
      <c r="G115" s="10">
        <v>13</v>
      </c>
      <c r="H115" s="10">
        <v>0</v>
      </c>
      <c r="I115" s="10">
        <f t="shared" si="44"/>
        <v>8.0162683783311302</v>
      </c>
      <c r="J115" s="10">
        <f t="shared" si="32"/>
        <v>14.99938962981048</v>
      </c>
      <c r="K115" s="10">
        <f t="shared" si="33"/>
        <v>1</v>
      </c>
      <c r="S115" s="10">
        <f t="shared" si="34"/>
        <v>260.26116080955637</v>
      </c>
      <c r="T115" s="10">
        <f t="shared" si="35"/>
        <v>1</v>
      </c>
      <c r="U115" s="10">
        <f t="shared" si="36"/>
        <v>0</v>
      </c>
      <c r="V115" s="10">
        <f t="shared" si="37"/>
        <v>0</v>
      </c>
      <c r="Y115" s="10">
        <f t="shared" si="38"/>
        <v>0</v>
      </c>
      <c r="Z115" s="10">
        <f t="shared" si="38"/>
        <v>0</v>
      </c>
      <c r="AA115" s="10">
        <f t="shared" si="38"/>
        <v>0</v>
      </c>
      <c r="AC115" s="10">
        <f t="shared" si="39"/>
        <v>30.351522126598855</v>
      </c>
      <c r="AD115" s="10">
        <f t="shared" si="39"/>
        <v>1.1303935806952303</v>
      </c>
      <c r="AH115" s="10">
        <f t="shared" si="40"/>
        <v>1</v>
      </c>
      <c r="AI115" s="10">
        <f t="shared" si="41"/>
        <v>0</v>
      </c>
      <c r="AJ115" s="10">
        <f t="shared" si="42"/>
        <v>0</v>
      </c>
    </row>
    <row r="116" spans="6:36" x14ac:dyDescent="0.25">
      <c r="F116" s="10">
        <v>5</v>
      </c>
      <c r="G116" s="10">
        <v>14</v>
      </c>
      <c r="H116" s="10">
        <v>0</v>
      </c>
      <c r="I116" s="10">
        <f t="shared" si="44"/>
        <v>11.270939377934512</v>
      </c>
      <c r="J116" s="10">
        <f t="shared" si="32"/>
        <v>14.99938962981048</v>
      </c>
      <c r="K116" s="10">
        <f t="shared" si="33"/>
        <v>1</v>
      </c>
      <c r="S116" s="10">
        <f t="shared" si="34"/>
        <v>359.0453796688181</v>
      </c>
      <c r="T116" s="10">
        <f t="shared" si="35"/>
        <v>1</v>
      </c>
      <c r="U116" s="10">
        <f t="shared" si="36"/>
        <v>0</v>
      </c>
      <c r="V116" s="10">
        <f t="shared" si="37"/>
        <v>0</v>
      </c>
      <c r="Y116" s="10">
        <f t="shared" si="38"/>
        <v>0</v>
      </c>
      <c r="Z116" s="10">
        <f t="shared" si="38"/>
        <v>0</v>
      </c>
      <c r="AA116" s="10">
        <f t="shared" si="38"/>
        <v>0</v>
      </c>
      <c r="AC116" s="10">
        <f t="shared" si="39"/>
        <v>30.351522126598855</v>
      </c>
      <c r="AD116" s="10">
        <f t="shared" si="39"/>
        <v>1.1303935806952303</v>
      </c>
      <c r="AH116" s="10">
        <f t="shared" si="40"/>
        <v>1</v>
      </c>
      <c r="AI116" s="10">
        <f t="shared" si="41"/>
        <v>0</v>
      </c>
      <c r="AJ116" s="10">
        <f t="shared" si="42"/>
        <v>0</v>
      </c>
    </row>
    <row r="117" spans="6:36" x14ac:dyDescent="0.25">
      <c r="F117" s="10">
        <v>5</v>
      </c>
      <c r="G117" s="10">
        <v>15</v>
      </c>
      <c r="H117" s="10">
        <v>0</v>
      </c>
      <c r="I117" s="10">
        <f t="shared" si="44"/>
        <v>7.0021023351067502</v>
      </c>
      <c r="J117" s="10">
        <f t="shared" si="32"/>
        <v>14.99938962981048</v>
      </c>
      <c r="K117" s="10">
        <f t="shared" si="33"/>
        <v>1</v>
      </c>
      <c r="S117" s="10">
        <f t="shared" si="34"/>
        <v>229.47967770858642</v>
      </c>
      <c r="T117" s="10">
        <f t="shared" si="35"/>
        <v>1</v>
      </c>
      <c r="U117" s="10">
        <f t="shared" si="36"/>
        <v>0</v>
      </c>
      <c r="V117" s="10">
        <f t="shared" si="37"/>
        <v>0</v>
      </c>
      <c r="Y117" s="10">
        <f t="shared" si="38"/>
        <v>0</v>
      </c>
      <c r="Z117" s="10">
        <f t="shared" si="38"/>
        <v>0</v>
      </c>
      <c r="AA117" s="10">
        <f t="shared" si="38"/>
        <v>0</v>
      </c>
      <c r="AC117" s="10">
        <f t="shared" si="39"/>
        <v>30.351522126598855</v>
      </c>
      <c r="AD117" s="10">
        <f t="shared" si="39"/>
        <v>1.1303935806952303</v>
      </c>
      <c r="AH117" s="10">
        <f t="shared" si="40"/>
        <v>1</v>
      </c>
      <c r="AI117" s="10">
        <f t="shared" si="41"/>
        <v>0</v>
      </c>
      <c r="AJ117" s="10">
        <f t="shared" si="42"/>
        <v>0</v>
      </c>
    </row>
    <row r="118" spans="6:36" x14ac:dyDescent="0.25">
      <c r="F118" s="10">
        <v>5</v>
      </c>
      <c r="G118" s="10">
        <v>16</v>
      </c>
      <c r="H118" s="10">
        <v>0</v>
      </c>
      <c r="I118" s="10">
        <f t="shared" si="44"/>
        <v>9.3873260438242312</v>
      </c>
      <c r="J118" s="10">
        <f t="shared" si="32"/>
        <v>14.99938962981048</v>
      </c>
      <c r="K118" s="10">
        <f t="shared" si="33"/>
        <v>1</v>
      </c>
      <c r="S118" s="10">
        <f t="shared" si="34"/>
        <v>301.87484788061317</v>
      </c>
      <c r="T118" s="10">
        <f t="shared" si="35"/>
        <v>1</v>
      </c>
      <c r="U118" s="10">
        <f t="shared" si="36"/>
        <v>0</v>
      </c>
      <c r="V118" s="10">
        <f t="shared" si="37"/>
        <v>0</v>
      </c>
      <c r="Y118" s="10">
        <f t="shared" si="38"/>
        <v>0</v>
      </c>
      <c r="Z118" s="10">
        <f t="shared" si="38"/>
        <v>0</v>
      </c>
      <c r="AA118" s="10">
        <f t="shared" si="38"/>
        <v>0</v>
      </c>
      <c r="AC118" s="10">
        <f t="shared" si="39"/>
        <v>30.351522126598855</v>
      </c>
      <c r="AD118" s="10">
        <f t="shared" si="39"/>
        <v>1.1303935806952303</v>
      </c>
      <c r="AH118" s="10">
        <f t="shared" si="40"/>
        <v>1</v>
      </c>
      <c r="AI118" s="10">
        <f t="shared" si="41"/>
        <v>0</v>
      </c>
      <c r="AJ118" s="10">
        <f t="shared" si="42"/>
        <v>0</v>
      </c>
    </row>
    <row r="119" spans="6:36" x14ac:dyDescent="0.25">
      <c r="F119" s="10">
        <v>5</v>
      </c>
      <c r="G119" s="10">
        <v>17</v>
      </c>
      <c r="H119" s="10">
        <v>0</v>
      </c>
      <c r="I119" s="10">
        <f t="shared" si="44"/>
        <v>8.350479766806572</v>
      </c>
      <c r="J119" s="10">
        <f t="shared" si="32"/>
        <v>14.99938962981048</v>
      </c>
      <c r="K119" s="10">
        <f t="shared" si="33"/>
        <v>1</v>
      </c>
      <c r="S119" s="10">
        <f t="shared" si="34"/>
        <v>270.4049851618301</v>
      </c>
      <c r="T119" s="10">
        <f t="shared" si="35"/>
        <v>1</v>
      </c>
      <c r="U119" s="10">
        <f t="shared" si="36"/>
        <v>0</v>
      </c>
      <c r="V119" s="10">
        <f t="shared" si="37"/>
        <v>0</v>
      </c>
      <c r="Y119" s="10">
        <f t="shared" si="38"/>
        <v>0</v>
      </c>
      <c r="Z119" s="10">
        <f t="shared" si="38"/>
        <v>0</v>
      </c>
      <c r="AA119" s="10">
        <f t="shared" si="38"/>
        <v>0</v>
      </c>
      <c r="AC119" s="10">
        <f t="shared" si="39"/>
        <v>30.351522126598855</v>
      </c>
      <c r="AD119" s="10">
        <f t="shared" si="39"/>
        <v>1.1303935806952303</v>
      </c>
      <c r="AH119" s="10">
        <f t="shared" si="40"/>
        <v>1</v>
      </c>
      <c r="AI119" s="10">
        <f t="shared" si="41"/>
        <v>0</v>
      </c>
      <c r="AJ119" s="10">
        <f t="shared" si="42"/>
        <v>0</v>
      </c>
    </row>
    <row r="120" spans="6:36" x14ac:dyDescent="0.25">
      <c r="F120" s="10">
        <v>5</v>
      </c>
      <c r="G120" s="10">
        <v>18</v>
      </c>
      <c r="H120" s="10">
        <v>0</v>
      </c>
      <c r="I120" s="10">
        <f t="shared" si="44"/>
        <v>8.8378960488846694</v>
      </c>
      <c r="J120" s="10">
        <f t="shared" si="32"/>
        <v>14.99938962981048</v>
      </c>
      <c r="K120" s="10">
        <f t="shared" si="33"/>
        <v>1</v>
      </c>
      <c r="S120" s="10">
        <f t="shared" si="34"/>
        <v>285.19881123218806</v>
      </c>
      <c r="T120" s="10">
        <f t="shared" si="35"/>
        <v>1</v>
      </c>
      <c r="U120" s="10">
        <f t="shared" si="36"/>
        <v>0</v>
      </c>
      <c r="V120" s="10">
        <f t="shared" si="37"/>
        <v>0</v>
      </c>
      <c r="Y120" s="10">
        <f t="shared" si="38"/>
        <v>0</v>
      </c>
      <c r="Z120" s="10">
        <f t="shared" si="38"/>
        <v>0</v>
      </c>
      <c r="AA120" s="10">
        <f t="shared" si="38"/>
        <v>0</v>
      </c>
      <c r="AC120" s="10">
        <f t="shared" si="39"/>
        <v>30.351522126598855</v>
      </c>
      <c r="AD120" s="10">
        <f t="shared" si="39"/>
        <v>1.1303935806952303</v>
      </c>
      <c r="AH120" s="10">
        <f t="shared" si="40"/>
        <v>1</v>
      </c>
      <c r="AI120" s="10">
        <f t="shared" si="41"/>
        <v>0</v>
      </c>
      <c r="AJ120" s="10">
        <f t="shared" si="42"/>
        <v>0</v>
      </c>
    </row>
    <row r="121" spans="6:36" x14ac:dyDescent="0.25">
      <c r="F121" s="10">
        <v>5</v>
      </c>
      <c r="G121" s="10">
        <v>19</v>
      </c>
      <c r="H121" s="10">
        <v>0</v>
      </c>
      <c r="I121" s="10">
        <f t="shared" si="44"/>
        <v>5.9362821331723659</v>
      </c>
      <c r="J121" s="10">
        <f t="shared" si="32"/>
        <v>14.99938962981048</v>
      </c>
      <c r="K121" s="10">
        <f t="shared" si="33"/>
        <v>1</v>
      </c>
      <c r="S121" s="10">
        <f t="shared" si="34"/>
        <v>197.13041226659888</v>
      </c>
      <c r="T121" s="10">
        <f t="shared" si="35"/>
        <v>1</v>
      </c>
      <c r="U121" s="10">
        <f t="shared" si="36"/>
        <v>0</v>
      </c>
      <c r="V121" s="10">
        <f t="shared" si="37"/>
        <v>0</v>
      </c>
      <c r="Y121" s="10">
        <f t="shared" si="38"/>
        <v>0</v>
      </c>
      <c r="Z121" s="10">
        <f t="shared" si="38"/>
        <v>0</v>
      </c>
      <c r="AA121" s="10">
        <f t="shared" si="38"/>
        <v>0</v>
      </c>
      <c r="AC121" s="10">
        <f t="shared" si="39"/>
        <v>30.351522126598855</v>
      </c>
      <c r="AD121" s="10">
        <f t="shared" si="39"/>
        <v>1.1303935806952303</v>
      </c>
      <c r="AH121" s="10">
        <f t="shared" si="40"/>
        <v>1</v>
      </c>
      <c r="AI121" s="10">
        <f t="shared" si="41"/>
        <v>0</v>
      </c>
      <c r="AJ121" s="10">
        <f t="shared" si="42"/>
        <v>0</v>
      </c>
    </row>
    <row r="122" spans="6:36" x14ac:dyDescent="0.25">
      <c r="F122" s="10">
        <v>5</v>
      </c>
      <c r="G122" s="10">
        <v>20</v>
      </c>
      <c r="H122" s="10">
        <v>0</v>
      </c>
      <c r="I122" s="10">
        <f t="shared" si="44"/>
        <v>6.5710893880029841</v>
      </c>
      <c r="J122" s="10">
        <f t="shared" si="32"/>
        <v>14.99938962981048</v>
      </c>
      <c r="K122" s="10">
        <f t="shared" si="33"/>
        <v>1</v>
      </c>
      <c r="S122" s="10">
        <f t="shared" si="34"/>
        <v>216.39777870771587</v>
      </c>
      <c r="T122" s="10">
        <f t="shared" si="35"/>
        <v>1</v>
      </c>
      <c r="U122" s="10">
        <f t="shared" si="36"/>
        <v>0</v>
      </c>
      <c r="V122" s="10">
        <f t="shared" si="37"/>
        <v>0</v>
      </c>
      <c r="X122" s="10">
        <f>SUM(V103:V122)</f>
        <v>0</v>
      </c>
      <c r="Y122" s="10">
        <f t="shared" si="38"/>
        <v>0</v>
      </c>
      <c r="Z122" s="10">
        <f t="shared" si="38"/>
        <v>0</v>
      </c>
      <c r="AA122" s="10">
        <f t="shared" si="38"/>
        <v>0</v>
      </c>
      <c r="AC122" s="10">
        <f t="shared" si="39"/>
        <v>30.351522126598855</v>
      </c>
      <c r="AD122" s="10">
        <f t="shared" si="39"/>
        <v>1.1303935806952303</v>
      </c>
      <c r="AH122" s="10">
        <f t="shared" si="40"/>
        <v>1</v>
      </c>
      <c r="AI122" s="10">
        <f t="shared" si="41"/>
        <v>0</v>
      </c>
      <c r="AJ122" s="10">
        <f t="shared" si="42"/>
        <v>0</v>
      </c>
    </row>
    <row r="123" spans="6:36" x14ac:dyDescent="0.25">
      <c r="F123" s="10">
        <v>6</v>
      </c>
      <c r="G123" s="10">
        <v>1</v>
      </c>
      <c r="H123" s="10">
        <v>0</v>
      </c>
      <c r="I123" s="10">
        <f t="shared" si="44"/>
        <v>4.3149584625268673</v>
      </c>
      <c r="J123" s="10">
        <f t="shared" si="32"/>
        <v>14.99938962981048</v>
      </c>
      <c r="K123" s="10">
        <f t="shared" si="33"/>
        <v>1</v>
      </c>
      <c r="S123" s="12">
        <f t="shared" si="34"/>
        <v>147.92077100262355</v>
      </c>
      <c r="T123" s="12">
        <f t="shared" si="35"/>
        <v>1</v>
      </c>
      <c r="U123" s="12">
        <f t="shared" si="36"/>
        <v>0</v>
      </c>
      <c r="V123" s="12">
        <f t="shared" si="37"/>
        <v>0</v>
      </c>
      <c r="W123" s="12"/>
      <c r="X123" s="12"/>
      <c r="Y123" s="10">
        <f t="shared" si="38"/>
        <v>0</v>
      </c>
      <c r="Z123" s="10">
        <f t="shared" si="38"/>
        <v>0</v>
      </c>
      <c r="AA123" s="10">
        <f t="shared" si="38"/>
        <v>0</v>
      </c>
      <c r="AC123" s="10">
        <f t="shared" si="39"/>
        <v>30.351522126598855</v>
      </c>
      <c r="AD123" s="10">
        <f t="shared" si="39"/>
        <v>1.1303935806952303</v>
      </c>
      <c r="AH123" s="10">
        <f t="shared" si="40"/>
        <v>1</v>
      </c>
      <c r="AI123" s="10">
        <f t="shared" si="41"/>
        <v>0</v>
      </c>
      <c r="AJ123" s="10">
        <f t="shared" si="42"/>
        <v>0</v>
      </c>
    </row>
    <row r="124" spans="6:36" x14ac:dyDescent="0.25">
      <c r="F124" s="10">
        <v>6</v>
      </c>
      <c r="G124" s="10">
        <v>2</v>
      </c>
      <c r="H124" s="10">
        <v>0</v>
      </c>
      <c r="I124" s="10">
        <f t="shared" ref="I124:I139" si="45">I104</f>
        <v>4.2336649521823988</v>
      </c>
      <c r="J124" s="10">
        <f t="shared" si="32"/>
        <v>14.99938962981048</v>
      </c>
      <c r="K124" s="10">
        <f t="shared" si="33"/>
        <v>1</v>
      </c>
      <c r="S124" s="10">
        <f t="shared" si="34"/>
        <v>145.45338922465453</v>
      </c>
      <c r="T124" s="10">
        <f t="shared" si="35"/>
        <v>1</v>
      </c>
      <c r="U124" s="10">
        <f t="shared" si="36"/>
        <v>0</v>
      </c>
      <c r="V124" s="10">
        <f t="shared" si="37"/>
        <v>0</v>
      </c>
      <c r="Y124" s="10">
        <f t="shared" si="38"/>
        <v>0</v>
      </c>
      <c r="Z124" s="10">
        <f t="shared" si="38"/>
        <v>0</v>
      </c>
      <c r="AA124" s="10">
        <f t="shared" si="38"/>
        <v>0</v>
      </c>
      <c r="AC124" s="10">
        <f t="shared" si="39"/>
        <v>30.351522126598855</v>
      </c>
      <c r="AD124" s="10">
        <f t="shared" si="39"/>
        <v>1.1303935806952303</v>
      </c>
      <c r="AH124" s="10">
        <f t="shared" si="40"/>
        <v>1</v>
      </c>
      <c r="AI124" s="10">
        <f t="shared" si="41"/>
        <v>0</v>
      </c>
      <c r="AJ124" s="10">
        <f t="shared" si="42"/>
        <v>0</v>
      </c>
    </row>
    <row r="125" spans="6:36" x14ac:dyDescent="0.25">
      <c r="F125" s="10">
        <v>6</v>
      </c>
      <c r="G125" s="10">
        <v>3</v>
      </c>
      <c r="H125" s="10">
        <v>0</v>
      </c>
      <c r="I125" s="10">
        <f t="shared" si="45"/>
        <v>4.0760342132531742</v>
      </c>
      <c r="J125" s="10">
        <f t="shared" si="32"/>
        <v>14.99938962981048</v>
      </c>
      <c r="K125" s="10">
        <f t="shared" si="33"/>
        <v>1</v>
      </c>
      <c r="S125" s="10">
        <f t="shared" si="34"/>
        <v>140.66905636421205</v>
      </c>
      <c r="T125" s="10">
        <f t="shared" si="35"/>
        <v>1</v>
      </c>
      <c r="U125" s="10">
        <f t="shared" si="36"/>
        <v>0</v>
      </c>
      <c r="V125" s="10">
        <f t="shared" si="37"/>
        <v>0</v>
      </c>
      <c r="Y125" s="10">
        <f t="shared" si="38"/>
        <v>0</v>
      </c>
      <c r="Z125" s="10">
        <f t="shared" si="38"/>
        <v>0</v>
      </c>
      <c r="AA125" s="10">
        <f t="shared" si="38"/>
        <v>0</v>
      </c>
      <c r="AC125" s="10">
        <f t="shared" si="39"/>
        <v>30.351522126598855</v>
      </c>
      <c r="AD125" s="10">
        <f t="shared" si="39"/>
        <v>1.1303935806952303</v>
      </c>
      <c r="AH125" s="10">
        <f t="shared" si="40"/>
        <v>1</v>
      </c>
      <c r="AI125" s="10">
        <f t="shared" si="41"/>
        <v>0</v>
      </c>
      <c r="AJ125" s="10">
        <f t="shared" si="42"/>
        <v>0</v>
      </c>
    </row>
    <row r="126" spans="6:36" x14ac:dyDescent="0.25">
      <c r="F126" s="10">
        <v>6</v>
      </c>
      <c r="G126" s="10">
        <v>4</v>
      </c>
      <c r="H126" s="10">
        <v>0</v>
      </c>
      <c r="I126" s="10">
        <f t="shared" si="45"/>
        <v>6.9682999690312606</v>
      </c>
      <c r="J126" s="10">
        <f t="shared" si="32"/>
        <v>14.99938962981048</v>
      </c>
      <c r="K126" s="10">
        <f t="shared" si="33"/>
        <v>1</v>
      </c>
      <c r="S126" s="10">
        <f t="shared" si="34"/>
        <v>228.4537244467148</v>
      </c>
      <c r="T126" s="10">
        <f t="shared" si="35"/>
        <v>1</v>
      </c>
      <c r="U126" s="10">
        <f t="shared" si="36"/>
        <v>0</v>
      </c>
      <c r="V126" s="10">
        <f t="shared" si="37"/>
        <v>0</v>
      </c>
      <c r="Y126" s="10">
        <f t="shared" si="38"/>
        <v>0</v>
      </c>
      <c r="Z126" s="10">
        <f t="shared" si="38"/>
        <v>0</v>
      </c>
      <c r="AA126" s="10">
        <f t="shared" si="38"/>
        <v>0</v>
      </c>
      <c r="AC126" s="10">
        <f t="shared" si="39"/>
        <v>30.351522126598855</v>
      </c>
      <c r="AD126" s="10">
        <f t="shared" si="39"/>
        <v>1.1303935806952303</v>
      </c>
      <c r="AH126" s="10">
        <f t="shared" si="40"/>
        <v>1</v>
      </c>
      <c r="AI126" s="10">
        <f t="shared" si="41"/>
        <v>0</v>
      </c>
      <c r="AJ126" s="10">
        <f t="shared" si="42"/>
        <v>0</v>
      </c>
    </row>
    <row r="127" spans="6:36" x14ac:dyDescent="0.25">
      <c r="F127" s="10">
        <v>6</v>
      </c>
      <c r="G127" s="10">
        <v>5</v>
      </c>
      <c r="H127" s="10">
        <v>0</v>
      </c>
      <c r="I127" s="10">
        <f t="shared" si="45"/>
        <v>8.3649028089644606</v>
      </c>
      <c r="J127" s="10">
        <f t="shared" si="32"/>
        <v>14.99938962981048</v>
      </c>
      <c r="K127" s="10">
        <f t="shared" si="33"/>
        <v>1</v>
      </c>
      <c r="S127" s="10">
        <f t="shared" si="34"/>
        <v>270.84274644501812</v>
      </c>
      <c r="T127" s="10">
        <f t="shared" si="35"/>
        <v>1</v>
      </c>
      <c r="U127" s="10">
        <f t="shared" si="36"/>
        <v>0</v>
      </c>
      <c r="V127" s="10">
        <f t="shared" si="37"/>
        <v>0</v>
      </c>
      <c r="Y127" s="10">
        <f t="shared" si="38"/>
        <v>0</v>
      </c>
      <c r="Z127" s="10">
        <f t="shared" si="38"/>
        <v>0</v>
      </c>
      <c r="AA127" s="10">
        <f t="shared" si="38"/>
        <v>0</v>
      </c>
      <c r="AC127" s="10">
        <f t="shared" si="39"/>
        <v>30.351522126598855</v>
      </c>
      <c r="AD127" s="10">
        <f t="shared" si="39"/>
        <v>1.1303935806952303</v>
      </c>
      <c r="AH127" s="10">
        <f t="shared" si="40"/>
        <v>1</v>
      </c>
      <c r="AI127" s="10">
        <f t="shared" si="41"/>
        <v>0</v>
      </c>
      <c r="AJ127" s="10">
        <f t="shared" si="42"/>
        <v>0</v>
      </c>
    </row>
    <row r="128" spans="6:36" x14ac:dyDescent="0.25">
      <c r="F128" s="10">
        <v>6</v>
      </c>
      <c r="G128" s="10">
        <v>6</v>
      </c>
      <c r="H128" s="10">
        <v>0</v>
      </c>
      <c r="I128" s="10">
        <f t="shared" si="45"/>
        <v>9.3848699915294151</v>
      </c>
      <c r="J128" s="10">
        <f t="shared" si="32"/>
        <v>14.99938962981048</v>
      </c>
      <c r="K128" s="10">
        <f t="shared" si="33"/>
        <v>1</v>
      </c>
      <c r="S128" s="10">
        <f t="shared" si="34"/>
        <v>301.80030295504298</v>
      </c>
      <c r="T128" s="10">
        <f t="shared" si="35"/>
        <v>1</v>
      </c>
      <c r="U128" s="10">
        <f t="shared" si="36"/>
        <v>0</v>
      </c>
      <c r="V128" s="10">
        <f t="shared" si="37"/>
        <v>0</v>
      </c>
      <c r="Y128" s="10">
        <f t="shared" si="38"/>
        <v>0</v>
      </c>
      <c r="Z128" s="10">
        <f t="shared" si="38"/>
        <v>0</v>
      </c>
      <c r="AA128" s="10">
        <f t="shared" si="38"/>
        <v>0</v>
      </c>
      <c r="AC128" s="10">
        <f t="shared" si="39"/>
        <v>30.351522126598855</v>
      </c>
      <c r="AD128" s="10">
        <f t="shared" si="39"/>
        <v>1.1303935806952303</v>
      </c>
      <c r="AH128" s="10">
        <f t="shared" si="40"/>
        <v>1</v>
      </c>
      <c r="AI128" s="10">
        <f t="shared" si="41"/>
        <v>0</v>
      </c>
      <c r="AJ128" s="10">
        <f t="shared" si="42"/>
        <v>0</v>
      </c>
    </row>
    <row r="129" spans="6:36" x14ac:dyDescent="0.25">
      <c r="F129" s="10">
        <v>6</v>
      </c>
      <c r="G129" s="10">
        <v>7</v>
      </c>
      <c r="H129" s="10">
        <v>0</v>
      </c>
      <c r="I129" s="10">
        <f t="shared" si="45"/>
        <v>9.2116945315592211</v>
      </c>
      <c r="J129" s="10">
        <f t="shared" si="32"/>
        <v>14.99938962981048</v>
      </c>
      <c r="K129" s="10">
        <f t="shared" si="33"/>
        <v>1</v>
      </c>
      <c r="S129" s="10">
        <f t="shared" si="34"/>
        <v>296.54416414997377</v>
      </c>
      <c r="T129" s="10">
        <f t="shared" si="35"/>
        <v>1</v>
      </c>
      <c r="U129" s="10">
        <f t="shared" si="36"/>
        <v>0</v>
      </c>
      <c r="V129" s="10">
        <f t="shared" si="37"/>
        <v>0</v>
      </c>
      <c r="Y129" s="10">
        <f t="shared" si="38"/>
        <v>0</v>
      </c>
      <c r="Z129" s="10">
        <f t="shared" si="38"/>
        <v>0</v>
      </c>
      <c r="AA129" s="10">
        <f t="shared" si="38"/>
        <v>0</v>
      </c>
      <c r="AC129" s="10">
        <f t="shared" si="39"/>
        <v>30.351522126598855</v>
      </c>
      <c r="AD129" s="10">
        <f t="shared" si="39"/>
        <v>1.1303935806952303</v>
      </c>
      <c r="AH129" s="10">
        <f t="shared" si="40"/>
        <v>1</v>
      </c>
      <c r="AI129" s="10">
        <f t="shared" si="41"/>
        <v>0</v>
      </c>
      <c r="AJ129" s="10">
        <f t="shared" si="42"/>
        <v>0</v>
      </c>
    </row>
    <row r="130" spans="6:36" x14ac:dyDescent="0.25">
      <c r="F130" s="10">
        <v>6</v>
      </c>
      <c r="G130" s="10">
        <v>8</v>
      </c>
      <c r="H130" s="10">
        <v>0</v>
      </c>
      <c r="I130" s="10">
        <f t="shared" si="45"/>
        <v>10.461114754974387</v>
      </c>
      <c r="J130" s="10">
        <f t="shared" si="32"/>
        <v>14.99938962981048</v>
      </c>
      <c r="K130" s="10">
        <f t="shared" si="33"/>
        <v>1</v>
      </c>
      <c r="S130" s="10">
        <f t="shared" si="34"/>
        <v>334.46596970637927</v>
      </c>
      <c r="T130" s="10">
        <f t="shared" si="35"/>
        <v>1</v>
      </c>
      <c r="U130" s="10">
        <f t="shared" si="36"/>
        <v>0</v>
      </c>
      <c r="V130" s="10">
        <f t="shared" si="37"/>
        <v>0</v>
      </c>
      <c r="Y130" s="10">
        <f t="shared" si="38"/>
        <v>0</v>
      </c>
      <c r="Z130" s="10">
        <f t="shared" si="38"/>
        <v>0</v>
      </c>
      <c r="AA130" s="10">
        <f t="shared" si="38"/>
        <v>0</v>
      </c>
      <c r="AC130" s="10">
        <f t="shared" si="39"/>
        <v>30.351522126598855</v>
      </c>
      <c r="AD130" s="10">
        <f t="shared" si="39"/>
        <v>1.1303935806952303</v>
      </c>
      <c r="AH130" s="10">
        <f t="shared" si="40"/>
        <v>1</v>
      </c>
      <c r="AI130" s="10">
        <f t="shared" si="41"/>
        <v>0</v>
      </c>
      <c r="AJ130" s="10">
        <f t="shared" si="42"/>
        <v>0</v>
      </c>
    </row>
    <row r="131" spans="6:36" x14ac:dyDescent="0.25">
      <c r="F131" s="10">
        <v>6</v>
      </c>
      <c r="G131" s="10">
        <v>9</v>
      </c>
      <c r="H131" s="10">
        <v>0</v>
      </c>
      <c r="I131" s="10">
        <f t="shared" si="45"/>
        <v>4.1553347214085523</v>
      </c>
      <c r="J131" s="10">
        <f t="shared" si="32"/>
        <v>14.99938962981048</v>
      </c>
      <c r="K131" s="10">
        <f t="shared" si="33"/>
        <v>1</v>
      </c>
      <c r="S131" s="10">
        <f t="shared" si="34"/>
        <v>143.07594749214053</v>
      </c>
      <c r="T131" s="10">
        <f t="shared" si="35"/>
        <v>1</v>
      </c>
      <c r="U131" s="10">
        <f t="shared" si="36"/>
        <v>0</v>
      </c>
      <c r="V131" s="10">
        <f t="shared" si="37"/>
        <v>0</v>
      </c>
      <c r="Y131" s="10">
        <f t="shared" si="38"/>
        <v>0</v>
      </c>
      <c r="Z131" s="10">
        <f t="shared" si="38"/>
        <v>0</v>
      </c>
      <c r="AA131" s="10">
        <f t="shared" si="38"/>
        <v>0</v>
      </c>
      <c r="AC131" s="10">
        <f t="shared" si="39"/>
        <v>30.351522126598855</v>
      </c>
      <c r="AD131" s="10">
        <f t="shared" si="39"/>
        <v>1.1303935806952303</v>
      </c>
      <c r="AH131" s="10">
        <f t="shared" si="40"/>
        <v>1</v>
      </c>
      <c r="AI131" s="10">
        <f t="shared" si="41"/>
        <v>0</v>
      </c>
      <c r="AJ131" s="10">
        <f t="shared" si="42"/>
        <v>0</v>
      </c>
    </row>
    <row r="132" spans="6:36" x14ac:dyDescent="0.25">
      <c r="F132" s="10">
        <v>6</v>
      </c>
      <c r="G132" s="10">
        <v>10</v>
      </c>
      <c r="H132" s="10">
        <v>0</v>
      </c>
      <c r="I132" s="10">
        <f t="shared" si="45"/>
        <v>8.4627041466514576</v>
      </c>
      <c r="J132" s="10">
        <f t="shared" si="32"/>
        <v>14.99938962981048</v>
      </c>
      <c r="K132" s="10">
        <f t="shared" si="33"/>
        <v>1</v>
      </c>
      <c r="S132" s="10">
        <f t="shared" si="34"/>
        <v>273.81116590983595</v>
      </c>
      <c r="T132" s="10">
        <f t="shared" si="35"/>
        <v>1</v>
      </c>
      <c r="U132" s="10">
        <f t="shared" si="36"/>
        <v>0</v>
      </c>
      <c r="V132" s="10">
        <f t="shared" si="37"/>
        <v>0</v>
      </c>
      <c r="Y132" s="10">
        <f t="shared" si="38"/>
        <v>0</v>
      </c>
      <c r="Z132" s="10">
        <f t="shared" si="38"/>
        <v>0</v>
      </c>
      <c r="AA132" s="10">
        <f t="shared" si="38"/>
        <v>0</v>
      </c>
      <c r="AC132" s="10">
        <f t="shared" si="39"/>
        <v>30.351522126598855</v>
      </c>
      <c r="AD132" s="10">
        <f t="shared" si="39"/>
        <v>1.1303935806952303</v>
      </c>
      <c r="AH132" s="10">
        <f t="shared" si="40"/>
        <v>1</v>
      </c>
      <c r="AI132" s="10">
        <f t="shared" si="41"/>
        <v>0</v>
      </c>
      <c r="AJ132" s="10">
        <f t="shared" si="42"/>
        <v>0</v>
      </c>
    </row>
    <row r="133" spans="6:36" x14ac:dyDescent="0.25">
      <c r="F133" s="10">
        <v>6</v>
      </c>
      <c r="G133" s="10">
        <v>11</v>
      </c>
      <c r="H133" s="10">
        <v>0</v>
      </c>
      <c r="I133" s="10">
        <f t="shared" si="45"/>
        <v>11.722530671423003</v>
      </c>
      <c r="J133" s="10">
        <f t="shared" si="32"/>
        <v>14.99938962981048</v>
      </c>
      <c r="K133" s="10">
        <f t="shared" si="33"/>
        <v>1</v>
      </c>
      <c r="S133" s="10">
        <f t="shared" si="34"/>
        <v>372.75186280531341</v>
      </c>
      <c r="T133" s="10">
        <f t="shared" si="35"/>
        <v>1</v>
      </c>
      <c r="U133" s="10">
        <f t="shared" si="36"/>
        <v>0</v>
      </c>
      <c r="V133" s="10">
        <f t="shared" si="37"/>
        <v>0</v>
      </c>
      <c r="Y133" s="10">
        <f t="shared" si="38"/>
        <v>0</v>
      </c>
      <c r="Z133" s="10">
        <f t="shared" si="38"/>
        <v>0</v>
      </c>
      <c r="AA133" s="10">
        <f t="shared" si="38"/>
        <v>0</v>
      </c>
      <c r="AC133" s="10">
        <f t="shared" si="39"/>
        <v>30.351522126598855</v>
      </c>
      <c r="AD133" s="10">
        <f t="shared" si="39"/>
        <v>1.1303935806952303</v>
      </c>
      <c r="AH133" s="10">
        <f t="shared" si="40"/>
        <v>1</v>
      </c>
      <c r="AI133" s="10">
        <f t="shared" si="41"/>
        <v>0</v>
      </c>
      <c r="AJ133" s="10">
        <f t="shared" si="42"/>
        <v>0</v>
      </c>
    </row>
    <row r="134" spans="6:36" x14ac:dyDescent="0.25">
      <c r="F134" s="10">
        <v>6</v>
      </c>
      <c r="G134" s="10">
        <v>12</v>
      </c>
      <c r="H134" s="10">
        <v>0</v>
      </c>
      <c r="I134" s="10">
        <f t="shared" si="45"/>
        <v>9.6231558949622329</v>
      </c>
      <c r="J134" s="10">
        <f t="shared" si="32"/>
        <v>14.99938962981048</v>
      </c>
      <c r="K134" s="10">
        <f t="shared" si="33"/>
        <v>1</v>
      </c>
      <c r="S134" s="10">
        <f t="shared" si="34"/>
        <v>309.03264282554085</v>
      </c>
      <c r="T134" s="10">
        <f t="shared" si="35"/>
        <v>1</v>
      </c>
      <c r="U134" s="10">
        <f t="shared" si="36"/>
        <v>0</v>
      </c>
      <c r="V134" s="10">
        <f t="shared" si="37"/>
        <v>0</v>
      </c>
      <c r="Y134" s="10">
        <f t="shared" si="38"/>
        <v>0</v>
      </c>
      <c r="Z134" s="10">
        <f t="shared" si="38"/>
        <v>0</v>
      </c>
      <c r="AA134" s="10">
        <f t="shared" si="38"/>
        <v>0</v>
      </c>
      <c r="AC134" s="10">
        <f t="shared" si="39"/>
        <v>30.351522126598855</v>
      </c>
      <c r="AD134" s="10">
        <f t="shared" si="39"/>
        <v>1.1303935806952303</v>
      </c>
      <c r="AH134" s="10">
        <f t="shared" si="40"/>
        <v>1</v>
      </c>
      <c r="AI134" s="10">
        <f t="shared" si="41"/>
        <v>0</v>
      </c>
      <c r="AJ134" s="10">
        <f t="shared" si="42"/>
        <v>0</v>
      </c>
    </row>
    <row r="135" spans="6:36" x14ac:dyDescent="0.25">
      <c r="F135" s="10">
        <v>6</v>
      </c>
      <c r="G135" s="10">
        <v>13</v>
      </c>
      <c r="H135" s="10">
        <v>0</v>
      </c>
      <c r="I135" s="10">
        <f t="shared" si="45"/>
        <v>8.0162683783311302</v>
      </c>
      <c r="J135" s="10">
        <f t="shared" si="32"/>
        <v>14.99938962981048</v>
      </c>
      <c r="K135" s="10">
        <f t="shared" si="33"/>
        <v>1</v>
      </c>
      <c r="S135" s="10">
        <f t="shared" si="34"/>
        <v>260.26116080955637</v>
      </c>
      <c r="T135" s="10">
        <f t="shared" si="35"/>
        <v>1</v>
      </c>
      <c r="U135" s="10">
        <f t="shared" si="36"/>
        <v>0</v>
      </c>
      <c r="V135" s="10">
        <f t="shared" si="37"/>
        <v>0</v>
      </c>
      <c r="Y135" s="10">
        <f t="shared" si="38"/>
        <v>0</v>
      </c>
      <c r="Z135" s="10">
        <f t="shared" si="38"/>
        <v>0</v>
      </c>
      <c r="AA135" s="10">
        <f t="shared" si="38"/>
        <v>0</v>
      </c>
      <c r="AC135" s="10">
        <f t="shared" si="39"/>
        <v>30.351522126598855</v>
      </c>
      <c r="AD135" s="10">
        <f t="shared" si="39"/>
        <v>1.1303935806952303</v>
      </c>
      <c r="AH135" s="10">
        <f t="shared" si="40"/>
        <v>1</v>
      </c>
      <c r="AI135" s="10">
        <f t="shared" si="41"/>
        <v>0</v>
      </c>
      <c r="AJ135" s="10">
        <f t="shared" si="42"/>
        <v>0</v>
      </c>
    </row>
    <row r="136" spans="6:36" x14ac:dyDescent="0.25">
      <c r="F136" s="10">
        <v>6</v>
      </c>
      <c r="G136" s="10">
        <v>14</v>
      </c>
      <c r="H136" s="10">
        <v>0</v>
      </c>
      <c r="I136" s="10">
        <f t="shared" si="45"/>
        <v>11.270939377934512</v>
      </c>
      <c r="J136" s="10">
        <f t="shared" si="32"/>
        <v>14.99938962981048</v>
      </c>
      <c r="K136" s="10">
        <f t="shared" si="33"/>
        <v>1</v>
      </c>
      <c r="S136" s="10">
        <f t="shared" si="34"/>
        <v>359.0453796688181</v>
      </c>
      <c r="T136" s="10">
        <f t="shared" si="35"/>
        <v>1</v>
      </c>
      <c r="U136" s="10">
        <f t="shared" si="36"/>
        <v>0</v>
      </c>
      <c r="V136" s="10">
        <f t="shared" si="37"/>
        <v>0</v>
      </c>
      <c r="Y136" s="10">
        <f t="shared" si="38"/>
        <v>0</v>
      </c>
      <c r="Z136" s="10">
        <f t="shared" si="38"/>
        <v>0</v>
      </c>
      <c r="AA136" s="10">
        <f t="shared" si="38"/>
        <v>0</v>
      </c>
      <c r="AC136" s="10">
        <f t="shared" si="39"/>
        <v>30.351522126598855</v>
      </c>
      <c r="AD136" s="10">
        <f t="shared" si="39"/>
        <v>1.1303935806952303</v>
      </c>
      <c r="AH136" s="10">
        <f t="shared" si="40"/>
        <v>1</v>
      </c>
      <c r="AI136" s="10">
        <f t="shared" si="41"/>
        <v>0</v>
      </c>
      <c r="AJ136" s="10">
        <f t="shared" si="42"/>
        <v>0</v>
      </c>
    </row>
    <row r="137" spans="6:36" x14ac:dyDescent="0.25">
      <c r="F137" s="10">
        <v>6</v>
      </c>
      <c r="G137" s="10">
        <v>15</v>
      </c>
      <c r="H137" s="10">
        <v>0</v>
      </c>
      <c r="I137" s="10">
        <f t="shared" si="45"/>
        <v>7.0021023351067502</v>
      </c>
      <c r="J137" s="10">
        <f t="shared" si="32"/>
        <v>14.99938962981048</v>
      </c>
      <c r="K137" s="10">
        <f t="shared" si="33"/>
        <v>1</v>
      </c>
      <c r="S137" s="10">
        <f t="shared" si="34"/>
        <v>229.47967770858642</v>
      </c>
      <c r="T137" s="10">
        <f t="shared" si="35"/>
        <v>1</v>
      </c>
      <c r="U137" s="10">
        <f t="shared" si="36"/>
        <v>0</v>
      </c>
      <c r="V137" s="10">
        <f t="shared" si="37"/>
        <v>0</v>
      </c>
      <c r="Y137" s="10">
        <f t="shared" si="38"/>
        <v>0</v>
      </c>
      <c r="Z137" s="10">
        <f t="shared" si="38"/>
        <v>0</v>
      </c>
      <c r="AA137" s="10">
        <f t="shared" si="38"/>
        <v>0</v>
      </c>
      <c r="AC137" s="10">
        <f t="shared" si="39"/>
        <v>30.351522126598855</v>
      </c>
      <c r="AD137" s="10">
        <f t="shared" si="39"/>
        <v>1.1303935806952303</v>
      </c>
      <c r="AH137" s="10">
        <f t="shared" si="40"/>
        <v>1</v>
      </c>
      <c r="AI137" s="10">
        <f t="shared" si="41"/>
        <v>0</v>
      </c>
      <c r="AJ137" s="10">
        <f t="shared" si="42"/>
        <v>0</v>
      </c>
    </row>
    <row r="138" spans="6:36" x14ac:dyDescent="0.25">
      <c r="F138" s="10">
        <v>6</v>
      </c>
      <c r="G138" s="10">
        <v>16</v>
      </c>
      <c r="H138" s="10">
        <v>0</v>
      </c>
      <c r="I138" s="10">
        <f t="shared" si="45"/>
        <v>9.3873260438242312</v>
      </c>
      <c r="J138" s="10">
        <f t="shared" si="32"/>
        <v>14.99938962981048</v>
      </c>
      <c r="K138" s="10">
        <f t="shared" si="33"/>
        <v>1</v>
      </c>
      <c r="S138" s="10">
        <f t="shared" si="34"/>
        <v>301.87484788061317</v>
      </c>
      <c r="T138" s="10">
        <f t="shared" si="35"/>
        <v>1</v>
      </c>
      <c r="U138" s="10">
        <f t="shared" si="36"/>
        <v>0</v>
      </c>
      <c r="V138" s="10">
        <f t="shared" si="37"/>
        <v>0</v>
      </c>
      <c r="Y138" s="10">
        <f t="shared" si="38"/>
        <v>0</v>
      </c>
      <c r="Z138" s="10">
        <f t="shared" si="38"/>
        <v>0</v>
      </c>
      <c r="AA138" s="10">
        <f t="shared" si="38"/>
        <v>0</v>
      </c>
      <c r="AC138" s="10">
        <f t="shared" si="39"/>
        <v>30.351522126598855</v>
      </c>
      <c r="AD138" s="10">
        <f t="shared" si="39"/>
        <v>1.1303935806952303</v>
      </c>
      <c r="AH138" s="10">
        <f t="shared" si="40"/>
        <v>1</v>
      </c>
      <c r="AI138" s="10">
        <f t="shared" si="41"/>
        <v>0</v>
      </c>
      <c r="AJ138" s="10">
        <f t="shared" si="42"/>
        <v>0</v>
      </c>
    </row>
    <row r="139" spans="6:36" x14ac:dyDescent="0.25">
      <c r="F139" s="10">
        <v>6</v>
      </c>
      <c r="G139" s="10">
        <v>17</v>
      </c>
      <c r="H139" s="10">
        <v>0</v>
      </c>
      <c r="I139" s="10">
        <f t="shared" si="45"/>
        <v>8.350479766806572</v>
      </c>
      <c r="J139" s="10">
        <f t="shared" si="32"/>
        <v>14.99938962981048</v>
      </c>
      <c r="K139" s="10">
        <f t="shared" si="33"/>
        <v>1</v>
      </c>
      <c r="S139" s="10">
        <f t="shared" si="34"/>
        <v>270.4049851618301</v>
      </c>
      <c r="T139" s="10">
        <f t="shared" si="35"/>
        <v>1</v>
      </c>
      <c r="U139" s="10">
        <f t="shared" si="36"/>
        <v>0</v>
      </c>
      <c r="V139" s="10">
        <f t="shared" si="37"/>
        <v>0</v>
      </c>
      <c r="Y139" s="10">
        <f t="shared" si="38"/>
        <v>0</v>
      </c>
      <c r="Z139" s="10">
        <f t="shared" si="38"/>
        <v>0</v>
      </c>
      <c r="AA139" s="10">
        <f t="shared" si="38"/>
        <v>0</v>
      </c>
      <c r="AC139" s="10">
        <f t="shared" si="39"/>
        <v>30.351522126598855</v>
      </c>
      <c r="AD139" s="10">
        <f t="shared" si="39"/>
        <v>1.1303935806952303</v>
      </c>
      <c r="AH139" s="10">
        <f t="shared" si="40"/>
        <v>1</v>
      </c>
      <c r="AI139" s="10">
        <f t="shared" si="41"/>
        <v>0</v>
      </c>
      <c r="AJ139" s="10">
        <f t="shared" si="42"/>
        <v>0</v>
      </c>
    </row>
    <row r="140" spans="6:36" x14ac:dyDescent="0.25">
      <c r="F140" s="10">
        <v>6</v>
      </c>
      <c r="G140" s="10">
        <v>18</v>
      </c>
      <c r="H140" s="10">
        <v>0</v>
      </c>
      <c r="I140" s="10">
        <f t="shared" ref="I140:I155" si="46">I120</f>
        <v>8.8378960488846694</v>
      </c>
      <c r="J140" s="10">
        <f t="shared" si="32"/>
        <v>14.99938962981048</v>
      </c>
      <c r="K140" s="10">
        <f t="shared" si="33"/>
        <v>1</v>
      </c>
      <c r="S140" s="10">
        <f t="shared" si="34"/>
        <v>285.19881123218806</v>
      </c>
      <c r="T140" s="10">
        <f t="shared" si="35"/>
        <v>1</v>
      </c>
      <c r="U140" s="10">
        <f t="shared" si="36"/>
        <v>0</v>
      </c>
      <c r="V140" s="10">
        <f t="shared" si="37"/>
        <v>0</v>
      </c>
      <c r="Y140" s="10">
        <f t="shared" si="38"/>
        <v>0</v>
      </c>
      <c r="Z140" s="10">
        <f t="shared" si="38"/>
        <v>0</v>
      </c>
      <c r="AA140" s="10">
        <f t="shared" si="38"/>
        <v>0</v>
      </c>
      <c r="AC140" s="10">
        <f t="shared" si="39"/>
        <v>30.351522126598855</v>
      </c>
      <c r="AD140" s="10">
        <f t="shared" si="39"/>
        <v>1.1303935806952303</v>
      </c>
      <c r="AH140" s="10">
        <f t="shared" si="40"/>
        <v>1</v>
      </c>
      <c r="AI140" s="10">
        <f t="shared" si="41"/>
        <v>0</v>
      </c>
      <c r="AJ140" s="10">
        <f t="shared" si="42"/>
        <v>0</v>
      </c>
    </row>
    <row r="141" spans="6:36" x14ac:dyDescent="0.25">
      <c r="F141" s="10">
        <v>6</v>
      </c>
      <c r="G141" s="10">
        <v>19</v>
      </c>
      <c r="H141" s="10">
        <v>0</v>
      </c>
      <c r="I141" s="10">
        <f t="shared" si="46"/>
        <v>5.9362821331723659</v>
      </c>
      <c r="J141" s="10">
        <f t="shared" si="32"/>
        <v>14.99938962981048</v>
      </c>
      <c r="K141" s="10">
        <f t="shared" si="33"/>
        <v>1</v>
      </c>
      <c r="S141" s="10">
        <f t="shared" si="34"/>
        <v>197.13041226659888</v>
      </c>
      <c r="T141" s="10">
        <f t="shared" si="35"/>
        <v>1</v>
      </c>
      <c r="U141" s="10">
        <f t="shared" si="36"/>
        <v>0</v>
      </c>
      <c r="V141" s="10">
        <f t="shared" si="37"/>
        <v>0</v>
      </c>
      <c r="Y141" s="10">
        <f t="shared" si="38"/>
        <v>0</v>
      </c>
      <c r="Z141" s="10">
        <f t="shared" si="38"/>
        <v>0</v>
      </c>
      <c r="AA141" s="10">
        <f t="shared" si="38"/>
        <v>0</v>
      </c>
      <c r="AC141" s="10">
        <f t="shared" si="39"/>
        <v>30.351522126598855</v>
      </c>
      <c r="AD141" s="10">
        <f t="shared" si="39"/>
        <v>1.1303935806952303</v>
      </c>
      <c r="AH141" s="10">
        <f t="shared" si="40"/>
        <v>1</v>
      </c>
      <c r="AI141" s="10">
        <f t="shared" si="41"/>
        <v>0</v>
      </c>
      <c r="AJ141" s="10">
        <f t="shared" si="42"/>
        <v>0</v>
      </c>
    </row>
    <row r="142" spans="6:36" x14ac:dyDescent="0.25">
      <c r="F142" s="10">
        <v>6</v>
      </c>
      <c r="G142" s="10">
        <v>20</v>
      </c>
      <c r="H142" s="10">
        <v>0</v>
      </c>
      <c r="I142" s="10">
        <f t="shared" si="46"/>
        <v>6.5710893880029841</v>
      </c>
      <c r="J142" s="10">
        <f t="shared" si="32"/>
        <v>14.99938962981048</v>
      </c>
      <c r="K142" s="10">
        <f t="shared" si="33"/>
        <v>1</v>
      </c>
      <c r="S142" s="10">
        <f t="shared" si="34"/>
        <v>216.39777870771587</v>
      </c>
      <c r="T142" s="10">
        <f t="shared" si="35"/>
        <v>1</v>
      </c>
      <c r="U142" s="10">
        <f t="shared" si="36"/>
        <v>0</v>
      </c>
      <c r="V142" s="10">
        <f t="shared" si="37"/>
        <v>0</v>
      </c>
      <c r="X142" s="10">
        <f>SUM(V123:V142)</f>
        <v>0</v>
      </c>
      <c r="Y142" s="10">
        <f t="shared" si="38"/>
        <v>0</v>
      </c>
      <c r="Z142" s="10">
        <f t="shared" si="38"/>
        <v>0</v>
      </c>
      <c r="AA142" s="10">
        <f t="shared" si="38"/>
        <v>0</v>
      </c>
      <c r="AC142" s="10">
        <f t="shared" si="39"/>
        <v>30.351522126598855</v>
      </c>
      <c r="AD142" s="10">
        <f t="shared" si="39"/>
        <v>1.1303935806952303</v>
      </c>
      <c r="AH142" s="10">
        <f t="shared" si="40"/>
        <v>1</v>
      </c>
      <c r="AI142" s="10">
        <f t="shared" si="41"/>
        <v>0</v>
      </c>
      <c r="AJ142" s="10">
        <f t="shared" si="42"/>
        <v>0</v>
      </c>
    </row>
    <row r="143" spans="6:36" x14ac:dyDescent="0.25">
      <c r="F143" s="10">
        <v>7</v>
      </c>
      <c r="G143" s="10">
        <v>1</v>
      </c>
      <c r="H143" s="10">
        <v>0</v>
      </c>
      <c r="I143" s="10">
        <f t="shared" si="46"/>
        <v>4.3149584625268673</v>
      </c>
      <c r="J143" s="10">
        <f t="shared" si="32"/>
        <v>14.99938962981048</v>
      </c>
      <c r="K143" s="10">
        <f t="shared" si="33"/>
        <v>1</v>
      </c>
      <c r="S143" s="12">
        <f t="shared" si="34"/>
        <v>147.92077100262355</v>
      </c>
      <c r="T143" s="12">
        <f t="shared" si="35"/>
        <v>1</v>
      </c>
      <c r="U143" s="12">
        <f t="shared" si="36"/>
        <v>0</v>
      </c>
      <c r="V143" s="12">
        <f t="shared" si="37"/>
        <v>0</v>
      </c>
      <c r="W143" s="12"/>
      <c r="X143" s="12"/>
      <c r="Y143" s="10">
        <f t="shared" si="38"/>
        <v>0</v>
      </c>
      <c r="Z143" s="10">
        <f t="shared" si="38"/>
        <v>0</v>
      </c>
      <c r="AA143" s="10">
        <f t="shared" si="38"/>
        <v>0</v>
      </c>
      <c r="AC143" s="10">
        <f t="shared" si="39"/>
        <v>30.351522126598855</v>
      </c>
      <c r="AD143" s="10">
        <f t="shared" si="39"/>
        <v>1.1303935806952303</v>
      </c>
      <c r="AH143" s="10">
        <f t="shared" si="40"/>
        <v>1</v>
      </c>
      <c r="AI143" s="10">
        <f t="shared" si="41"/>
        <v>0</v>
      </c>
      <c r="AJ143" s="10">
        <f t="shared" si="42"/>
        <v>0</v>
      </c>
    </row>
    <row r="144" spans="6:36" x14ac:dyDescent="0.25">
      <c r="F144" s="10">
        <v>7</v>
      </c>
      <c r="G144" s="10">
        <v>2</v>
      </c>
      <c r="H144" s="10">
        <v>0</v>
      </c>
      <c r="I144" s="10">
        <f t="shared" si="46"/>
        <v>4.2336649521823988</v>
      </c>
      <c r="J144" s="10">
        <f t="shared" si="32"/>
        <v>14.99938962981048</v>
      </c>
      <c r="K144" s="10">
        <f t="shared" si="33"/>
        <v>1</v>
      </c>
      <c r="S144" s="10">
        <f t="shared" si="34"/>
        <v>145.45338922465453</v>
      </c>
      <c r="T144" s="10">
        <f t="shared" si="35"/>
        <v>1</v>
      </c>
      <c r="U144" s="10">
        <f t="shared" si="36"/>
        <v>0</v>
      </c>
      <c r="V144" s="10">
        <f t="shared" si="37"/>
        <v>0</v>
      </c>
      <c r="Y144" s="10">
        <f t="shared" si="38"/>
        <v>0</v>
      </c>
      <c r="Z144" s="10">
        <f t="shared" si="38"/>
        <v>0</v>
      </c>
      <c r="AA144" s="10">
        <f t="shared" si="38"/>
        <v>0</v>
      </c>
      <c r="AC144" s="10">
        <f t="shared" si="39"/>
        <v>30.351522126598855</v>
      </c>
      <c r="AD144" s="10">
        <f t="shared" si="39"/>
        <v>1.1303935806952303</v>
      </c>
      <c r="AH144" s="10">
        <f t="shared" si="40"/>
        <v>1</v>
      </c>
      <c r="AI144" s="10">
        <f t="shared" si="41"/>
        <v>0</v>
      </c>
      <c r="AJ144" s="10">
        <f t="shared" si="42"/>
        <v>0</v>
      </c>
    </row>
    <row r="145" spans="6:36" x14ac:dyDescent="0.25">
      <c r="F145" s="10">
        <v>7</v>
      </c>
      <c r="G145" s="10">
        <v>3</v>
      </c>
      <c r="H145" s="10">
        <v>0</v>
      </c>
      <c r="I145" s="10">
        <f t="shared" si="46"/>
        <v>4.0760342132531742</v>
      </c>
      <c r="J145" s="10">
        <f t="shared" si="32"/>
        <v>14.99938962981048</v>
      </c>
      <c r="K145" s="10">
        <f t="shared" si="33"/>
        <v>1</v>
      </c>
      <c r="S145" s="10">
        <f t="shared" si="34"/>
        <v>140.66905636421205</v>
      </c>
      <c r="T145" s="10">
        <f t="shared" si="35"/>
        <v>1</v>
      </c>
      <c r="U145" s="10">
        <f t="shared" si="36"/>
        <v>0</v>
      </c>
      <c r="V145" s="10">
        <f t="shared" si="37"/>
        <v>0</v>
      </c>
      <c r="Y145" s="10">
        <f t="shared" si="38"/>
        <v>0</v>
      </c>
      <c r="Z145" s="10">
        <f t="shared" si="38"/>
        <v>0</v>
      </c>
      <c r="AA145" s="10">
        <f t="shared" si="38"/>
        <v>0</v>
      </c>
      <c r="AC145" s="10">
        <f t="shared" si="39"/>
        <v>30.351522126598855</v>
      </c>
      <c r="AD145" s="10">
        <f t="shared" si="39"/>
        <v>1.1303935806952303</v>
      </c>
      <c r="AH145" s="10">
        <f t="shared" si="40"/>
        <v>1</v>
      </c>
      <c r="AI145" s="10">
        <f t="shared" si="41"/>
        <v>0</v>
      </c>
      <c r="AJ145" s="10">
        <f t="shared" si="42"/>
        <v>0</v>
      </c>
    </row>
    <row r="146" spans="6:36" x14ac:dyDescent="0.25">
      <c r="F146" s="10">
        <v>7</v>
      </c>
      <c r="G146" s="10">
        <v>4</v>
      </c>
      <c r="H146" s="10">
        <v>0</v>
      </c>
      <c r="I146" s="10">
        <f t="shared" si="46"/>
        <v>6.9682999690312606</v>
      </c>
      <c r="J146" s="10">
        <f t="shared" si="32"/>
        <v>14.99938962981048</v>
      </c>
      <c r="K146" s="10">
        <f t="shared" si="33"/>
        <v>1</v>
      </c>
      <c r="S146" s="10">
        <f t="shared" si="34"/>
        <v>228.4537244467148</v>
      </c>
      <c r="T146" s="10">
        <f t="shared" si="35"/>
        <v>1</v>
      </c>
      <c r="U146" s="10">
        <f t="shared" si="36"/>
        <v>0</v>
      </c>
      <c r="V146" s="10">
        <f t="shared" si="37"/>
        <v>0</v>
      </c>
      <c r="Y146" s="10">
        <f t="shared" si="38"/>
        <v>0</v>
      </c>
      <c r="Z146" s="10">
        <f t="shared" si="38"/>
        <v>0</v>
      </c>
      <c r="AA146" s="10">
        <f t="shared" si="38"/>
        <v>0</v>
      </c>
      <c r="AC146" s="10">
        <f t="shared" si="39"/>
        <v>30.351522126598855</v>
      </c>
      <c r="AD146" s="10">
        <f t="shared" si="39"/>
        <v>1.1303935806952303</v>
      </c>
      <c r="AH146" s="10">
        <f t="shared" si="40"/>
        <v>1</v>
      </c>
      <c r="AI146" s="10">
        <f t="shared" si="41"/>
        <v>0</v>
      </c>
      <c r="AJ146" s="10">
        <f t="shared" si="42"/>
        <v>0</v>
      </c>
    </row>
    <row r="147" spans="6:36" x14ac:dyDescent="0.25">
      <c r="F147" s="10">
        <v>7</v>
      </c>
      <c r="G147" s="10">
        <v>5</v>
      </c>
      <c r="H147" s="10">
        <v>0</v>
      </c>
      <c r="I147" s="10">
        <f t="shared" si="46"/>
        <v>8.3649028089644606</v>
      </c>
      <c r="J147" s="10">
        <f t="shared" si="32"/>
        <v>14.99938962981048</v>
      </c>
      <c r="K147" s="10">
        <f t="shared" si="33"/>
        <v>1</v>
      </c>
      <c r="S147" s="10">
        <f t="shared" si="34"/>
        <v>270.84274644501812</v>
      </c>
      <c r="T147" s="10">
        <f t="shared" si="35"/>
        <v>1</v>
      </c>
      <c r="U147" s="10">
        <f t="shared" si="36"/>
        <v>0</v>
      </c>
      <c r="V147" s="10">
        <f t="shared" si="37"/>
        <v>0</v>
      </c>
      <c r="Y147" s="10">
        <f t="shared" si="38"/>
        <v>0</v>
      </c>
      <c r="Z147" s="10">
        <f t="shared" si="38"/>
        <v>0</v>
      </c>
      <c r="AA147" s="10">
        <f t="shared" si="38"/>
        <v>0</v>
      </c>
      <c r="AC147" s="10">
        <f t="shared" si="39"/>
        <v>30.351522126598855</v>
      </c>
      <c r="AD147" s="10">
        <f t="shared" si="39"/>
        <v>1.1303935806952303</v>
      </c>
      <c r="AH147" s="10">
        <f t="shared" si="40"/>
        <v>1</v>
      </c>
      <c r="AI147" s="10">
        <f t="shared" si="41"/>
        <v>0</v>
      </c>
      <c r="AJ147" s="10">
        <f t="shared" si="42"/>
        <v>0</v>
      </c>
    </row>
    <row r="148" spans="6:36" x14ac:dyDescent="0.25">
      <c r="F148" s="10">
        <v>7</v>
      </c>
      <c r="G148" s="10">
        <v>6</v>
      </c>
      <c r="H148" s="10">
        <v>0</v>
      </c>
      <c r="I148" s="10">
        <f t="shared" si="46"/>
        <v>9.3848699915294151</v>
      </c>
      <c r="J148" s="10">
        <f t="shared" si="32"/>
        <v>14.99938962981048</v>
      </c>
      <c r="K148" s="10">
        <f t="shared" si="33"/>
        <v>1</v>
      </c>
      <c r="S148" s="10">
        <f t="shared" si="34"/>
        <v>301.80030295504298</v>
      </c>
      <c r="T148" s="10">
        <f t="shared" si="35"/>
        <v>1</v>
      </c>
      <c r="U148" s="10">
        <f t="shared" si="36"/>
        <v>0</v>
      </c>
      <c r="V148" s="10">
        <f t="shared" si="37"/>
        <v>0</v>
      </c>
      <c r="Y148" s="10">
        <f t="shared" si="38"/>
        <v>0</v>
      </c>
      <c r="Z148" s="10">
        <f t="shared" si="38"/>
        <v>0</v>
      </c>
      <c r="AA148" s="10">
        <f t="shared" si="38"/>
        <v>0</v>
      </c>
      <c r="AC148" s="10">
        <f t="shared" si="39"/>
        <v>30.351522126598855</v>
      </c>
      <c r="AD148" s="10">
        <f t="shared" si="39"/>
        <v>1.1303935806952303</v>
      </c>
      <c r="AH148" s="10">
        <f t="shared" si="40"/>
        <v>1</v>
      </c>
      <c r="AI148" s="10">
        <f t="shared" si="41"/>
        <v>0</v>
      </c>
      <c r="AJ148" s="10">
        <f t="shared" si="42"/>
        <v>0</v>
      </c>
    </row>
    <row r="149" spans="6:36" x14ac:dyDescent="0.25">
      <c r="F149" s="10">
        <v>7</v>
      </c>
      <c r="G149" s="10">
        <v>7</v>
      </c>
      <c r="H149" s="10">
        <v>0</v>
      </c>
      <c r="I149" s="10">
        <f t="shared" si="46"/>
        <v>9.2116945315592211</v>
      </c>
      <c r="J149" s="10">
        <f t="shared" si="32"/>
        <v>14.99938962981048</v>
      </c>
      <c r="K149" s="10">
        <f t="shared" si="33"/>
        <v>1</v>
      </c>
      <c r="S149" s="10">
        <f t="shared" si="34"/>
        <v>296.54416414997377</v>
      </c>
      <c r="T149" s="10">
        <f t="shared" si="35"/>
        <v>1</v>
      </c>
      <c r="U149" s="10">
        <f t="shared" si="36"/>
        <v>0</v>
      </c>
      <c r="V149" s="10">
        <f t="shared" si="37"/>
        <v>0</v>
      </c>
      <c r="Y149" s="10">
        <f t="shared" si="38"/>
        <v>0</v>
      </c>
      <c r="Z149" s="10">
        <f t="shared" si="38"/>
        <v>0</v>
      </c>
      <c r="AA149" s="10">
        <f t="shared" si="38"/>
        <v>0</v>
      </c>
      <c r="AC149" s="10">
        <f t="shared" si="39"/>
        <v>30.351522126598855</v>
      </c>
      <c r="AD149" s="10">
        <f t="shared" si="39"/>
        <v>1.1303935806952303</v>
      </c>
      <c r="AH149" s="10">
        <f t="shared" si="40"/>
        <v>1</v>
      </c>
      <c r="AI149" s="10">
        <f t="shared" si="41"/>
        <v>0</v>
      </c>
      <c r="AJ149" s="10">
        <f t="shared" si="42"/>
        <v>0</v>
      </c>
    </row>
    <row r="150" spans="6:36" x14ac:dyDescent="0.25">
      <c r="F150" s="10">
        <v>7</v>
      </c>
      <c r="G150" s="10">
        <v>8</v>
      </c>
      <c r="H150" s="10">
        <v>0</v>
      </c>
      <c r="I150" s="10">
        <f t="shared" si="46"/>
        <v>10.461114754974387</v>
      </c>
      <c r="J150" s="10">
        <f t="shared" si="32"/>
        <v>14.99938962981048</v>
      </c>
      <c r="K150" s="10">
        <f t="shared" si="33"/>
        <v>1</v>
      </c>
      <c r="S150" s="10">
        <f t="shared" si="34"/>
        <v>334.46596970637927</v>
      </c>
      <c r="T150" s="10">
        <f t="shared" si="35"/>
        <v>1</v>
      </c>
      <c r="U150" s="10">
        <f t="shared" si="36"/>
        <v>0</v>
      </c>
      <c r="V150" s="10">
        <f t="shared" si="37"/>
        <v>0</v>
      </c>
      <c r="Y150" s="10">
        <f t="shared" si="38"/>
        <v>0</v>
      </c>
      <c r="Z150" s="10">
        <f t="shared" si="38"/>
        <v>0</v>
      </c>
      <c r="AA150" s="10">
        <f t="shared" si="38"/>
        <v>0</v>
      </c>
      <c r="AC150" s="10">
        <f t="shared" si="39"/>
        <v>30.351522126598855</v>
      </c>
      <c r="AD150" s="10">
        <f t="shared" si="39"/>
        <v>1.1303935806952303</v>
      </c>
      <c r="AH150" s="10">
        <f t="shared" si="40"/>
        <v>1</v>
      </c>
      <c r="AI150" s="10">
        <f t="shared" si="41"/>
        <v>0</v>
      </c>
      <c r="AJ150" s="10">
        <f t="shared" si="42"/>
        <v>0</v>
      </c>
    </row>
    <row r="151" spans="6:36" x14ac:dyDescent="0.25">
      <c r="F151" s="10">
        <v>7</v>
      </c>
      <c r="G151" s="10">
        <v>9</v>
      </c>
      <c r="H151" s="10">
        <v>0</v>
      </c>
      <c r="I151" s="10">
        <f t="shared" si="46"/>
        <v>4.1553347214085523</v>
      </c>
      <c r="J151" s="10">
        <f t="shared" si="32"/>
        <v>14.99938962981048</v>
      </c>
      <c r="K151" s="10">
        <f t="shared" si="33"/>
        <v>1</v>
      </c>
      <c r="S151" s="10">
        <f t="shared" si="34"/>
        <v>143.07594749214053</v>
      </c>
      <c r="T151" s="10">
        <f t="shared" si="35"/>
        <v>1</v>
      </c>
      <c r="U151" s="10">
        <f t="shared" si="36"/>
        <v>0</v>
      </c>
      <c r="V151" s="10">
        <f t="shared" si="37"/>
        <v>0</v>
      </c>
      <c r="Y151" s="10">
        <f t="shared" si="38"/>
        <v>0</v>
      </c>
      <c r="Z151" s="10">
        <f t="shared" si="38"/>
        <v>0</v>
      </c>
      <c r="AA151" s="10">
        <f t="shared" si="38"/>
        <v>0</v>
      </c>
      <c r="AC151" s="10">
        <f t="shared" si="39"/>
        <v>30.351522126598855</v>
      </c>
      <c r="AD151" s="10">
        <f t="shared" si="39"/>
        <v>1.1303935806952303</v>
      </c>
      <c r="AH151" s="10">
        <f t="shared" si="40"/>
        <v>1</v>
      </c>
      <c r="AI151" s="10">
        <f t="shared" si="41"/>
        <v>0</v>
      </c>
      <c r="AJ151" s="10">
        <f t="shared" si="42"/>
        <v>0</v>
      </c>
    </row>
    <row r="152" spans="6:36" x14ac:dyDescent="0.25">
      <c r="F152" s="10">
        <v>7</v>
      </c>
      <c r="G152" s="10">
        <v>10</v>
      </c>
      <c r="H152" s="10">
        <v>0</v>
      </c>
      <c r="I152" s="10">
        <f t="shared" si="46"/>
        <v>8.4627041466514576</v>
      </c>
      <c r="J152" s="10">
        <f t="shared" ref="J152:J215" si="47">IF(K152=1, D152*$C$9+$C$8,D152*$C$12+$C$11)</f>
        <v>14.99938962981048</v>
      </c>
      <c r="K152" s="10">
        <f t="shared" ref="K152:K215" si="48">IF(E152&lt;$C$14,1,-1)</f>
        <v>1</v>
      </c>
      <c r="S152" s="10">
        <f t="shared" ref="S152:S215" si="49">SUMPRODUCT(H152:J152,AB151:AD151)</f>
        <v>273.81116590983595</v>
      </c>
      <c r="T152" s="10">
        <f t="shared" ref="T152:T215" si="50">IF(S152&gt;=0,1,-1)</f>
        <v>1</v>
      </c>
      <c r="U152" s="10">
        <f t="shared" ref="U152:U215" si="51">(K152-T152)/2</f>
        <v>0</v>
      </c>
      <c r="V152" s="10">
        <f t="shared" ref="V152:V215" si="52">IF(U152&lt;&gt;0,1,0)</f>
        <v>0</v>
      </c>
      <c r="Y152" s="10">
        <f t="shared" ref="Y152:AA215" si="53">IF($U152=0,0,$C$14*($U152)*H152)</f>
        <v>0</v>
      </c>
      <c r="Z152" s="10">
        <f t="shared" si="53"/>
        <v>0</v>
      </c>
      <c r="AA152" s="10">
        <f t="shared" si="53"/>
        <v>0</v>
      </c>
      <c r="AC152" s="10">
        <f t="shared" ref="AC152:AD215" si="54">IF($U152=0,AC151,AC151+$C$14*($U152)*I152)</f>
        <v>30.351522126598855</v>
      </c>
      <c r="AD152" s="10">
        <f t="shared" si="54"/>
        <v>1.1303935806952303</v>
      </c>
      <c r="AH152" s="10">
        <f t="shared" si="40"/>
        <v>1</v>
      </c>
      <c r="AI152" s="10">
        <f t="shared" si="41"/>
        <v>0</v>
      </c>
      <c r="AJ152" s="10">
        <f t="shared" si="42"/>
        <v>0</v>
      </c>
    </row>
    <row r="153" spans="6:36" x14ac:dyDescent="0.25">
      <c r="F153" s="10">
        <v>7</v>
      </c>
      <c r="G153" s="10">
        <v>11</v>
      </c>
      <c r="H153" s="10">
        <v>0</v>
      </c>
      <c r="I153" s="10">
        <f t="shared" si="46"/>
        <v>11.722530671423003</v>
      </c>
      <c r="J153" s="10">
        <f t="shared" si="47"/>
        <v>14.99938962981048</v>
      </c>
      <c r="K153" s="10">
        <f t="shared" si="48"/>
        <v>1</v>
      </c>
      <c r="S153" s="10">
        <f t="shared" si="49"/>
        <v>372.75186280531341</v>
      </c>
      <c r="T153" s="10">
        <f t="shared" si="50"/>
        <v>1</v>
      </c>
      <c r="U153" s="10">
        <f t="shared" si="51"/>
        <v>0</v>
      </c>
      <c r="V153" s="10">
        <f t="shared" si="52"/>
        <v>0</v>
      </c>
      <c r="Y153" s="10">
        <f t="shared" si="53"/>
        <v>0</v>
      </c>
      <c r="Z153" s="10">
        <f t="shared" si="53"/>
        <v>0</v>
      </c>
      <c r="AA153" s="10">
        <f t="shared" si="53"/>
        <v>0</v>
      </c>
      <c r="AC153" s="10">
        <f t="shared" si="54"/>
        <v>30.351522126598855</v>
      </c>
      <c r="AD153" s="10">
        <f t="shared" si="54"/>
        <v>1.1303935806952303</v>
      </c>
      <c r="AH153" s="10">
        <f t="shared" si="40"/>
        <v>1</v>
      </c>
      <c r="AI153" s="10">
        <f t="shared" si="41"/>
        <v>0</v>
      </c>
      <c r="AJ153" s="10">
        <f t="shared" si="42"/>
        <v>0</v>
      </c>
    </row>
    <row r="154" spans="6:36" x14ac:dyDescent="0.25">
      <c r="F154" s="10">
        <v>7</v>
      </c>
      <c r="G154" s="10">
        <v>12</v>
      </c>
      <c r="H154" s="10">
        <v>0</v>
      </c>
      <c r="I154" s="10">
        <f t="shared" si="46"/>
        <v>9.6231558949622329</v>
      </c>
      <c r="J154" s="10">
        <f t="shared" si="47"/>
        <v>14.99938962981048</v>
      </c>
      <c r="K154" s="10">
        <f t="shared" si="48"/>
        <v>1</v>
      </c>
      <c r="S154" s="10">
        <f t="shared" si="49"/>
        <v>309.03264282554085</v>
      </c>
      <c r="T154" s="10">
        <f t="shared" si="50"/>
        <v>1</v>
      </c>
      <c r="U154" s="10">
        <f t="shared" si="51"/>
        <v>0</v>
      </c>
      <c r="V154" s="10">
        <f t="shared" si="52"/>
        <v>0</v>
      </c>
      <c r="Y154" s="10">
        <f t="shared" si="53"/>
        <v>0</v>
      </c>
      <c r="Z154" s="10">
        <f t="shared" si="53"/>
        <v>0</v>
      </c>
      <c r="AA154" s="10">
        <f t="shared" si="53"/>
        <v>0</v>
      </c>
      <c r="AC154" s="10">
        <f t="shared" si="54"/>
        <v>30.351522126598855</v>
      </c>
      <c r="AD154" s="10">
        <f t="shared" si="54"/>
        <v>1.1303935806952303</v>
      </c>
      <c r="AH154" s="10">
        <f t="shared" ref="AH154:AH217" si="55">IF(SUMPRODUCT(H152:J152,$AH$21:$AJ$21)&gt;=0,1,-1)</f>
        <v>1</v>
      </c>
      <c r="AI154" s="10">
        <f t="shared" ref="AI154:AI217" si="56">(K152-AH154)/2</f>
        <v>0</v>
      </c>
      <c r="AJ154" s="10">
        <f t="shared" ref="AJ154:AJ217" si="57">IF(AI154&lt;&gt;0,1,0)</f>
        <v>0</v>
      </c>
    </row>
    <row r="155" spans="6:36" x14ac:dyDescent="0.25">
      <c r="F155" s="10">
        <v>7</v>
      </c>
      <c r="G155" s="10">
        <v>13</v>
      </c>
      <c r="H155" s="10">
        <v>0</v>
      </c>
      <c r="I155" s="10">
        <f t="shared" si="46"/>
        <v>8.0162683783311302</v>
      </c>
      <c r="J155" s="10">
        <f t="shared" si="47"/>
        <v>14.99938962981048</v>
      </c>
      <c r="K155" s="10">
        <f t="shared" si="48"/>
        <v>1</v>
      </c>
      <c r="S155" s="10">
        <f t="shared" si="49"/>
        <v>260.26116080955637</v>
      </c>
      <c r="T155" s="10">
        <f t="shared" si="50"/>
        <v>1</v>
      </c>
      <c r="U155" s="10">
        <f t="shared" si="51"/>
        <v>0</v>
      </c>
      <c r="V155" s="10">
        <f t="shared" si="52"/>
        <v>0</v>
      </c>
      <c r="Y155" s="10">
        <f t="shared" si="53"/>
        <v>0</v>
      </c>
      <c r="Z155" s="10">
        <f t="shared" si="53"/>
        <v>0</v>
      </c>
      <c r="AA155" s="10">
        <f t="shared" si="53"/>
        <v>0</v>
      </c>
      <c r="AC155" s="10">
        <f t="shared" si="54"/>
        <v>30.351522126598855</v>
      </c>
      <c r="AD155" s="10">
        <f t="shared" si="54"/>
        <v>1.1303935806952303</v>
      </c>
      <c r="AH155" s="10">
        <f t="shared" si="55"/>
        <v>1</v>
      </c>
      <c r="AI155" s="10">
        <f t="shared" si="56"/>
        <v>0</v>
      </c>
      <c r="AJ155" s="10">
        <f t="shared" si="57"/>
        <v>0</v>
      </c>
    </row>
    <row r="156" spans="6:36" x14ac:dyDescent="0.25">
      <c r="F156" s="10">
        <v>7</v>
      </c>
      <c r="G156" s="10">
        <v>14</v>
      </c>
      <c r="H156" s="10">
        <v>0</v>
      </c>
      <c r="I156" s="10">
        <f t="shared" ref="I156:I171" si="58">I136</f>
        <v>11.270939377934512</v>
      </c>
      <c r="J156" s="10">
        <f t="shared" si="47"/>
        <v>14.99938962981048</v>
      </c>
      <c r="K156" s="10">
        <f t="shared" si="48"/>
        <v>1</v>
      </c>
      <c r="S156" s="10">
        <f t="shared" si="49"/>
        <v>359.0453796688181</v>
      </c>
      <c r="T156" s="10">
        <f t="shared" si="50"/>
        <v>1</v>
      </c>
      <c r="U156" s="10">
        <f t="shared" si="51"/>
        <v>0</v>
      </c>
      <c r="V156" s="10">
        <f t="shared" si="52"/>
        <v>0</v>
      </c>
      <c r="Y156" s="10">
        <f t="shared" si="53"/>
        <v>0</v>
      </c>
      <c r="Z156" s="10">
        <f t="shared" si="53"/>
        <v>0</v>
      </c>
      <c r="AA156" s="10">
        <f t="shared" si="53"/>
        <v>0</v>
      </c>
      <c r="AC156" s="10">
        <f t="shared" si="54"/>
        <v>30.351522126598855</v>
      </c>
      <c r="AD156" s="10">
        <f t="shared" si="54"/>
        <v>1.1303935806952303</v>
      </c>
      <c r="AH156" s="10">
        <f t="shared" si="55"/>
        <v>1</v>
      </c>
      <c r="AI156" s="10">
        <f t="shared" si="56"/>
        <v>0</v>
      </c>
      <c r="AJ156" s="10">
        <f t="shared" si="57"/>
        <v>0</v>
      </c>
    </row>
    <row r="157" spans="6:36" x14ac:dyDescent="0.25">
      <c r="F157" s="10">
        <v>7</v>
      </c>
      <c r="G157" s="10">
        <v>15</v>
      </c>
      <c r="H157" s="10">
        <v>0</v>
      </c>
      <c r="I157" s="10">
        <f t="shared" si="58"/>
        <v>7.0021023351067502</v>
      </c>
      <c r="J157" s="10">
        <f t="shared" si="47"/>
        <v>14.99938962981048</v>
      </c>
      <c r="K157" s="10">
        <f t="shared" si="48"/>
        <v>1</v>
      </c>
      <c r="S157" s="10">
        <f t="shared" si="49"/>
        <v>229.47967770858642</v>
      </c>
      <c r="T157" s="10">
        <f t="shared" si="50"/>
        <v>1</v>
      </c>
      <c r="U157" s="10">
        <f t="shared" si="51"/>
        <v>0</v>
      </c>
      <c r="V157" s="10">
        <f t="shared" si="52"/>
        <v>0</v>
      </c>
      <c r="Y157" s="10">
        <f t="shared" si="53"/>
        <v>0</v>
      </c>
      <c r="Z157" s="10">
        <f t="shared" si="53"/>
        <v>0</v>
      </c>
      <c r="AA157" s="10">
        <f t="shared" si="53"/>
        <v>0</v>
      </c>
      <c r="AC157" s="10">
        <f t="shared" si="54"/>
        <v>30.351522126598855</v>
      </c>
      <c r="AD157" s="10">
        <f t="shared" si="54"/>
        <v>1.1303935806952303</v>
      </c>
      <c r="AH157" s="10">
        <f t="shared" si="55"/>
        <v>1</v>
      </c>
      <c r="AI157" s="10">
        <f t="shared" si="56"/>
        <v>0</v>
      </c>
      <c r="AJ157" s="10">
        <f t="shared" si="57"/>
        <v>0</v>
      </c>
    </row>
    <row r="158" spans="6:36" x14ac:dyDescent="0.25">
      <c r="F158" s="10">
        <v>7</v>
      </c>
      <c r="G158" s="10">
        <v>16</v>
      </c>
      <c r="H158" s="10">
        <v>0</v>
      </c>
      <c r="I158" s="10">
        <f t="shared" si="58"/>
        <v>9.3873260438242312</v>
      </c>
      <c r="J158" s="10">
        <f t="shared" si="47"/>
        <v>14.99938962981048</v>
      </c>
      <c r="K158" s="10">
        <f t="shared" si="48"/>
        <v>1</v>
      </c>
      <c r="S158" s="10">
        <f t="shared" si="49"/>
        <v>301.87484788061317</v>
      </c>
      <c r="T158" s="10">
        <f t="shared" si="50"/>
        <v>1</v>
      </c>
      <c r="U158" s="10">
        <f t="shared" si="51"/>
        <v>0</v>
      </c>
      <c r="V158" s="10">
        <f t="shared" si="52"/>
        <v>0</v>
      </c>
      <c r="Y158" s="10">
        <f t="shared" si="53"/>
        <v>0</v>
      </c>
      <c r="Z158" s="10">
        <f t="shared" si="53"/>
        <v>0</v>
      </c>
      <c r="AA158" s="10">
        <f t="shared" si="53"/>
        <v>0</v>
      </c>
      <c r="AC158" s="10">
        <f t="shared" si="54"/>
        <v>30.351522126598855</v>
      </c>
      <c r="AD158" s="10">
        <f t="shared" si="54"/>
        <v>1.1303935806952303</v>
      </c>
      <c r="AH158" s="10">
        <f t="shared" si="55"/>
        <v>1</v>
      </c>
      <c r="AI158" s="10">
        <f t="shared" si="56"/>
        <v>0</v>
      </c>
      <c r="AJ158" s="10">
        <f t="shared" si="57"/>
        <v>0</v>
      </c>
    </row>
    <row r="159" spans="6:36" x14ac:dyDescent="0.25">
      <c r="F159" s="10">
        <v>7</v>
      </c>
      <c r="G159" s="10">
        <v>17</v>
      </c>
      <c r="H159" s="10">
        <v>0</v>
      </c>
      <c r="I159" s="10">
        <f t="shared" si="58"/>
        <v>8.350479766806572</v>
      </c>
      <c r="J159" s="10">
        <f t="shared" si="47"/>
        <v>14.99938962981048</v>
      </c>
      <c r="K159" s="10">
        <f t="shared" si="48"/>
        <v>1</v>
      </c>
      <c r="S159" s="10">
        <f t="shared" si="49"/>
        <v>270.4049851618301</v>
      </c>
      <c r="T159" s="10">
        <f t="shared" si="50"/>
        <v>1</v>
      </c>
      <c r="U159" s="10">
        <f t="shared" si="51"/>
        <v>0</v>
      </c>
      <c r="V159" s="10">
        <f t="shared" si="52"/>
        <v>0</v>
      </c>
      <c r="Y159" s="10">
        <f t="shared" si="53"/>
        <v>0</v>
      </c>
      <c r="Z159" s="10">
        <f t="shared" si="53"/>
        <v>0</v>
      </c>
      <c r="AA159" s="10">
        <f t="shared" si="53"/>
        <v>0</v>
      </c>
      <c r="AC159" s="10">
        <f t="shared" si="54"/>
        <v>30.351522126598855</v>
      </c>
      <c r="AD159" s="10">
        <f t="shared" si="54"/>
        <v>1.1303935806952303</v>
      </c>
      <c r="AH159" s="10">
        <f t="shared" si="55"/>
        <v>1</v>
      </c>
      <c r="AI159" s="10">
        <f t="shared" si="56"/>
        <v>0</v>
      </c>
      <c r="AJ159" s="10">
        <f t="shared" si="57"/>
        <v>0</v>
      </c>
    </row>
    <row r="160" spans="6:36" x14ac:dyDescent="0.25">
      <c r="F160" s="10">
        <v>7</v>
      </c>
      <c r="G160" s="10">
        <v>18</v>
      </c>
      <c r="H160" s="10">
        <v>0</v>
      </c>
      <c r="I160" s="10">
        <f t="shared" si="58"/>
        <v>8.8378960488846694</v>
      </c>
      <c r="J160" s="10">
        <f t="shared" si="47"/>
        <v>14.99938962981048</v>
      </c>
      <c r="K160" s="10">
        <f t="shared" si="48"/>
        <v>1</v>
      </c>
      <c r="S160" s="10">
        <f t="shared" si="49"/>
        <v>285.19881123218806</v>
      </c>
      <c r="T160" s="10">
        <f t="shared" si="50"/>
        <v>1</v>
      </c>
      <c r="U160" s="10">
        <f t="shared" si="51"/>
        <v>0</v>
      </c>
      <c r="V160" s="10">
        <f t="shared" si="52"/>
        <v>0</v>
      </c>
      <c r="Y160" s="10">
        <f t="shared" si="53"/>
        <v>0</v>
      </c>
      <c r="Z160" s="10">
        <f t="shared" si="53"/>
        <v>0</v>
      </c>
      <c r="AA160" s="10">
        <f t="shared" si="53"/>
        <v>0</v>
      </c>
      <c r="AC160" s="10">
        <f t="shared" si="54"/>
        <v>30.351522126598855</v>
      </c>
      <c r="AD160" s="10">
        <f t="shared" si="54"/>
        <v>1.1303935806952303</v>
      </c>
      <c r="AH160" s="10">
        <f t="shared" si="55"/>
        <v>1</v>
      </c>
      <c r="AI160" s="10">
        <f t="shared" si="56"/>
        <v>0</v>
      </c>
      <c r="AJ160" s="10">
        <f t="shared" si="57"/>
        <v>0</v>
      </c>
    </row>
    <row r="161" spans="6:36" x14ac:dyDescent="0.25">
      <c r="F161" s="10">
        <v>7</v>
      </c>
      <c r="G161" s="10">
        <v>19</v>
      </c>
      <c r="H161" s="10">
        <v>0</v>
      </c>
      <c r="I161" s="10">
        <f t="shared" si="58"/>
        <v>5.9362821331723659</v>
      </c>
      <c r="J161" s="10">
        <f t="shared" si="47"/>
        <v>14.99938962981048</v>
      </c>
      <c r="K161" s="10">
        <f t="shared" si="48"/>
        <v>1</v>
      </c>
      <c r="S161" s="10">
        <f t="shared" si="49"/>
        <v>197.13041226659888</v>
      </c>
      <c r="T161" s="10">
        <f t="shared" si="50"/>
        <v>1</v>
      </c>
      <c r="U161" s="10">
        <f t="shared" si="51"/>
        <v>0</v>
      </c>
      <c r="V161" s="10">
        <f t="shared" si="52"/>
        <v>0</v>
      </c>
      <c r="Y161" s="10">
        <f t="shared" si="53"/>
        <v>0</v>
      </c>
      <c r="Z161" s="10">
        <f t="shared" si="53"/>
        <v>0</v>
      </c>
      <c r="AA161" s="10">
        <f t="shared" si="53"/>
        <v>0</v>
      </c>
      <c r="AC161" s="10">
        <f t="shared" si="54"/>
        <v>30.351522126598855</v>
      </c>
      <c r="AD161" s="10">
        <f t="shared" si="54"/>
        <v>1.1303935806952303</v>
      </c>
      <c r="AH161" s="10">
        <f t="shared" si="55"/>
        <v>1</v>
      </c>
      <c r="AI161" s="10">
        <f t="shared" si="56"/>
        <v>0</v>
      </c>
      <c r="AJ161" s="10">
        <f t="shared" si="57"/>
        <v>0</v>
      </c>
    </row>
    <row r="162" spans="6:36" x14ac:dyDescent="0.25">
      <c r="F162" s="10">
        <v>7</v>
      </c>
      <c r="G162" s="10">
        <v>20</v>
      </c>
      <c r="H162" s="10">
        <v>0</v>
      </c>
      <c r="I162" s="10">
        <f t="shared" si="58"/>
        <v>6.5710893880029841</v>
      </c>
      <c r="J162" s="10">
        <f t="shared" si="47"/>
        <v>14.99938962981048</v>
      </c>
      <c r="K162" s="10">
        <f t="shared" si="48"/>
        <v>1</v>
      </c>
      <c r="S162" s="10">
        <f t="shared" si="49"/>
        <v>216.39777870771587</v>
      </c>
      <c r="T162" s="10">
        <f t="shared" si="50"/>
        <v>1</v>
      </c>
      <c r="U162" s="10">
        <f t="shared" si="51"/>
        <v>0</v>
      </c>
      <c r="V162" s="10">
        <f t="shared" si="52"/>
        <v>0</v>
      </c>
      <c r="X162" s="10">
        <f>SUM(V143:V162)</f>
        <v>0</v>
      </c>
      <c r="Y162" s="10">
        <f t="shared" si="53"/>
        <v>0</v>
      </c>
      <c r="Z162" s="10">
        <f t="shared" si="53"/>
        <v>0</v>
      </c>
      <c r="AA162" s="10">
        <f t="shared" si="53"/>
        <v>0</v>
      </c>
      <c r="AC162" s="10">
        <f t="shared" si="54"/>
        <v>30.351522126598855</v>
      </c>
      <c r="AD162" s="10">
        <f t="shared" si="54"/>
        <v>1.1303935806952303</v>
      </c>
      <c r="AH162" s="10">
        <f t="shared" si="55"/>
        <v>1</v>
      </c>
      <c r="AI162" s="10">
        <f t="shared" si="56"/>
        <v>0</v>
      </c>
      <c r="AJ162" s="10">
        <f t="shared" si="57"/>
        <v>0</v>
      </c>
    </row>
    <row r="163" spans="6:36" x14ac:dyDescent="0.25">
      <c r="F163" s="10">
        <v>8</v>
      </c>
      <c r="G163" s="10">
        <v>1</v>
      </c>
      <c r="H163" s="10">
        <v>0</v>
      </c>
      <c r="I163" s="10">
        <f t="shared" si="58"/>
        <v>4.3149584625268673</v>
      </c>
      <c r="J163" s="10">
        <f t="shared" si="47"/>
        <v>14.99938962981048</v>
      </c>
      <c r="K163" s="10">
        <f t="shared" si="48"/>
        <v>1</v>
      </c>
      <c r="S163" s="12">
        <f t="shared" si="49"/>
        <v>147.92077100262355</v>
      </c>
      <c r="T163" s="12">
        <f t="shared" si="50"/>
        <v>1</v>
      </c>
      <c r="U163" s="12">
        <f t="shared" si="51"/>
        <v>0</v>
      </c>
      <c r="V163" s="12">
        <f t="shared" si="52"/>
        <v>0</v>
      </c>
      <c r="W163" s="12"/>
      <c r="X163" s="12"/>
      <c r="Y163" s="10">
        <f t="shared" si="53"/>
        <v>0</v>
      </c>
      <c r="Z163" s="10">
        <f t="shared" si="53"/>
        <v>0</v>
      </c>
      <c r="AA163" s="10">
        <f t="shared" si="53"/>
        <v>0</v>
      </c>
      <c r="AC163" s="10">
        <f t="shared" si="54"/>
        <v>30.351522126598855</v>
      </c>
      <c r="AD163" s="10">
        <f t="shared" si="54"/>
        <v>1.1303935806952303</v>
      </c>
      <c r="AH163" s="10">
        <f t="shared" si="55"/>
        <v>1</v>
      </c>
      <c r="AI163" s="10">
        <f t="shared" si="56"/>
        <v>0</v>
      </c>
      <c r="AJ163" s="10">
        <f t="shared" si="57"/>
        <v>0</v>
      </c>
    </row>
    <row r="164" spans="6:36" x14ac:dyDescent="0.25">
      <c r="F164" s="10">
        <v>8</v>
      </c>
      <c r="G164" s="10">
        <v>2</v>
      </c>
      <c r="H164" s="10">
        <v>0</v>
      </c>
      <c r="I164" s="10">
        <f t="shared" si="58"/>
        <v>4.2336649521823988</v>
      </c>
      <c r="J164" s="10">
        <f t="shared" si="47"/>
        <v>14.99938962981048</v>
      </c>
      <c r="K164" s="10">
        <f t="shared" si="48"/>
        <v>1</v>
      </c>
      <c r="S164" s="10">
        <f t="shared" si="49"/>
        <v>145.45338922465453</v>
      </c>
      <c r="T164" s="10">
        <f t="shared" si="50"/>
        <v>1</v>
      </c>
      <c r="U164" s="10">
        <f t="shared" si="51"/>
        <v>0</v>
      </c>
      <c r="V164" s="10">
        <f t="shared" si="52"/>
        <v>0</v>
      </c>
      <c r="Y164" s="10">
        <f t="shared" si="53"/>
        <v>0</v>
      </c>
      <c r="Z164" s="10">
        <f t="shared" si="53"/>
        <v>0</v>
      </c>
      <c r="AA164" s="10">
        <f t="shared" si="53"/>
        <v>0</v>
      </c>
      <c r="AC164" s="10">
        <f t="shared" si="54"/>
        <v>30.351522126598855</v>
      </c>
      <c r="AD164" s="10">
        <f t="shared" si="54"/>
        <v>1.1303935806952303</v>
      </c>
      <c r="AH164" s="10">
        <f t="shared" si="55"/>
        <v>1</v>
      </c>
      <c r="AI164" s="10">
        <f t="shared" si="56"/>
        <v>0</v>
      </c>
      <c r="AJ164" s="10">
        <f t="shared" si="57"/>
        <v>0</v>
      </c>
    </row>
    <row r="165" spans="6:36" x14ac:dyDescent="0.25">
      <c r="F165" s="10">
        <v>8</v>
      </c>
      <c r="G165" s="10">
        <v>3</v>
      </c>
      <c r="H165" s="10">
        <v>0</v>
      </c>
      <c r="I165" s="10">
        <f t="shared" si="58"/>
        <v>4.0760342132531742</v>
      </c>
      <c r="J165" s="10">
        <f t="shared" si="47"/>
        <v>14.99938962981048</v>
      </c>
      <c r="K165" s="10">
        <f t="shared" si="48"/>
        <v>1</v>
      </c>
      <c r="S165" s="10">
        <f t="shared" si="49"/>
        <v>140.66905636421205</v>
      </c>
      <c r="T165" s="10">
        <f t="shared" si="50"/>
        <v>1</v>
      </c>
      <c r="U165" s="10">
        <f t="shared" si="51"/>
        <v>0</v>
      </c>
      <c r="V165" s="10">
        <f t="shared" si="52"/>
        <v>0</v>
      </c>
      <c r="Y165" s="10">
        <f t="shared" si="53"/>
        <v>0</v>
      </c>
      <c r="Z165" s="10">
        <f t="shared" si="53"/>
        <v>0</v>
      </c>
      <c r="AA165" s="10">
        <f t="shared" si="53"/>
        <v>0</v>
      </c>
      <c r="AC165" s="10">
        <f t="shared" si="54"/>
        <v>30.351522126598855</v>
      </c>
      <c r="AD165" s="10">
        <f t="shared" si="54"/>
        <v>1.1303935806952303</v>
      </c>
      <c r="AH165" s="10">
        <f t="shared" si="55"/>
        <v>1</v>
      </c>
      <c r="AI165" s="10">
        <f t="shared" si="56"/>
        <v>0</v>
      </c>
      <c r="AJ165" s="10">
        <f t="shared" si="57"/>
        <v>0</v>
      </c>
    </row>
    <row r="166" spans="6:36" x14ac:dyDescent="0.25">
      <c r="F166" s="10">
        <v>8</v>
      </c>
      <c r="G166" s="10">
        <v>4</v>
      </c>
      <c r="H166" s="10">
        <v>0</v>
      </c>
      <c r="I166" s="10">
        <f t="shared" si="58"/>
        <v>6.9682999690312606</v>
      </c>
      <c r="J166" s="10">
        <f t="shared" si="47"/>
        <v>14.99938962981048</v>
      </c>
      <c r="K166" s="10">
        <f t="shared" si="48"/>
        <v>1</v>
      </c>
      <c r="S166" s="10">
        <f t="shared" si="49"/>
        <v>228.4537244467148</v>
      </c>
      <c r="T166" s="10">
        <f t="shared" si="50"/>
        <v>1</v>
      </c>
      <c r="U166" s="10">
        <f t="shared" si="51"/>
        <v>0</v>
      </c>
      <c r="V166" s="10">
        <f t="shared" si="52"/>
        <v>0</v>
      </c>
      <c r="Y166" s="10">
        <f t="shared" si="53"/>
        <v>0</v>
      </c>
      <c r="Z166" s="10">
        <f t="shared" si="53"/>
        <v>0</v>
      </c>
      <c r="AA166" s="10">
        <f t="shared" si="53"/>
        <v>0</v>
      </c>
      <c r="AC166" s="10">
        <f t="shared" si="54"/>
        <v>30.351522126598855</v>
      </c>
      <c r="AD166" s="10">
        <f t="shared" si="54"/>
        <v>1.1303935806952303</v>
      </c>
      <c r="AH166" s="10">
        <f t="shared" si="55"/>
        <v>1</v>
      </c>
      <c r="AI166" s="10">
        <f t="shared" si="56"/>
        <v>0</v>
      </c>
      <c r="AJ166" s="10">
        <f t="shared" si="57"/>
        <v>0</v>
      </c>
    </row>
    <row r="167" spans="6:36" x14ac:dyDescent="0.25">
      <c r="F167" s="10">
        <v>8</v>
      </c>
      <c r="G167" s="10">
        <v>5</v>
      </c>
      <c r="H167" s="10">
        <v>0</v>
      </c>
      <c r="I167" s="10">
        <f t="shared" si="58"/>
        <v>8.3649028089644606</v>
      </c>
      <c r="J167" s="10">
        <f t="shared" si="47"/>
        <v>14.99938962981048</v>
      </c>
      <c r="K167" s="10">
        <f t="shared" si="48"/>
        <v>1</v>
      </c>
      <c r="S167" s="10">
        <f t="shared" si="49"/>
        <v>270.84274644501812</v>
      </c>
      <c r="T167" s="10">
        <f t="shared" si="50"/>
        <v>1</v>
      </c>
      <c r="U167" s="10">
        <f t="shared" si="51"/>
        <v>0</v>
      </c>
      <c r="V167" s="10">
        <f t="shared" si="52"/>
        <v>0</v>
      </c>
      <c r="Y167" s="10">
        <f t="shared" si="53"/>
        <v>0</v>
      </c>
      <c r="Z167" s="10">
        <f t="shared" si="53"/>
        <v>0</v>
      </c>
      <c r="AA167" s="10">
        <f t="shared" si="53"/>
        <v>0</v>
      </c>
      <c r="AC167" s="10">
        <f t="shared" si="54"/>
        <v>30.351522126598855</v>
      </c>
      <c r="AD167" s="10">
        <f t="shared" si="54"/>
        <v>1.1303935806952303</v>
      </c>
      <c r="AH167" s="10">
        <f t="shared" si="55"/>
        <v>1</v>
      </c>
      <c r="AI167" s="10">
        <f t="shared" si="56"/>
        <v>0</v>
      </c>
      <c r="AJ167" s="10">
        <f t="shared" si="57"/>
        <v>0</v>
      </c>
    </row>
    <row r="168" spans="6:36" x14ac:dyDescent="0.25">
      <c r="F168" s="10">
        <v>8</v>
      </c>
      <c r="G168" s="10">
        <v>6</v>
      </c>
      <c r="H168" s="10">
        <v>0</v>
      </c>
      <c r="I168" s="10">
        <f t="shared" si="58"/>
        <v>9.3848699915294151</v>
      </c>
      <c r="J168" s="10">
        <f t="shared" si="47"/>
        <v>14.99938962981048</v>
      </c>
      <c r="K168" s="10">
        <f t="shared" si="48"/>
        <v>1</v>
      </c>
      <c r="S168" s="10">
        <f t="shared" si="49"/>
        <v>301.80030295504298</v>
      </c>
      <c r="T168" s="10">
        <f t="shared" si="50"/>
        <v>1</v>
      </c>
      <c r="U168" s="10">
        <f t="shared" si="51"/>
        <v>0</v>
      </c>
      <c r="V168" s="10">
        <f t="shared" si="52"/>
        <v>0</v>
      </c>
      <c r="Y168" s="10">
        <f t="shared" si="53"/>
        <v>0</v>
      </c>
      <c r="Z168" s="10">
        <f t="shared" si="53"/>
        <v>0</v>
      </c>
      <c r="AA168" s="10">
        <f t="shared" si="53"/>
        <v>0</v>
      </c>
      <c r="AC168" s="10">
        <f t="shared" si="54"/>
        <v>30.351522126598855</v>
      </c>
      <c r="AD168" s="10">
        <f t="shared" si="54"/>
        <v>1.1303935806952303</v>
      </c>
      <c r="AH168" s="10">
        <f t="shared" si="55"/>
        <v>1</v>
      </c>
      <c r="AI168" s="10">
        <f t="shared" si="56"/>
        <v>0</v>
      </c>
      <c r="AJ168" s="10">
        <f t="shared" si="57"/>
        <v>0</v>
      </c>
    </row>
    <row r="169" spans="6:36" x14ac:dyDescent="0.25">
      <c r="F169" s="10">
        <v>8</v>
      </c>
      <c r="G169" s="10">
        <v>7</v>
      </c>
      <c r="H169" s="10">
        <v>0</v>
      </c>
      <c r="I169" s="10">
        <f t="shared" si="58"/>
        <v>9.2116945315592211</v>
      </c>
      <c r="J169" s="10">
        <f t="shared" si="47"/>
        <v>14.99938962981048</v>
      </c>
      <c r="K169" s="10">
        <f t="shared" si="48"/>
        <v>1</v>
      </c>
      <c r="S169" s="10">
        <f t="shared" si="49"/>
        <v>296.54416414997377</v>
      </c>
      <c r="T169" s="10">
        <f t="shared" si="50"/>
        <v>1</v>
      </c>
      <c r="U169" s="10">
        <f t="shared" si="51"/>
        <v>0</v>
      </c>
      <c r="V169" s="10">
        <f t="shared" si="52"/>
        <v>0</v>
      </c>
      <c r="Y169" s="10">
        <f t="shared" si="53"/>
        <v>0</v>
      </c>
      <c r="Z169" s="10">
        <f t="shared" si="53"/>
        <v>0</v>
      </c>
      <c r="AA169" s="10">
        <f t="shared" si="53"/>
        <v>0</v>
      </c>
      <c r="AC169" s="10">
        <f t="shared" si="54"/>
        <v>30.351522126598855</v>
      </c>
      <c r="AD169" s="10">
        <f t="shared" si="54"/>
        <v>1.1303935806952303</v>
      </c>
      <c r="AH169" s="10">
        <f t="shared" si="55"/>
        <v>1</v>
      </c>
      <c r="AI169" s="10">
        <f t="shared" si="56"/>
        <v>0</v>
      </c>
      <c r="AJ169" s="10">
        <f t="shared" si="57"/>
        <v>0</v>
      </c>
    </row>
    <row r="170" spans="6:36" x14ac:dyDescent="0.25">
      <c r="F170" s="10">
        <v>8</v>
      </c>
      <c r="G170" s="10">
        <v>8</v>
      </c>
      <c r="H170" s="10">
        <v>0</v>
      </c>
      <c r="I170" s="10">
        <f t="shared" si="58"/>
        <v>10.461114754974387</v>
      </c>
      <c r="J170" s="10">
        <f t="shared" si="47"/>
        <v>14.99938962981048</v>
      </c>
      <c r="K170" s="10">
        <f t="shared" si="48"/>
        <v>1</v>
      </c>
      <c r="S170" s="10">
        <f t="shared" si="49"/>
        <v>334.46596970637927</v>
      </c>
      <c r="T170" s="10">
        <f t="shared" si="50"/>
        <v>1</v>
      </c>
      <c r="U170" s="10">
        <f t="shared" si="51"/>
        <v>0</v>
      </c>
      <c r="V170" s="10">
        <f t="shared" si="52"/>
        <v>0</v>
      </c>
      <c r="Y170" s="10">
        <f t="shared" si="53"/>
        <v>0</v>
      </c>
      <c r="Z170" s="10">
        <f t="shared" si="53"/>
        <v>0</v>
      </c>
      <c r="AA170" s="10">
        <f t="shared" si="53"/>
        <v>0</v>
      </c>
      <c r="AC170" s="10">
        <f t="shared" si="54"/>
        <v>30.351522126598855</v>
      </c>
      <c r="AD170" s="10">
        <f t="shared" si="54"/>
        <v>1.1303935806952303</v>
      </c>
      <c r="AH170" s="10">
        <f t="shared" si="55"/>
        <v>1</v>
      </c>
      <c r="AI170" s="10">
        <f t="shared" si="56"/>
        <v>0</v>
      </c>
      <c r="AJ170" s="10">
        <f t="shared" si="57"/>
        <v>0</v>
      </c>
    </row>
    <row r="171" spans="6:36" x14ac:dyDescent="0.25">
      <c r="F171" s="10">
        <v>8</v>
      </c>
      <c r="G171" s="10">
        <v>9</v>
      </c>
      <c r="H171" s="10">
        <v>0</v>
      </c>
      <c r="I171" s="10">
        <f t="shared" si="58"/>
        <v>4.1553347214085523</v>
      </c>
      <c r="J171" s="10">
        <f t="shared" si="47"/>
        <v>14.99938962981048</v>
      </c>
      <c r="K171" s="10">
        <f t="shared" si="48"/>
        <v>1</v>
      </c>
      <c r="S171" s="10">
        <f t="shared" si="49"/>
        <v>143.07594749214053</v>
      </c>
      <c r="T171" s="10">
        <f t="shared" si="50"/>
        <v>1</v>
      </c>
      <c r="U171" s="10">
        <f t="shared" si="51"/>
        <v>0</v>
      </c>
      <c r="V171" s="10">
        <f t="shared" si="52"/>
        <v>0</v>
      </c>
      <c r="Y171" s="10">
        <f t="shared" si="53"/>
        <v>0</v>
      </c>
      <c r="Z171" s="10">
        <f t="shared" si="53"/>
        <v>0</v>
      </c>
      <c r="AA171" s="10">
        <f t="shared" si="53"/>
        <v>0</v>
      </c>
      <c r="AC171" s="10">
        <f t="shared" si="54"/>
        <v>30.351522126598855</v>
      </c>
      <c r="AD171" s="10">
        <f t="shared" si="54"/>
        <v>1.1303935806952303</v>
      </c>
      <c r="AH171" s="10">
        <f t="shared" si="55"/>
        <v>1</v>
      </c>
      <c r="AI171" s="10">
        <f t="shared" si="56"/>
        <v>0</v>
      </c>
      <c r="AJ171" s="10">
        <f t="shared" si="57"/>
        <v>0</v>
      </c>
    </row>
    <row r="172" spans="6:36" x14ac:dyDescent="0.25">
      <c r="F172" s="10">
        <v>8</v>
      </c>
      <c r="G172" s="10">
        <v>10</v>
      </c>
      <c r="H172" s="10">
        <v>0</v>
      </c>
      <c r="I172" s="10">
        <f t="shared" ref="I172:I187" si="59">I152</f>
        <v>8.4627041466514576</v>
      </c>
      <c r="J172" s="10">
        <f t="shared" si="47"/>
        <v>14.99938962981048</v>
      </c>
      <c r="K172" s="10">
        <f t="shared" si="48"/>
        <v>1</v>
      </c>
      <c r="S172" s="10">
        <f t="shared" si="49"/>
        <v>273.81116590983595</v>
      </c>
      <c r="T172" s="10">
        <f t="shared" si="50"/>
        <v>1</v>
      </c>
      <c r="U172" s="10">
        <f t="shared" si="51"/>
        <v>0</v>
      </c>
      <c r="V172" s="10">
        <f t="shared" si="52"/>
        <v>0</v>
      </c>
      <c r="Y172" s="10">
        <f t="shared" si="53"/>
        <v>0</v>
      </c>
      <c r="Z172" s="10">
        <f t="shared" si="53"/>
        <v>0</v>
      </c>
      <c r="AA172" s="10">
        <f t="shared" si="53"/>
        <v>0</v>
      </c>
      <c r="AC172" s="10">
        <f t="shared" si="54"/>
        <v>30.351522126598855</v>
      </c>
      <c r="AD172" s="10">
        <f t="shared" si="54"/>
        <v>1.1303935806952303</v>
      </c>
      <c r="AH172" s="10">
        <f t="shared" si="55"/>
        <v>1</v>
      </c>
      <c r="AI172" s="10">
        <f t="shared" si="56"/>
        <v>0</v>
      </c>
      <c r="AJ172" s="10">
        <f t="shared" si="57"/>
        <v>0</v>
      </c>
    </row>
    <row r="173" spans="6:36" x14ac:dyDescent="0.25">
      <c r="F173" s="10">
        <v>8</v>
      </c>
      <c r="G173" s="10">
        <v>11</v>
      </c>
      <c r="H173" s="10">
        <v>0</v>
      </c>
      <c r="I173" s="10">
        <f t="shared" si="59"/>
        <v>11.722530671423003</v>
      </c>
      <c r="J173" s="10">
        <f t="shared" si="47"/>
        <v>14.99938962981048</v>
      </c>
      <c r="K173" s="10">
        <f t="shared" si="48"/>
        <v>1</v>
      </c>
      <c r="S173" s="10">
        <f t="shared" si="49"/>
        <v>372.75186280531341</v>
      </c>
      <c r="T173" s="10">
        <f t="shared" si="50"/>
        <v>1</v>
      </c>
      <c r="U173" s="10">
        <f t="shared" si="51"/>
        <v>0</v>
      </c>
      <c r="V173" s="10">
        <f t="shared" si="52"/>
        <v>0</v>
      </c>
      <c r="Y173" s="10">
        <f t="shared" si="53"/>
        <v>0</v>
      </c>
      <c r="Z173" s="10">
        <f t="shared" si="53"/>
        <v>0</v>
      </c>
      <c r="AA173" s="10">
        <f t="shared" si="53"/>
        <v>0</v>
      </c>
      <c r="AC173" s="10">
        <f t="shared" si="54"/>
        <v>30.351522126598855</v>
      </c>
      <c r="AD173" s="10">
        <f t="shared" si="54"/>
        <v>1.1303935806952303</v>
      </c>
      <c r="AH173" s="10">
        <f t="shared" si="55"/>
        <v>1</v>
      </c>
      <c r="AI173" s="10">
        <f t="shared" si="56"/>
        <v>0</v>
      </c>
      <c r="AJ173" s="10">
        <f t="shared" si="57"/>
        <v>0</v>
      </c>
    </row>
    <row r="174" spans="6:36" x14ac:dyDescent="0.25">
      <c r="F174" s="10">
        <v>8</v>
      </c>
      <c r="G174" s="10">
        <v>12</v>
      </c>
      <c r="H174" s="10">
        <v>0</v>
      </c>
      <c r="I174" s="10">
        <f t="shared" si="59"/>
        <v>9.6231558949622329</v>
      </c>
      <c r="J174" s="10">
        <f t="shared" si="47"/>
        <v>14.99938962981048</v>
      </c>
      <c r="K174" s="10">
        <f t="shared" si="48"/>
        <v>1</v>
      </c>
      <c r="S174" s="10">
        <f t="shared" si="49"/>
        <v>309.03264282554085</v>
      </c>
      <c r="T174" s="10">
        <f t="shared" si="50"/>
        <v>1</v>
      </c>
      <c r="U174" s="10">
        <f t="shared" si="51"/>
        <v>0</v>
      </c>
      <c r="V174" s="10">
        <f t="shared" si="52"/>
        <v>0</v>
      </c>
      <c r="Y174" s="10">
        <f t="shared" si="53"/>
        <v>0</v>
      </c>
      <c r="Z174" s="10">
        <f t="shared" si="53"/>
        <v>0</v>
      </c>
      <c r="AA174" s="10">
        <f t="shared" si="53"/>
        <v>0</v>
      </c>
      <c r="AC174" s="10">
        <f t="shared" si="54"/>
        <v>30.351522126598855</v>
      </c>
      <c r="AD174" s="10">
        <f t="shared" si="54"/>
        <v>1.1303935806952303</v>
      </c>
      <c r="AH174" s="10">
        <f t="shared" si="55"/>
        <v>1</v>
      </c>
      <c r="AI174" s="10">
        <f t="shared" si="56"/>
        <v>0</v>
      </c>
      <c r="AJ174" s="10">
        <f t="shared" si="57"/>
        <v>0</v>
      </c>
    </row>
    <row r="175" spans="6:36" x14ac:dyDescent="0.25">
      <c r="F175" s="10">
        <v>8</v>
      </c>
      <c r="G175" s="10">
        <v>13</v>
      </c>
      <c r="H175" s="10">
        <v>0</v>
      </c>
      <c r="I175" s="10">
        <f t="shared" si="59"/>
        <v>8.0162683783311302</v>
      </c>
      <c r="J175" s="10">
        <f t="shared" si="47"/>
        <v>14.99938962981048</v>
      </c>
      <c r="K175" s="10">
        <f t="shared" si="48"/>
        <v>1</v>
      </c>
      <c r="S175" s="10">
        <f t="shared" si="49"/>
        <v>260.26116080955637</v>
      </c>
      <c r="T175" s="10">
        <f t="shared" si="50"/>
        <v>1</v>
      </c>
      <c r="U175" s="10">
        <f t="shared" si="51"/>
        <v>0</v>
      </c>
      <c r="V175" s="10">
        <f t="shared" si="52"/>
        <v>0</v>
      </c>
      <c r="Y175" s="10">
        <f t="shared" si="53"/>
        <v>0</v>
      </c>
      <c r="Z175" s="10">
        <f t="shared" si="53"/>
        <v>0</v>
      </c>
      <c r="AA175" s="10">
        <f t="shared" si="53"/>
        <v>0</v>
      </c>
      <c r="AC175" s="10">
        <f t="shared" si="54"/>
        <v>30.351522126598855</v>
      </c>
      <c r="AD175" s="10">
        <f t="shared" si="54"/>
        <v>1.1303935806952303</v>
      </c>
      <c r="AH175" s="10">
        <f t="shared" si="55"/>
        <v>1</v>
      </c>
      <c r="AI175" s="10">
        <f t="shared" si="56"/>
        <v>0</v>
      </c>
      <c r="AJ175" s="10">
        <f t="shared" si="57"/>
        <v>0</v>
      </c>
    </row>
    <row r="176" spans="6:36" x14ac:dyDescent="0.25">
      <c r="F176" s="10">
        <v>8</v>
      </c>
      <c r="G176" s="10">
        <v>14</v>
      </c>
      <c r="H176" s="10">
        <v>0</v>
      </c>
      <c r="I176" s="10">
        <f t="shared" si="59"/>
        <v>11.270939377934512</v>
      </c>
      <c r="J176" s="10">
        <f t="shared" si="47"/>
        <v>14.99938962981048</v>
      </c>
      <c r="K176" s="10">
        <f t="shared" si="48"/>
        <v>1</v>
      </c>
      <c r="S176" s="10">
        <f t="shared" si="49"/>
        <v>359.0453796688181</v>
      </c>
      <c r="T176" s="10">
        <f t="shared" si="50"/>
        <v>1</v>
      </c>
      <c r="U176" s="10">
        <f t="shared" si="51"/>
        <v>0</v>
      </c>
      <c r="V176" s="10">
        <f t="shared" si="52"/>
        <v>0</v>
      </c>
      <c r="Y176" s="10">
        <f t="shared" si="53"/>
        <v>0</v>
      </c>
      <c r="Z176" s="10">
        <f t="shared" si="53"/>
        <v>0</v>
      </c>
      <c r="AA176" s="10">
        <f t="shared" si="53"/>
        <v>0</v>
      </c>
      <c r="AC176" s="10">
        <f t="shared" si="54"/>
        <v>30.351522126598855</v>
      </c>
      <c r="AD176" s="10">
        <f t="shared" si="54"/>
        <v>1.1303935806952303</v>
      </c>
      <c r="AH176" s="10">
        <f t="shared" si="55"/>
        <v>1</v>
      </c>
      <c r="AI176" s="10">
        <f t="shared" si="56"/>
        <v>0</v>
      </c>
      <c r="AJ176" s="10">
        <f t="shared" si="57"/>
        <v>0</v>
      </c>
    </row>
    <row r="177" spans="6:36" x14ac:dyDescent="0.25">
      <c r="F177" s="10">
        <v>8</v>
      </c>
      <c r="G177" s="10">
        <v>15</v>
      </c>
      <c r="H177" s="10">
        <v>0</v>
      </c>
      <c r="I177" s="10">
        <f t="shared" si="59"/>
        <v>7.0021023351067502</v>
      </c>
      <c r="J177" s="10">
        <f t="shared" si="47"/>
        <v>14.99938962981048</v>
      </c>
      <c r="K177" s="10">
        <f t="shared" si="48"/>
        <v>1</v>
      </c>
      <c r="S177" s="10">
        <f t="shared" si="49"/>
        <v>229.47967770858642</v>
      </c>
      <c r="T177" s="10">
        <f t="shared" si="50"/>
        <v>1</v>
      </c>
      <c r="U177" s="10">
        <f t="shared" si="51"/>
        <v>0</v>
      </c>
      <c r="V177" s="10">
        <f t="shared" si="52"/>
        <v>0</v>
      </c>
      <c r="Y177" s="10">
        <f t="shared" si="53"/>
        <v>0</v>
      </c>
      <c r="Z177" s="10">
        <f t="shared" si="53"/>
        <v>0</v>
      </c>
      <c r="AA177" s="10">
        <f t="shared" si="53"/>
        <v>0</v>
      </c>
      <c r="AC177" s="10">
        <f t="shared" si="54"/>
        <v>30.351522126598855</v>
      </c>
      <c r="AD177" s="10">
        <f t="shared" si="54"/>
        <v>1.1303935806952303</v>
      </c>
      <c r="AH177" s="10">
        <f t="shared" si="55"/>
        <v>1</v>
      </c>
      <c r="AI177" s="10">
        <f t="shared" si="56"/>
        <v>0</v>
      </c>
      <c r="AJ177" s="10">
        <f t="shared" si="57"/>
        <v>0</v>
      </c>
    </row>
    <row r="178" spans="6:36" x14ac:dyDescent="0.25">
      <c r="F178" s="10">
        <v>8</v>
      </c>
      <c r="G178" s="10">
        <v>16</v>
      </c>
      <c r="H178" s="10">
        <v>0</v>
      </c>
      <c r="I178" s="10">
        <f t="shared" si="59"/>
        <v>9.3873260438242312</v>
      </c>
      <c r="J178" s="10">
        <f t="shared" si="47"/>
        <v>14.99938962981048</v>
      </c>
      <c r="K178" s="10">
        <f t="shared" si="48"/>
        <v>1</v>
      </c>
      <c r="S178" s="10">
        <f t="shared" si="49"/>
        <v>301.87484788061317</v>
      </c>
      <c r="T178" s="10">
        <f t="shared" si="50"/>
        <v>1</v>
      </c>
      <c r="U178" s="10">
        <f t="shared" si="51"/>
        <v>0</v>
      </c>
      <c r="V178" s="10">
        <f t="shared" si="52"/>
        <v>0</v>
      </c>
      <c r="Y178" s="10">
        <f t="shared" si="53"/>
        <v>0</v>
      </c>
      <c r="Z178" s="10">
        <f t="shared" si="53"/>
        <v>0</v>
      </c>
      <c r="AA178" s="10">
        <f t="shared" si="53"/>
        <v>0</v>
      </c>
      <c r="AC178" s="10">
        <f t="shared" si="54"/>
        <v>30.351522126598855</v>
      </c>
      <c r="AD178" s="10">
        <f t="shared" si="54"/>
        <v>1.1303935806952303</v>
      </c>
      <c r="AH178" s="10">
        <f t="shared" si="55"/>
        <v>1</v>
      </c>
      <c r="AI178" s="10">
        <f t="shared" si="56"/>
        <v>0</v>
      </c>
      <c r="AJ178" s="10">
        <f t="shared" si="57"/>
        <v>0</v>
      </c>
    </row>
    <row r="179" spans="6:36" x14ac:dyDescent="0.25">
      <c r="F179" s="10">
        <v>8</v>
      </c>
      <c r="G179" s="10">
        <v>17</v>
      </c>
      <c r="H179" s="10">
        <v>0</v>
      </c>
      <c r="I179" s="10">
        <f t="shared" si="59"/>
        <v>8.350479766806572</v>
      </c>
      <c r="J179" s="10">
        <f t="shared" si="47"/>
        <v>14.99938962981048</v>
      </c>
      <c r="K179" s="10">
        <f t="shared" si="48"/>
        <v>1</v>
      </c>
      <c r="S179" s="10">
        <f t="shared" si="49"/>
        <v>270.4049851618301</v>
      </c>
      <c r="T179" s="10">
        <f t="shared" si="50"/>
        <v>1</v>
      </c>
      <c r="U179" s="10">
        <f t="shared" si="51"/>
        <v>0</v>
      </c>
      <c r="V179" s="10">
        <f t="shared" si="52"/>
        <v>0</v>
      </c>
      <c r="Y179" s="10">
        <f t="shared" si="53"/>
        <v>0</v>
      </c>
      <c r="Z179" s="10">
        <f t="shared" si="53"/>
        <v>0</v>
      </c>
      <c r="AA179" s="10">
        <f t="shared" si="53"/>
        <v>0</v>
      </c>
      <c r="AC179" s="10">
        <f t="shared" si="54"/>
        <v>30.351522126598855</v>
      </c>
      <c r="AD179" s="10">
        <f t="shared" si="54"/>
        <v>1.1303935806952303</v>
      </c>
      <c r="AH179" s="10">
        <f t="shared" si="55"/>
        <v>1</v>
      </c>
      <c r="AI179" s="10">
        <f t="shared" si="56"/>
        <v>0</v>
      </c>
      <c r="AJ179" s="10">
        <f t="shared" si="57"/>
        <v>0</v>
      </c>
    </row>
    <row r="180" spans="6:36" x14ac:dyDescent="0.25">
      <c r="F180" s="10">
        <v>8</v>
      </c>
      <c r="G180" s="10">
        <v>18</v>
      </c>
      <c r="H180" s="10">
        <v>0</v>
      </c>
      <c r="I180" s="10">
        <f t="shared" si="59"/>
        <v>8.8378960488846694</v>
      </c>
      <c r="J180" s="10">
        <f t="shared" si="47"/>
        <v>14.99938962981048</v>
      </c>
      <c r="K180" s="10">
        <f t="shared" si="48"/>
        <v>1</v>
      </c>
      <c r="S180" s="10">
        <f t="shared" si="49"/>
        <v>285.19881123218806</v>
      </c>
      <c r="T180" s="10">
        <f t="shared" si="50"/>
        <v>1</v>
      </c>
      <c r="U180" s="10">
        <f t="shared" si="51"/>
        <v>0</v>
      </c>
      <c r="V180" s="10">
        <f t="shared" si="52"/>
        <v>0</v>
      </c>
      <c r="Y180" s="10">
        <f t="shared" si="53"/>
        <v>0</v>
      </c>
      <c r="Z180" s="10">
        <f t="shared" si="53"/>
        <v>0</v>
      </c>
      <c r="AA180" s="10">
        <f t="shared" si="53"/>
        <v>0</v>
      </c>
      <c r="AC180" s="10">
        <f t="shared" si="54"/>
        <v>30.351522126598855</v>
      </c>
      <c r="AD180" s="10">
        <f t="shared" si="54"/>
        <v>1.1303935806952303</v>
      </c>
      <c r="AH180" s="10">
        <f t="shared" si="55"/>
        <v>1</v>
      </c>
      <c r="AI180" s="10">
        <f t="shared" si="56"/>
        <v>0</v>
      </c>
      <c r="AJ180" s="10">
        <f t="shared" si="57"/>
        <v>0</v>
      </c>
    </row>
    <row r="181" spans="6:36" x14ac:dyDescent="0.25">
      <c r="F181" s="10">
        <v>8</v>
      </c>
      <c r="G181" s="10">
        <v>19</v>
      </c>
      <c r="H181" s="10">
        <v>0</v>
      </c>
      <c r="I181" s="10">
        <f t="shared" si="59"/>
        <v>5.9362821331723659</v>
      </c>
      <c r="J181" s="10">
        <f t="shared" si="47"/>
        <v>14.99938962981048</v>
      </c>
      <c r="K181" s="10">
        <f t="shared" si="48"/>
        <v>1</v>
      </c>
      <c r="S181" s="10">
        <f t="shared" si="49"/>
        <v>197.13041226659888</v>
      </c>
      <c r="T181" s="10">
        <f t="shared" si="50"/>
        <v>1</v>
      </c>
      <c r="U181" s="10">
        <f t="shared" si="51"/>
        <v>0</v>
      </c>
      <c r="V181" s="10">
        <f t="shared" si="52"/>
        <v>0</v>
      </c>
      <c r="Y181" s="10">
        <f t="shared" si="53"/>
        <v>0</v>
      </c>
      <c r="Z181" s="10">
        <f t="shared" si="53"/>
        <v>0</v>
      </c>
      <c r="AA181" s="10">
        <f t="shared" si="53"/>
        <v>0</v>
      </c>
      <c r="AC181" s="10">
        <f t="shared" si="54"/>
        <v>30.351522126598855</v>
      </c>
      <c r="AD181" s="10">
        <f t="shared" si="54"/>
        <v>1.1303935806952303</v>
      </c>
      <c r="AH181" s="10">
        <f t="shared" si="55"/>
        <v>1</v>
      </c>
      <c r="AI181" s="10">
        <f t="shared" si="56"/>
        <v>0</v>
      </c>
      <c r="AJ181" s="10">
        <f t="shared" si="57"/>
        <v>0</v>
      </c>
    </row>
    <row r="182" spans="6:36" x14ac:dyDescent="0.25">
      <c r="F182" s="10">
        <v>8</v>
      </c>
      <c r="G182" s="10">
        <v>20</v>
      </c>
      <c r="H182" s="10">
        <v>0</v>
      </c>
      <c r="I182" s="10">
        <f t="shared" si="59"/>
        <v>6.5710893880029841</v>
      </c>
      <c r="J182" s="10">
        <f t="shared" si="47"/>
        <v>14.99938962981048</v>
      </c>
      <c r="K182" s="10">
        <f t="shared" si="48"/>
        <v>1</v>
      </c>
      <c r="S182" s="10">
        <f t="shared" si="49"/>
        <v>216.39777870771587</v>
      </c>
      <c r="T182" s="10">
        <f t="shared" si="50"/>
        <v>1</v>
      </c>
      <c r="U182" s="10">
        <f t="shared" si="51"/>
        <v>0</v>
      </c>
      <c r="V182" s="10">
        <f t="shared" si="52"/>
        <v>0</v>
      </c>
      <c r="X182" s="10">
        <f>SUM(V163:V182)</f>
        <v>0</v>
      </c>
      <c r="Y182" s="10">
        <f t="shared" si="53"/>
        <v>0</v>
      </c>
      <c r="Z182" s="10">
        <f t="shared" si="53"/>
        <v>0</v>
      </c>
      <c r="AA182" s="10">
        <f t="shared" si="53"/>
        <v>0</v>
      </c>
      <c r="AC182" s="10">
        <f t="shared" si="54"/>
        <v>30.351522126598855</v>
      </c>
      <c r="AD182" s="10">
        <f t="shared" si="54"/>
        <v>1.1303935806952303</v>
      </c>
      <c r="AH182" s="10">
        <f t="shared" si="55"/>
        <v>1</v>
      </c>
      <c r="AI182" s="10">
        <f t="shared" si="56"/>
        <v>0</v>
      </c>
      <c r="AJ182" s="10">
        <f t="shared" si="57"/>
        <v>0</v>
      </c>
    </row>
    <row r="183" spans="6:36" x14ac:dyDescent="0.25">
      <c r="F183" s="10">
        <v>9</v>
      </c>
      <c r="G183" s="10">
        <v>1</v>
      </c>
      <c r="H183" s="10">
        <v>0</v>
      </c>
      <c r="I183" s="10">
        <f t="shared" si="59"/>
        <v>4.3149584625268673</v>
      </c>
      <c r="J183" s="10">
        <f t="shared" si="47"/>
        <v>14.99938962981048</v>
      </c>
      <c r="K183" s="10">
        <f t="shared" si="48"/>
        <v>1</v>
      </c>
      <c r="S183" s="12">
        <f t="shared" si="49"/>
        <v>147.92077100262355</v>
      </c>
      <c r="T183" s="12">
        <f t="shared" si="50"/>
        <v>1</v>
      </c>
      <c r="U183" s="12">
        <f t="shared" si="51"/>
        <v>0</v>
      </c>
      <c r="V183" s="12">
        <f t="shared" si="52"/>
        <v>0</v>
      </c>
      <c r="W183" s="12"/>
      <c r="X183" s="12"/>
      <c r="Y183" s="10">
        <f t="shared" si="53"/>
        <v>0</v>
      </c>
      <c r="Z183" s="10">
        <f t="shared" si="53"/>
        <v>0</v>
      </c>
      <c r="AA183" s="10">
        <f t="shared" si="53"/>
        <v>0</v>
      </c>
      <c r="AC183" s="10">
        <f t="shared" si="54"/>
        <v>30.351522126598855</v>
      </c>
      <c r="AD183" s="10">
        <f t="shared" si="54"/>
        <v>1.1303935806952303</v>
      </c>
      <c r="AH183" s="10">
        <f t="shared" si="55"/>
        <v>1</v>
      </c>
      <c r="AI183" s="10">
        <f t="shared" si="56"/>
        <v>0</v>
      </c>
      <c r="AJ183" s="10">
        <f t="shared" si="57"/>
        <v>0</v>
      </c>
    </row>
    <row r="184" spans="6:36" x14ac:dyDescent="0.25">
      <c r="F184" s="10">
        <v>9</v>
      </c>
      <c r="G184" s="10">
        <v>2</v>
      </c>
      <c r="H184" s="10">
        <v>0</v>
      </c>
      <c r="I184" s="10">
        <f t="shared" si="59"/>
        <v>4.2336649521823988</v>
      </c>
      <c r="J184" s="10">
        <f t="shared" si="47"/>
        <v>14.99938962981048</v>
      </c>
      <c r="K184" s="10">
        <f t="shared" si="48"/>
        <v>1</v>
      </c>
      <c r="S184" s="10">
        <f t="shared" si="49"/>
        <v>145.45338922465453</v>
      </c>
      <c r="T184" s="10">
        <f t="shared" si="50"/>
        <v>1</v>
      </c>
      <c r="U184" s="10">
        <f t="shared" si="51"/>
        <v>0</v>
      </c>
      <c r="V184" s="10">
        <f t="shared" si="52"/>
        <v>0</v>
      </c>
      <c r="Y184" s="10">
        <f t="shared" si="53"/>
        <v>0</v>
      </c>
      <c r="Z184" s="10">
        <f t="shared" si="53"/>
        <v>0</v>
      </c>
      <c r="AA184" s="10">
        <f t="shared" si="53"/>
        <v>0</v>
      </c>
      <c r="AC184" s="10">
        <f t="shared" si="54"/>
        <v>30.351522126598855</v>
      </c>
      <c r="AD184" s="10">
        <f t="shared" si="54"/>
        <v>1.1303935806952303</v>
      </c>
      <c r="AH184" s="10">
        <f t="shared" si="55"/>
        <v>1</v>
      </c>
      <c r="AI184" s="10">
        <f t="shared" si="56"/>
        <v>0</v>
      </c>
      <c r="AJ184" s="10">
        <f t="shared" si="57"/>
        <v>0</v>
      </c>
    </row>
    <row r="185" spans="6:36" x14ac:dyDescent="0.25">
      <c r="F185" s="10">
        <v>9</v>
      </c>
      <c r="G185" s="10">
        <v>3</v>
      </c>
      <c r="H185" s="10">
        <v>0</v>
      </c>
      <c r="I185" s="10">
        <f t="shared" si="59"/>
        <v>4.0760342132531742</v>
      </c>
      <c r="J185" s="10">
        <f t="shared" si="47"/>
        <v>14.99938962981048</v>
      </c>
      <c r="K185" s="10">
        <f t="shared" si="48"/>
        <v>1</v>
      </c>
      <c r="S185" s="10">
        <f t="shared" si="49"/>
        <v>140.66905636421205</v>
      </c>
      <c r="T185" s="10">
        <f t="shared" si="50"/>
        <v>1</v>
      </c>
      <c r="U185" s="10">
        <f t="shared" si="51"/>
        <v>0</v>
      </c>
      <c r="V185" s="10">
        <f t="shared" si="52"/>
        <v>0</v>
      </c>
      <c r="Y185" s="10">
        <f t="shared" si="53"/>
        <v>0</v>
      </c>
      <c r="Z185" s="10">
        <f t="shared" si="53"/>
        <v>0</v>
      </c>
      <c r="AA185" s="10">
        <f t="shared" si="53"/>
        <v>0</v>
      </c>
      <c r="AC185" s="10">
        <f t="shared" si="54"/>
        <v>30.351522126598855</v>
      </c>
      <c r="AD185" s="10">
        <f t="shared" si="54"/>
        <v>1.1303935806952303</v>
      </c>
      <c r="AH185" s="10">
        <f t="shared" si="55"/>
        <v>1</v>
      </c>
      <c r="AI185" s="10">
        <f t="shared" si="56"/>
        <v>0</v>
      </c>
      <c r="AJ185" s="10">
        <f t="shared" si="57"/>
        <v>0</v>
      </c>
    </row>
    <row r="186" spans="6:36" x14ac:dyDescent="0.25">
      <c r="F186" s="10">
        <v>9</v>
      </c>
      <c r="G186" s="10">
        <v>4</v>
      </c>
      <c r="H186" s="10">
        <v>0</v>
      </c>
      <c r="I186" s="10">
        <f t="shared" si="59"/>
        <v>6.9682999690312606</v>
      </c>
      <c r="J186" s="10">
        <f t="shared" si="47"/>
        <v>14.99938962981048</v>
      </c>
      <c r="K186" s="10">
        <f t="shared" si="48"/>
        <v>1</v>
      </c>
      <c r="S186" s="10">
        <f t="shared" si="49"/>
        <v>228.4537244467148</v>
      </c>
      <c r="T186" s="10">
        <f t="shared" si="50"/>
        <v>1</v>
      </c>
      <c r="U186" s="10">
        <f t="shared" si="51"/>
        <v>0</v>
      </c>
      <c r="V186" s="10">
        <f t="shared" si="52"/>
        <v>0</v>
      </c>
      <c r="Y186" s="10">
        <f t="shared" si="53"/>
        <v>0</v>
      </c>
      <c r="Z186" s="10">
        <f t="shared" si="53"/>
        <v>0</v>
      </c>
      <c r="AA186" s="10">
        <f t="shared" si="53"/>
        <v>0</v>
      </c>
      <c r="AC186" s="10">
        <f t="shared" si="54"/>
        <v>30.351522126598855</v>
      </c>
      <c r="AD186" s="10">
        <f t="shared" si="54"/>
        <v>1.1303935806952303</v>
      </c>
      <c r="AH186" s="10">
        <f t="shared" si="55"/>
        <v>1</v>
      </c>
      <c r="AI186" s="10">
        <f t="shared" si="56"/>
        <v>0</v>
      </c>
      <c r="AJ186" s="10">
        <f t="shared" si="57"/>
        <v>0</v>
      </c>
    </row>
    <row r="187" spans="6:36" x14ac:dyDescent="0.25">
      <c r="F187" s="10">
        <v>9</v>
      </c>
      <c r="G187" s="10">
        <v>5</v>
      </c>
      <c r="H187" s="10">
        <v>0</v>
      </c>
      <c r="I187" s="10">
        <f t="shared" si="59"/>
        <v>8.3649028089644606</v>
      </c>
      <c r="J187" s="10">
        <f t="shared" si="47"/>
        <v>14.99938962981048</v>
      </c>
      <c r="K187" s="10">
        <f t="shared" si="48"/>
        <v>1</v>
      </c>
      <c r="S187" s="10">
        <f t="shared" si="49"/>
        <v>270.84274644501812</v>
      </c>
      <c r="T187" s="10">
        <f t="shared" si="50"/>
        <v>1</v>
      </c>
      <c r="U187" s="10">
        <f t="shared" si="51"/>
        <v>0</v>
      </c>
      <c r="V187" s="10">
        <f t="shared" si="52"/>
        <v>0</v>
      </c>
      <c r="Y187" s="10">
        <f t="shared" si="53"/>
        <v>0</v>
      </c>
      <c r="Z187" s="10">
        <f t="shared" si="53"/>
        <v>0</v>
      </c>
      <c r="AA187" s="10">
        <f t="shared" si="53"/>
        <v>0</v>
      </c>
      <c r="AC187" s="10">
        <f t="shared" si="54"/>
        <v>30.351522126598855</v>
      </c>
      <c r="AD187" s="10">
        <f t="shared" si="54"/>
        <v>1.1303935806952303</v>
      </c>
      <c r="AH187" s="10">
        <f t="shared" si="55"/>
        <v>1</v>
      </c>
      <c r="AI187" s="10">
        <f t="shared" si="56"/>
        <v>0</v>
      </c>
      <c r="AJ187" s="10">
        <f t="shared" si="57"/>
        <v>0</v>
      </c>
    </row>
    <row r="188" spans="6:36" x14ac:dyDescent="0.25">
      <c r="F188" s="10">
        <v>9</v>
      </c>
      <c r="G188" s="10">
        <v>6</v>
      </c>
      <c r="H188" s="10">
        <v>0</v>
      </c>
      <c r="I188" s="10">
        <f t="shared" ref="I188:I203" si="60">I168</f>
        <v>9.3848699915294151</v>
      </c>
      <c r="J188" s="10">
        <f t="shared" si="47"/>
        <v>14.99938962981048</v>
      </c>
      <c r="K188" s="10">
        <f t="shared" si="48"/>
        <v>1</v>
      </c>
      <c r="S188" s="10">
        <f t="shared" si="49"/>
        <v>301.80030295504298</v>
      </c>
      <c r="T188" s="10">
        <f t="shared" si="50"/>
        <v>1</v>
      </c>
      <c r="U188" s="10">
        <f t="shared" si="51"/>
        <v>0</v>
      </c>
      <c r="V188" s="10">
        <f t="shared" si="52"/>
        <v>0</v>
      </c>
      <c r="Y188" s="10">
        <f t="shared" si="53"/>
        <v>0</v>
      </c>
      <c r="Z188" s="10">
        <f t="shared" si="53"/>
        <v>0</v>
      </c>
      <c r="AA188" s="10">
        <f t="shared" si="53"/>
        <v>0</v>
      </c>
      <c r="AC188" s="10">
        <f t="shared" si="54"/>
        <v>30.351522126598855</v>
      </c>
      <c r="AD188" s="10">
        <f t="shared" si="54"/>
        <v>1.1303935806952303</v>
      </c>
      <c r="AH188" s="10">
        <f t="shared" si="55"/>
        <v>1</v>
      </c>
      <c r="AI188" s="10">
        <f t="shared" si="56"/>
        <v>0</v>
      </c>
      <c r="AJ188" s="10">
        <f t="shared" si="57"/>
        <v>0</v>
      </c>
    </row>
    <row r="189" spans="6:36" x14ac:dyDescent="0.25">
      <c r="F189" s="10">
        <v>9</v>
      </c>
      <c r="G189" s="10">
        <v>7</v>
      </c>
      <c r="H189" s="10">
        <v>0</v>
      </c>
      <c r="I189" s="10">
        <f t="shared" si="60"/>
        <v>9.2116945315592211</v>
      </c>
      <c r="J189" s="10">
        <f t="shared" si="47"/>
        <v>14.99938962981048</v>
      </c>
      <c r="K189" s="10">
        <f t="shared" si="48"/>
        <v>1</v>
      </c>
      <c r="S189" s="10">
        <f t="shared" si="49"/>
        <v>296.54416414997377</v>
      </c>
      <c r="T189" s="10">
        <f t="shared" si="50"/>
        <v>1</v>
      </c>
      <c r="U189" s="10">
        <f t="shared" si="51"/>
        <v>0</v>
      </c>
      <c r="V189" s="10">
        <f t="shared" si="52"/>
        <v>0</v>
      </c>
      <c r="Y189" s="10">
        <f t="shared" si="53"/>
        <v>0</v>
      </c>
      <c r="Z189" s="10">
        <f t="shared" si="53"/>
        <v>0</v>
      </c>
      <c r="AA189" s="10">
        <f t="shared" si="53"/>
        <v>0</v>
      </c>
      <c r="AC189" s="10">
        <f t="shared" si="54"/>
        <v>30.351522126598855</v>
      </c>
      <c r="AD189" s="10">
        <f t="shared" si="54"/>
        <v>1.1303935806952303</v>
      </c>
      <c r="AH189" s="10">
        <f t="shared" si="55"/>
        <v>1</v>
      </c>
      <c r="AI189" s="10">
        <f t="shared" si="56"/>
        <v>0</v>
      </c>
      <c r="AJ189" s="10">
        <f t="shared" si="57"/>
        <v>0</v>
      </c>
    </row>
    <row r="190" spans="6:36" x14ac:dyDescent="0.25">
      <c r="F190" s="10">
        <v>9</v>
      </c>
      <c r="G190" s="10">
        <v>8</v>
      </c>
      <c r="H190" s="10">
        <v>0</v>
      </c>
      <c r="I190" s="10">
        <f t="shared" si="60"/>
        <v>10.461114754974387</v>
      </c>
      <c r="J190" s="10">
        <f t="shared" si="47"/>
        <v>14.99938962981048</v>
      </c>
      <c r="K190" s="10">
        <f t="shared" si="48"/>
        <v>1</v>
      </c>
      <c r="S190" s="10">
        <f t="shared" si="49"/>
        <v>334.46596970637927</v>
      </c>
      <c r="T190" s="10">
        <f t="shared" si="50"/>
        <v>1</v>
      </c>
      <c r="U190" s="10">
        <f t="shared" si="51"/>
        <v>0</v>
      </c>
      <c r="V190" s="10">
        <f t="shared" si="52"/>
        <v>0</v>
      </c>
      <c r="Y190" s="10">
        <f t="shared" si="53"/>
        <v>0</v>
      </c>
      <c r="Z190" s="10">
        <f t="shared" si="53"/>
        <v>0</v>
      </c>
      <c r="AA190" s="10">
        <f t="shared" si="53"/>
        <v>0</v>
      </c>
      <c r="AC190" s="10">
        <f t="shared" si="54"/>
        <v>30.351522126598855</v>
      </c>
      <c r="AD190" s="10">
        <f t="shared" si="54"/>
        <v>1.1303935806952303</v>
      </c>
      <c r="AH190" s="10">
        <f t="shared" si="55"/>
        <v>1</v>
      </c>
      <c r="AI190" s="10">
        <f t="shared" si="56"/>
        <v>0</v>
      </c>
      <c r="AJ190" s="10">
        <f t="shared" si="57"/>
        <v>0</v>
      </c>
    </row>
    <row r="191" spans="6:36" x14ac:dyDescent="0.25">
      <c r="F191" s="10">
        <v>9</v>
      </c>
      <c r="G191" s="10">
        <v>9</v>
      </c>
      <c r="H191" s="10">
        <v>0</v>
      </c>
      <c r="I191" s="10">
        <f t="shared" si="60"/>
        <v>4.1553347214085523</v>
      </c>
      <c r="J191" s="10">
        <f t="shared" si="47"/>
        <v>14.99938962981048</v>
      </c>
      <c r="K191" s="10">
        <f t="shared" si="48"/>
        <v>1</v>
      </c>
      <c r="S191" s="10">
        <f t="shared" si="49"/>
        <v>143.07594749214053</v>
      </c>
      <c r="T191" s="10">
        <f t="shared" si="50"/>
        <v>1</v>
      </c>
      <c r="U191" s="10">
        <f t="shared" si="51"/>
        <v>0</v>
      </c>
      <c r="V191" s="10">
        <f t="shared" si="52"/>
        <v>0</v>
      </c>
      <c r="Y191" s="10">
        <f t="shared" si="53"/>
        <v>0</v>
      </c>
      <c r="Z191" s="10">
        <f t="shared" si="53"/>
        <v>0</v>
      </c>
      <c r="AA191" s="10">
        <f t="shared" si="53"/>
        <v>0</v>
      </c>
      <c r="AC191" s="10">
        <f t="shared" si="54"/>
        <v>30.351522126598855</v>
      </c>
      <c r="AD191" s="10">
        <f t="shared" si="54"/>
        <v>1.1303935806952303</v>
      </c>
      <c r="AH191" s="10">
        <f t="shared" si="55"/>
        <v>1</v>
      </c>
      <c r="AI191" s="10">
        <f t="shared" si="56"/>
        <v>0</v>
      </c>
      <c r="AJ191" s="10">
        <f t="shared" si="57"/>
        <v>0</v>
      </c>
    </row>
    <row r="192" spans="6:36" x14ac:dyDescent="0.25">
      <c r="F192" s="10">
        <v>9</v>
      </c>
      <c r="G192" s="10">
        <v>10</v>
      </c>
      <c r="H192" s="10">
        <v>0</v>
      </c>
      <c r="I192" s="10">
        <f t="shared" si="60"/>
        <v>8.4627041466514576</v>
      </c>
      <c r="J192" s="10">
        <f t="shared" si="47"/>
        <v>14.99938962981048</v>
      </c>
      <c r="K192" s="10">
        <f t="shared" si="48"/>
        <v>1</v>
      </c>
      <c r="S192" s="10">
        <f t="shared" si="49"/>
        <v>273.81116590983595</v>
      </c>
      <c r="T192" s="10">
        <f t="shared" si="50"/>
        <v>1</v>
      </c>
      <c r="U192" s="10">
        <f t="shared" si="51"/>
        <v>0</v>
      </c>
      <c r="V192" s="10">
        <f t="shared" si="52"/>
        <v>0</v>
      </c>
      <c r="Y192" s="10">
        <f t="shared" si="53"/>
        <v>0</v>
      </c>
      <c r="Z192" s="10">
        <f t="shared" si="53"/>
        <v>0</v>
      </c>
      <c r="AA192" s="10">
        <f t="shared" si="53"/>
        <v>0</v>
      </c>
      <c r="AC192" s="10">
        <f t="shared" si="54"/>
        <v>30.351522126598855</v>
      </c>
      <c r="AD192" s="10">
        <f t="shared" si="54"/>
        <v>1.1303935806952303</v>
      </c>
      <c r="AH192" s="10">
        <f t="shared" si="55"/>
        <v>1</v>
      </c>
      <c r="AI192" s="10">
        <f t="shared" si="56"/>
        <v>0</v>
      </c>
      <c r="AJ192" s="10">
        <f t="shared" si="57"/>
        <v>0</v>
      </c>
    </row>
    <row r="193" spans="6:36" x14ac:dyDescent="0.25">
      <c r="F193" s="10">
        <v>9</v>
      </c>
      <c r="G193" s="10">
        <v>11</v>
      </c>
      <c r="H193" s="10">
        <v>0</v>
      </c>
      <c r="I193" s="10">
        <f t="shared" si="60"/>
        <v>11.722530671423003</v>
      </c>
      <c r="J193" s="10">
        <f t="shared" si="47"/>
        <v>14.99938962981048</v>
      </c>
      <c r="K193" s="10">
        <f t="shared" si="48"/>
        <v>1</v>
      </c>
      <c r="S193" s="10">
        <f t="shared" si="49"/>
        <v>372.75186280531341</v>
      </c>
      <c r="T193" s="10">
        <f t="shared" si="50"/>
        <v>1</v>
      </c>
      <c r="U193" s="10">
        <f t="shared" si="51"/>
        <v>0</v>
      </c>
      <c r="V193" s="10">
        <f t="shared" si="52"/>
        <v>0</v>
      </c>
      <c r="Y193" s="10">
        <f t="shared" si="53"/>
        <v>0</v>
      </c>
      <c r="Z193" s="10">
        <f t="shared" si="53"/>
        <v>0</v>
      </c>
      <c r="AA193" s="10">
        <f t="shared" si="53"/>
        <v>0</v>
      </c>
      <c r="AC193" s="10">
        <f t="shared" si="54"/>
        <v>30.351522126598855</v>
      </c>
      <c r="AD193" s="10">
        <f t="shared" si="54"/>
        <v>1.1303935806952303</v>
      </c>
      <c r="AH193" s="10">
        <f t="shared" si="55"/>
        <v>1</v>
      </c>
      <c r="AI193" s="10">
        <f t="shared" si="56"/>
        <v>0</v>
      </c>
      <c r="AJ193" s="10">
        <f t="shared" si="57"/>
        <v>0</v>
      </c>
    </row>
    <row r="194" spans="6:36" x14ac:dyDescent="0.25">
      <c r="F194" s="10">
        <v>9</v>
      </c>
      <c r="G194" s="10">
        <v>12</v>
      </c>
      <c r="H194" s="10">
        <v>0</v>
      </c>
      <c r="I194" s="10">
        <f t="shared" si="60"/>
        <v>9.6231558949622329</v>
      </c>
      <c r="J194" s="10">
        <f t="shared" si="47"/>
        <v>14.99938962981048</v>
      </c>
      <c r="K194" s="10">
        <f t="shared" si="48"/>
        <v>1</v>
      </c>
      <c r="S194" s="10">
        <f t="shared" si="49"/>
        <v>309.03264282554085</v>
      </c>
      <c r="T194" s="10">
        <f t="shared" si="50"/>
        <v>1</v>
      </c>
      <c r="U194" s="10">
        <f t="shared" si="51"/>
        <v>0</v>
      </c>
      <c r="V194" s="10">
        <f t="shared" si="52"/>
        <v>0</v>
      </c>
      <c r="Y194" s="10">
        <f t="shared" si="53"/>
        <v>0</v>
      </c>
      <c r="Z194" s="10">
        <f t="shared" si="53"/>
        <v>0</v>
      </c>
      <c r="AA194" s="10">
        <f t="shared" si="53"/>
        <v>0</v>
      </c>
      <c r="AC194" s="10">
        <f t="shared" si="54"/>
        <v>30.351522126598855</v>
      </c>
      <c r="AD194" s="10">
        <f t="shared" si="54"/>
        <v>1.1303935806952303</v>
      </c>
      <c r="AH194" s="10">
        <f t="shared" si="55"/>
        <v>1</v>
      </c>
      <c r="AI194" s="10">
        <f t="shared" si="56"/>
        <v>0</v>
      </c>
      <c r="AJ194" s="10">
        <f t="shared" si="57"/>
        <v>0</v>
      </c>
    </row>
    <row r="195" spans="6:36" x14ac:dyDescent="0.25">
      <c r="F195" s="10">
        <v>9</v>
      </c>
      <c r="G195" s="10">
        <v>13</v>
      </c>
      <c r="H195" s="10">
        <v>0</v>
      </c>
      <c r="I195" s="10">
        <f t="shared" si="60"/>
        <v>8.0162683783311302</v>
      </c>
      <c r="J195" s="10">
        <f t="shared" si="47"/>
        <v>14.99938962981048</v>
      </c>
      <c r="K195" s="10">
        <f t="shared" si="48"/>
        <v>1</v>
      </c>
      <c r="S195" s="10">
        <f t="shared" si="49"/>
        <v>260.26116080955637</v>
      </c>
      <c r="T195" s="10">
        <f t="shared" si="50"/>
        <v>1</v>
      </c>
      <c r="U195" s="10">
        <f t="shared" si="51"/>
        <v>0</v>
      </c>
      <c r="V195" s="10">
        <f t="shared" si="52"/>
        <v>0</v>
      </c>
      <c r="Y195" s="10">
        <f t="shared" si="53"/>
        <v>0</v>
      </c>
      <c r="Z195" s="10">
        <f t="shared" si="53"/>
        <v>0</v>
      </c>
      <c r="AA195" s="10">
        <f t="shared" si="53"/>
        <v>0</v>
      </c>
      <c r="AC195" s="10">
        <f t="shared" si="54"/>
        <v>30.351522126598855</v>
      </c>
      <c r="AD195" s="10">
        <f t="shared" si="54"/>
        <v>1.1303935806952303</v>
      </c>
      <c r="AH195" s="10">
        <f t="shared" si="55"/>
        <v>1</v>
      </c>
      <c r="AI195" s="10">
        <f t="shared" si="56"/>
        <v>0</v>
      </c>
      <c r="AJ195" s="10">
        <f t="shared" si="57"/>
        <v>0</v>
      </c>
    </row>
    <row r="196" spans="6:36" x14ac:dyDescent="0.25">
      <c r="F196" s="10">
        <v>9</v>
      </c>
      <c r="G196" s="10">
        <v>14</v>
      </c>
      <c r="H196" s="10">
        <v>0</v>
      </c>
      <c r="I196" s="10">
        <f t="shared" si="60"/>
        <v>11.270939377934512</v>
      </c>
      <c r="J196" s="10">
        <f t="shared" si="47"/>
        <v>14.99938962981048</v>
      </c>
      <c r="K196" s="10">
        <f t="shared" si="48"/>
        <v>1</v>
      </c>
      <c r="S196" s="10">
        <f t="shared" si="49"/>
        <v>359.0453796688181</v>
      </c>
      <c r="T196" s="10">
        <f t="shared" si="50"/>
        <v>1</v>
      </c>
      <c r="U196" s="10">
        <f t="shared" si="51"/>
        <v>0</v>
      </c>
      <c r="V196" s="10">
        <f t="shared" si="52"/>
        <v>0</v>
      </c>
      <c r="Y196" s="10">
        <f t="shared" si="53"/>
        <v>0</v>
      </c>
      <c r="Z196" s="10">
        <f t="shared" si="53"/>
        <v>0</v>
      </c>
      <c r="AA196" s="10">
        <f t="shared" si="53"/>
        <v>0</v>
      </c>
      <c r="AC196" s="10">
        <f t="shared" si="54"/>
        <v>30.351522126598855</v>
      </c>
      <c r="AD196" s="10">
        <f t="shared" si="54"/>
        <v>1.1303935806952303</v>
      </c>
      <c r="AH196" s="10">
        <f t="shared" si="55"/>
        <v>1</v>
      </c>
      <c r="AI196" s="10">
        <f t="shared" si="56"/>
        <v>0</v>
      </c>
      <c r="AJ196" s="10">
        <f t="shared" si="57"/>
        <v>0</v>
      </c>
    </row>
    <row r="197" spans="6:36" x14ac:dyDescent="0.25">
      <c r="F197" s="10">
        <v>9</v>
      </c>
      <c r="G197" s="10">
        <v>15</v>
      </c>
      <c r="H197" s="10">
        <v>0</v>
      </c>
      <c r="I197" s="10">
        <f t="shared" si="60"/>
        <v>7.0021023351067502</v>
      </c>
      <c r="J197" s="10">
        <f t="shared" si="47"/>
        <v>14.99938962981048</v>
      </c>
      <c r="K197" s="10">
        <f t="shared" si="48"/>
        <v>1</v>
      </c>
      <c r="S197" s="10">
        <f t="shared" si="49"/>
        <v>229.47967770858642</v>
      </c>
      <c r="T197" s="10">
        <f t="shared" si="50"/>
        <v>1</v>
      </c>
      <c r="U197" s="10">
        <f t="shared" si="51"/>
        <v>0</v>
      </c>
      <c r="V197" s="10">
        <f t="shared" si="52"/>
        <v>0</v>
      </c>
      <c r="Y197" s="10">
        <f t="shared" si="53"/>
        <v>0</v>
      </c>
      <c r="Z197" s="10">
        <f t="shared" si="53"/>
        <v>0</v>
      </c>
      <c r="AA197" s="10">
        <f t="shared" si="53"/>
        <v>0</v>
      </c>
      <c r="AC197" s="10">
        <f t="shared" si="54"/>
        <v>30.351522126598855</v>
      </c>
      <c r="AD197" s="10">
        <f t="shared" si="54"/>
        <v>1.1303935806952303</v>
      </c>
      <c r="AH197" s="10">
        <f t="shared" si="55"/>
        <v>1</v>
      </c>
      <c r="AI197" s="10">
        <f t="shared" si="56"/>
        <v>0</v>
      </c>
      <c r="AJ197" s="10">
        <f t="shared" si="57"/>
        <v>0</v>
      </c>
    </row>
    <row r="198" spans="6:36" x14ac:dyDescent="0.25">
      <c r="F198" s="10">
        <v>9</v>
      </c>
      <c r="G198" s="10">
        <v>16</v>
      </c>
      <c r="H198" s="10">
        <v>0</v>
      </c>
      <c r="I198" s="10">
        <f t="shared" si="60"/>
        <v>9.3873260438242312</v>
      </c>
      <c r="J198" s="10">
        <f t="shared" si="47"/>
        <v>14.99938962981048</v>
      </c>
      <c r="K198" s="10">
        <f t="shared" si="48"/>
        <v>1</v>
      </c>
      <c r="S198" s="10">
        <f t="shared" si="49"/>
        <v>301.87484788061317</v>
      </c>
      <c r="T198" s="10">
        <f t="shared" si="50"/>
        <v>1</v>
      </c>
      <c r="U198" s="10">
        <f t="shared" si="51"/>
        <v>0</v>
      </c>
      <c r="V198" s="10">
        <f t="shared" si="52"/>
        <v>0</v>
      </c>
      <c r="Y198" s="10">
        <f t="shared" si="53"/>
        <v>0</v>
      </c>
      <c r="Z198" s="10">
        <f t="shared" si="53"/>
        <v>0</v>
      </c>
      <c r="AA198" s="10">
        <f t="shared" si="53"/>
        <v>0</v>
      </c>
      <c r="AC198" s="10">
        <f t="shared" si="54"/>
        <v>30.351522126598855</v>
      </c>
      <c r="AD198" s="10">
        <f t="shared" si="54"/>
        <v>1.1303935806952303</v>
      </c>
      <c r="AH198" s="10">
        <f t="shared" si="55"/>
        <v>1</v>
      </c>
      <c r="AI198" s="10">
        <f t="shared" si="56"/>
        <v>0</v>
      </c>
      <c r="AJ198" s="10">
        <f t="shared" si="57"/>
        <v>0</v>
      </c>
    </row>
    <row r="199" spans="6:36" x14ac:dyDescent="0.25">
      <c r="F199" s="10">
        <v>9</v>
      </c>
      <c r="G199" s="10">
        <v>17</v>
      </c>
      <c r="H199" s="10">
        <v>0</v>
      </c>
      <c r="I199" s="10">
        <f t="shared" si="60"/>
        <v>8.350479766806572</v>
      </c>
      <c r="J199" s="10">
        <f t="shared" si="47"/>
        <v>14.99938962981048</v>
      </c>
      <c r="K199" s="10">
        <f t="shared" si="48"/>
        <v>1</v>
      </c>
      <c r="S199" s="10">
        <f t="shared" si="49"/>
        <v>270.4049851618301</v>
      </c>
      <c r="T199" s="10">
        <f t="shared" si="50"/>
        <v>1</v>
      </c>
      <c r="U199" s="10">
        <f t="shared" si="51"/>
        <v>0</v>
      </c>
      <c r="V199" s="10">
        <f t="shared" si="52"/>
        <v>0</v>
      </c>
      <c r="Y199" s="10">
        <f t="shared" si="53"/>
        <v>0</v>
      </c>
      <c r="Z199" s="10">
        <f t="shared" si="53"/>
        <v>0</v>
      </c>
      <c r="AA199" s="10">
        <f t="shared" si="53"/>
        <v>0</v>
      </c>
      <c r="AC199" s="10">
        <f t="shared" si="54"/>
        <v>30.351522126598855</v>
      </c>
      <c r="AD199" s="10">
        <f t="shared" si="54"/>
        <v>1.1303935806952303</v>
      </c>
      <c r="AH199" s="10">
        <f t="shared" si="55"/>
        <v>1</v>
      </c>
      <c r="AI199" s="10">
        <f t="shared" si="56"/>
        <v>0</v>
      </c>
      <c r="AJ199" s="10">
        <f t="shared" si="57"/>
        <v>0</v>
      </c>
    </row>
    <row r="200" spans="6:36" x14ac:dyDescent="0.25">
      <c r="F200" s="10">
        <v>9</v>
      </c>
      <c r="G200" s="10">
        <v>18</v>
      </c>
      <c r="H200" s="10">
        <v>0</v>
      </c>
      <c r="I200" s="10">
        <f t="shared" si="60"/>
        <v>8.8378960488846694</v>
      </c>
      <c r="J200" s="10">
        <f t="shared" si="47"/>
        <v>14.99938962981048</v>
      </c>
      <c r="K200" s="10">
        <f t="shared" si="48"/>
        <v>1</v>
      </c>
      <c r="S200" s="10">
        <f t="shared" si="49"/>
        <v>285.19881123218806</v>
      </c>
      <c r="T200" s="10">
        <f t="shared" si="50"/>
        <v>1</v>
      </c>
      <c r="U200" s="10">
        <f t="shared" si="51"/>
        <v>0</v>
      </c>
      <c r="V200" s="10">
        <f t="shared" si="52"/>
        <v>0</v>
      </c>
      <c r="Y200" s="10">
        <f t="shared" si="53"/>
        <v>0</v>
      </c>
      <c r="Z200" s="10">
        <f t="shared" si="53"/>
        <v>0</v>
      </c>
      <c r="AA200" s="10">
        <f t="shared" si="53"/>
        <v>0</v>
      </c>
      <c r="AC200" s="10">
        <f t="shared" si="54"/>
        <v>30.351522126598855</v>
      </c>
      <c r="AD200" s="10">
        <f t="shared" si="54"/>
        <v>1.1303935806952303</v>
      </c>
      <c r="AH200" s="10">
        <f t="shared" si="55"/>
        <v>1</v>
      </c>
      <c r="AI200" s="10">
        <f t="shared" si="56"/>
        <v>0</v>
      </c>
      <c r="AJ200" s="10">
        <f t="shared" si="57"/>
        <v>0</v>
      </c>
    </row>
    <row r="201" spans="6:36" x14ac:dyDescent="0.25">
      <c r="F201" s="10">
        <v>9</v>
      </c>
      <c r="G201" s="10">
        <v>19</v>
      </c>
      <c r="H201" s="10">
        <v>0</v>
      </c>
      <c r="I201" s="10">
        <f t="shared" si="60"/>
        <v>5.9362821331723659</v>
      </c>
      <c r="J201" s="10">
        <f t="shared" si="47"/>
        <v>14.99938962981048</v>
      </c>
      <c r="K201" s="10">
        <f t="shared" si="48"/>
        <v>1</v>
      </c>
      <c r="S201" s="10">
        <f t="shared" si="49"/>
        <v>197.13041226659888</v>
      </c>
      <c r="T201" s="10">
        <f t="shared" si="50"/>
        <v>1</v>
      </c>
      <c r="U201" s="10">
        <f t="shared" si="51"/>
        <v>0</v>
      </c>
      <c r="V201" s="10">
        <f t="shared" si="52"/>
        <v>0</v>
      </c>
      <c r="Y201" s="10">
        <f t="shared" si="53"/>
        <v>0</v>
      </c>
      <c r="Z201" s="10">
        <f t="shared" si="53"/>
        <v>0</v>
      </c>
      <c r="AA201" s="10">
        <f t="shared" si="53"/>
        <v>0</v>
      </c>
      <c r="AC201" s="10">
        <f t="shared" si="54"/>
        <v>30.351522126598855</v>
      </c>
      <c r="AD201" s="10">
        <f t="shared" si="54"/>
        <v>1.1303935806952303</v>
      </c>
      <c r="AH201" s="10">
        <f t="shared" si="55"/>
        <v>1</v>
      </c>
      <c r="AI201" s="10">
        <f t="shared" si="56"/>
        <v>0</v>
      </c>
      <c r="AJ201" s="10">
        <f t="shared" si="57"/>
        <v>0</v>
      </c>
    </row>
    <row r="202" spans="6:36" x14ac:dyDescent="0.25">
      <c r="F202" s="10">
        <v>9</v>
      </c>
      <c r="G202" s="10">
        <v>20</v>
      </c>
      <c r="H202" s="10">
        <v>0</v>
      </c>
      <c r="I202" s="10">
        <f t="shared" si="60"/>
        <v>6.5710893880029841</v>
      </c>
      <c r="J202" s="10">
        <f t="shared" si="47"/>
        <v>14.99938962981048</v>
      </c>
      <c r="K202" s="10">
        <f t="shared" si="48"/>
        <v>1</v>
      </c>
      <c r="S202" s="10">
        <f t="shared" si="49"/>
        <v>216.39777870771587</v>
      </c>
      <c r="T202" s="10">
        <f t="shared" si="50"/>
        <v>1</v>
      </c>
      <c r="U202" s="10">
        <f t="shared" si="51"/>
        <v>0</v>
      </c>
      <c r="V202" s="10">
        <f t="shared" si="52"/>
        <v>0</v>
      </c>
      <c r="X202" s="10">
        <f>SUM(V183:V202)</f>
        <v>0</v>
      </c>
      <c r="Y202" s="10">
        <f t="shared" si="53"/>
        <v>0</v>
      </c>
      <c r="Z202" s="10">
        <f t="shared" si="53"/>
        <v>0</v>
      </c>
      <c r="AA202" s="10">
        <f t="shared" si="53"/>
        <v>0</v>
      </c>
      <c r="AC202" s="10">
        <f t="shared" si="54"/>
        <v>30.351522126598855</v>
      </c>
      <c r="AD202" s="10">
        <f t="shared" si="54"/>
        <v>1.1303935806952303</v>
      </c>
      <c r="AH202" s="10">
        <f t="shared" si="55"/>
        <v>1</v>
      </c>
      <c r="AI202" s="10">
        <f t="shared" si="56"/>
        <v>0</v>
      </c>
      <c r="AJ202" s="10">
        <f t="shared" si="57"/>
        <v>0</v>
      </c>
    </row>
    <row r="203" spans="6:36" x14ac:dyDescent="0.25">
      <c r="F203" s="10">
        <v>10</v>
      </c>
      <c r="G203" s="10">
        <v>1</v>
      </c>
      <c r="H203" s="10">
        <v>0</v>
      </c>
      <c r="I203" s="10">
        <f t="shared" si="60"/>
        <v>4.3149584625268673</v>
      </c>
      <c r="J203" s="10">
        <f t="shared" si="47"/>
        <v>14.99938962981048</v>
      </c>
      <c r="K203" s="10">
        <f t="shared" si="48"/>
        <v>1</v>
      </c>
      <c r="S203" s="12">
        <f t="shared" si="49"/>
        <v>147.92077100262355</v>
      </c>
      <c r="T203" s="12">
        <f t="shared" si="50"/>
        <v>1</v>
      </c>
      <c r="U203" s="12">
        <f t="shared" si="51"/>
        <v>0</v>
      </c>
      <c r="V203" s="12">
        <f t="shared" si="52"/>
        <v>0</v>
      </c>
      <c r="W203" s="12"/>
      <c r="X203" s="12"/>
      <c r="Y203" s="10">
        <f t="shared" si="53"/>
        <v>0</v>
      </c>
      <c r="Z203" s="10">
        <f t="shared" si="53"/>
        <v>0</v>
      </c>
      <c r="AA203" s="10">
        <f t="shared" si="53"/>
        <v>0</v>
      </c>
      <c r="AC203" s="10">
        <f t="shared" si="54"/>
        <v>30.351522126598855</v>
      </c>
      <c r="AD203" s="10">
        <f t="shared" si="54"/>
        <v>1.1303935806952303</v>
      </c>
      <c r="AH203" s="10">
        <f t="shared" si="55"/>
        <v>1</v>
      </c>
      <c r="AI203" s="10">
        <f t="shared" si="56"/>
        <v>0</v>
      </c>
      <c r="AJ203" s="10">
        <f t="shared" si="57"/>
        <v>0</v>
      </c>
    </row>
    <row r="204" spans="6:36" x14ac:dyDescent="0.25">
      <c r="F204" s="10">
        <v>10</v>
      </c>
      <c r="G204" s="10">
        <v>2</v>
      </c>
      <c r="H204" s="10">
        <v>0</v>
      </c>
      <c r="I204" s="10">
        <f t="shared" ref="I204:I219" si="61">I184</f>
        <v>4.2336649521823988</v>
      </c>
      <c r="J204" s="10">
        <f t="shared" si="47"/>
        <v>14.99938962981048</v>
      </c>
      <c r="K204" s="10">
        <f t="shared" si="48"/>
        <v>1</v>
      </c>
      <c r="S204" s="10">
        <f t="shared" si="49"/>
        <v>145.45338922465453</v>
      </c>
      <c r="T204" s="10">
        <f t="shared" si="50"/>
        <v>1</v>
      </c>
      <c r="U204" s="10">
        <f t="shared" si="51"/>
        <v>0</v>
      </c>
      <c r="V204" s="10">
        <f t="shared" si="52"/>
        <v>0</v>
      </c>
      <c r="Y204" s="10">
        <f t="shared" si="53"/>
        <v>0</v>
      </c>
      <c r="Z204" s="10">
        <f t="shared" si="53"/>
        <v>0</v>
      </c>
      <c r="AA204" s="10">
        <f t="shared" si="53"/>
        <v>0</v>
      </c>
      <c r="AC204" s="10">
        <f t="shared" si="54"/>
        <v>30.351522126598855</v>
      </c>
      <c r="AD204" s="10">
        <f t="shared" si="54"/>
        <v>1.1303935806952303</v>
      </c>
      <c r="AH204" s="10">
        <f t="shared" si="55"/>
        <v>1</v>
      </c>
      <c r="AI204" s="10">
        <f t="shared" si="56"/>
        <v>0</v>
      </c>
      <c r="AJ204" s="10">
        <f t="shared" si="57"/>
        <v>0</v>
      </c>
    </row>
    <row r="205" spans="6:36" x14ac:dyDescent="0.25">
      <c r="F205" s="10">
        <v>10</v>
      </c>
      <c r="G205" s="10">
        <v>3</v>
      </c>
      <c r="H205" s="10">
        <v>0</v>
      </c>
      <c r="I205" s="10">
        <f t="shared" si="61"/>
        <v>4.0760342132531742</v>
      </c>
      <c r="J205" s="10">
        <f t="shared" si="47"/>
        <v>14.99938962981048</v>
      </c>
      <c r="K205" s="10">
        <f t="shared" si="48"/>
        <v>1</v>
      </c>
      <c r="S205" s="10">
        <f t="shared" si="49"/>
        <v>140.66905636421205</v>
      </c>
      <c r="T205" s="10">
        <f t="shared" si="50"/>
        <v>1</v>
      </c>
      <c r="U205" s="10">
        <f t="shared" si="51"/>
        <v>0</v>
      </c>
      <c r="V205" s="10">
        <f t="shared" si="52"/>
        <v>0</v>
      </c>
      <c r="Y205" s="10">
        <f t="shared" si="53"/>
        <v>0</v>
      </c>
      <c r="Z205" s="10">
        <f t="shared" si="53"/>
        <v>0</v>
      </c>
      <c r="AA205" s="10">
        <f t="shared" si="53"/>
        <v>0</v>
      </c>
      <c r="AC205" s="10">
        <f t="shared" si="54"/>
        <v>30.351522126598855</v>
      </c>
      <c r="AD205" s="10">
        <f t="shared" si="54"/>
        <v>1.1303935806952303</v>
      </c>
      <c r="AH205" s="10">
        <f t="shared" si="55"/>
        <v>1</v>
      </c>
      <c r="AI205" s="10">
        <f t="shared" si="56"/>
        <v>0</v>
      </c>
      <c r="AJ205" s="10">
        <f t="shared" si="57"/>
        <v>0</v>
      </c>
    </row>
    <row r="206" spans="6:36" x14ac:dyDescent="0.25">
      <c r="F206" s="10">
        <v>10</v>
      </c>
      <c r="G206" s="10">
        <v>4</v>
      </c>
      <c r="H206" s="10">
        <v>0</v>
      </c>
      <c r="I206" s="10">
        <f t="shared" si="61"/>
        <v>6.9682999690312606</v>
      </c>
      <c r="J206" s="10">
        <f t="shared" si="47"/>
        <v>14.99938962981048</v>
      </c>
      <c r="K206" s="10">
        <f t="shared" si="48"/>
        <v>1</v>
      </c>
      <c r="S206" s="10">
        <f t="shared" si="49"/>
        <v>228.4537244467148</v>
      </c>
      <c r="T206" s="10">
        <f t="shared" si="50"/>
        <v>1</v>
      </c>
      <c r="U206" s="10">
        <f t="shared" si="51"/>
        <v>0</v>
      </c>
      <c r="V206" s="10">
        <f t="shared" si="52"/>
        <v>0</v>
      </c>
      <c r="Y206" s="10">
        <f t="shared" si="53"/>
        <v>0</v>
      </c>
      <c r="Z206" s="10">
        <f t="shared" si="53"/>
        <v>0</v>
      </c>
      <c r="AA206" s="10">
        <f t="shared" si="53"/>
        <v>0</v>
      </c>
      <c r="AC206" s="10">
        <f t="shared" si="54"/>
        <v>30.351522126598855</v>
      </c>
      <c r="AD206" s="10">
        <f t="shared" si="54"/>
        <v>1.1303935806952303</v>
      </c>
      <c r="AH206" s="10">
        <f t="shared" si="55"/>
        <v>1</v>
      </c>
      <c r="AI206" s="10">
        <f t="shared" si="56"/>
        <v>0</v>
      </c>
      <c r="AJ206" s="10">
        <f t="shared" si="57"/>
        <v>0</v>
      </c>
    </row>
    <row r="207" spans="6:36" x14ac:dyDescent="0.25">
      <c r="F207" s="10">
        <v>10</v>
      </c>
      <c r="G207" s="10">
        <v>5</v>
      </c>
      <c r="H207" s="10">
        <v>0</v>
      </c>
      <c r="I207" s="10">
        <f t="shared" si="61"/>
        <v>8.3649028089644606</v>
      </c>
      <c r="J207" s="10">
        <f t="shared" si="47"/>
        <v>14.99938962981048</v>
      </c>
      <c r="K207" s="10">
        <f t="shared" si="48"/>
        <v>1</v>
      </c>
      <c r="S207" s="10">
        <f t="shared" si="49"/>
        <v>270.84274644501812</v>
      </c>
      <c r="T207" s="10">
        <f t="shared" si="50"/>
        <v>1</v>
      </c>
      <c r="U207" s="10">
        <f t="shared" si="51"/>
        <v>0</v>
      </c>
      <c r="V207" s="10">
        <f t="shared" si="52"/>
        <v>0</v>
      </c>
      <c r="Y207" s="10">
        <f t="shared" si="53"/>
        <v>0</v>
      </c>
      <c r="Z207" s="10">
        <f t="shared" si="53"/>
        <v>0</v>
      </c>
      <c r="AA207" s="10">
        <f t="shared" si="53"/>
        <v>0</v>
      </c>
      <c r="AC207" s="10">
        <f t="shared" si="54"/>
        <v>30.351522126598855</v>
      </c>
      <c r="AD207" s="10">
        <f t="shared" si="54"/>
        <v>1.1303935806952303</v>
      </c>
      <c r="AH207" s="10">
        <f t="shared" si="55"/>
        <v>1</v>
      </c>
      <c r="AI207" s="10">
        <f t="shared" si="56"/>
        <v>0</v>
      </c>
      <c r="AJ207" s="10">
        <f t="shared" si="57"/>
        <v>0</v>
      </c>
    </row>
    <row r="208" spans="6:36" x14ac:dyDescent="0.25">
      <c r="F208" s="10">
        <v>10</v>
      </c>
      <c r="G208" s="10">
        <v>6</v>
      </c>
      <c r="H208" s="10">
        <v>0</v>
      </c>
      <c r="I208" s="10">
        <f t="shared" si="61"/>
        <v>9.3848699915294151</v>
      </c>
      <c r="J208" s="10">
        <f t="shared" si="47"/>
        <v>14.99938962981048</v>
      </c>
      <c r="K208" s="10">
        <f t="shared" si="48"/>
        <v>1</v>
      </c>
      <c r="S208" s="10">
        <f t="shared" si="49"/>
        <v>301.80030295504298</v>
      </c>
      <c r="T208" s="10">
        <f t="shared" si="50"/>
        <v>1</v>
      </c>
      <c r="U208" s="10">
        <f t="shared" si="51"/>
        <v>0</v>
      </c>
      <c r="V208" s="10">
        <f t="shared" si="52"/>
        <v>0</v>
      </c>
      <c r="Y208" s="10">
        <f t="shared" si="53"/>
        <v>0</v>
      </c>
      <c r="Z208" s="10">
        <f t="shared" si="53"/>
        <v>0</v>
      </c>
      <c r="AA208" s="10">
        <f t="shared" si="53"/>
        <v>0</v>
      </c>
      <c r="AC208" s="10">
        <f t="shared" si="54"/>
        <v>30.351522126598855</v>
      </c>
      <c r="AD208" s="10">
        <f t="shared" si="54"/>
        <v>1.1303935806952303</v>
      </c>
      <c r="AH208" s="10">
        <f t="shared" si="55"/>
        <v>1</v>
      </c>
      <c r="AI208" s="10">
        <f t="shared" si="56"/>
        <v>0</v>
      </c>
      <c r="AJ208" s="10">
        <f t="shared" si="57"/>
        <v>0</v>
      </c>
    </row>
    <row r="209" spans="6:36" x14ac:dyDescent="0.25">
      <c r="F209" s="10">
        <v>10</v>
      </c>
      <c r="G209" s="10">
        <v>7</v>
      </c>
      <c r="H209" s="10">
        <v>0</v>
      </c>
      <c r="I209" s="10">
        <f t="shared" si="61"/>
        <v>9.2116945315592211</v>
      </c>
      <c r="J209" s="10">
        <f t="shared" si="47"/>
        <v>14.99938962981048</v>
      </c>
      <c r="K209" s="10">
        <f t="shared" si="48"/>
        <v>1</v>
      </c>
      <c r="S209" s="10">
        <f t="shared" si="49"/>
        <v>296.54416414997377</v>
      </c>
      <c r="T209" s="10">
        <f t="shared" si="50"/>
        <v>1</v>
      </c>
      <c r="U209" s="10">
        <f t="shared" si="51"/>
        <v>0</v>
      </c>
      <c r="V209" s="10">
        <f t="shared" si="52"/>
        <v>0</v>
      </c>
      <c r="Y209" s="10">
        <f t="shared" si="53"/>
        <v>0</v>
      </c>
      <c r="Z209" s="10">
        <f t="shared" si="53"/>
        <v>0</v>
      </c>
      <c r="AA209" s="10">
        <f t="shared" si="53"/>
        <v>0</v>
      </c>
      <c r="AC209" s="10">
        <f t="shared" si="54"/>
        <v>30.351522126598855</v>
      </c>
      <c r="AD209" s="10">
        <f t="shared" si="54"/>
        <v>1.1303935806952303</v>
      </c>
      <c r="AH209" s="10">
        <f t="shared" si="55"/>
        <v>1</v>
      </c>
      <c r="AI209" s="10">
        <f t="shared" si="56"/>
        <v>0</v>
      </c>
      <c r="AJ209" s="10">
        <f t="shared" si="57"/>
        <v>0</v>
      </c>
    </row>
    <row r="210" spans="6:36" x14ac:dyDescent="0.25">
      <c r="F210" s="10">
        <v>10</v>
      </c>
      <c r="G210" s="10">
        <v>8</v>
      </c>
      <c r="H210" s="10">
        <v>0</v>
      </c>
      <c r="I210" s="10">
        <f t="shared" si="61"/>
        <v>10.461114754974387</v>
      </c>
      <c r="J210" s="10">
        <f t="shared" si="47"/>
        <v>14.99938962981048</v>
      </c>
      <c r="K210" s="10">
        <f t="shared" si="48"/>
        <v>1</v>
      </c>
      <c r="S210" s="10">
        <f t="shared" si="49"/>
        <v>334.46596970637927</v>
      </c>
      <c r="T210" s="10">
        <f t="shared" si="50"/>
        <v>1</v>
      </c>
      <c r="U210" s="10">
        <f t="shared" si="51"/>
        <v>0</v>
      </c>
      <c r="V210" s="10">
        <f t="shared" si="52"/>
        <v>0</v>
      </c>
      <c r="Y210" s="10">
        <f t="shared" si="53"/>
        <v>0</v>
      </c>
      <c r="Z210" s="10">
        <f t="shared" si="53"/>
        <v>0</v>
      </c>
      <c r="AA210" s="10">
        <f t="shared" si="53"/>
        <v>0</v>
      </c>
      <c r="AC210" s="10">
        <f t="shared" si="54"/>
        <v>30.351522126598855</v>
      </c>
      <c r="AD210" s="10">
        <f t="shared" si="54"/>
        <v>1.1303935806952303</v>
      </c>
      <c r="AH210" s="10">
        <f t="shared" si="55"/>
        <v>1</v>
      </c>
      <c r="AI210" s="10">
        <f t="shared" si="56"/>
        <v>0</v>
      </c>
      <c r="AJ210" s="10">
        <f t="shared" si="57"/>
        <v>0</v>
      </c>
    </row>
    <row r="211" spans="6:36" x14ac:dyDescent="0.25">
      <c r="F211" s="10">
        <v>10</v>
      </c>
      <c r="G211" s="10">
        <v>9</v>
      </c>
      <c r="H211" s="10">
        <v>0</v>
      </c>
      <c r="I211" s="10">
        <f t="shared" si="61"/>
        <v>4.1553347214085523</v>
      </c>
      <c r="J211" s="10">
        <f t="shared" si="47"/>
        <v>14.99938962981048</v>
      </c>
      <c r="K211" s="10">
        <f t="shared" si="48"/>
        <v>1</v>
      </c>
      <c r="S211" s="10">
        <f t="shared" si="49"/>
        <v>143.07594749214053</v>
      </c>
      <c r="T211" s="10">
        <f t="shared" si="50"/>
        <v>1</v>
      </c>
      <c r="U211" s="10">
        <f t="shared" si="51"/>
        <v>0</v>
      </c>
      <c r="V211" s="10">
        <f t="shared" si="52"/>
        <v>0</v>
      </c>
      <c r="Y211" s="10">
        <f t="shared" si="53"/>
        <v>0</v>
      </c>
      <c r="Z211" s="10">
        <f t="shared" si="53"/>
        <v>0</v>
      </c>
      <c r="AA211" s="10">
        <f t="shared" si="53"/>
        <v>0</v>
      </c>
      <c r="AC211" s="10">
        <f t="shared" si="54"/>
        <v>30.351522126598855</v>
      </c>
      <c r="AD211" s="10">
        <f t="shared" si="54"/>
        <v>1.1303935806952303</v>
      </c>
      <c r="AH211" s="10">
        <f t="shared" si="55"/>
        <v>1</v>
      </c>
      <c r="AI211" s="10">
        <f t="shared" si="56"/>
        <v>0</v>
      </c>
      <c r="AJ211" s="10">
        <f t="shared" si="57"/>
        <v>0</v>
      </c>
    </row>
    <row r="212" spans="6:36" x14ac:dyDescent="0.25">
      <c r="F212" s="10">
        <v>10</v>
      </c>
      <c r="G212" s="10">
        <v>10</v>
      </c>
      <c r="H212" s="10">
        <v>0</v>
      </c>
      <c r="I212" s="10">
        <f t="shared" si="61"/>
        <v>8.4627041466514576</v>
      </c>
      <c r="J212" s="10">
        <f t="shared" si="47"/>
        <v>14.99938962981048</v>
      </c>
      <c r="K212" s="10">
        <f t="shared" si="48"/>
        <v>1</v>
      </c>
      <c r="S212" s="10">
        <f t="shared" si="49"/>
        <v>273.81116590983595</v>
      </c>
      <c r="T212" s="10">
        <f t="shared" si="50"/>
        <v>1</v>
      </c>
      <c r="U212" s="10">
        <f t="shared" si="51"/>
        <v>0</v>
      </c>
      <c r="V212" s="10">
        <f t="shared" si="52"/>
        <v>0</v>
      </c>
      <c r="Y212" s="10">
        <f t="shared" si="53"/>
        <v>0</v>
      </c>
      <c r="Z212" s="10">
        <f t="shared" si="53"/>
        <v>0</v>
      </c>
      <c r="AA212" s="10">
        <f t="shared" si="53"/>
        <v>0</v>
      </c>
      <c r="AC212" s="10">
        <f t="shared" si="54"/>
        <v>30.351522126598855</v>
      </c>
      <c r="AD212" s="10">
        <f t="shared" si="54"/>
        <v>1.1303935806952303</v>
      </c>
      <c r="AH212" s="10">
        <f t="shared" si="55"/>
        <v>1</v>
      </c>
      <c r="AI212" s="10">
        <f t="shared" si="56"/>
        <v>0</v>
      </c>
      <c r="AJ212" s="10">
        <f t="shared" si="57"/>
        <v>0</v>
      </c>
    </row>
    <row r="213" spans="6:36" x14ac:dyDescent="0.25">
      <c r="F213" s="10">
        <v>10</v>
      </c>
      <c r="G213" s="10">
        <v>11</v>
      </c>
      <c r="H213" s="10">
        <v>0</v>
      </c>
      <c r="I213" s="10">
        <f t="shared" si="61"/>
        <v>11.722530671423003</v>
      </c>
      <c r="J213" s="10">
        <f t="shared" si="47"/>
        <v>14.99938962981048</v>
      </c>
      <c r="K213" s="10">
        <f t="shared" si="48"/>
        <v>1</v>
      </c>
      <c r="S213" s="10">
        <f t="shared" si="49"/>
        <v>372.75186280531341</v>
      </c>
      <c r="T213" s="10">
        <f t="shared" si="50"/>
        <v>1</v>
      </c>
      <c r="U213" s="10">
        <f t="shared" si="51"/>
        <v>0</v>
      </c>
      <c r="V213" s="10">
        <f t="shared" si="52"/>
        <v>0</v>
      </c>
      <c r="Y213" s="10">
        <f t="shared" si="53"/>
        <v>0</v>
      </c>
      <c r="Z213" s="10">
        <f t="shared" si="53"/>
        <v>0</v>
      </c>
      <c r="AA213" s="10">
        <f t="shared" si="53"/>
        <v>0</v>
      </c>
      <c r="AC213" s="10">
        <f t="shared" si="54"/>
        <v>30.351522126598855</v>
      </c>
      <c r="AD213" s="10">
        <f t="shared" si="54"/>
        <v>1.1303935806952303</v>
      </c>
      <c r="AH213" s="10">
        <f t="shared" si="55"/>
        <v>1</v>
      </c>
      <c r="AI213" s="10">
        <f t="shared" si="56"/>
        <v>0</v>
      </c>
      <c r="AJ213" s="10">
        <f t="shared" si="57"/>
        <v>0</v>
      </c>
    </row>
    <row r="214" spans="6:36" x14ac:dyDescent="0.25">
      <c r="F214" s="10">
        <v>10</v>
      </c>
      <c r="G214" s="10">
        <v>12</v>
      </c>
      <c r="H214" s="10">
        <v>0</v>
      </c>
      <c r="I214" s="10">
        <f t="shared" si="61"/>
        <v>9.6231558949622329</v>
      </c>
      <c r="J214" s="10">
        <f t="shared" si="47"/>
        <v>14.99938962981048</v>
      </c>
      <c r="K214" s="10">
        <f t="shared" si="48"/>
        <v>1</v>
      </c>
      <c r="S214" s="10">
        <f t="shared" si="49"/>
        <v>309.03264282554085</v>
      </c>
      <c r="T214" s="10">
        <f t="shared" si="50"/>
        <v>1</v>
      </c>
      <c r="U214" s="10">
        <f t="shared" si="51"/>
        <v>0</v>
      </c>
      <c r="V214" s="10">
        <f t="shared" si="52"/>
        <v>0</v>
      </c>
      <c r="Y214" s="10">
        <f t="shared" si="53"/>
        <v>0</v>
      </c>
      <c r="Z214" s="10">
        <f t="shared" si="53"/>
        <v>0</v>
      </c>
      <c r="AA214" s="10">
        <f t="shared" si="53"/>
        <v>0</v>
      </c>
      <c r="AC214" s="10">
        <f t="shared" si="54"/>
        <v>30.351522126598855</v>
      </c>
      <c r="AD214" s="10">
        <f t="shared" si="54"/>
        <v>1.1303935806952303</v>
      </c>
      <c r="AH214" s="10">
        <f t="shared" si="55"/>
        <v>1</v>
      </c>
      <c r="AI214" s="10">
        <f t="shared" si="56"/>
        <v>0</v>
      </c>
      <c r="AJ214" s="10">
        <f t="shared" si="57"/>
        <v>0</v>
      </c>
    </row>
    <row r="215" spans="6:36" x14ac:dyDescent="0.25">
      <c r="F215" s="10">
        <v>10</v>
      </c>
      <c r="G215" s="10">
        <v>13</v>
      </c>
      <c r="H215" s="10">
        <v>0</v>
      </c>
      <c r="I215" s="10">
        <f t="shared" si="61"/>
        <v>8.0162683783311302</v>
      </c>
      <c r="J215" s="10">
        <f t="shared" si="47"/>
        <v>14.99938962981048</v>
      </c>
      <c r="K215" s="10">
        <f t="shared" si="48"/>
        <v>1</v>
      </c>
      <c r="S215" s="10">
        <f t="shared" si="49"/>
        <v>260.26116080955637</v>
      </c>
      <c r="T215" s="10">
        <f t="shared" si="50"/>
        <v>1</v>
      </c>
      <c r="U215" s="10">
        <f t="shared" si="51"/>
        <v>0</v>
      </c>
      <c r="V215" s="10">
        <f t="shared" si="52"/>
        <v>0</v>
      </c>
      <c r="Y215" s="10">
        <f t="shared" si="53"/>
        <v>0</v>
      </c>
      <c r="Z215" s="10">
        <f t="shared" si="53"/>
        <v>0</v>
      </c>
      <c r="AA215" s="10">
        <f t="shared" si="53"/>
        <v>0</v>
      </c>
      <c r="AC215" s="10">
        <f t="shared" si="54"/>
        <v>30.351522126598855</v>
      </c>
      <c r="AD215" s="10">
        <f t="shared" si="54"/>
        <v>1.1303935806952303</v>
      </c>
      <c r="AH215" s="10">
        <f t="shared" si="55"/>
        <v>1</v>
      </c>
      <c r="AI215" s="10">
        <f t="shared" si="56"/>
        <v>0</v>
      </c>
      <c r="AJ215" s="10">
        <f t="shared" si="57"/>
        <v>0</v>
      </c>
    </row>
    <row r="216" spans="6:36" x14ac:dyDescent="0.25">
      <c r="F216" s="10">
        <v>10</v>
      </c>
      <c r="G216" s="10">
        <v>14</v>
      </c>
      <c r="H216" s="10">
        <v>0</v>
      </c>
      <c r="I216" s="10">
        <f t="shared" si="61"/>
        <v>11.270939377934512</v>
      </c>
      <c r="J216" s="10">
        <f t="shared" ref="J216:J222" si="62">IF(K216=1, D216*$C$9+$C$8,D216*$C$12+$C$11)</f>
        <v>14.99938962981048</v>
      </c>
      <c r="K216" s="10">
        <f t="shared" ref="K216:K222" si="63">IF(E216&lt;$C$14,1,-1)</f>
        <v>1</v>
      </c>
      <c r="S216" s="10">
        <f t="shared" ref="S216:S222" si="64">SUMPRODUCT(H216:J216,AB215:AD215)</f>
        <v>359.0453796688181</v>
      </c>
      <c r="T216" s="10">
        <f t="shared" ref="T216:T222" si="65">IF(S216&gt;=0,1,-1)</f>
        <v>1</v>
      </c>
      <c r="U216" s="10">
        <f t="shared" ref="U216:U222" si="66">(K216-T216)/2</f>
        <v>0</v>
      </c>
      <c r="V216" s="10">
        <f t="shared" ref="V216:V222" si="67">IF(U216&lt;&gt;0,1,0)</f>
        <v>0</v>
      </c>
      <c r="Y216" s="10">
        <f t="shared" ref="Y216:AA222" si="68">IF($U216=0,0,$C$14*($U216)*H216)</f>
        <v>0</v>
      </c>
      <c r="Z216" s="10">
        <f t="shared" si="68"/>
        <v>0</v>
      </c>
      <c r="AA216" s="10">
        <f t="shared" si="68"/>
        <v>0</v>
      </c>
      <c r="AC216" s="10">
        <f t="shared" ref="AC216:AD222" si="69">IF($U216=0,AC215,AC215+$C$14*($U216)*I216)</f>
        <v>30.351522126598855</v>
      </c>
      <c r="AD216" s="10">
        <f t="shared" si="69"/>
        <v>1.1303935806952303</v>
      </c>
      <c r="AH216" s="10">
        <f t="shared" si="55"/>
        <v>1</v>
      </c>
      <c r="AI216" s="10">
        <f t="shared" si="56"/>
        <v>0</v>
      </c>
      <c r="AJ216" s="10">
        <f t="shared" si="57"/>
        <v>0</v>
      </c>
    </row>
    <row r="217" spans="6:36" x14ac:dyDescent="0.25">
      <c r="F217" s="10">
        <v>10</v>
      </c>
      <c r="G217" s="10">
        <v>15</v>
      </c>
      <c r="H217" s="10">
        <v>0</v>
      </c>
      <c r="I217" s="10">
        <f t="shared" si="61"/>
        <v>7.0021023351067502</v>
      </c>
      <c r="J217" s="10">
        <f t="shared" si="62"/>
        <v>14.99938962981048</v>
      </c>
      <c r="K217" s="10">
        <f t="shared" si="63"/>
        <v>1</v>
      </c>
      <c r="S217" s="10">
        <f t="shared" si="64"/>
        <v>229.47967770858642</v>
      </c>
      <c r="T217" s="10">
        <f t="shared" si="65"/>
        <v>1</v>
      </c>
      <c r="U217" s="10">
        <f t="shared" si="66"/>
        <v>0</v>
      </c>
      <c r="V217" s="10">
        <f t="shared" si="67"/>
        <v>0</v>
      </c>
      <c r="Y217" s="10">
        <f t="shared" si="68"/>
        <v>0</v>
      </c>
      <c r="Z217" s="10">
        <f t="shared" si="68"/>
        <v>0</v>
      </c>
      <c r="AA217" s="10">
        <f t="shared" si="68"/>
        <v>0</v>
      </c>
      <c r="AC217" s="10">
        <f t="shared" si="69"/>
        <v>30.351522126598855</v>
      </c>
      <c r="AD217" s="10">
        <f t="shared" si="69"/>
        <v>1.1303935806952303</v>
      </c>
      <c r="AH217" s="10">
        <f t="shared" si="55"/>
        <v>1</v>
      </c>
      <c r="AI217" s="10">
        <f t="shared" si="56"/>
        <v>0</v>
      </c>
      <c r="AJ217" s="10">
        <f t="shared" si="57"/>
        <v>0</v>
      </c>
    </row>
    <row r="218" spans="6:36" x14ac:dyDescent="0.25">
      <c r="F218" s="10">
        <v>10</v>
      </c>
      <c r="G218" s="10">
        <v>16</v>
      </c>
      <c r="H218" s="10">
        <v>0</v>
      </c>
      <c r="I218" s="10">
        <f t="shared" si="61"/>
        <v>9.3873260438242312</v>
      </c>
      <c r="J218" s="10">
        <f t="shared" si="62"/>
        <v>14.99938962981048</v>
      </c>
      <c r="K218" s="10">
        <f t="shared" si="63"/>
        <v>1</v>
      </c>
      <c r="S218" s="10">
        <f t="shared" si="64"/>
        <v>301.87484788061317</v>
      </c>
      <c r="T218" s="10">
        <f t="shared" si="65"/>
        <v>1</v>
      </c>
      <c r="U218" s="10">
        <f t="shared" si="66"/>
        <v>0</v>
      </c>
      <c r="V218" s="10">
        <f t="shared" si="67"/>
        <v>0</v>
      </c>
      <c r="Y218" s="10">
        <f t="shared" si="68"/>
        <v>0</v>
      </c>
      <c r="Z218" s="10">
        <f t="shared" si="68"/>
        <v>0</v>
      </c>
      <c r="AA218" s="10">
        <f t="shared" si="68"/>
        <v>0</v>
      </c>
      <c r="AC218" s="10">
        <f t="shared" si="69"/>
        <v>30.351522126598855</v>
      </c>
      <c r="AD218" s="10">
        <f t="shared" si="69"/>
        <v>1.1303935806952303</v>
      </c>
      <c r="AH218" s="10">
        <f t="shared" ref="AH218:AH224" si="70">IF(SUMPRODUCT(H216:J216,$AH$21:$AJ$21)&gt;=0,1,-1)</f>
        <v>1</v>
      </c>
      <c r="AI218" s="10">
        <f t="shared" ref="AI218:AI224" si="71">(K216-AH218)/2</f>
        <v>0</v>
      </c>
      <c r="AJ218" s="10">
        <f t="shared" ref="AJ218:AJ224" si="72">IF(AI218&lt;&gt;0,1,0)</f>
        <v>0</v>
      </c>
    </row>
    <row r="219" spans="6:36" x14ac:dyDescent="0.25">
      <c r="F219" s="10">
        <v>10</v>
      </c>
      <c r="G219" s="10">
        <v>17</v>
      </c>
      <c r="H219" s="10">
        <v>0</v>
      </c>
      <c r="I219" s="10">
        <f t="shared" si="61"/>
        <v>8.350479766806572</v>
      </c>
      <c r="J219" s="10">
        <f t="shared" si="62"/>
        <v>14.99938962981048</v>
      </c>
      <c r="K219" s="10">
        <f t="shared" si="63"/>
        <v>1</v>
      </c>
      <c r="S219" s="10">
        <f t="shared" si="64"/>
        <v>270.4049851618301</v>
      </c>
      <c r="T219" s="10">
        <f t="shared" si="65"/>
        <v>1</v>
      </c>
      <c r="U219" s="10">
        <f t="shared" si="66"/>
        <v>0</v>
      </c>
      <c r="V219" s="10">
        <f t="shared" si="67"/>
        <v>0</v>
      </c>
      <c r="Y219" s="10">
        <f t="shared" si="68"/>
        <v>0</v>
      </c>
      <c r="Z219" s="10">
        <f t="shared" si="68"/>
        <v>0</v>
      </c>
      <c r="AA219" s="10">
        <f t="shared" si="68"/>
        <v>0</v>
      </c>
      <c r="AC219" s="10">
        <f t="shared" si="69"/>
        <v>30.351522126598855</v>
      </c>
      <c r="AD219" s="10">
        <f t="shared" si="69"/>
        <v>1.1303935806952303</v>
      </c>
      <c r="AH219" s="10">
        <f t="shared" si="70"/>
        <v>1</v>
      </c>
      <c r="AI219" s="10">
        <f t="shared" si="71"/>
        <v>0</v>
      </c>
      <c r="AJ219" s="10">
        <f t="shared" si="72"/>
        <v>0</v>
      </c>
    </row>
    <row r="220" spans="6:36" x14ac:dyDescent="0.25">
      <c r="F220" s="10">
        <v>10</v>
      </c>
      <c r="G220" s="10">
        <v>18</v>
      </c>
      <c r="H220" s="10">
        <v>0</v>
      </c>
      <c r="I220" s="10">
        <f t="shared" ref="I220:I222" si="73">I200</f>
        <v>8.8378960488846694</v>
      </c>
      <c r="J220" s="10">
        <f t="shared" si="62"/>
        <v>14.99938962981048</v>
      </c>
      <c r="K220" s="10">
        <f t="shared" si="63"/>
        <v>1</v>
      </c>
      <c r="S220" s="10">
        <f t="shared" si="64"/>
        <v>285.19881123218806</v>
      </c>
      <c r="T220" s="10">
        <f t="shared" si="65"/>
        <v>1</v>
      </c>
      <c r="U220" s="10">
        <f t="shared" si="66"/>
        <v>0</v>
      </c>
      <c r="V220" s="10">
        <f t="shared" si="67"/>
        <v>0</v>
      </c>
      <c r="Y220" s="10">
        <f t="shared" si="68"/>
        <v>0</v>
      </c>
      <c r="Z220" s="10">
        <f t="shared" si="68"/>
        <v>0</v>
      </c>
      <c r="AA220" s="10">
        <f t="shared" si="68"/>
        <v>0</v>
      </c>
      <c r="AC220" s="10">
        <f t="shared" si="69"/>
        <v>30.351522126598855</v>
      </c>
      <c r="AD220" s="10">
        <f t="shared" si="69"/>
        <v>1.1303935806952303</v>
      </c>
      <c r="AH220" s="10">
        <f t="shared" si="70"/>
        <v>1</v>
      </c>
      <c r="AI220" s="10">
        <f t="shared" si="71"/>
        <v>0</v>
      </c>
      <c r="AJ220" s="10">
        <f t="shared" si="72"/>
        <v>0</v>
      </c>
    </row>
    <row r="221" spans="6:36" x14ac:dyDescent="0.25">
      <c r="F221" s="10">
        <v>10</v>
      </c>
      <c r="G221" s="10">
        <v>19</v>
      </c>
      <c r="H221" s="10">
        <v>0</v>
      </c>
      <c r="I221" s="10">
        <f t="shared" si="73"/>
        <v>5.9362821331723659</v>
      </c>
      <c r="J221" s="10">
        <f t="shared" si="62"/>
        <v>14.99938962981048</v>
      </c>
      <c r="K221" s="10">
        <f t="shared" si="63"/>
        <v>1</v>
      </c>
      <c r="S221" s="10">
        <f t="shared" si="64"/>
        <v>197.13041226659888</v>
      </c>
      <c r="T221" s="10">
        <f t="shared" si="65"/>
        <v>1</v>
      </c>
      <c r="U221" s="10">
        <f t="shared" si="66"/>
        <v>0</v>
      </c>
      <c r="V221" s="10">
        <f t="shared" si="67"/>
        <v>0</v>
      </c>
      <c r="Y221" s="10">
        <f t="shared" si="68"/>
        <v>0</v>
      </c>
      <c r="Z221" s="10">
        <f t="shared" si="68"/>
        <v>0</v>
      </c>
      <c r="AA221" s="10">
        <f t="shared" si="68"/>
        <v>0</v>
      </c>
      <c r="AC221" s="10">
        <f t="shared" si="69"/>
        <v>30.351522126598855</v>
      </c>
      <c r="AD221" s="10">
        <f t="shared" si="69"/>
        <v>1.1303935806952303</v>
      </c>
      <c r="AH221" s="10">
        <f t="shared" si="70"/>
        <v>1</v>
      </c>
      <c r="AI221" s="10">
        <f t="shared" si="71"/>
        <v>0</v>
      </c>
      <c r="AJ221" s="10">
        <f t="shared" si="72"/>
        <v>0</v>
      </c>
    </row>
    <row r="222" spans="6:36" x14ac:dyDescent="0.25">
      <c r="F222" s="10">
        <v>10</v>
      </c>
      <c r="G222" s="10">
        <v>20</v>
      </c>
      <c r="H222" s="10">
        <v>0</v>
      </c>
      <c r="I222" s="10">
        <f t="shared" si="73"/>
        <v>6.5710893880029841</v>
      </c>
      <c r="J222" s="10">
        <f t="shared" si="62"/>
        <v>14.99938962981048</v>
      </c>
      <c r="K222" s="10">
        <f t="shared" si="63"/>
        <v>1</v>
      </c>
      <c r="S222" s="10">
        <f t="shared" si="64"/>
        <v>216.39777870771587</v>
      </c>
      <c r="T222" s="10">
        <f t="shared" si="65"/>
        <v>1</v>
      </c>
      <c r="U222" s="10">
        <f t="shared" si="66"/>
        <v>0</v>
      </c>
      <c r="V222" s="10">
        <f t="shared" si="67"/>
        <v>0</v>
      </c>
      <c r="X222" s="10">
        <f>SUM(V203:V222)</f>
        <v>0</v>
      </c>
      <c r="Y222" s="10">
        <f t="shared" si="68"/>
        <v>0</v>
      </c>
      <c r="Z222" s="10">
        <f t="shared" si="68"/>
        <v>0</v>
      </c>
      <c r="AA222" s="10">
        <f t="shared" si="68"/>
        <v>0</v>
      </c>
      <c r="AC222" s="10">
        <f t="shared" si="69"/>
        <v>30.351522126598855</v>
      </c>
      <c r="AD222" s="10">
        <f t="shared" si="69"/>
        <v>1.1303935806952303</v>
      </c>
      <c r="AH222" s="10">
        <f t="shared" si="70"/>
        <v>1</v>
      </c>
      <c r="AI222" s="10">
        <f t="shared" si="71"/>
        <v>0</v>
      </c>
      <c r="AJ222" s="10">
        <f t="shared" si="72"/>
        <v>0</v>
      </c>
    </row>
    <row r="223" spans="6:36" x14ac:dyDescent="0.25">
      <c r="AH223" s="10">
        <f t="shared" si="70"/>
        <v>1</v>
      </c>
      <c r="AI223" s="10">
        <f t="shared" si="71"/>
        <v>0</v>
      </c>
      <c r="AJ223" s="10">
        <f t="shared" si="72"/>
        <v>0</v>
      </c>
    </row>
    <row r="224" spans="6:36" x14ac:dyDescent="0.25">
      <c r="AH224" s="10">
        <f t="shared" si="70"/>
        <v>1</v>
      </c>
      <c r="AI224" s="10">
        <f t="shared" si="71"/>
        <v>0</v>
      </c>
      <c r="AJ224" s="10">
        <f t="shared" si="72"/>
        <v>0</v>
      </c>
    </row>
  </sheetData>
  <mergeCells count="16">
    <mergeCell ref="C21:E21"/>
    <mergeCell ref="N21:O21"/>
    <mergeCell ref="P21:Q21"/>
    <mergeCell ref="AS33:AW33"/>
    <mergeCell ref="AI19:AK19"/>
    <mergeCell ref="AN19:AQ19"/>
    <mergeCell ref="AT19:AW19"/>
    <mergeCell ref="B20:E20"/>
    <mergeCell ref="N20:Q20"/>
    <mergeCell ref="T20:AD20"/>
    <mergeCell ref="A16:B16"/>
    <mergeCell ref="A11:B11"/>
    <mergeCell ref="A12:B12"/>
    <mergeCell ref="A13:B13"/>
    <mergeCell ref="A14:B14"/>
    <mergeCell ref="A15:B1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8DA81-6427-4211-ACC9-36E38AE4CCF2}">
  <dimension ref="A3:AC28"/>
  <sheetViews>
    <sheetView topLeftCell="H1" workbookViewId="0">
      <selection activeCell="D20" sqref="D20"/>
    </sheetView>
  </sheetViews>
  <sheetFormatPr defaultRowHeight="15" x14ac:dyDescent="0.25"/>
  <sheetData>
    <row r="3" spans="1:29" x14ac:dyDescent="0.25">
      <c r="A3" s="10"/>
      <c r="B3" s="10"/>
      <c r="C3" s="10"/>
      <c r="D3" s="10"/>
      <c r="E3" s="10"/>
      <c r="F3" s="10"/>
      <c r="G3" s="10"/>
      <c r="H3" s="11">
        <v>0</v>
      </c>
      <c r="I3" s="11">
        <v>1</v>
      </c>
      <c r="J3" s="11">
        <v>2</v>
      </c>
      <c r="K3" s="11">
        <v>3</v>
      </c>
      <c r="L3" s="11">
        <v>4</v>
      </c>
      <c r="M3" s="11">
        <v>5</v>
      </c>
      <c r="N3" s="11">
        <v>6</v>
      </c>
      <c r="O3" s="11">
        <v>7</v>
      </c>
      <c r="P3" s="11">
        <v>8</v>
      </c>
      <c r="Q3" s="11">
        <v>9</v>
      </c>
      <c r="R3" s="11">
        <v>10</v>
      </c>
      <c r="S3" s="11">
        <v>11</v>
      </c>
      <c r="T3" s="11">
        <v>12</v>
      </c>
      <c r="U3" s="11">
        <v>13</v>
      </c>
      <c r="V3" s="11">
        <v>14</v>
      </c>
      <c r="W3" s="11">
        <v>15</v>
      </c>
      <c r="X3" s="11">
        <v>16</v>
      </c>
      <c r="Y3" s="11">
        <v>17</v>
      </c>
      <c r="Z3" s="11">
        <f>Y3+1</f>
        <v>18</v>
      </c>
      <c r="AA3" s="11">
        <f t="shared" ref="AA3:AB3" si="0">Z3+1</f>
        <v>19</v>
      </c>
      <c r="AB3" s="11">
        <f t="shared" si="0"/>
        <v>20</v>
      </c>
      <c r="AC3" s="11"/>
    </row>
    <row r="4" spans="1:29" x14ac:dyDescent="0.25">
      <c r="A4" s="13">
        <v>1</v>
      </c>
      <c r="B4" s="36" t="s">
        <v>12</v>
      </c>
      <c r="C4" s="36"/>
      <c r="D4" s="36"/>
      <c r="E4" s="36"/>
      <c r="F4" s="10"/>
      <c r="G4" s="16" t="s">
        <v>61</v>
      </c>
      <c r="H4" s="20">
        <v>0.1</v>
      </c>
      <c r="I4" s="20">
        <v>0.25</v>
      </c>
      <c r="J4" s="20">
        <v>0.5</v>
      </c>
      <c r="K4" s="20">
        <v>0.75</v>
      </c>
      <c r="L4" s="20">
        <v>1</v>
      </c>
      <c r="M4" s="20">
        <v>1.25</v>
      </c>
      <c r="N4" s="20">
        <v>1.5</v>
      </c>
      <c r="O4" s="20">
        <v>1.75</v>
      </c>
      <c r="P4" s="20">
        <v>2</v>
      </c>
      <c r="Q4" s="20">
        <v>2.25</v>
      </c>
      <c r="R4" s="20">
        <v>2.5</v>
      </c>
      <c r="S4" s="20">
        <v>2.75</v>
      </c>
      <c r="T4" s="20">
        <v>3</v>
      </c>
      <c r="U4" s="20">
        <v>3.25</v>
      </c>
      <c r="V4" s="20">
        <v>3.5</v>
      </c>
      <c r="W4" s="20">
        <v>3.75</v>
      </c>
      <c r="X4" s="20">
        <v>4</v>
      </c>
      <c r="Y4" s="20">
        <v>4.25</v>
      </c>
      <c r="Z4" s="20">
        <f>Y4+0.25</f>
        <v>4.5</v>
      </c>
      <c r="AA4" s="20">
        <f t="shared" ref="AA4:AB4" si="1">Z4+0.25</f>
        <v>4.75</v>
      </c>
      <c r="AB4" s="20">
        <f t="shared" si="1"/>
        <v>5</v>
      </c>
      <c r="AC4" s="25"/>
    </row>
    <row r="5" spans="1:29" x14ac:dyDescent="0.25">
      <c r="A5" s="10"/>
      <c r="B5" s="21" t="s">
        <v>30</v>
      </c>
      <c r="C5" s="21" t="s">
        <v>31</v>
      </c>
      <c r="D5" s="21" t="s">
        <v>32</v>
      </c>
      <c r="E5" s="26"/>
      <c r="F5" s="11">
        <v>0</v>
      </c>
      <c r="G5" s="20">
        <v>0.1</v>
      </c>
      <c r="H5" s="14">
        <f>($D$6 - SIGN(H$4*$B$6 + $G5*$C$6+0.0000001))^2+($D$7 - SIGN(H$4*$B$7 + $G5*$C$7+0.0000001))^2 + ($D$8 - SIGN(H$4*$B$8 + $G5*$C$8+0.0000001))^2 +($D$9 - SIGN(H$4*$B$9 + $G5*$C$9+0.0000001))^2 + ($D$10 - SIGN(H$4*$B$10 + $G5*$C$10+0.0000001))^2 +($D$11 - SIGN(H$4*$B$11 + $G5*$C$11+0.0000001))^2 + ($D$12 - SIGN(H$4*$B$12 + $G5*$C$12+0.0000001))^2 + ($D$13 - SIGN(H$4*$B$13 + $G5*$C$13+0.0000001))^2 + ($D$14 - SIGN(H$4*$B$14 + $G5*$C$14+0.0000001))^2 +($D$15 - SIGN(H$4*$B$15 + $G5*$C$15+0.0000001))^2</f>
        <v>12</v>
      </c>
      <c r="I5" s="14">
        <f t="shared" ref="I5:AB17" si="2">($D$6 - SIGN(I$4*$B$6 + $G5*$C$6+0.0000001))^2+($D$7 - SIGN(I$4*$B$7 + $G5*$C$7+0.0000001))^2 + ($D$8 - SIGN(I$4*$B$8 + $G5*$C$8+0.0000001))^2 +($D$9 - SIGN(I$4*$B$9 + $G5*$C$9+0.0000001))^2 + ($D$10 - SIGN(I$4*$B$10 + $G5*$C$10+0.0000001))^2 +($D$11 - SIGN(I$4*$B$11 + $G5*$C$11+0.0000001))^2 + ($D$12 - SIGN(I$4*$B$12 + $G5*$C$12+0.0000001))^2 + ($D$13 - SIGN(I$4*$B$13 + $G5*$C$13+0.0000001))^2 + ($D$14 - SIGN(I$4*$B$14 + $G5*$C$14+0.0000001))^2 +($D$15 - SIGN(I$4*$B$15 + $G5*$C$15+0.0000001))^2</f>
        <v>12</v>
      </c>
      <c r="J5" s="14">
        <f t="shared" si="2"/>
        <v>12</v>
      </c>
      <c r="K5" s="14">
        <f t="shared" si="2"/>
        <v>12</v>
      </c>
      <c r="L5" s="14">
        <f t="shared" si="2"/>
        <v>12</v>
      </c>
      <c r="M5" s="14">
        <f t="shared" si="2"/>
        <v>12</v>
      </c>
      <c r="N5" s="14">
        <f t="shared" si="2"/>
        <v>12</v>
      </c>
      <c r="O5" s="14">
        <f t="shared" si="2"/>
        <v>12</v>
      </c>
      <c r="P5" s="14">
        <f t="shared" si="2"/>
        <v>12</v>
      </c>
      <c r="Q5" s="14">
        <f t="shared" si="2"/>
        <v>12</v>
      </c>
      <c r="R5" s="14">
        <f t="shared" si="2"/>
        <v>12</v>
      </c>
      <c r="S5" s="14">
        <f t="shared" si="2"/>
        <v>12</v>
      </c>
      <c r="T5" s="14">
        <f t="shared" si="2"/>
        <v>12</v>
      </c>
      <c r="U5" s="14">
        <f t="shared" si="2"/>
        <v>12</v>
      </c>
      <c r="V5" s="14">
        <f t="shared" si="2"/>
        <v>12</v>
      </c>
      <c r="W5" s="14">
        <f t="shared" si="2"/>
        <v>12</v>
      </c>
      <c r="X5" s="14">
        <f t="shared" si="2"/>
        <v>12</v>
      </c>
      <c r="Y5" s="14">
        <f t="shared" si="2"/>
        <v>12</v>
      </c>
      <c r="Z5" s="14">
        <f t="shared" si="2"/>
        <v>12</v>
      </c>
      <c r="AA5" s="14">
        <f t="shared" si="2"/>
        <v>12</v>
      </c>
      <c r="AB5" s="14">
        <f t="shared" si="2"/>
        <v>12</v>
      </c>
      <c r="AC5" s="10"/>
    </row>
    <row r="6" spans="1:29" x14ac:dyDescent="0.25">
      <c r="A6" s="10">
        <v>1</v>
      </c>
      <c r="B6" s="10">
        <v>4.3149584625268673</v>
      </c>
      <c r="C6" s="10">
        <v>13.587304965306437</v>
      </c>
      <c r="D6" s="10">
        <v>1</v>
      </c>
      <c r="E6" s="27"/>
      <c r="F6" s="11">
        <v>1</v>
      </c>
      <c r="G6" s="20">
        <v>0.25</v>
      </c>
      <c r="H6" s="14">
        <f t="shared" ref="H6:W25" si="3">($D$6 - SIGN(H$4*$B$6 + $G6*$C$6+0.0000001))^2+($D$7 - SIGN(H$4*$B$7 + $G6*$C$7+0.0000001))^2 + ($D$8 - SIGN(H$4*$B$8 + $G6*$C$8+0.0000001))^2 +($D$9 - SIGN(H$4*$B$9 + $G6*$C$9+0.0000001))^2 + ($D$10 - SIGN(H$4*$B$10 + $G6*$C$10+0.0000001))^2 +($D$11 - SIGN(H$4*$B$11 + $G6*$C$11+0.0000001))^2 + ($D$12 - SIGN(H$4*$B$12 + $G6*$C$12+0.0000001))^2 + ($D$13 - SIGN(H$4*$B$13 + $G6*$C$13+0.0000001))^2 + ($D$14 - SIGN(H$4*$B$14 + $G6*$C$14+0.0000001))^2 +($D$15 - SIGN(H$4*$B$15 + $G6*$C$15+0.0000001))^2</f>
        <v>12</v>
      </c>
      <c r="I6" s="14">
        <f t="shared" si="2"/>
        <v>12</v>
      </c>
      <c r="J6" s="14">
        <f t="shared" si="2"/>
        <v>12</v>
      </c>
      <c r="K6" s="14">
        <f t="shared" si="2"/>
        <v>12</v>
      </c>
      <c r="L6" s="14">
        <f t="shared" si="2"/>
        <v>12</v>
      </c>
      <c r="M6" s="14">
        <f t="shared" si="2"/>
        <v>12</v>
      </c>
      <c r="N6" s="14">
        <f t="shared" si="2"/>
        <v>12</v>
      </c>
      <c r="O6" s="14">
        <f t="shared" si="2"/>
        <v>12</v>
      </c>
      <c r="P6" s="14">
        <f t="shared" si="2"/>
        <v>12</v>
      </c>
      <c r="Q6" s="14">
        <f t="shared" si="2"/>
        <v>12</v>
      </c>
      <c r="R6" s="14">
        <f t="shared" si="2"/>
        <v>12</v>
      </c>
      <c r="S6" s="14">
        <f t="shared" si="2"/>
        <v>12</v>
      </c>
      <c r="T6" s="14">
        <f t="shared" si="2"/>
        <v>12</v>
      </c>
      <c r="U6" s="14">
        <f t="shared" si="2"/>
        <v>12</v>
      </c>
      <c r="V6" s="14">
        <f t="shared" si="2"/>
        <v>12</v>
      </c>
      <c r="W6" s="14">
        <f t="shared" si="2"/>
        <v>12</v>
      </c>
      <c r="X6" s="14">
        <f t="shared" si="2"/>
        <v>12</v>
      </c>
      <c r="Y6" s="14">
        <f t="shared" si="2"/>
        <v>12</v>
      </c>
      <c r="Z6" s="14">
        <f t="shared" si="2"/>
        <v>12</v>
      </c>
      <c r="AA6" s="14">
        <f t="shared" si="2"/>
        <v>12</v>
      </c>
      <c r="AB6" s="14">
        <f t="shared" si="2"/>
        <v>12</v>
      </c>
      <c r="AC6" s="10"/>
    </row>
    <row r="7" spans="1:29" x14ac:dyDescent="0.25">
      <c r="A7" s="10">
        <v>2</v>
      </c>
      <c r="B7" s="10">
        <v>4.2336649521823988</v>
      </c>
      <c r="C7" s="10">
        <v>12.70627015712763</v>
      </c>
      <c r="D7" s="10">
        <v>1</v>
      </c>
      <c r="E7" s="27"/>
      <c r="F7" s="11">
        <v>2</v>
      </c>
      <c r="G7" s="20">
        <v>0.5</v>
      </c>
      <c r="H7" s="14">
        <f t="shared" si="3"/>
        <v>12</v>
      </c>
      <c r="I7" s="14">
        <f t="shared" si="2"/>
        <v>12</v>
      </c>
      <c r="J7" s="14">
        <f t="shared" si="2"/>
        <v>12</v>
      </c>
      <c r="K7" s="14">
        <f t="shared" si="2"/>
        <v>12</v>
      </c>
      <c r="L7" s="14">
        <f t="shared" si="2"/>
        <v>12</v>
      </c>
      <c r="M7" s="14">
        <f t="shared" si="2"/>
        <v>12</v>
      </c>
      <c r="N7" s="14">
        <f t="shared" si="2"/>
        <v>12</v>
      </c>
      <c r="O7" s="14">
        <f t="shared" si="2"/>
        <v>12</v>
      </c>
      <c r="P7" s="14">
        <f t="shared" si="2"/>
        <v>12</v>
      </c>
      <c r="Q7" s="14">
        <f t="shared" si="2"/>
        <v>12</v>
      </c>
      <c r="R7" s="14">
        <f t="shared" si="2"/>
        <v>12</v>
      </c>
      <c r="S7" s="14">
        <f t="shared" si="2"/>
        <v>12</v>
      </c>
      <c r="T7" s="14">
        <f t="shared" si="2"/>
        <v>12</v>
      </c>
      <c r="U7" s="14">
        <f t="shared" si="2"/>
        <v>12</v>
      </c>
      <c r="V7" s="14">
        <f t="shared" si="2"/>
        <v>12</v>
      </c>
      <c r="W7" s="14">
        <f t="shared" si="2"/>
        <v>12</v>
      </c>
      <c r="X7" s="14">
        <f t="shared" si="2"/>
        <v>12</v>
      </c>
      <c r="Y7" s="14">
        <f t="shared" si="2"/>
        <v>12</v>
      </c>
      <c r="Z7" s="14">
        <f t="shared" si="2"/>
        <v>12</v>
      </c>
      <c r="AA7" s="14">
        <f t="shared" si="2"/>
        <v>12</v>
      </c>
      <c r="AB7" s="14">
        <f t="shared" si="2"/>
        <v>12</v>
      </c>
      <c r="AC7" s="10"/>
    </row>
    <row r="8" spans="1:29" x14ac:dyDescent="0.25">
      <c r="A8" s="10">
        <v>3</v>
      </c>
      <c r="B8" s="10">
        <v>4.0760342132531742</v>
      </c>
      <c r="C8" s="10">
        <v>14.469759131952143</v>
      </c>
      <c r="D8" s="10">
        <v>1</v>
      </c>
      <c r="E8" s="27"/>
      <c r="F8" s="11">
        <v>3</v>
      </c>
      <c r="G8" s="20">
        <v>0.75</v>
      </c>
      <c r="H8" s="14">
        <f t="shared" si="3"/>
        <v>12</v>
      </c>
      <c r="I8" s="14">
        <f t="shared" si="2"/>
        <v>12</v>
      </c>
      <c r="J8" s="14">
        <f t="shared" si="2"/>
        <v>12</v>
      </c>
      <c r="K8" s="14">
        <f t="shared" si="2"/>
        <v>12</v>
      </c>
      <c r="L8" s="14">
        <f t="shared" si="2"/>
        <v>12</v>
      </c>
      <c r="M8" s="14">
        <f t="shared" si="2"/>
        <v>12</v>
      </c>
      <c r="N8" s="14">
        <f t="shared" si="2"/>
        <v>12</v>
      </c>
      <c r="O8" s="14">
        <f t="shared" si="2"/>
        <v>12</v>
      </c>
      <c r="P8" s="14">
        <f t="shared" si="2"/>
        <v>12</v>
      </c>
      <c r="Q8" s="14">
        <f t="shared" si="2"/>
        <v>12</v>
      </c>
      <c r="R8" s="14">
        <f t="shared" si="2"/>
        <v>12</v>
      </c>
      <c r="S8" s="14">
        <f t="shared" si="2"/>
        <v>12</v>
      </c>
      <c r="T8" s="14">
        <f t="shared" si="2"/>
        <v>12</v>
      </c>
      <c r="U8" s="14">
        <f t="shared" si="2"/>
        <v>12</v>
      </c>
      <c r="V8" s="14">
        <f t="shared" si="2"/>
        <v>12</v>
      </c>
      <c r="W8" s="14">
        <f t="shared" si="2"/>
        <v>12</v>
      </c>
      <c r="X8" s="14">
        <f t="shared" si="2"/>
        <v>12</v>
      </c>
      <c r="Y8" s="14">
        <f t="shared" si="2"/>
        <v>12</v>
      </c>
      <c r="Z8" s="14">
        <f t="shared" si="2"/>
        <v>12</v>
      </c>
      <c r="AA8" s="14">
        <f t="shared" si="2"/>
        <v>12</v>
      </c>
      <c r="AB8" s="14">
        <f t="shared" si="2"/>
        <v>12</v>
      </c>
      <c r="AC8" s="10"/>
    </row>
    <row r="9" spans="1:29" x14ac:dyDescent="0.25">
      <c r="A9" s="10">
        <v>4</v>
      </c>
      <c r="B9" s="10">
        <v>6.9682999690312606</v>
      </c>
      <c r="C9" s="10">
        <v>17.914758476754205</v>
      </c>
      <c r="D9" s="10">
        <v>1</v>
      </c>
      <c r="E9" s="27"/>
      <c r="F9" s="11">
        <v>4</v>
      </c>
      <c r="G9" s="20">
        <v>1</v>
      </c>
      <c r="H9" s="14">
        <f t="shared" si="3"/>
        <v>12</v>
      </c>
      <c r="I9" s="14">
        <f t="shared" si="2"/>
        <v>12</v>
      </c>
      <c r="J9" s="14">
        <f t="shared" si="2"/>
        <v>12</v>
      </c>
      <c r="K9" s="14">
        <f t="shared" si="2"/>
        <v>12</v>
      </c>
      <c r="L9" s="14">
        <f t="shared" si="2"/>
        <v>12</v>
      </c>
      <c r="M9" s="14">
        <f t="shared" si="2"/>
        <v>12</v>
      </c>
      <c r="N9" s="14">
        <f t="shared" si="2"/>
        <v>12</v>
      </c>
      <c r="O9" s="14">
        <f t="shared" si="2"/>
        <v>12</v>
      </c>
      <c r="P9" s="14">
        <f t="shared" si="2"/>
        <v>12</v>
      </c>
      <c r="Q9" s="14">
        <f t="shared" si="2"/>
        <v>12</v>
      </c>
      <c r="R9" s="14">
        <f t="shared" si="2"/>
        <v>12</v>
      </c>
      <c r="S9" s="14">
        <f t="shared" si="2"/>
        <v>12</v>
      </c>
      <c r="T9" s="14">
        <f t="shared" si="2"/>
        <v>12</v>
      </c>
      <c r="U9" s="14">
        <f t="shared" si="2"/>
        <v>12</v>
      </c>
      <c r="V9" s="14">
        <f t="shared" si="2"/>
        <v>12</v>
      </c>
      <c r="W9" s="14">
        <f t="shared" si="2"/>
        <v>12</v>
      </c>
      <c r="X9" s="14">
        <f t="shared" si="2"/>
        <v>12</v>
      </c>
      <c r="Y9" s="14">
        <f t="shared" si="2"/>
        <v>12</v>
      </c>
      <c r="Z9" s="14">
        <f t="shared" si="2"/>
        <v>12</v>
      </c>
      <c r="AA9" s="14">
        <f t="shared" si="2"/>
        <v>12</v>
      </c>
      <c r="AB9" s="14">
        <f t="shared" si="2"/>
        <v>12</v>
      </c>
      <c r="AC9" s="10"/>
    </row>
    <row r="10" spans="1:29" x14ac:dyDescent="0.25">
      <c r="A10" s="10">
        <v>5</v>
      </c>
      <c r="B10" s="10">
        <v>8.3649028089644606</v>
      </c>
      <c r="C10" s="10">
        <v>12.719454128845591</v>
      </c>
      <c r="D10" s="10">
        <v>1</v>
      </c>
      <c r="E10" s="27"/>
      <c r="F10" s="11">
        <v>5</v>
      </c>
      <c r="G10" s="20">
        <v>1.25</v>
      </c>
      <c r="H10" s="14">
        <f t="shared" si="3"/>
        <v>12</v>
      </c>
      <c r="I10" s="14">
        <f t="shared" si="2"/>
        <v>12</v>
      </c>
      <c r="J10" s="14">
        <f t="shared" si="2"/>
        <v>12</v>
      </c>
      <c r="K10" s="14">
        <f t="shared" si="2"/>
        <v>12</v>
      </c>
      <c r="L10" s="14">
        <f t="shared" si="2"/>
        <v>12</v>
      </c>
      <c r="M10" s="14">
        <f t="shared" si="2"/>
        <v>12</v>
      </c>
      <c r="N10" s="14">
        <f t="shared" si="2"/>
        <v>12</v>
      </c>
      <c r="O10" s="14">
        <f t="shared" si="2"/>
        <v>12</v>
      </c>
      <c r="P10" s="14">
        <f t="shared" si="2"/>
        <v>12</v>
      </c>
      <c r="Q10" s="14">
        <f t="shared" si="2"/>
        <v>12</v>
      </c>
      <c r="R10" s="14">
        <f t="shared" si="2"/>
        <v>12</v>
      </c>
      <c r="S10" s="14">
        <f t="shared" si="2"/>
        <v>12</v>
      </c>
      <c r="T10" s="14">
        <f t="shared" si="2"/>
        <v>12</v>
      </c>
      <c r="U10" s="14">
        <f t="shared" si="2"/>
        <v>12</v>
      </c>
      <c r="V10" s="14">
        <f t="shared" si="2"/>
        <v>12</v>
      </c>
      <c r="W10" s="14">
        <f t="shared" si="2"/>
        <v>12</v>
      </c>
      <c r="X10" s="14">
        <f t="shared" si="2"/>
        <v>12</v>
      </c>
      <c r="Y10" s="14">
        <f t="shared" si="2"/>
        <v>12</v>
      </c>
      <c r="Z10" s="14">
        <f t="shared" si="2"/>
        <v>12</v>
      </c>
      <c r="AA10" s="14">
        <f t="shared" si="2"/>
        <v>12</v>
      </c>
      <c r="AB10" s="14">
        <f t="shared" si="2"/>
        <v>12</v>
      </c>
      <c r="AC10" s="10"/>
    </row>
    <row r="11" spans="1:29" x14ac:dyDescent="0.25">
      <c r="A11" s="10">
        <v>6</v>
      </c>
      <c r="B11" s="10">
        <v>9.3848699915294151</v>
      </c>
      <c r="C11" s="10">
        <v>1.4060742683734069</v>
      </c>
      <c r="D11" s="10">
        <v>-1</v>
      </c>
      <c r="E11" s="27"/>
      <c r="F11" s="11">
        <v>6</v>
      </c>
      <c r="G11" s="20">
        <v>1.5</v>
      </c>
      <c r="H11" s="14">
        <f t="shared" si="3"/>
        <v>12</v>
      </c>
      <c r="I11" s="14">
        <f t="shared" si="2"/>
        <v>12</v>
      </c>
      <c r="J11" s="14">
        <f t="shared" si="2"/>
        <v>12</v>
      </c>
      <c r="K11" s="14">
        <f t="shared" si="2"/>
        <v>12</v>
      </c>
      <c r="L11" s="14">
        <f t="shared" si="2"/>
        <v>12</v>
      </c>
      <c r="M11" s="14">
        <f t="shared" si="2"/>
        <v>12</v>
      </c>
      <c r="N11" s="14">
        <f t="shared" si="2"/>
        <v>12</v>
      </c>
      <c r="O11" s="14">
        <f t="shared" si="2"/>
        <v>12</v>
      </c>
      <c r="P11" s="14">
        <f t="shared" si="2"/>
        <v>12</v>
      </c>
      <c r="Q11" s="14">
        <f t="shared" si="2"/>
        <v>12</v>
      </c>
      <c r="R11" s="14">
        <f t="shared" si="2"/>
        <v>12</v>
      </c>
      <c r="S11" s="14">
        <f t="shared" si="2"/>
        <v>12</v>
      </c>
      <c r="T11" s="14">
        <f t="shared" si="2"/>
        <v>12</v>
      </c>
      <c r="U11" s="14">
        <f t="shared" si="2"/>
        <v>12</v>
      </c>
      <c r="V11" s="14">
        <f t="shared" si="2"/>
        <v>12</v>
      </c>
      <c r="W11" s="14">
        <f t="shared" si="2"/>
        <v>12</v>
      </c>
      <c r="X11" s="14">
        <f t="shared" si="2"/>
        <v>12</v>
      </c>
      <c r="Y11" s="14">
        <f t="shared" si="2"/>
        <v>12</v>
      </c>
      <c r="Z11" s="14">
        <f t="shared" si="2"/>
        <v>12</v>
      </c>
      <c r="AA11" s="14">
        <f t="shared" si="2"/>
        <v>12</v>
      </c>
      <c r="AB11" s="14">
        <f t="shared" si="2"/>
        <v>12</v>
      </c>
      <c r="AC11" s="10"/>
    </row>
    <row r="12" spans="1:29" x14ac:dyDescent="0.25">
      <c r="A12" s="10">
        <v>7</v>
      </c>
      <c r="B12" s="10">
        <v>9.2116945315592211</v>
      </c>
      <c r="C12" s="10">
        <v>2.6230439176570473</v>
      </c>
      <c r="D12" s="10">
        <v>-1</v>
      </c>
      <c r="E12" s="27"/>
      <c r="F12" s="11">
        <v>7</v>
      </c>
      <c r="G12" s="20">
        <v>1.75</v>
      </c>
      <c r="H12" s="14">
        <f t="shared" si="3"/>
        <v>12</v>
      </c>
      <c r="I12" s="14">
        <f t="shared" si="2"/>
        <v>12</v>
      </c>
      <c r="J12" s="14">
        <f t="shared" si="2"/>
        <v>12</v>
      </c>
      <c r="K12" s="14">
        <f t="shared" si="2"/>
        <v>12</v>
      </c>
      <c r="L12" s="14">
        <f t="shared" si="2"/>
        <v>12</v>
      </c>
      <c r="M12" s="14">
        <f t="shared" si="2"/>
        <v>12</v>
      </c>
      <c r="N12" s="14">
        <f t="shared" si="2"/>
        <v>12</v>
      </c>
      <c r="O12" s="14">
        <f t="shared" si="2"/>
        <v>12</v>
      </c>
      <c r="P12" s="14">
        <f t="shared" si="2"/>
        <v>12</v>
      </c>
      <c r="Q12" s="14">
        <f t="shared" si="2"/>
        <v>12</v>
      </c>
      <c r="R12" s="14">
        <f t="shared" si="2"/>
        <v>12</v>
      </c>
      <c r="S12" s="14">
        <f t="shared" si="2"/>
        <v>12</v>
      </c>
      <c r="T12" s="14">
        <f t="shared" si="2"/>
        <v>12</v>
      </c>
      <c r="U12" s="14">
        <f t="shared" si="2"/>
        <v>12</v>
      </c>
      <c r="V12" s="14">
        <f t="shared" si="2"/>
        <v>12</v>
      </c>
      <c r="W12" s="14">
        <f t="shared" si="2"/>
        <v>12</v>
      </c>
      <c r="X12" s="14">
        <f t="shared" si="2"/>
        <v>12</v>
      </c>
      <c r="Y12" s="14">
        <f t="shared" si="2"/>
        <v>12</v>
      </c>
      <c r="Z12" s="14">
        <f t="shared" si="2"/>
        <v>12</v>
      </c>
      <c r="AA12" s="14">
        <f t="shared" si="2"/>
        <v>12</v>
      </c>
      <c r="AB12" s="14">
        <f t="shared" si="2"/>
        <v>12</v>
      </c>
      <c r="AC12" s="10"/>
    </row>
    <row r="13" spans="1:29" x14ac:dyDescent="0.25">
      <c r="A13" s="10">
        <v>8</v>
      </c>
      <c r="B13" s="10">
        <v>10.461114754974387</v>
      </c>
      <c r="C13" s="10">
        <v>0.59971612058074264</v>
      </c>
      <c r="D13" s="10">
        <v>-1</v>
      </c>
      <c r="E13" s="27"/>
      <c r="F13" s="11">
        <v>8</v>
      </c>
      <c r="G13" s="20">
        <v>2</v>
      </c>
      <c r="H13" s="14">
        <f t="shared" si="3"/>
        <v>12</v>
      </c>
      <c r="I13" s="14">
        <f t="shared" si="2"/>
        <v>12</v>
      </c>
      <c r="J13" s="14">
        <f t="shared" si="2"/>
        <v>12</v>
      </c>
      <c r="K13" s="14">
        <f t="shared" si="2"/>
        <v>12</v>
      </c>
      <c r="L13" s="14">
        <f t="shared" si="2"/>
        <v>12</v>
      </c>
      <c r="M13" s="14">
        <f t="shared" si="2"/>
        <v>12</v>
      </c>
      <c r="N13" s="14">
        <f t="shared" si="2"/>
        <v>12</v>
      </c>
      <c r="O13" s="14">
        <f t="shared" si="2"/>
        <v>12</v>
      </c>
      <c r="P13" s="14">
        <f t="shared" si="2"/>
        <v>12</v>
      </c>
      <c r="Q13" s="14">
        <f t="shared" si="2"/>
        <v>12</v>
      </c>
      <c r="R13" s="14">
        <f t="shared" si="2"/>
        <v>12</v>
      </c>
      <c r="S13" s="14">
        <f t="shared" si="2"/>
        <v>12</v>
      </c>
      <c r="T13" s="14">
        <f t="shared" si="2"/>
        <v>12</v>
      </c>
      <c r="U13" s="14">
        <f t="shared" si="2"/>
        <v>12</v>
      </c>
      <c r="V13" s="14">
        <f t="shared" si="2"/>
        <v>12</v>
      </c>
      <c r="W13" s="14">
        <f t="shared" si="2"/>
        <v>12</v>
      </c>
      <c r="X13" s="14">
        <f t="shared" si="2"/>
        <v>12</v>
      </c>
      <c r="Y13" s="14">
        <f t="shared" si="2"/>
        <v>12</v>
      </c>
      <c r="Z13" s="14">
        <f t="shared" si="2"/>
        <v>12</v>
      </c>
      <c r="AA13" s="14">
        <f t="shared" si="2"/>
        <v>12</v>
      </c>
      <c r="AB13" s="14">
        <f t="shared" si="2"/>
        <v>12</v>
      </c>
      <c r="AC13" s="10"/>
    </row>
    <row r="14" spans="1:29" x14ac:dyDescent="0.25">
      <c r="A14" s="10">
        <v>9</v>
      </c>
      <c r="B14" s="10">
        <v>4.1553347214085523</v>
      </c>
      <c r="C14" s="10">
        <v>14.321993426062503</v>
      </c>
      <c r="D14" s="10">
        <v>1</v>
      </c>
      <c r="E14" s="27"/>
      <c r="F14" s="11">
        <v>9</v>
      </c>
      <c r="G14" s="20">
        <v>2.25</v>
      </c>
      <c r="H14" s="14">
        <f t="shared" si="3"/>
        <v>12</v>
      </c>
      <c r="I14" s="14">
        <f t="shared" si="2"/>
        <v>12</v>
      </c>
      <c r="J14" s="14">
        <f t="shared" si="2"/>
        <v>12</v>
      </c>
      <c r="K14" s="14">
        <f t="shared" si="2"/>
        <v>12</v>
      </c>
      <c r="L14" s="14">
        <f t="shared" si="2"/>
        <v>12</v>
      </c>
      <c r="M14" s="14">
        <f t="shared" si="2"/>
        <v>12</v>
      </c>
      <c r="N14" s="14">
        <f t="shared" si="2"/>
        <v>12</v>
      </c>
      <c r="O14" s="14">
        <f t="shared" si="2"/>
        <v>12</v>
      </c>
      <c r="P14" s="14">
        <f t="shared" si="2"/>
        <v>12</v>
      </c>
      <c r="Q14" s="14">
        <f t="shared" si="2"/>
        <v>12</v>
      </c>
      <c r="R14" s="14">
        <f t="shared" si="2"/>
        <v>12</v>
      </c>
      <c r="S14" s="14">
        <f t="shared" si="2"/>
        <v>12</v>
      </c>
      <c r="T14" s="14">
        <f t="shared" si="2"/>
        <v>12</v>
      </c>
      <c r="U14" s="14">
        <f t="shared" si="2"/>
        <v>12</v>
      </c>
      <c r="V14" s="14">
        <f t="shared" si="2"/>
        <v>12</v>
      </c>
      <c r="W14" s="14">
        <f t="shared" si="2"/>
        <v>12</v>
      </c>
      <c r="X14" s="14">
        <f t="shared" si="2"/>
        <v>12</v>
      </c>
      <c r="Y14" s="14">
        <f t="shared" si="2"/>
        <v>12</v>
      </c>
      <c r="Z14" s="14">
        <f t="shared" si="2"/>
        <v>12</v>
      </c>
      <c r="AA14" s="14">
        <f t="shared" si="2"/>
        <v>12</v>
      </c>
      <c r="AB14" s="14">
        <f t="shared" si="2"/>
        <v>12</v>
      </c>
      <c r="AC14" s="10"/>
    </row>
    <row r="15" spans="1:29" x14ac:dyDescent="0.25">
      <c r="A15" s="10">
        <v>10</v>
      </c>
      <c r="B15" s="10">
        <v>8.4627041466514576</v>
      </c>
      <c r="C15" s="10">
        <v>15.454310408273011</v>
      </c>
      <c r="D15" s="10">
        <v>1</v>
      </c>
      <c r="E15" s="27"/>
      <c r="F15" s="11">
        <v>10</v>
      </c>
      <c r="G15" s="20">
        <v>2.5</v>
      </c>
      <c r="H15" s="14">
        <f t="shared" si="3"/>
        <v>12</v>
      </c>
      <c r="I15" s="14">
        <f t="shared" si="2"/>
        <v>12</v>
      </c>
      <c r="J15" s="14">
        <f t="shared" si="2"/>
        <v>12</v>
      </c>
      <c r="K15" s="14">
        <f t="shared" si="2"/>
        <v>12</v>
      </c>
      <c r="L15" s="14">
        <f t="shared" si="2"/>
        <v>12</v>
      </c>
      <c r="M15" s="14">
        <f t="shared" si="2"/>
        <v>12</v>
      </c>
      <c r="N15" s="14">
        <f t="shared" si="2"/>
        <v>12</v>
      </c>
      <c r="O15" s="14">
        <f t="shared" si="2"/>
        <v>12</v>
      </c>
      <c r="P15" s="14">
        <f t="shared" si="2"/>
        <v>12</v>
      </c>
      <c r="Q15" s="14">
        <f t="shared" si="2"/>
        <v>12</v>
      </c>
      <c r="R15" s="14">
        <f t="shared" si="2"/>
        <v>12</v>
      </c>
      <c r="S15" s="14">
        <f t="shared" si="2"/>
        <v>12</v>
      </c>
      <c r="T15" s="14">
        <f t="shared" si="2"/>
        <v>12</v>
      </c>
      <c r="U15" s="14">
        <f t="shared" si="2"/>
        <v>12</v>
      </c>
      <c r="V15" s="14">
        <f t="shared" si="2"/>
        <v>12</v>
      </c>
      <c r="W15" s="14">
        <f t="shared" si="2"/>
        <v>12</v>
      </c>
      <c r="X15" s="14">
        <f t="shared" si="2"/>
        <v>12</v>
      </c>
      <c r="Y15" s="14">
        <f t="shared" si="2"/>
        <v>12</v>
      </c>
      <c r="Z15" s="14">
        <f t="shared" si="2"/>
        <v>12</v>
      </c>
      <c r="AA15" s="14">
        <f t="shared" si="2"/>
        <v>12</v>
      </c>
      <c r="AB15" s="14">
        <f t="shared" si="2"/>
        <v>12</v>
      </c>
      <c r="AC15" s="10"/>
    </row>
    <row r="16" spans="1:29" x14ac:dyDescent="0.25">
      <c r="A16" s="10"/>
      <c r="B16" s="28"/>
      <c r="C16" s="28"/>
      <c r="D16" s="11"/>
      <c r="E16" s="27"/>
      <c r="F16" s="11">
        <v>11</v>
      </c>
      <c r="G16" s="20">
        <v>2.75</v>
      </c>
      <c r="H16" s="14">
        <f t="shared" si="3"/>
        <v>12</v>
      </c>
      <c r="I16" s="14">
        <f t="shared" si="2"/>
        <v>12</v>
      </c>
      <c r="J16" s="14">
        <f t="shared" si="2"/>
        <v>12</v>
      </c>
      <c r="K16" s="14">
        <f t="shared" si="2"/>
        <v>12</v>
      </c>
      <c r="L16" s="14">
        <f t="shared" si="2"/>
        <v>12</v>
      </c>
      <c r="M16" s="14">
        <f t="shared" si="2"/>
        <v>12</v>
      </c>
      <c r="N16" s="14">
        <f t="shared" si="2"/>
        <v>12</v>
      </c>
      <c r="O16" s="14">
        <f t="shared" si="2"/>
        <v>12</v>
      </c>
      <c r="P16" s="14">
        <f t="shared" si="2"/>
        <v>12</v>
      </c>
      <c r="Q16" s="14">
        <f t="shared" si="2"/>
        <v>12</v>
      </c>
      <c r="R16" s="14">
        <f t="shared" si="2"/>
        <v>12</v>
      </c>
      <c r="S16" s="14">
        <f t="shared" si="2"/>
        <v>12</v>
      </c>
      <c r="T16" s="14">
        <f t="shared" si="2"/>
        <v>12</v>
      </c>
      <c r="U16" s="14">
        <f t="shared" si="2"/>
        <v>12</v>
      </c>
      <c r="V16" s="14">
        <f t="shared" si="2"/>
        <v>12</v>
      </c>
      <c r="W16" s="14">
        <f t="shared" si="2"/>
        <v>12</v>
      </c>
      <c r="X16" s="14">
        <f t="shared" si="2"/>
        <v>12</v>
      </c>
      <c r="Y16" s="14">
        <f t="shared" si="2"/>
        <v>12</v>
      </c>
      <c r="Z16" s="14">
        <f t="shared" si="2"/>
        <v>12</v>
      </c>
      <c r="AA16" s="14">
        <f t="shared" si="2"/>
        <v>12</v>
      </c>
      <c r="AB16" s="14">
        <f t="shared" si="2"/>
        <v>12</v>
      </c>
      <c r="AC16" s="10"/>
    </row>
    <row r="17" spans="1:29" x14ac:dyDescent="0.25">
      <c r="A17" s="10"/>
      <c r="B17" s="28"/>
      <c r="C17" s="28"/>
      <c r="D17" s="11"/>
      <c r="E17" s="27"/>
      <c r="F17" s="11">
        <v>12</v>
      </c>
      <c r="G17" s="20">
        <v>3</v>
      </c>
      <c r="H17" s="14">
        <f t="shared" si="3"/>
        <v>12</v>
      </c>
      <c r="I17" s="14">
        <f t="shared" si="2"/>
        <v>12</v>
      </c>
      <c r="J17" s="14">
        <f t="shared" si="2"/>
        <v>12</v>
      </c>
      <c r="K17" s="14">
        <f t="shared" si="2"/>
        <v>12</v>
      </c>
      <c r="L17" s="14">
        <f t="shared" si="2"/>
        <v>12</v>
      </c>
      <c r="M17" s="14">
        <f t="shared" si="2"/>
        <v>12</v>
      </c>
      <c r="N17" s="14">
        <f>($D$6 - SIGN(N$4*$B$6 + $G17*$C$6+0.0000001))^2+($D$7 - SIGN(N$4*$B$7 + $G17*$C$7+0.0000001))^2 + ($D$8 - SIGN(N$4*$B$8 + $G17*$C$8+0.0000001))^2 +($D$9 - SIGN(N$4*$B$9 + $G17*$C$9+0.0000001))^2 + ($D$10 - SIGN(N$4*$B$10 + $G17*$C$10+0.0000001))^2 +($D$11 - SIGN(N$4*$B$11 + $G17*$C$11+0.0000001))^2 + ($D$12 - SIGN(N$4*$B$12 + $G17*$C$12+0.0000001))^2 + ($D$13 - SIGN(N$4*$B$13 + $G17*$C$13+0.0000001))^2 + ($D$14 - SIGN(N$4*$B$14 + $G17*$C$14+0.0000001))^2 +($D$15 - SIGN(N$4*$B$15 + $G17*$C$15+0.0000001))^2</f>
        <v>12</v>
      </c>
      <c r="O17" s="14">
        <f t="shared" si="2"/>
        <v>12</v>
      </c>
      <c r="P17" s="14">
        <f t="shared" si="2"/>
        <v>12</v>
      </c>
      <c r="Q17" s="14">
        <f t="shared" si="2"/>
        <v>12</v>
      </c>
      <c r="R17" s="14">
        <f t="shared" si="2"/>
        <v>12</v>
      </c>
      <c r="S17" s="14">
        <f t="shared" si="2"/>
        <v>12</v>
      </c>
      <c r="T17" s="14">
        <f t="shared" si="2"/>
        <v>12</v>
      </c>
      <c r="U17" s="14">
        <f t="shared" si="2"/>
        <v>12</v>
      </c>
      <c r="V17" s="14">
        <f t="shared" si="2"/>
        <v>12</v>
      </c>
      <c r="W17" s="14">
        <f t="shared" si="2"/>
        <v>12</v>
      </c>
      <c r="X17" s="14">
        <f t="shared" si="2"/>
        <v>12</v>
      </c>
      <c r="Y17" s="14">
        <f t="shared" ref="X17:AB25" si="4">($D$6 - SIGN(Y$4*$B$6 + $G17*$C$6+0.0000001))^2+($D$7 - SIGN(Y$4*$B$7 + $G17*$C$7+0.0000001))^2 + ($D$8 - SIGN(Y$4*$B$8 + $G17*$C$8+0.0000001))^2 +($D$9 - SIGN(Y$4*$B$9 + $G17*$C$9+0.0000001))^2 + ($D$10 - SIGN(Y$4*$B$10 + $G17*$C$10+0.0000001))^2 +($D$11 - SIGN(Y$4*$B$11 + $G17*$C$11+0.0000001))^2 + ($D$12 - SIGN(Y$4*$B$12 + $G17*$C$12+0.0000001))^2 + ($D$13 - SIGN(Y$4*$B$13 + $G17*$C$13+0.0000001))^2 + ($D$14 - SIGN(Y$4*$B$14 + $G17*$C$14+0.0000001))^2 +($D$15 - SIGN(Y$4*$B$15 + $G17*$C$15+0.0000001))^2</f>
        <v>12</v>
      </c>
      <c r="Z17" s="14">
        <f t="shared" si="4"/>
        <v>12</v>
      </c>
      <c r="AA17" s="14">
        <f t="shared" si="4"/>
        <v>12</v>
      </c>
      <c r="AB17" s="14">
        <f t="shared" si="4"/>
        <v>12</v>
      </c>
      <c r="AC17" s="10"/>
    </row>
    <row r="18" spans="1:29" x14ac:dyDescent="0.25">
      <c r="A18" s="10"/>
      <c r="B18" s="28"/>
      <c r="C18" s="28"/>
      <c r="D18" s="11"/>
      <c r="E18" s="27"/>
      <c r="F18" s="11">
        <v>13</v>
      </c>
      <c r="G18" s="20">
        <v>3.25</v>
      </c>
      <c r="H18" s="14">
        <f t="shared" si="3"/>
        <v>12</v>
      </c>
      <c r="I18" s="14">
        <f t="shared" si="3"/>
        <v>12</v>
      </c>
      <c r="J18" s="14">
        <f t="shared" si="3"/>
        <v>12</v>
      </c>
      <c r="K18" s="14">
        <f t="shared" si="3"/>
        <v>12</v>
      </c>
      <c r="L18" s="14">
        <f t="shared" si="3"/>
        <v>12</v>
      </c>
      <c r="M18" s="14">
        <f t="shared" si="3"/>
        <v>12</v>
      </c>
      <c r="N18" s="14">
        <f>($D$6 - SIGN(N$4*$B$6 + $G18*$C$6+0.0000001))^2+($D$7 - SIGN(N$4*$B$7 + $G18*$C$7+0.0000001))^2 + ($D$8 - SIGN(N$4*$B$8 + $G18*$C$8+0.0000001))^2 +($D$9 - SIGN(N$4*$B$9 + $G18*$C$9+0.0000001))^2 + ($D$10 - SIGN(N$4*$B$10 + $G18*$C$10+0.0000001))^2 +($D$11 - SIGN(N$4*$B$11 + $G18*$C$11+0.0000001))^2 + ($D$12 - SIGN(N$4*$B$12 + $G18*$C$12+0.0000001))^2 + ($D$13 - SIGN(N$4*$B$13 + $G18*$C$13+0.0000001))^2 + ($D$14 - SIGN(N$4*$B$14 + $G18*$C$14+0.0000001))^2 +($D$15 - SIGN(N$4*$B$15 + $G18*$C$15+0.0000001))^2</f>
        <v>12</v>
      </c>
      <c r="O18" s="14">
        <f t="shared" si="3"/>
        <v>12</v>
      </c>
      <c r="P18" s="14">
        <f t="shared" si="3"/>
        <v>12</v>
      </c>
      <c r="Q18" s="14">
        <f t="shared" si="3"/>
        <v>12</v>
      </c>
      <c r="R18" s="14">
        <f t="shared" si="3"/>
        <v>12</v>
      </c>
      <c r="S18" s="14">
        <f t="shared" si="3"/>
        <v>12</v>
      </c>
      <c r="T18" s="14">
        <f t="shared" si="3"/>
        <v>12</v>
      </c>
      <c r="U18" s="14">
        <f t="shared" si="3"/>
        <v>12</v>
      </c>
      <c r="V18" s="14">
        <f t="shared" si="3"/>
        <v>12</v>
      </c>
      <c r="W18" s="14">
        <f t="shared" si="3"/>
        <v>12</v>
      </c>
      <c r="X18" s="14">
        <f t="shared" si="4"/>
        <v>12</v>
      </c>
      <c r="Y18" s="14">
        <f t="shared" si="4"/>
        <v>12</v>
      </c>
      <c r="Z18" s="14">
        <f t="shared" si="4"/>
        <v>12</v>
      </c>
      <c r="AA18" s="14">
        <f t="shared" si="4"/>
        <v>12</v>
      </c>
      <c r="AB18" s="14">
        <f t="shared" si="4"/>
        <v>12</v>
      </c>
      <c r="AC18" s="10"/>
    </row>
    <row r="19" spans="1:29" x14ac:dyDescent="0.25">
      <c r="A19" s="10"/>
      <c r="B19" s="28"/>
      <c r="C19" s="28"/>
      <c r="D19" s="11"/>
      <c r="E19" s="27"/>
      <c r="F19" s="11">
        <v>14</v>
      </c>
      <c r="G19" s="20">
        <v>3.5</v>
      </c>
      <c r="H19" s="14">
        <f t="shared" si="3"/>
        <v>12</v>
      </c>
      <c r="I19" s="14">
        <f t="shared" si="3"/>
        <v>12</v>
      </c>
      <c r="J19" s="14">
        <f t="shared" si="3"/>
        <v>12</v>
      </c>
      <c r="K19" s="14">
        <f t="shared" si="3"/>
        <v>12</v>
      </c>
      <c r="L19" s="14">
        <f t="shared" si="3"/>
        <v>12</v>
      </c>
      <c r="M19" s="14">
        <f t="shared" si="3"/>
        <v>12</v>
      </c>
      <c r="N19" s="14">
        <f t="shared" si="3"/>
        <v>12</v>
      </c>
      <c r="O19" s="14">
        <f t="shared" si="3"/>
        <v>12</v>
      </c>
      <c r="P19" s="14">
        <f t="shared" si="3"/>
        <v>12</v>
      </c>
      <c r="Q19" s="14">
        <f t="shared" si="3"/>
        <v>12</v>
      </c>
      <c r="R19" s="14">
        <f t="shared" si="3"/>
        <v>12</v>
      </c>
      <c r="S19" s="14">
        <f t="shared" si="3"/>
        <v>12</v>
      </c>
      <c r="T19" s="14">
        <f t="shared" si="3"/>
        <v>12</v>
      </c>
      <c r="U19" s="14">
        <f t="shared" si="3"/>
        <v>12</v>
      </c>
      <c r="V19" s="14">
        <f t="shared" si="3"/>
        <v>12</v>
      </c>
      <c r="W19" s="14">
        <f t="shared" si="3"/>
        <v>12</v>
      </c>
      <c r="X19" s="14">
        <f t="shared" si="4"/>
        <v>12</v>
      </c>
      <c r="Y19" s="14">
        <f t="shared" si="4"/>
        <v>12</v>
      </c>
      <c r="Z19" s="14">
        <f t="shared" si="4"/>
        <v>12</v>
      </c>
      <c r="AA19" s="14">
        <f t="shared" si="4"/>
        <v>12</v>
      </c>
      <c r="AB19" s="14">
        <f t="shared" si="4"/>
        <v>12</v>
      </c>
      <c r="AC19" s="10"/>
    </row>
    <row r="20" spans="1:29" x14ac:dyDescent="0.25">
      <c r="A20" s="10"/>
      <c r="B20" s="28"/>
      <c r="C20" s="28"/>
      <c r="D20" s="11"/>
      <c r="E20" s="27"/>
      <c r="F20" s="11">
        <v>15</v>
      </c>
      <c r="G20" s="20">
        <v>3.75</v>
      </c>
      <c r="H20" s="14">
        <f t="shared" si="3"/>
        <v>12</v>
      </c>
      <c r="I20" s="14">
        <f t="shared" si="3"/>
        <v>12</v>
      </c>
      <c r="J20" s="14">
        <f t="shared" si="3"/>
        <v>12</v>
      </c>
      <c r="K20" s="14">
        <f t="shared" si="3"/>
        <v>12</v>
      </c>
      <c r="L20" s="14">
        <f t="shared" si="3"/>
        <v>12</v>
      </c>
      <c r="M20" s="14">
        <f t="shared" si="3"/>
        <v>12</v>
      </c>
      <c r="N20" s="14">
        <f t="shared" si="3"/>
        <v>12</v>
      </c>
      <c r="O20" s="14">
        <f t="shared" si="3"/>
        <v>12</v>
      </c>
      <c r="P20" s="14">
        <f t="shared" si="3"/>
        <v>12</v>
      </c>
      <c r="Q20" s="14">
        <f t="shared" si="3"/>
        <v>12</v>
      </c>
      <c r="R20" s="14">
        <f t="shared" si="3"/>
        <v>12</v>
      </c>
      <c r="S20" s="14">
        <f t="shared" si="3"/>
        <v>12</v>
      </c>
      <c r="T20" s="14">
        <f t="shared" si="3"/>
        <v>12</v>
      </c>
      <c r="U20" s="14">
        <f t="shared" si="3"/>
        <v>12</v>
      </c>
      <c r="V20" s="14">
        <f t="shared" si="3"/>
        <v>12</v>
      </c>
      <c r="W20" s="14">
        <f t="shared" si="3"/>
        <v>12</v>
      </c>
      <c r="X20" s="14">
        <f t="shared" si="4"/>
        <v>12</v>
      </c>
      <c r="Y20" s="14">
        <f t="shared" si="4"/>
        <v>12</v>
      </c>
      <c r="Z20" s="14">
        <f t="shared" si="4"/>
        <v>12</v>
      </c>
      <c r="AA20" s="14">
        <f t="shared" si="4"/>
        <v>12</v>
      </c>
      <c r="AB20" s="14">
        <f t="shared" si="4"/>
        <v>12</v>
      </c>
      <c r="AC20" s="10"/>
    </row>
    <row r="21" spans="1:29" x14ac:dyDescent="0.25">
      <c r="A21" s="10"/>
      <c r="B21" s="28"/>
      <c r="C21" s="28"/>
      <c r="D21" s="11"/>
      <c r="E21" s="27"/>
      <c r="F21" s="11">
        <v>16</v>
      </c>
      <c r="G21" s="20">
        <v>4</v>
      </c>
      <c r="H21" s="14">
        <f t="shared" si="3"/>
        <v>12</v>
      </c>
      <c r="I21" s="14">
        <f t="shared" si="3"/>
        <v>12</v>
      </c>
      <c r="J21" s="14">
        <f t="shared" si="3"/>
        <v>12</v>
      </c>
      <c r="K21" s="14">
        <f t="shared" si="3"/>
        <v>12</v>
      </c>
      <c r="L21" s="14">
        <f t="shared" si="3"/>
        <v>12</v>
      </c>
      <c r="M21" s="14">
        <f t="shared" si="3"/>
        <v>12</v>
      </c>
      <c r="N21" s="14">
        <f t="shared" si="3"/>
        <v>12</v>
      </c>
      <c r="O21" s="14">
        <f t="shared" si="3"/>
        <v>12</v>
      </c>
      <c r="P21" s="14">
        <f t="shared" si="3"/>
        <v>12</v>
      </c>
      <c r="Q21" s="14">
        <f t="shared" si="3"/>
        <v>12</v>
      </c>
      <c r="R21" s="14">
        <f t="shared" si="3"/>
        <v>12</v>
      </c>
      <c r="S21" s="14">
        <f t="shared" si="3"/>
        <v>12</v>
      </c>
      <c r="T21" s="14">
        <f t="shared" si="3"/>
        <v>12</v>
      </c>
      <c r="U21" s="14">
        <f t="shared" si="3"/>
        <v>12</v>
      </c>
      <c r="V21" s="14">
        <f t="shared" si="3"/>
        <v>12</v>
      </c>
      <c r="W21" s="14">
        <f t="shared" si="3"/>
        <v>12</v>
      </c>
      <c r="X21" s="14">
        <f t="shared" si="4"/>
        <v>12</v>
      </c>
      <c r="Y21" s="14">
        <f t="shared" si="4"/>
        <v>12</v>
      </c>
      <c r="Z21" s="14">
        <f t="shared" si="4"/>
        <v>12</v>
      </c>
      <c r="AA21" s="14">
        <f t="shared" si="4"/>
        <v>12</v>
      </c>
      <c r="AB21" s="14">
        <f t="shared" si="4"/>
        <v>12</v>
      </c>
      <c r="AC21" s="10"/>
    </row>
    <row r="22" spans="1:29" x14ac:dyDescent="0.25">
      <c r="A22" s="10"/>
      <c r="B22" s="28"/>
      <c r="C22" s="28"/>
      <c r="D22" s="11"/>
      <c r="E22" s="27"/>
      <c r="F22" s="11">
        <v>17</v>
      </c>
      <c r="G22" s="20">
        <v>4.25</v>
      </c>
      <c r="H22" s="14">
        <f t="shared" si="3"/>
        <v>12</v>
      </c>
      <c r="I22" s="14">
        <f t="shared" si="3"/>
        <v>12</v>
      </c>
      <c r="J22" s="14">
        <f t="shared" si="3"/>
        <v>12</v>
      </c>
      <c r="K22" s="14">
        <f t="shared" si="3"/>
        <v>12</v>
      </c>
      <c r="L22" s="14">
        <f t="shared" si="3"/>
        <v>12</v>
      </c>
      <c r="M22" s="14">
        <f t="shared" si="3"/>
        <v>12</v>
      </c>
      <c r="N22" s="14">
        <f t="shared" si="3"/>
        <v>12</v>
      </c>
      <c r="O22" s="14">
        <f t="shared" si="3"/>
        <v>12</v>
      </c>
      <c r="P22" s="14">
        <f t="shared" si="3"/>
        <v>12</v>
      </c>
      <c r="Q22" s="14">
        <f t="shared" si="3"/>
        <v>12</v>
      </c>
      <c r="R22" s="14">
        <f t="shared" si="3"/>
        <v>12</v>
      </c>
      <c r="S22" s="14">
        <f t="shared" si="3"/>
        <v>12</v>
      </c>
      <c r="T22" s="14">
        <f t="shared" si="3"/>
        <v>12</v>
      </c>
      <c r="U22" s="14">
        <f t="shared" si="3"/>
        <v>12</v>
      </c>
      <c r="V22" s="14">
        <f t="shared" si="3"/>
        <v>12</v>
      </c>
      <c r="W22" s="14">
        <f t="shared" si="3"/>
        <v>12</v>
      </c>
      <c r="X22" s="14">
        <f t="shared" si="4"/>
        <v>12</v>
      </c>
      <c r="Y22" s="14">
        <f t="shared" si="4"/>
        <v>12</v>
      </c>
      <c r="Z22" s="14">
        <f t="shared" si="4"/>
        <v>12</v>
      </c>
      <c r="AA22" s="14">
        <f t="shared" si="4"/>
        <v>12</v>
      </c>
      <c r="AB22" s="14">
        <f t="shared" si="4"/>
        <v>12</v>
      </c>
      <c r="AC22" s="10"/>
    </row>
    <row r="23" spans="1:29" x14ac:dyDescent="0.25">
      <c r="A23" s="10"/>
      <c r="B23" s="28"/>
      <c r="C23" s="28"/>
      <c r="D23" s="11"/>
      <c r="E23" s="27"/>
      <c r="F23" s="11">
        <f>F22+1</f>
        <v>18</v>
      </c>
      <c r="G23" s="20">
        <f>G22+0.25</f>
        <v>4.5</v>
      </c>
      <c r="H23" s="14">
        <f t="shared" si="3"/>
        <v>12</v>
      </c>
      <c r="I23" s="14">
        <f t="shared" si="3"/>
        <v>12</v>
      </c>
      <c r="J23" s="14">
        <f t="shared" si="3"/>
        <v>12</v>
      </c>
      <c r="K23" s="14">
        <f t="shared" si="3"/>
        <v>12</v>
      </c>
      <c r="L23" s="14">
        <f t="shared" si="3"/>
        <v>12</v>
      </c>
      <c r="M23" s="14">
        <f t="shared" si="3"/>
        <v>12</v>
      </c>
      <c r="N23" s="14">
        <f t="shared" si="3"/>
        <v>12</v>
      </c>
      <c r="O23" s="14">
        <f t="shared" si="3"/>
        <v>12</v>
      </c>
      <c r="P23" s="14">
        <f t="shared" si="3"/>
        <v>12</v>
      </c>
      <c r="Q23" s="14">
        <f t="shared" si="3"/>
        <v>12</v>
      </c>
      <c r="R23" s="14">
        <f t="shared" si="3"/>
        <v>12</v>
      </c>
      <c r="S23" s="14">
        <f t="shared" si="3"/>
        <v>12</v>
      </c>
      <c r="T23" s="14">
        <f t="shared" si="3"/>
        <v>12</v>
      </c>
      <c r="U23" s="14">
        <f t="shared" si="3"/>
        <v>12</v>
      </c>
      <c r="V23" s="14">
        <f t="shared" si="3"/>
        <v>12</v>
      </c>
      <c r="W23" s="14">
        <f t="shared" si="3"/>
        <v>12</v>
      </c>
      <c r="X23" s="14">
        <f t="shared" si="4"/>
        <v>12</v>
      </c>
      <c r="Y23" s="14">
        <f t="shared" si="4"/>
        <v>12</v>
      </c>
      <c r="Z23" s="14">
        <f t="shared" si="4"/>
        <v>12</v>
      </c>
      <c r="AA23" s="14">
        <f t="shared" si="4"/>
        <v>12</v>
      </c>
      <c r="AB23" s="14">
        <f t="shared" si="4"/>
        <v>12</v>
      </c>
      <c r="AC23" s="10"/>
    </row>
    <row r="24" spans="1:29" x14ac:dyDescent="0.25">
      <c r="A24" s="10"/>
      <c r="B24" s="28"/>
      <c r="C24" s="28"/>
      <c r="D24" s="11"/>
      <c r="E24" s="27"/>
      <c r="F24" s="11">
        <f t="shared" ref="F24:F25" si="5">F23+1</f>
        <v>19</v>
      </c>
      <c r="G24" s="20">
        <f t="shared" ref="G24:G25" si="6">G23+0.25</f>
        <v>4.75</v>
      </c>
      <c r="H24" s="14">
        <f t="shared" si="3"/>
        <v>12</v>
      </c>
      <c r="I24" s="14">
        <f t="shared" si="3"/>
        <v>12</v>
      </c>
      <c r="J24" s="14">
        <f t="shared" si="3"/>
        <v>12</v>
      </c>
      <c r="K24" s="14">
        <f t="shared" si="3"/>
        <v>12</v>
      </c>
      <c r="L24" s="14">
        <f t="shared" si="3"/>
        <v>12</v>
      </c>
      <c r="M24" s="14">
        <f t="shared" si="3"/>
        <v>12</v>
      </c>
      <c r="N24" s="14">
        <f t="shared" si="3"/>
        <v>12</v>
      </c>
      <c r="O24" s="14">
        <f t="shared" si="3"/>
        <v>12</v>
      </c>
      <c r="P24" s="14">
        <f t="shared" si="3"/>
        <v>12</v>
      </c>
      <c r="Q24" s="14">
        <f t="shared" si="3"/>
        <v>12</v>
      </c>
      <c r="R24" s="14">
        <f t="shared" si="3"/>
        <v>12</v>
      </c>
      <c r="S24" s="14">
        <f t="shared" si="3"/>
        <v>12</v>
      </c>
      <c r="T24" s="14">
        <f t="shared" si="3"/>
        <v>12</v>
      </c>
      <c r="U24" s="14">
        <f t="shared" si="3"/>
        <v>12</v>
      </c>
      <c r="V24" s="14">
        <f t="shared" si="3"/>
        <v>12</v>
      </c>
      <c r="W24" s="14">
        <f t="shared" si="3"/>
        <v>12</v>
      </c>
      <c r="X24" s="14">
        <f t="shared" si="4"/>
        <v>12</v>
      </c>
      <c r="Y24" s="14">
        <f t="shared" si="4"/>
        <v>12</v>
      </c>
      <c r="Z24" s="14">
        <f t="shared" si="4"/>
        <v>12</v>
      </c>
      <c r="AA24" s="14">
        <f t="shared" si="4"/>
        <v>12</v>
      </c>
      <c r="AB24" s="14">
        <f t="shared" si="4"/>
        <v>12</v>
      </c>
      <c r="AC24" s="10"/>
    </row>
    <row r="25" spans="1:29" x14ac:dyDescent="0.25">
      <c r="A25" s="10"/>
      <c r="B25" s="28"/>
      <c r="C25" s="28"/>
      <c r="D25" s="11"/>
      <c r="E25" s="27"/>
      <c r="F25" s="11">
        <f t="shared" si="5"/>
        <v>20</v>
      </c>
      <c r="G25" s="20">
        <f t="shared" si="6"/>
        <v>5</v>
      </c>
      <c r="H25" s="14">
        <f t="shared" si="3"/>
        <v>12</v>
      </c>
      <c r="I25" s="14">
        <f t="shared" si="3"/>
        <v>12</v>
      </c>
      <c r="J25" s="14">
        <f t="shared" si="3"/>
        <v>12</v>
      </c>
      <c r="K25" s="14">
        <f t="shared" si="3"/>
        <v>12</v>
      </c>
      <c r="L25" s="14">
        <f t="shared" si="3"/>
        <v>12</v>
      </c>
      <c r="M25" s="14">
        <f t="shared" si="3"/>
        <v>12</v>
      </c>
      <c r="N25" s="14">
        <f t="shared" si="3"/>
        <v>12</v>
      </c>
      <c r="O25" s="14">
        <f t="shared" si="3"/>
        <v>12</v>
      </c>
      <c r="P25" s="14">
        <f t="shared" si="3"/>
        <v>12</v>
      </c>
      <c r="Q25" s="14">
        <f t="shared" si="3"/>
        <v>12</v>
      </c>
      <c r="R25" s="14">
        <f t="shared" si="3"/>
        <v>12</v>
      </c>
      <c r="S25" s="14">
        <f t="shared" si="3"/>
        <v>12</v>
      </c>
      <c r="T25" s="14">
        <f t="shared" si="3"/>
        <v>12</v>
      </c>
      <c r="U25" s="14">
        <f t="shared" si="3"/>
        <v>12</v>
      </c>
      <c r="V25" s="14">
        <f t="shared" si="3"/>
        <v>12</v>
      </c>
      <c r="W25" s="14">
        <f t="shared" si="3"/>
        <v>12</v>
      </c>
      <c r="X25" s="14">
        <f t="shared" si="4"/>
        <v>12</v>
      </c>
      <c r="Y25" s="14">
        <f t="shared" si="4"/>
        <v>12</v>
      </c>
      <c r="Z25" s="14">
        <f t="shared" si="4"/>
        <v>12</v>
      </c>
      <c r="AA25" s="14">
        <f t="shared" si="4"/>
        <v>12</v>
      </c>
      <c r="AB25" s="14">
        <f t="shared" si="4"/>
        <v>12</v>
      </c>
      <c r="AC25" s="10"/>
    </row>
    <row r="26" spans="1:29" x14ac:dyDescent="0.25">
      <c r="A26" s="10"/>
      <c r="B26" s="28"/>
      <c r="C26" s="28"/>
      <c r="D26" s="11"/>
      <c r="E26" s="27"/>
      <c r="F26" s="11"/>
      <c r="G26" s="25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11"/>
      <c r="V26" s="25"/>
      <c r="W26" s="29"/>
      <c r="X26" s="29"/>
      <c r="Y26" s="29"/>
      <c r="Z26" s="29"/>
      <c r="AA26" s="29"/>
      <c r="AB26" s="29"/>
      <c r="AC26" s="10"/>
    </row>
    <row r="27" spans="1:29" x14ac:dyDescent="0.25">
      <c r="A27" s="10"/>
      <c r="B27" s="28"/>
      <c r="C27" s="28"/>
      <c r="D27" s="11"/>
      <c r="E27" s="27"/>
      <c r="F27" s="11"/>
      <c r="G27" s="25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11"/>
      <c r="V27" s="25"/>
      <c r="W27" s="29"/>
      <c r="X27" s="29"/>
      <c r="Y27" s="29"/>
      <c r="Z27" s="29"/>
      <c r="AA27" s="29"/>
      <c r="AB27" s="29"/>
      <c r="AC27" s="10"/>
    </row>
    <row r="28" spans="1:29" x14ac:dyDescent="0.25">
      <c r="A28" s="10"/>
      <c r="B28" s="28"/>
      <c r="C28" s="28"/>
      <c r="D28" s="11"/>
      <c r="E28" s="27"/>
      <c r="F28" s="11"/>
      <c r="G28" s="25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11"/>
      <c r="V28" s="25"/>
      <c r="W28" s="29"/>
      <c r="X28" s="29"/>
      <c r="Y28" s="29"/>
      <c r="Z28" s="29"/>
      <c r="AA28" s="29"/>
      <c r="AB28" s="29"/>
      <c r="AC28" s="10"/>
    </row>
  </sheetData>
  <mergeCells count="1">
    <mergeCell ref="B4:E4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5A6AD-A8D9-4887-8F39-2E78DDD56324}">
  <dimension ref="A1:CB224"/>
  <sheetViews>
    <sheetView topLeftCell="AK16" zoomScale="70" zoomScaleNormal="70" workbookViewId="0">
      <selection activeCell="AD25" sqref="AD25"/>
    </sheetView>
  </sheetViews>
  <sheetFormatPr defaultRowHeight="15" x14ac:dyDescent="0.25"/>
  <cols>
    <col min="1" max="16384" width="9.140625" style="10"/>
  </cols>
  <sheetData>
    <row r="1" spans="1:45" x14ac:dyDescent="0.25">
      <c r="A1" s="13">
        <v>1</v>
      </c>
      <c r="B1" s="36" t="s">
        <v>10</v>
      </c>
      <c r="C1" s="36"/>
      <c r="D1" s="36"/>
      <c r="E1" s="36"/>
    </row>
    <row r="2" spans="1:45" x14ac:dyDescent="0.25">
      <c r="A2" s="37" t="s">
        <v>0</v>
      </c>
      <c r="B2" s="37"/>
      <c r="C2" s="17">
        <v>4.2155217139194923</v>
      </c>
      <c r="D2" s="30"/>
      <c r="E2" s="30"/>
    </row>
    <row r="3" spans="1:45" x14ac:dyDescent="0.25">
      <c r="A3" s="37" t="s">
        <v>1</v>
      </c>
      <c r="B3" s="37"/>
      <c r="C3">
        <v>11.069521164586321</v>
      </c>
      <c r="D3" s="30"/>
    </row>
    <row r="4" spans="1:45" x14ac:dyDescent="0.25">
      <c r="A4" s="37" t="s">
        <v>62</v>
      </c>
      <c r="B4" s="37"/>
      <c r="C4">
        <v>1.6785180211798456</v>
      </c>
      <c r="D4" s="30"/>
      <c r="E4"/>
    </row>
    <row r="5" spans="1:45" x14ac:dyDescent="0.25">
      <c r="A5" s="37" t="s">
        <v>63</v>
      </c>
      <c r="B5" s="37"/>
      <c r="C5">
        <v>11.409192175054169</v>
      </c>
      <c r="E5"/>
    </row>
    <row r="6" spans="1:45" x14ac:dyDescent="0.25">
      <c r="A6" s="37" t="s">
        <v>64</v>
      </c>
      <c r="B6" s="37"/>
      <c r="C6">
        <v>7.3403118991668448</v>
      </c>
    </row>
    <row r="7" spans="1:45" x14ac:dyDescent="0.25">
      <c r="A7" s="37" t="s">
        <v>2</v>
      </c>
      <c r="B7" s="37"/>
      <c r="C7" s="10">
        <v>2.3101596118045595</v>
      </c>
    </row>
    <row r="8" spans="1:45" x14ac:dyDescent="0.25">
      <c r="A8" s="37" t="s">
        <v>3</v>
      </c>
      <c r="B8" s="37"/>
      <c r="C8">
        <v>6.5715506454664752</v>
      </c>
    </row>
    <row r="9" spans="1:45" x14ac:dyDescent="0.25">
      <c r="A9" s="37" t="s">
        <v>4</v>
      </c>
      <c r="B9" s="37"/>
      <c r="C9">
        <v>10.87115085299234</v>
      </c>
      <c r="D9" s="30"/>
    </row>
    <row r="10" spans="1:45" x14ac:dyDescent="0.25">
      <c r="A10" s="37" t="s">
        <v>65</v>
      </c>
      <c r="B10" s="37"/>
      <c r="C10">
        <v>9.3505661183507787</v>
      </c>
      <c r="D10" s="30"/>
    </row>
    <row r="11" spans="1:45" x14ac:dyDescent="0.25">
      <c r="A11" s="37" t="s">
        <v>63</v>
      </c>
      <c r="B11" s="37"/>
      <c r="C11">
        <v>9.0748313852351465</v>
      </c>
      <c r="D11" s="30"/>
    </row>
    <row r="12" spans="1:45" x14ac:dyDescent="0.25">
      <c r="A12" s="37" t="s">
        <v>64</v>
      </c>
      <c r="B12" s="37"/>
      <c r="C12">
        <v>2.7027191991943109</v>
      </c>
      <c r="D12" s="30"/>
    </row>
    <row r="13" spans="1:45" x14ac:dyDescent="0.25">
      <c r="A13" s="37" t="s">
        <v>5</v>
      </c>
      <c r="B13" s="37"/>
      <c r="C13" s="10">
        <v>1.663289284951323</v>
      </c>
      <c r="D13" s="30"/>
    </row>
    <row r="14" spans="1:45" x14ac:dyDescent="0.25">
      <c r="A14" s="37" t="s">
        <v>6</v>
      </c>
      <c r="B14" s="37"/>
      <c r="C14">
        <v>0.49788506729331344</v>
      </c>
      <c r="D14" s="30"/>
    </row>
    <row r="15" spans="1:45" x14ac:dyDescent="0.25">
      <c r="A15" s="37" t="s">
        <v>7</v>
      </c>
      <c r="B15" s="37"/>
      <c r="C15">
        <v>0.8947752311777093</v>
      </c>
      <c r="D15" s="30"/>
    </row>
    <row r="16" spans="1:45" x14ac:dyDescent="0.25">
      <c r="A16" s="37" t="s">
        <v>8</v>
      </c>
      <c r="B16" s="37"/>
      <c r="C16">
        <v>9.5989867854853994</v>
      </c>
      <c r="D16" s="30"/>
      <c r="AN16" s="13">
        <v>7</v>
      </c>
      <c r="AO16" s="36" t="s">
        <v>47</v>
      </c>
      <c r="AP16" s="36"/>
      <c r="AQ16" s="36"/>
      <c r="AR16" s="36"/>
      <c r="AS16" s="36"/>
    </row>
    <row r="17" spans="1:80" x14ac:dyDescent="0.25">
      <c r="A17" s="37" t="s">
        <v>9</v>
      </c>
      <c r="B17" s="37"/>
      <c r="C17">
        <v>19.758140812402722</v>
      </c>
      <c r="D17" s="30"/>
      <c r="AQ17" s="10" t="s">
        <v>48</v>
      </c>
      <c r="AR17" s="10">
        <f>SUMXMY2(Q25:Q224,AN24:AN223)</f>
        <v>48</v>
      </c>
    </row>
    <row r="18" spans="1:80" x14ac:dyDescent="0.25">
      <c r="A18" s="38"/>
      <c r="B18" s="38"/>
      <c r="C18" s="29"/>
      <c r="D18" s="30"/>
      <c r="AN18" s="10">
        <v>-63.739392526322064</v>
      </c>
      <c r="AO18" s="10">
        <v>-75.502993574992843</v>
      </c>
      <c r="AP18" s="10">
        <v>6.3140567294138972</v>
      </c>
      <c r="AQ18" s="10">
        <v>-16.105298818806176</v>
      </c>
      <c r="AR18" s="10">
        <v>8.0497520819424295</v>
      </c>
      <c r="AS18" s="10">
        <v>81.361910098360823</v>
      </c>
    </row>
    <row r="19" spans="1:80" x14ac:dyDescent="0.25">
      <c r="A19" s="38"/>
      <c r="B19" s="38"/>
      <c r="C19" s="29"/>
      <c r="D19" s="30"/>
      <c r="AN19" s="10" t="s">
        <v>23</v>
      </c>
      <c r="AO19" s="10" t="s">
        <v>24</v>
      </c>
      <c r="AP19" s="10" t="s">
        <v>25</v>
      </c>
      <c r="AQ19" s="10" t="s">
        <v>66</v>
      </c>
      <c r="AR19" s="10" t="s">
        <v>67</v>
      </c>
      <c r="AS19" s="10" t="s">
        <v>68</v>
      </c>
    </row>
    <row r="21" spans="1:80" x14ac:dyDescent="0.25">
      <c r="AK21" s="13">
        <v>5</v>
      </c>
      <c r="AL21" s="12" t="s">
        <v>43</v>
      </c>
      <c r="AU21" s="13">
        <v>6</v>
      </c>
      <c r="AV21" s="42" t="s">
        <v>14</v>
      </c>
      <c r="AW21" s="42"/>
      <c r="AX21" s="42"/>
      <c r="AY21" s="42"/>
      <c r="AZ21" s="42"/>
      <c r="BA21" s="42"/>
      <c r="BB21" s="42"/>
      <c r="BF21" s="13">
        <v>8</v>
      </c>
      <c r="BG21" s="36" t="s">
        <v>11</v>
      </c>
      <c r="BH21" s="36"/>
      <c r="BI21" s="36"/>
      <c r="BJ21" s="36"/>
      <c r="BK21" s="36"/>
      <c r="BL21" s="36"/>
      <c r="BM21" s="36"/>
      <c r="BO21" s="13">
        <v>9</v>
      </c>
      <c r="BP21" s="36" t="s">
        <v>54</v>
      </c>
      <c r="BQ21" s="36"/>
      <c r="BR21" s="36"/>
      <c r="BS21" s="36"/>
      <c r="BT21" s="36"/>
      <c r="BU21" s="36"/>
      <c r="BV21" s="36"/>
      <c r="BX21" s="13">
        <v>10</v>
      </c>
      <c r="BY21" s="36" t="s">
        <v>55</v>
      </c>
      <c r="BZ21" s="36"/>
      <c r="CA21" s="36"/>
      <c r="CB21" s="36"/>
    </row>
    <row r="22" spans="1:80" x14ac:dyDescent="0.25">
      <c r="A22" s="13">
        <v>2</v>
      </c>
      <c r="B22" s="36" t="s">
        <v>11</v>
      </c>
      <c r="C22" s="36"/>
      <c r="D22" s="36"/>
      <c r="E22" s="36"/>
      <c r="F22" s="36"/>
      <c r="G22" s="36"/>
      <c r="H22" s="36"/>
      <c r="J22" s="13">
        <v>3</v>
      </c>
      <c r="K22" s="36" t="s">
        <v>12</v>
      </c>
      <c r="L22" s="36"/>
      <c r="M22" s="36"/>
      <c r="N22" s="36"/>
      <c r="O22" s="36"/>
      <c r="P22" s="36"/>
      <c r="Q22" s="36"/>
      <c r="S22" s="13">
        <v>4</v>
      </c>
      <c r="T22" s="36" t="s">
        <v>14</v>
      </c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10" t="s">
        <v>44</v>
      </c>
      <c r="AL22" s="10">
        <f>SUM(AL25:AL224)</f>
        <v>19</v>
      </c>
      <c r="AO22" s="10" t="s">
        <v>44</v>
      </c>
      <c r="AP22" s="10">
        <f>SUM(AP24:AP223)</f>
        <v>12</v>
      </c>
      <c r="AU22" s="16" t="s">
        <v>69</v>
      </c>
      <c r="AV22" s="16" t="s">
        <v>70</v>
      </c>
      <c r="AW22" s="16" t="s">
        <v>23</v>
      </c>
      <c r="AX22" s="16" t="s">
        <v>24</v>
      </c>
      <c r="AY22" s="16" t="s">
        <v>25</v>
      </c>
      <c r="AZ22" s="16" t="s">
        <v>66</v>
      </c>
      <c r="BA22" s="16" t="s">
        <v>67</v>
      </c>
      <c r="BB22" s="16" t="s">
        <v>68</v>
      </c>
      <c r="BG22" s="10" t="s">
        <v>15</v>
      </c>
      <c r="BH22" s="38" t="s">
        <v>16</v>
      </c>
      <c r="BI22" s="38"/>
      <c r="BJ22" s="38"/>
      <c r="BK22" s="38"/>
      <c r="BL22" s="38"/>
      <c r="BV22" s="10" t="s">
        <v>17</v>
      </c>
      <c r="BZ22" s="10" t="s">
        <v>44</v>
      </c>
      <c r="CA22" s="10">
        <f>SUM(CA24:CA83)</f>
        <v>9</v>
      </c>
    </row>
    <row r="23" spans="1:80" x14ac:dyDescent="0.25">
      <c r="B23" s="10" t="s">
        <v>15</v>
      </c>
      <c r="C23" s="38" t="s">
        <v>16</v>
      </c>
      <c r="D23" s="38"/>
      <c r="E23" s="38"/>
      <c r="F23" s="38"/>
      <c r="G23" s="38"/>
      <c r="Q23" s="10" t="s">
        <v>17</v>
      </c>
      <c r="T23" s="10" t="s">
        <v>20</v>
      </c>
      <c r="U23" s="10" t="s">
        <v>21</v>
      </c>
      <c r="X23" s="10" t="s">
        <v>22</v>
      </c>
      <c r="AE23" s="15" t="s">
        <v>23</v>
      </c>
      <c r="AF23" s="15" t="s">
        <v>24</v>
      </c>
      <c r="AG23" s="15" t="s">
        <v>25</v>
      </c>
      <c r="AH23" s="15" t="s">
        <v>66</v>
      </c>
      <c r="AI23" s="15" t="s">
        <v>67</v>
      </c>
      <c r="AJ23" s="15" t="s">
        <v>68</v>
      </c>
      <c r="AK23" s="10" t="s">
        <v>20</v>
      </c>
      <c r="AN23" s="10" t="s">
        <v>49</v>
      </c>
      <c r="AO23" s="10" t="s">
        <v>43</v>
      </c>
      <c r="AP23" s="10" t="s">
        <v>36</v>
      </c>
      <c r="AU23" s="16">
        <v>0</v>
      </c>
      <c r="AV23" s="16"/>
      <c r="AW23" s="16">
        <f t="shared" ref="AW23:BB23" si="0">AE24</f>
        <v>1</v>
      </c>
      <c r="AX23" s="16">
        <f t="shared" si="0"/>
        <v>0.1</v>
      </c>
      <c r="AY23" s="16">
        <f t="shared" si="0"/>
        <v>5</v>
      </c>
      <c r="AZ23" s="16">
        <f t="shared" si="0"/>
        <v>1</v>
      </c>
      <c r="BA23" s="16">
        <f t="shared" si="0"/>
        <v>0.1</v>
      </c>
      <c r="BB23" s="16">
        <f t="shared" si="0"/>
        <v>7</v>
      </c>
      <c r="BG23" s="10">
        <v>0</v>
      </c>
      <c r="BH23" s="16" t="s">
        <v>26</v>
      </c>
      <c r="BI23" s="16" t="s">
        <v>27</v>
      </c>
      <c r="BJ23" s="15" t="s">
        <v>71</v>
      </c>
      <c r="BK23" s="15" t="s">
        <v>72</v>
      </c>
      <c r="BL23" s="15" t="s">
        <v>73</v>
      </c>
      <c r="BM23" s="16" t="s">
        <v>28</v>
      </c>
      <c r="BP23" s="16" t="s">
        <v>29</v>
      </c>
      <c r="BQ23" s="16" t="s">
        <v>30</v>
      </c>
      <c r="BR23" s="16" t="s">
        <v>31</v>
      </c>
      <c r="BS23" s="16" t="s">
        <v>74</v>
      </c>
      <c r="BT23" s="16" t="s">
        <v>75</v>
      </c>
      <c r="BU23" s="16" t="s">
        <v>76</v>
      </c>
      <c r="BV23" s="16" t="s">
        <v>32</v>
      </c>
      <c r="BX23" s="16" t="s">
        <v>33</v>
      </c>
      <c r="BY23" s="16" t="s">
        <v>34</v>
      </c>
      <c r="BZ23" s="16" t="s">
        <v>35</v>
      </c>
      <c r="CA23" s="16" t="s">
        <v>36</v>
      </c>
    </row>
    <row r="24" spans="1:80" x14ac:dyDescent="0.25">
      <c r="B24" s="10">
        <v>0</v>
      </c>
      <c r="C24" s="11" t="s">
        <v>26</v>
      </c>
      <c r="D24" s="11" t="s">
        <v>27</v>
      </c>
      <c r="E24" s="11" t="s">
        <v>71</v>
      </c>
      <c r="F24" s="11" t="s">
        <v>72</v>
      </c>
      <c r="G24" s="11" t="s">
        <v>73</v>
      </c>
      <c r="H24" s="11" t="s">
        <v>28</v>
      </c>
      <c r="K24" s="16" t="s">
        <v>29</v>
      </c>
      <c r="L24" s="16" t="s">
        <v>30</v>
      </c>
      <c r="M24" s="16" t="s">
        <v>31</v>
      </c>
      <c r="N24" s="16" t="s">
        <v>74</v>
      </c>
      <c r="O24" s="16" t="s">
        <v>75</v>
      </c>
      <c r="P24" s="16" t="s">
        <v>76</v>
      </c>
      <c r="Q24" s="16" t="s">
        <v>32</v>
      </c>
      <c r="S24" s="16" t="s">
        <v>33</v>
      </c>
      <c r="T24" s="16" t="s">
        <v>34</v>
      </c>
      <c r="U24" s="16" t="s">
        <v>35</v>
      </c>
      <c r="V24" s="16" t="s">
        <v>36</v>
      </c>
      <c r="Y24" s="16" t="s">
        <v>37</v>
      </c>
      <c r="Z24" s="16" t="s">
        <v>38</v>
      </c>
      <c r="AA24" s="16" t="s">
        <v>39</v>
      </c>
      <c r="AB24" s="16" t="s">
        <v>77</v>
      </c>
      <c r="AC24" s="16" t="s">
        <v>78</v>
      </c>
      <c r="AD24" s="16" t="s">
        <v>79</v>
      </c>
      <c r="AE24" s="15">
        <v>1</v>
      </c>
      <c r="AF24" s="15">
        <v>0.1</v>
      </c>
      <c r="AG24" s="15">
        <v>5</v>
      </c>
      <c r="AH24" s="15">
        <v>1</v>
      </c>
      <c r="AI24" s="15">
        <v>0.1</v>
      </c>
      <c r="AJ24" s="15">
        <v>7</v>
      </c>
      <c r="AK24" s="10" t="s">
        <v>45</v>
      </c>
      <c r="AL24" s="10" t="s">
        <v>46</v>
      </c>
      <c r="AN24" s="10">
        <f>IF(SUMPRODUCT(K25:P25,$AN$18:$AS$18)&gt;=0,1,-1)</f>
        <v>1</v>
      </c>
      <c r="AO24" s="10">
        <f>(Q25-AN24)/2</f>
        <v>0</v>
      </c>
      <c r="AP24" s="10">
        <f>IF(AO24&lt;&gt;0,1,0)</f>
        <v>0</v>
      </c>
      <c r="AU24" s="16">
        <v>1</v>
      </c>
      <c r="AV24" s="16">
        <f>X44</f>
        <v>7</v>
      </c>
      <c r="AW24" s="16">
        <f t="shared" ref="AW24:BB24" si="1">AE44</f>
        <v>-6.4826027367548429</v>
      </c>
      <c r="AX24" s="16">
        <f t="shared" si="1"/>
        <v>-7.3826027367548424</v>
      </c>
      <c r="AY24" s="16">
        <f t="shared" si="1"/>
        <v>-1.2140815074233879</v>
      </c>
      <c r="AZ24" s="16">
        <f t="shared" si="1"/>
        <v>-10.202694977743869</v>
      </c>
      <c r="BA24" s="16">
        <f t="shared" si="1"/>
        <v>3.9578569378220445</v>
      </c>
      <c r="BB24" s="16">
        <f t="shared" si="1"/>
        <v>17.953437740746857</v>
      </c>
      <c r="BG24" s="10">
        <f>BG23+1</f>
        <v>1</v>
      </c>
      <c r="BH24">
        <v>-0.706702394381864</v>
      </c>
      <c r="BI24">
        <v>2.369270077906549</v>
      </c>
      <c r="BJ24">
        <v>-1.6756121112848632</v>
      </c>
      <c r="BK24">
        <v>0.36385813473316375</v>
      </c>
      <c r="BL24">
        <v>2.6627094484865665</v>
      </c>
      <c r="BM24">
        <v>0.78341013824884798</v>
      </c>
      <c r="BP24" s="16">
        <f>1</f>
        <v>1</v>
      </c>
      <c r="BQ24" s="14">
        <f>IF(BV24=1, BH24*$C$7+$C$2,BH24*$C$13+$C$8)</f>
        <v>5.3961001252416771</v>
      </c>
      <c r="BR24" s="14">
        <f>IF(BV24=1, BI24*$C$7+$C$3,BI24*$C$13+$C$10)</f>
        <v>13.291347652088527</v>
      </c>
      <c r="BS24" s="14">
        <f>IF(BV24=1, BJ24*$C$7+$C$4,BJ24*$C$13+$C$12)</f>
        <v>-8.430847124046581E-2</v>
      </c>
      <c r="BT24" s="14">
        <f>IF(BV24=1, BK24*$C$7+$C$5,BK24*$C$13+$C$11)</f>
        <v>9.6800327219791917</v>
      </c>
      <c r="BU24" s="14">
        <f>IF(BV24=1, BL24*$C$7+$C$6,BL24*$C$13+$C$12)</f>
        <v>7.1315752938006636</v>
      </c>
      <c r="BV24" s="16">
        <f>IF(BM24&lt;$C$14,1,-1)</f>
        <v>-1</v>
      </c>
      <c r="BX24" s="10">
        <f>SUMPRODUCT(BP24:BU24,$AW$33:$BB$33)</f>
        <v>116.22409240301366</v>
      </c>
      <c r="BY24" s="10">
        <f>IF(BX24&gt;=0,1,-1)</f>
        <v>1</v>
      </c>
      <c r="BZ24" s="10">
        <f t="shared" ref="BZ24:BZ83" si="2">(BY24-BV24)/2</f>
        <v>1</v>
      </c>
      <c r="CA24" s="10">
        <f>IF(BZ24&lt;&gt;0,1,0)</f>
        <v>1</v>
      </c>
    </row>
    <row r="25" spans="1:80" x14ac:dyDescent="0.25">
      <c r="B25" s="10">
        <f>B24+1</f>
        <v>1</v>
      </c>
      <c r="C25">
        <v>1.4314991858555004</v>
      </c>
      <c r="D25">
        <v>1.285859525523847</v>
      </c>
      <c r="E25">
        <v>1.7132151697296649</v>
      </c>
      <c r="F25">
        <v>-0.18569153326097876</v>
      </c>
      <c r="G25">
        <v>0.89075911091640592</v>
      </c>
      <c r="H25">
        <v>0.10150456251716666</v>
      </c>
      <c r="K25" s="10">
        <f>1</f>
        <v>1</v>
      </c>
      <c r="L25" s="10">
        <f>IF(Q25=1, C25*$C$7+$C$2,C25*$C$13+$C$8)</f>
        <v>7.5225133174139778</v>
      </c>
      <c r="M25" s="10">
        <f>IF(Q25=1, D25*$C$7+$C$3,D25*$C$13+$C$10)</f>
        <v>14.040061906905686</v>
      </c>
      <c r="N25" s="10">
        <f>IF(Q25=1, E25*$C$7+$C$4,E25*$C$13+$C$12)</f>
        <v>5.6363185126202113</v>
      </c>
      <c r="O25" s="10">
        <f>IF(Q25=1, F25*$C$7+$C$5,F25*$C$13+$C$11)</f>
        <v>10.980215094660593</v>
      </c>
      <c r="P25" s="10">
        <f>IF(Q25=1, G25*$C$7+$C$6,G25*$C$13+$C$12)</f>
        <v>9.3981076210528638</v>
      </c>
      <c r="Q25" s="10">
        <f>IF(H25&lt;$C$14,1,-1)</f>
        <v>1</v>
      </c>
      <c r="S25" s="10">
        <f>SUMPRODUCT(K25:P25,AE24:AJ24)</f>
        <v>144.47365423572614</v>
      </c>
      <c r="T25" s="10">
        <f>IF(S25&gt;=0,1,-1)</f>
        <v>1</v>
      </c>
      <c r="U25" s="10">
        <f>(Q25-T25)/2</f>
        <v>0</v>
      </c>
      <c r="V25" s="10">
        <f>IF(U25&lt;&gt;0,1,0)</f>
        <v>0</v>
      </c>
      <c r="W25" s="12"/>
      <c r="X25" s="12"/>
      <c r="Y25" s="10">
        <f>IF(U25=0,0,$C$15*(U25)*K25)</f>
        <v>0</v>
      </c>
      <c r="Z25" s="10">
        <f>IF(U25=0,0,$C$15*(U25)*L25)</f>
        <v>0</v>
      </c>
      <c r="AA25" s="10">
        <f>IF(U25=0,0,$C$15*(U25)*M25)</f>
        <v>0</v>
      </c>
      <c r="AB25" s="10">
        <f>IF(U25=0,0,$C$15*(U25)*N25)</f>
        <v>0</v>
      </c>
      <c r="AC25" s="10">
        <f>IF(U25=0,0,$C$15*(U25)*O25)</f>
        <v>0</v>
      </c>
      <c r="AD25" s="10">
        <f>IF(U25=0,0,$C$15*(U25)*P25)</f>
        <v>0</v>
      </c>
      <c r="AE25" s="10">
        <f>IF(U25=0,AE24,AE24+$C$15*(U25)*L25)</f>
        <v>1</v>
      </c>
      <c r="AF25" s="10">
        <f>IF(U25=0,AF24,AF24+$C$15*(U25)*L25)</f>
        <v>0.1</v>
      </c>
      <c r="AG25" s="10">
        <f>IF(U25=0,AG24,AG24+$C$15*(U25)*M25)</f>
        <v>5</v>
      </c>
      <c r="AH25" s="10">
        <f>IF(U25=0,AH24,AH24+$C$15*(U25)*N25)</f>
        <v>1</v>
      </c>
      <c r="AI25" s="10">
        <f>IF(U25=0,AI24,AI24+$C$15*(U25)*O25)</f>
        <v>0.1</v>
      </c>
      <c r="AK25" s="10">
        <f>IF(SUMPRODUCT(K25:P25,$AW$33:$BB$33)&gt;=0,1,-1)</f>
        <v>1</v>
      </c>
      <c r="AL25" s="10">
        <f>IF(Q25=AK25,0,1)</f>
        <v>0</v>
      </c>
      <c r="AN25" s="10">
        <f t="shared" ref="AN25:AN88" si="3">IF(SUMPRODUCT(K26:P26,$AN$18:$AS$18)&gt;=0,1,-1)</f>
        <v>-1</v>
      </c>
      <c r="AO25" s="10">
        <f t="shared" ref="AO25:AO88" si="4">(Q26-AN25)/2</f>
        <v>0</v>
      </c>
      <c r="AP25" s="10">
        <f t="shared" ref="AP25:AP88" si="5">IF(AO25&lt;&gt;0,1,0)</f>
        <v>0</v>
      </c>
      <c r="AU25" s="16">
        <v>2</v>
      </c>
      <c r="AV25" s="16">
        <f>X64</f>
        <v>6</v>
      </c>
      <c r="AW25" s="16">
        <f t="shared" ref="AW25:BB25" si="6">AE64</f>
        <v>-9.1480536241874493</v>
      </c>
      <c r="AX25" s="16">
        <f t="shared" si="6"/>
        <v>-10.048053624187448</v>
      </c>
      <c r="AY25" s="16">
        <f t="shared" si="6"/>
        <v>0.99488011749287786</v>
      </c>
      <c r="AZ25" s="16">
        <f t="shared" si="6"/>
        <v>-7.5092949973443996</v>
      </c>
      <c r="BA25" s="16">
        <f t="shared" si="6"/>
        <v>8.7290020923442011</v>
      </c>
      <c r="BB25" s="16">
        <f t="shared" si="6"/>
        <v>33.5388862104776</v>
      </c>
      <c r="BG25" s="10">
        <f t="shared" ref="BG25:BG83" si="7">BG24+1</f>
        <v>2</v>
      </c>
      <c r="BH25">
        <v>0.62505023379344493</v>
      </c>
      <c r="BI25">
        <v>1.8106675270246342</v>
      </c>
      <c r="BJ25">
        <v>1.298019469686551</v>
      </c>
      <c r="BK25">
        <v>0.8563642950321082</v>
      </c>
      <c r="BL25">
        <v>0.34301137930015102</v>
      </c>
      <c r="BM25">
        <v>2.2278511917477952E-2</v>
      </c>
      <c r="BP25" s="16">
        <f>1</f>
        <v>1</v>
      </c>
      <c r="BQ25" s="14">
        <f t="shared" ref="BQ25:BQ83" si="8">IF(BV25=1, BH25*$C$7+$C$2,BH25*$C$13+$C$8)</f>
        <v>5.6594875193781062</v>
      </c>
      <c r="BR25" s="14">
        <f t="shared" ref="BR25:BR83" si="9">IF(BV25=1, BI25*$C$7+$C$3,BI25*$C$13+$C$10)</f>
        <v>15.252452155924672</v>
      </c>
      <c r="BS25" s="14">
        <f t="shared" ref="BS25:BS83" si="10">IF(BV25=1, BJ25*$C$7+$C$4,BJ25*$C$13+$C$12)</f>
        <v>4.6771501753856883</v>
      </c>
      <c r="BT25" s="14">
        <f t="shared" ref="BT25:BT83" si="11">IF(BV25=1, BK25*$C$7+$C$5,BK25*$C$13+$C$11)</f>
        <v>13.38753038242883</v>
      </c>
      <c r="BU25" s="14">
        <f t="shared" ref="BU25:BU83" si="12">IF(BV25=1, BL25*$C$7+$C$6,BL25*$C$13+$C$12)</f>
        <v>8.1327229340154279</v>
      </c>
      <c r="BV25" s="16">
        <f t="shared" ref="BV25:BV83" si="13">IF(BM25&lt;$C$14,1,-1)</f>
        <v>1</v>
      </c>
      <c r="BX25" s="10">
        <f t="shared" ref="BX25:BX83" si="14">SUMPRODUCT(BP25:BU25,$AW$33:$BB$33)</f>
        <v>68.733720472048162</v>
      </c>
      <c r="BY25" s="10">
        <f t="shared" ref="BY25:BY83" si="15">IF(BX25&gt;=0,1,-1)</f>
        <v>1</v>
      </c>
      <c r="BZ25" s="10">
        <f t="shared" si="2"/>
        <v>0</v>
      </c>
      <c r="CA25" s="10">
        <f t="shared" ref="CA25:CA83" si="16">IF(BZ25&lt;&gt;0,1,0)</f>
        <v>0</v>
      </c>
    </row>
    <row r="26" spans="1:80" x14ac:dyDescent="0.25">
      <c r="B26" s="10">
        <f t="shared" ref="B26:B89" si="17">B25+1</f>
        <v>2</v>
      </c>
      <c r="C26">
        <v>0.35300899980938993</v>
      </c>
      <c r="D26">
        <v>0.21096980162838008</v>
      </c>
      <c r="E26">
        <v>1.0809208106365986</v>
      </c>
      <c r="F26">
        <v>-1.414446160197258</v>
      </c>
      <c r="G26">
        <v>0.28904651117045432</v>
      </c>
      <c r="H26">
        <v>0.7159947508163701</v>
      </c>
      <c r="K26" s="10">
        <f>1</f>
        <v>1</v>
      </c>
      <c r="L26" s="10">
        <f t="shared" ref="L26:L89" si="18">IF(Q26=1, C26*$C$7+$C$2,C26*$C$13+$C$8)</f>
        <v>7.1587067323408169</v>
      </c>
      <c r="M26" s="10">
        <f t="shared" ref="M26:M89" si="19">IF(Q26=1, D26*$C$7+$C$3,D26*$C$13+$C$10)</f>
        <v>9.701469928847569</v>
      </c>
      <c r="N26" s="10">
        <f t="shared" ref="N26:N89" si="20">IF(Q26=1, E26*$C$7+$C$4,E26*$C$13+$C$12)</f>
        <v>4.5006032014070634</v>
      </c>
      <c r="O26" s="10">
        <f t="shared" ref="O26:O89" si="21">IF(Q26=1, F26*$C$7+$C$5,F26*$C$13+$C$11)</f>
        <v>6.7221982428385054</v>
      </c>
      <c r="P26" s="10">
        <f t="shared" ref="P26:P89" si="22">IF(Q26=1, G26*$C$7+$C$6,G26*$C$13+$C$12)</f>
        <v>3.1834871640766904</v>
      </c>
      <c r="Q26" s="10">
        <f t="shared" ref="Q26:Q89" si="23">IF(H26&lt;$C$14,1,-1)</f>
        <v>-1</v>
      </c>
      <c r="S26" s="10">
        <f t="shared" ref="S26:S89" si="24">SUMPRODUCT(K26:P26,AE25:AJ25)</f>
        <v>55.396043343162837</v>
      </c>
      <c r="T26" s="10">
        <f t="shared" ref="T26:T89" si="25">IF(S26&gt;=0,1,-1)</f>
        <v>1</v>
      </c>
      <c r="U26" s="10">
        <f t="shared" ref="U26:U89" si="26">(Q26-T26)/2</f>
        <v>-1</v>
      </c>
      <c r="V26" s="10">
        <f t="shared" ref="V26:V89" si="27">IF(U26&lt;&gt;0,1,0)</f>
        <v>1</v>
      </c>
      <c r="Y26" s="10">
        <f t="shared" ref="Y26:Y89" si="28">IF(U26=0,0,$C$15*(U26)*K26)</f>
        <v>-0.8947752311777093</v>
      </c>
      <c r="Z26" s="10">
        <f t="shared" ref="Z26:Z89" si="29">IF(U26=0,0,$C$15*(U26)*L26)</f>
        <v>-6.4054334713636782</v>
      </c>
      <c r="AA26" s="10">
        <f t="shared" ref="AA26:AA89" si="30">IF(U26=0,0,$C$15*(U26)*M26)</f>
        <v>-8.6806349983481788</v>
      </c>
      <c r="AB26" s="10">
        <f t="shared" ref="AB26:AB89" si="31">IF(U26=0,0,$C$15*(U26)*N26)</f>
        <v>-4.0270282699781434</v>
      </c>
      <c r="AC26" s="10">
        <f t="shared" ref="AC26:AC89" si="32">IF(U26=0,0,$C$15*(U26)*O26)</f>
        <v>-6.014856486758215</v>
      </c>
      <c r="AD26" s="10">
        <f t="shared" ref="AD26:AD89" si="33">IF(U26=0,0,$C$15*(U26)*P26)</f>
        <v>-2.8485054631879909</v>
      </c>
      <c r="AE26" s="10">
        <f t="shared" ref="AE26:AE89" si="34">IF(U26=0,AE25,AE25+$C$15*(U26)*L26)</f>
        <v>-5.4054334713636782</v>
      </c>
      <c r="AF26" s="10">
        <f t="shared" ref="AF26:AF89" si="35">IF(U26=0,AF25,AF25+$C$15*(U26)*L26)</f>
        <v>-6.3054334713636786</v>
      </c>
      <c r="AG26" s="10">
        <f t="shared" ref="AG26:AG89" si="36">IF(U26=0,AG25,AG25+$C$15*(U26)*M26)</f>
        <v>-3.6806349983481788</v>
      </c>
      <c r="AH26" s="10">
        <f t="shared" ref="AH26:AH89" si="37">IF(U26=0,AH25,AH25+$C$15*(U26)*N26)</f>
        <v>-3.0270282699781434</v>
      </c>
      <c r="AI26" s="10">
        <f t="shared" ref="AI26:AI89" si="38">IF(U26=0,AI25,AI25+$C$15*(U26)*O26)</f>
        <v>-5.9148564867582154</v>
      </c>
      <c r="AJ26" s="10">
        <f>IF(U25=0,AJ24,AJ24+$C$15*(U25)*P25)</f>
        <v>7</v>
      </c>
      <c r="AK26" s="10">
        <f t="shared" ref="AK26:AK89" si="39">IF(SUMPRODUCT(K26:P26,$AW$33:$BB$33)&gt;=0,1,-1)</f>
        <v>-1</v>
      </c>
      <c r="AL26" s="10">
        <f t="shared" ref="AL26:AL89" si="40">IF(Q26=AK26,0,1)</f>
        <v>0</v>
      </c>
      <c r="AN26" s="10">
        <f t="shared" si="3"/>
        <v>1</v>
      </c>
      <c r="AO26" s="10">
        <f t="shared" si="4"/>
        <v>0</v>
      </c>
      <c r="AP26" s="10">
        <f t="shared" si="5"/>
        <v>0</v>
      </c>
      <c r="AU26" s="16">
        <v>3</v>
      </c>
      <c r="AV26" s="16">
        <f>X84</f>
        <v>4</v>
      </c>
      <c r="AW26" s="16">
        <f t="shared" ref="AW26:BB26" si="41">AE84</f>
        <v>-18.637534119933299</v>
      </c>
      <c r="AX26" s="16">
        <f t="shared" si="41"/>
        <v>-19.537534119933298</v>
      </c>
      <c r="AY26" s="16">
        <f t="shared" si="41"/>
        <v>-14.569462737591317</v>
      </c>
      <c r="AZ26" s="16">
        <f t="shared" si="41"/>
        <v>-8.3060553346395452</v>
      </c>
      <c r="BA26" s="16">
        <f t="shared" si="41"/>
        <v>-4.8343772598873436</v>
      </c>
      <c r="BB26" s="16">
        <f t="shared" si="41"/>
        <v>30.509730321861767</v>
      </c>
      <c r="BG26" s="10">
        <f t="shared" si="7"/>
        <v>3</v>
      </c>
      <c r="BH26">
        <v>-2.592714736238122</v>
      </c>
      <c r="BI26">
        <v>-0.19355752556293737</v>
      </c>
      <c r="BJ26">
        <v>0.63962488638935611</v>
      </c>
      <c r="BK26">
        <v>-1.3150838640285656</v>
      </c>
      <c r="BL26">
        <v>0.19270032680651639</v>
      </c>
      <c r="BM26">
        <v>0.26685384685811947</v>
      </c>
      <c r="BP26" s="16">
        <f>1</f>
        <v>1</v>
      </c>
      <c r="BQ26" s="14">
        <f t="shared" si="8"/>
        <v>-1.7740631546683288</v>
      </c>
      <c r="BR26" s="14">
        <f t="shared" si="9"/>
        <v>10.622372386469994</v>
      </c>
      <c r="BS26" s="14">
        <f t="shared" si="10"/>
        <v>3.1561536004216162</v>
      </c>
      <c r="BT26" s="14">
        <f t="shared" si="11"/>
        <v>8.3711385462394983</v>
      </c>
      <c r="BU26" s="14">
        <f t="shared" si="12"/>
        <v>7.7854804113367981</v>
      </c>
      <c r="BV26" s="16">
        <f t="shared" si="13"/>
        <v>1</v>
      </c>
      <c r="BX26" s="10">
        <f t="shared" si="14"/>
        <v>336.930995003352</v>
      </c>
      <c r="BY26" s="10">
        <f t="shared" si="15"/>
        <v>1</v>
      </c>
      <c r="BZ26" s="10">
        <f t="shared" si="2"/>
        <v>0</v>
      </c>
      <c r="CA26" s="10">
        <f t="shared" si="16"/>
        <v>0</v>
      </c>
    </row>
    <row r="27" spans="1:80" x14ac:dyDescent="0.25">
      <c r="B27" s="10">
        <f t="shared" si="17"/>
        <v>3</v>
      </c>
      <c r="C27">
        <v>1.4775423551327549</v>
      </c>
      <c r="D27">
        <v>-0.72458988142898306</v>
      </c>
      <c r="E27">
        <v>-2.6522320695221424</v>
      </c>
      <c r="F27">
        <v>0.91676838565035723</v>
      </c>
      <c r="G27">
        <v>2.0811967260669917</v>
      </c>
      <c r="H27">
        <v>0.31574449903866697</v>
      </c>
      <c r="K27" s="10">
        <f>1</f>
        <v>1</v>
      </c>
      <c r="L27" s="10">
        <f t="shared" si="18"/>
        <v>7.6288803874777713</v>
      </c>
      <c r="M27" s="10">
        <f t="shared" si="19"/>
        <v>9.3956028853868307</v>
      </c>
      <c r="N27" s="10">
        <f t="shared" si="20"/>
        <v>-4.4485613869630303</v>
      </c>
      <c r="O27" s="10">
        <f t="shared" si="21"/>
        <v>13.527073472962892</v>
      </c>
      <c r="P27" s="10">
        <f t="shared" si="22"/>
        <v>12.148208519946687</v>
      </c>
      <c r="Q27" s="10">
        <f t="shared" si="23"/>
        <v>1</v>
      </c>
      <c r="S27" s="10">
        <f t="shared" si="24"/>
        <v>-69.597933585844288</v>
      </c>
      <c r="T27" s="10">
        <f t="shared" si="25"/>
        <v>-1</v>
      </c>
      <c r="U27" s="10">
        <f t="shared" si="26"/>
        <v>1</v>
      </c>
      <c r="V27" s="10">
        <f t="shared" si="27"/>
        <v>1</v>
      </c>
      <c r="Y27" s="10">
        <f t="shared" si="28"/>
        <v>0.8947752311777093</v>
      </c>
      <c r="Z27" s="10">
        <f t="shared" si="29"/>
        <v>6.8261332123325156</v>
      </c>
      <c r="AA27" s="10">
        <f t="shared" si="30"/>
        <v>8.4069527438259541</v>
      </c>
      <c r="AB27" s="10">
        <f t="shared" si="31"/>
        <v>-3.9804625434280765</v>
      </c>
      <c r="AC27" s="10">
        <f t="shared" si="32"/>
        <v>12.10369029392823</v>
      </c>
      <c r="AD27" s="10">
        <f t="shared" si="33"/>
        <v>10.869916086830315</v>
      </c>
      <c r="AE27" s="10">
        <f t="shared" si="34"/>
        <v>1.4206997409688373</v>
      </c>
      <c r="AF27" s="10">
        <f t="shared" si="35"/>
        <v>0.52069974096883698</v>
      </c>
      <c r="AG27" s="10">
        <f t="shared" si="36"/>
        <v>4.7263177454777754</v>
      </c>
      <c r="AH27" s="10">
        <f t="shared" si="37"/>
        <v>-7.0074908134062195</v>
      </c>
      <c r="AI27" s="10">
        <f t="shared" si="38"/>
        <v>6.1888338071700142</v>
      </c>
      <c r="AJ27" s="10">
        <f t="shared" ref="AJ27:AJ90" si="42">IF(U26=0,AJ26,AJ26+$C$15*(U26)*P26)</f>
        <v>4.1514945368120095</v>
      </c>
      <c r="AK27" s="10">
        <f t="shared" si="39"/>
        <v>1</v>
      </c>
      <c r="AL27" s="10">
        <f t="shared" si="40"/>
        <v>0</v>
      </c>
      <c r="AN27" s="10">
        <f t="shared" si="3"/>
        <v>1</v>
      </c>
      <c r="AO27" s="10">
        <f t="shared" si="4"/>
        <v>0</v>
      </c>
      <c r="AP27" s="10">
        <f t="shared" si="5"/>
        <v>0</v>
      </c>
      <c r="AU27" s="16">
        <v>4</v>
      </c>
      <c r="AV27" s="16">
        <f>X104</f>
        <v>7</v>
      </c>
      <c r="AW27" s="16">
        <f t="shared" ref="AW27:BB27" si="43">AE104</f>
        <v>-20.255485426517865</v>
      </c>
      <c r="AX27" s="16">
        <f t="shared" si="43"/>
        <v>-21.15548542651786</v>
      </c>
      <c r="AY27" s="16">
        <f t="shared" si="43"/>
        <v>-5.8639666990694819</v>
      </c>
      <c r="AZ27" s="16">
        <f t="shared" si="43"/>
        <v>-8.5562784252156003</v>
      </c>
      <c r="BA27" s="16">
        <f t="shared" si="43"/>
        <v>10.511728675202397</v>
      </c>
      <c r="BB27" s="16">
        <f t="shared" si="43"/>
        <v>36.450888755086609</v>
      </c>
      <c r="BG27" s="10">
        <f t="shared" si="7"/>
        <v>4</v>
      </c>
      <c r="BH27">
        <v>0.30712158149981406</v>
      </c>
      <c r="BI27">
        <v>-1.2419923223205842</v>
      </c>
      <c r="BJ27">
        <v>-2.1430969354696572</v>
      </c>
      <c r="BK27">
        <v>-2.5241752155125141</v>
      </c>
      <c r="BL27">
        <v>1.4167380868457258</v>
      </c>
      <c r="BM27">
        <v>0.14508499404889066</v>
      </c>
      <c r="BP27" s="16">
        <f>1</f>
        <v>1</v>
      </c>
      <c r="BQ27" s="14">
        <f t="shared" si="8"/>
        <v>4.9250215874139052</v>
      </c>
      <c r="BR27" s="14">
        <f t="shared" si="9"/>
        <v>8.2003206633899577</v>
      </c>
      <c r="BS27" s="14">
        <f t="shared" si="10"/>
        <v>-3.2723779633242787</v>
      </c>
      <c r="BT27" s="14">
        <f t="shared" si="11"/>
        <v>5.5779445390590894</v>
      </c>
      <c r="BU27" s="14">
        <f t="shared" si="12"/>
        <v>10.613203007903101</v>
      </c>
      <c r="BV27" s="16">
        <f t="shared" si="13"/>
        <v>1</v>
      </c>
      <c r="BX27" s="10">
        <f t="shared" si="14"/>
        <v>331.77666990238845</v>
      </c>
      <c r="BY27" s="10">
        <f t="shared" si="15"/>
        <v>1</v>
      </c>
      <c r="BZ27" s="10">
        <f t="shared" si="2"/>
        <v>0</v>
      </c>
      <c r="CA27" s="10">
        <f t="shared" si="16"/>
        <v>0</v>
      </c>
    </row>
    <row r="28" spans="1:80" x14ac:dyDescent="0.25">
      <c r="B28" s="10">
        <f t="shared" si="17"/>
        <v>4</v>
      </c>
      <c r="C28">
        <v>-0.80251652434526477</v>
      </c>
      <c r="D28">
        <v>-0.65537960836081766</v>
      </c>
      <c r="E28">
        <v>0.84057546700933017</v>
      </c>
      <c r="F28">
        <v>2.2109452402219176</v>
      </c>
      <c r="G28">
        <v>1.3698922884941567</v>
      </c>
      <c r="H28">
        <v>0.38587603381450852</v>
      </c>
      <c r="K28" s="10">
        <f>1</f>
        <v>1</v>
      </c>
      <c r="L28" s="10">
        <f t="shared" si="18"/>
        <v>2.361580451571291</v>
      </c>
      <c r="M28" s="10">
        <f t="shared" si="19"/>
        <v>9.5554896629508708</v>
      </c>
      <c r="N28" s="10">
        <f t="shared" si="20"/>
        <v>3.6203815157385559</v>
      </c>
      <c r="O28" s="10">
        <f t="shared" si="21"/>
        <v>16.516828572926372</v>
      </c>
      <c r="P28" s="10">
        <f t="shared" si="22"/>
        <v>10.504981736568565</v>
      </c>
      <c r="Q28" s="10">
        <f t="shared" si="23"/>
        <v>1</v>
      </c>
      <c r="S28" s="10">
        <f t="shared" si="24"/>
        <v>168.27414556658235</v>
      </c>
      <c r="T28" s="10">
        <f t="shared" si="25"/>
        <v>1</v>
      </c>
      <c r="U28" s="10">
        <f t="shared" si="26"/>
        <v>0</v>
      </c>
      <c r="V28" s="10">
        <f t="shared" si="27"/>
        <v>0</v>
      </c>
      <c r="Y28" s="10">
        <f t="shared" si="28"/>
        <v>0</v>
      </c>
      <c r="Z28" s="10">
        <f t="shared" si="29"/>
        <v>0</v>
      </c>
      <c r="AA28" s="10">
        <f t="shared" si="30"/>
        <v>0</v>
      </c>
      <c r="AB28" s="10">
        <f t="shared" si="31"/>
        <v>0</v>
      </c>
      <c r="AC28" s="10">
        <f t="shared" si="32"/>
        <v>0</v>
      </c>
      <c r="AD28" s="10">
        <f t="shared" si="33"/>
        <v>0</v>
      </c>
      <c r="AE28" s="10">
        <f t="shared" si="34"/>
        <v>1.4206997409688373</v>
      </c>
      <c r="AF28" s="10">
        <f t="shared" si="35"/>
        <v>0.52069974096883698</v>
      </c>
      <c r="AG28" s="10">
        <f t="shared" si="36"/>
        <v>4.7263177454777754</v>
      </c>
      <c r="AH28" s="10">
        <f t="shared" si="37"/>
        <v>-7.0074908134062195</v>
      </c>
      <c r="AI28" s="10">
        <f t="shared" si="38"/>
        <v>6.1888338071700142</v>
      </c>
      <c r="AJ28" s="10">
        <f t="shared" si="42"/>
        <v>15.021410623642325</v>
      </c>
      <c r="AK28" s="10">
        <f t="shared" si="39"/>
        <v>1</v>
      </c>
      <c r="AL28" s="10">
        <f t="shared" si="40"/>
        <v>0</v>
      </c>
      <c r="AN28" s="10">
        <f t="shared" si="3"/>
        <v>1</v>
      </c>
      <c r="AO28" s="10">
        <f t="shared" si="4"/>
        <v>0</v>
      </c>
      <c r="AP28" s="10">
        <f t="shared" si="5"/>
        <v>0</v>
      </c>
      <c r="AU28" s="16">
        <v>5</v>
      </c>
      <c r="AV28" s="16">
        <f>X124</f>
        <v>4</v>
      </c>
      <c r="AW28" s="16">
        <f t="shared" ref="AW28:BB28" si="44">AE124</f>
        <v>-24.092384371314957</v>
      </c>
      <c r="AX28" s="16">
        <f t="shared" si="44"/>
        <v>-24.992384371314955</v>
      </c>
      <c r="AY28" s="16">
        <f t="shared" si="44"/>
        <v>-3.0911468230862571</v>
      </c>
      <c r="AZ28" s="16">
        <f t="shared" si="44"/>
        <v>-6.5461764403444036</v>
      </c>
      <c r="BA28" s="16">
        <f t="shared" si="44"/>
        <v>16.232429272575764</v>
      </c>
      <c r="BB28" s="16">
        <f t="shared" si="44"/>
        <v>36.265780346159218</v>
      </c>
      <c r="BG28" s="10">
        <f t="shared" si="7"/>
        <v>5</v>
      </c>
      <c r="BH28">
        <v>1.3691123967873864</v>
      </c>
      <c r="BI28">
        <v>-1.9340859580552205</v>
      </c>
      <c r="BJ28">
        <v>2.1208234102232382</v>
      </c>
      <c r="BK28">
        <v>-1.7062893675756641</v>
      </c>
      <c r="BL28">
        <v>-1.0553435458859894</v>
      </c>
      <c r="BM28">
        <v>0.68773461104159672</v>
      </c>
      <c r="BP28" s="16">
        <f>1</f>
        <v>1</v>
      </c>
      <c r="BQ28" s="14">
        <f t="shared" si="8"/>
        <v>8.8487806249369587</v>
      </c>
      <c r="BR28" s="14">
        <f t="shared" si="9"/>
        <v>6.133621668142716</v>
      </c>
      <c r="BS28" s="14">
        <f t="shared" si="10"/>
        <v>6.230262052692547</v>
      </c>
      <c r="BT28" s="14">
        <f t="shared" si="11"/>
        <v>6.2367785631201755</v>
      </c>
      <c r="BU28" s="14">
        <f t="shared" si="12"/>
        <v>0.94737758737960975</v>
      </c>
      <c r="BV28" s="16">
        <f t="shared" si="13"/>
        <v>-1</v>
      </c>
      <c r="BX28" s="10">
        <f t="shared" si="14"/>
        <v>-403.61982565363962</v>
      </c>
      <c r="BY28" s="10">
        <f t="shared" si="15"/>
        <v>-1</v>
      </c>
      <c r="BZ28" s="10">
        <f t="shared" si="2"/>
        <v>0</v>
      </c>
      <c r="CA28" s="10">
        <f t="shared" si="16"/>
        <v>0</v>
      </c>
    </row>
    <row r="29" spans="1:80" x14ac:dyDescent="0.25">
      <c r="B29" s="10">
        <f t="shared" si="17"/>
        <v>5</v>
      </c>
      <c r="C29">
        <v>-0.40687154978513718</v>
      </c>
      <c r="D29">
        <v>1.2396776583045721</v>
      </c>
      <c r="E29">
        <v>0.9881705409497954</v>
      </c>
      <c r="F29">
        <v>-0.19371327653061599</v>
      </c>
      <c r="G29">
        <v>-0.65130848270200659</v>
      </c>
      <c r="H29">
        <v>0.47102267525254066</v>
      </c>
      <c r="K29" s="10">
        <f>1</f>
        <v>1</v>
      </c>
      <c r="L29" s="10">
        <f t="shared" si="18"/>
        <v>3.2755834924135403</v>
      </c>
      <c r="M29" s="10">
        <f t="shared" si="19"/>
        <v>13.933374422457998</v>
      </c>
      <c r="N29" s="10">
        <f t="shared" si="20"/>
        <v>3.9613496944571267</v>
      </c>
      <c r="O29" s="10">
        <f t="shared" si="21"/>
        <v>10.961683587342812</v>
      </c>
      <c r="P29" s="10">
        <f t="shared" si="22"/>
        <v>5.8356853476029604</v>
      </c>
      <c r="Q29" s="10">
        <f t="shared" si="23"/>
        <v>1</v>
      </c>
      <c r="S29" s="10">
        <f t="shared" si="24"/>
        <v>196.72099225720672</v>
      </c>
      <c r="T29" s="10">
        <f t="shared" si="25"/>
        <v>1</v>
      </c>
      <c r="U29" s="10">
        <f t="shared" si="26"/>
        <v>0</v>
      </c>
      <c r="V29" s="10">
        <f t="shared" si="27"/>
        <v>0</v>
      </c>
      <c r="Y29" s="10">
        <f t="shared" si="28"/>
        <v>0</v>
      </c>
      <c r="Z29" s="10">
        <f t="shared" si="29"/>
        <v>0</v>
      </c>
      <c r="AA29" s="10">
        <f t="shared" si="30"/>
        <v>0</v>
      </c>
      <c r="AB29" s="10">
        <f t="shared" si="31"/>
        <v>0</v>
      </c>
      <c r="AC29" s="10">
        <f t="shared" si="32"/>
        <v>0</v>
      </c>
      <c r="AD29" s="10">
        <f t="shared" si="33"/>
        <v>0</v>
      </c>
      <c r="AE29" s="10">
        <f t="shared" si="34"/>
        <v>1.4206997409688373</v>
      </c>
      <c r="AF29" s="10">
        <f t="shared" si="35"/>
        <v>0.52069974096883698</v>
      </c>
      <c r="AG29" s="10">
        <f t="shared" si="36"/>
        <v>4.7263177454777754</v>
      </c>
      <c r="AH29" s="10">
        <f t="shared" si="37"/>
        <v>-7.0074908134062195</v>
      </c>
      <c r="AI29" s="10">
        <f t="shared" si="38"/>
        <v>6.1888338071700142</v>
      </c>
      <c r="AJ29" s="10">
        <f t="shared" si="42"/>
        <v>15.021410623642325</v>
      </c>
      <c r="AK29" s="10">
        <f t="shared" si="39"/>
        <v>1</v>
      </c>
      <c r="AL29" s="10">
        <f t="shared" si="40"/>
        <v>0</v>
      </c>
      <c r="AN29" s="10">
        <f t="shared" si="3"/>
        <v>1</v>
      </c>
      <c r="AO29" s="10">
        <f t="shared" si="4"/>
        <v>0</v>
      </c>
      <c r="AP29" s="10">
        <f t="shared" si="5"/>
        <v>0</v>
      </c>
      <c r="AU29" s="16">
        <v>6</v>
      </c>
      <c r="AV29" s="16">
        <f>X144</f>
        <v>3</v>
      </c>
      <c r="AW29" s="16">
        <f t="shared" ref="AW29:BB29" si="45">AE144</f>
        <v>-32.974538513127492</v>
      </c>
      <c r="AX29" s="16">
        <f t="shared" si="45"/>
        <v>-33.87453851312749</v>
      </c>
      <c r="AY29" s="16">
        <f t="shared" si="45"/>
        <v>-4.3211942314098879</v>
      </c>
      <c r="AZ29" s="16">
        <f t="shared" si="45"/>
        <v>-14.021613405363379</v>
      </c>
      <c r="BA29" s="16">
        <f t="shared" si="45"/>
        <v>6.9432744267455462</v>
      </c>
      <c r="BB29" s="16">
        <f t="shared" si="45"/>
        <v>37.989743302096969</v>
      </c>
      <c r="BG29" s="10">
        <f t="shared" si="7"/>
        <v>6</v>
      </c>
      <c r="BH29">
        <v>-0.64329015003750101</v>
      </c>
      <c r="BI29">
        <v>-0.41236148717871401</v>
      </c>
      <c r="BJ29">
        <v>-0.56254066294059157</v>
      </c>
      <c r="BK29">
        <v>-2.1430969354696572</v>
      </c>
      <c r="BL29">
        <v>-0.74432591645745561</v>
      </c>
      <c r="BM29">
        <v>0.98837244788964507</v>
      </c>
      <c r="BP29" s="16">
        <f>1</f>
        <v>1</v>
      </c>
      <c r="BQ29" s="14">
        <f t="shared" si="8"/>
        <v>5.5015730317943703</v>
      </c>
      <c r="BR29" s="14">
        <f t="shared" si="9"/>
        <v>8.6646896751998312</v>
      </c>
      <c r="BS29" s="14">
        <f t="shared" si="10"/>
        <v>1.7670513421758112</v>
      </c>
      <c r="BT29" s="14">
        <f t="shared" si="11"/>
        <v>5.5102412158564489</v>
      </c>
      <c r="BU29" s="14">
        <f t="shared" si="12"/>
        <v>1.4646898778390514</v>
      </c>
      <c r="BV29" s="16">
        <f t="shared" si="13"/>
        <v>-1</v>
      </c>
      <c r="BX29" s="10">
        <f t="shared" si="14"/>
        <v>-175.94799755219694</v>
      </c>
      <c r="BY29" s="10">
        <f t="shared" si="15"/>
        <v>-1</v>
      </c>
      <c r="BZ29" s="10">
        <f t="shared" si="2"/>
        <v>0</v>
      </c>
      <c r="CA29" s="10">
        <f t="shared" si="16"/>
        <v>0</v>
      </c>
    </row>
    <row r="30" spans="1:80" x14ac:dyDescent="0.25">
      <c r="B30" s="10">
        <f t="shared" si="17"/>
        <v>6</v>
      </c>
      <c r="C30">
        <v>1.3963722267362755</v>
      </c>
      <c r="D30">
        <v>-1.0138001016457565</v>
      </c>
      <c r="E30">
        <v>-1.0506823855394032</v>
      </c>
      <c r="F30">
        <v>-4.9476511776447296E-2</v>
      </c>
      <c r="G30">
        <v>0.92260734163573943</v>
      </c>
      <c r="H30">
        <v>0.1174962614825892</v>
      </c>
      <c r="K30" s="10">
        <f>1</f>
        <v>1</v>
      </c>
      <c r="L30" s="10">
        <f t="shared" si="18"/>
        <v>7.4413644351712342</v>
      </c>
      <c r="M30" s="10">
        <f t="shared" si="19"/>
        <v>8.7274811153209377</v>
      </c>
      <c r="N30" s="10">
        <f t="shared" si="20"/>
        <v>-0.74872599072775059</v>
      </c>
      <c r="O30" s="10">
        <f t="shared" si="21"/>
        <v>11.294893535815248</v>
      </c>
      <c r="P30" s="10">
        <f t="shared" si="22"/>
        <v>9.4716821173681005</v>
      </c>
      <c r="Q30" s="10">
        <f t="shared" si="23"/>
        <v>1</v>
      </c>
      <c r="S30" s="10">
        <f t="shared" si="24"/>
        <v>263.97120098969958</v>
      </c>
      <c r="T30" s="10">
        <f t="shared" si="25"/>
        <v>1</v>
      </c>
      <c r="U30" s="10">
        <f t="shared" si="26"/>
        <v>0</v>
      </c>
      <c r="V30" s="10">
        <f t="shared" si="27"/>
        <v>0</v>
      </c>
      <c r="Y30" s="10">
        <f t="shared" si="28"/>
        <v>0</v>
      </c>
      <c r="Z30" s="10">
        <f t="shared" si="29"/>
        <v>0</v>
      </c>
      <c r="AA30" s="10">
        <f t="shared" si="30"/>
        <v>0</v>
      </c>
      <c r="AB30" s="10">
        <f t="shared" si="31"/>
        <v>0</v>
      </c>
      <c r="AC30" s="10">
        <f t="shared" si="32"/>
        <v>0</v>
      </c>
      <c r="AD30" s="10">
        <f t="shared" si="33"/>
        <v>0</v>
      </c>
      <c r="AE30" s="10">
        <f t="shared" si="34"/>
        <v>1.4206997409688373</v>
      </c>
      <c r="AF30" s="10">
        <f t="shared" si="35"/>
        <v>0.52069974096883698</v>
      </c>
      <c r="AG30" s="10">
        <f t="shared" si="36"/>
        <v>4.7263177454777754</v>
      </c>
      <c r="AH30" s="10">
        <f t="shared" si="37"/>
        <v>-7.0074908134062195</v>
      </c>
      <c r="AI30" s="10">
        <f t="shared" si="38"/>
        <v>6.1888338071700142</v>
      </c>
      <c r="AJ30" s="10">
        <f t="shared" si="42"/>
        <v>15.021410623642325</v>
      </c>
      <c r="AK30" s="10">
        <f t="shared" si="39"/>
        <v>1</v>
      </c>
      <c r="AL30" s="10">
        <f t="shared" si="40"/>
        <v>0</v>
      </c>
      <c r="AN30" s="10">
        <f t="shared" si="3"/>
        <v>-1</v>
      </c>
      <c r="AO30" s="10">
        <f t="shared" si="4"/>
        <v>0</v>
      </c>
      <c r="AP30" s="10">
        <f t="shared" si="5"/>
        <v>0</v>
      </c>
      <c r="AU30" s="16">
        <v>7</v>
      </c>
      <c r="AV30" s="16">
        <f>X164</f>
        <v>2</v>
      </c>
      <c r="AW30" s="16">
        <f t="shared" ref="AW30:BB30" si="46">AE164</f>
        <v>-36.708241470714505</v>
      </c>
      <c r="AX30" s="16">
        <f t="shared" si="46"/>
        <v>-37.608241470714503</v>
      </c>
      <c r="AY30" s="16">
        <f t="shared" si="46"/>
        <v>-3.1076165830993174</v>
      </c>
      <c r="AZ30" s="16">
        <f t="shared" si="46"/>
        <v>-12.327870393676504</v>
      </c>
      <c r="BA30" s="16">
        <f t="shared" si="46"/>
        <v>6.9640817044301606</v>
      </c>
      <c r="BB30" s="16">
        <f t="shared" si="46"/>
        <v>38.783121034917976</v>
      </c>
      <c r="BG30" s="10">
        <f t="shared" si="7"/>
        <v>7</v>
      </c>
      <c r="BH30">
        <v>0.16409558156738058</v>
      </c>
      <c r="BI30">
        <v>0.2892068096116418</v>
      </c>
      <c r="BJ30">
        <v>1.0403755368315615</v>
      </c>
      <c r="BK30">
        <v>0.87955413619056344</v>
      </c>
      <c r="BL30">
        <v>1.747748683555983</v>
      </c>
      <c r="BM30">
        <v>0.41950743125705742</v>
      </c>
      <c r="BP30" s="16">
        <f>1</f>
        <v>1</v>
      </c>
      <c r="BQ30" s="14">
        <f t="shared" si="8"/>
        <v>4.5946086989320358</v>
      </c>
      <c r="BR30" s="14">
        <f t="shared" si="9"/>
        <v>11.737635055609987</v>
      </c>
      <c r="BS30" s="14">
        <f t="shared" si="10"/>
        <v>4.0819515674776055</v>
      </c>
      <c r="BT30" s="14">
        <f t="shared" si="11"/>
        <v>13.441102616877256</v>
      </c>
      <c r="BU30" s="14">
        <f t="shared" si="12"/>
        <v>11.377890319502464</v>
      </c>
      <c r="BV30" s="16">
        <f t="shared" si="13"/>
        <v>1</v>
      </c>
      <c r="BX30" s="10">
        <f t="shared" si="14"/>
        <v>246.95053106502394</v>
      </c>
      <c r="BY30" s="10">
        <f t="shared" si="15"/>
        <v>1</v>
      </c>
      <c r="BZ30" s="10">
        <f t="shared" si="2"/>
        <v>0</v>
      </c>
      <c r="CA30" s="10">
        <f t="shared" si="16"/>
        <v>0</v>
      </c>
    </row>
    <row r="31" spans="1:80" x14ac:dyDescent="0.25">
      <c r="B31" s="10">
        <f t="shared" si="17"/>
        <v>7</v>
      </c>
      <c r="C31">
        <v>-6.3421339291380718E-2</v>
      </c>
      <c r="D31">
        <v>1.124044501921162</v>
      </c>
      <c r="E31">
        <v>1.8348328012507409</v>
      </c>
      <c r="F31">
        <v>-0.50615085456229281</v>
      </c>
      <c r="G31">
        <v>-8.7741227616788819E-2</v>
      </c>
      <c r="H31">
        <v>0.60655537583544417</v>
      </c>
      <c r="K31" s="10">
        <f>1</f>
        <v>1</v>
      </c>
      <c r="L31" s="10">
        <f t="shared" si="18"/>
        <v>6.4660626113858592</v>
      </c>
      <c r="M31" s="10">
        <f t="shared" si="19"/>
        <v>11.220177294204694</v>
      </c>
      <c r="N31" s="10">
        <f t="shared" si="20"/>
        <v>5.7545769371918887</v>
      </c>
      <c r="O31" s="10">
        <f t="shared" si="21"/>
        <v>8.2329560922727296</v>
      </c>
      <c r="P31" s="10">
        <f t="shared" si="22"/>
        <v>2.5567801554508311</v>
      </c>
      <c r="Q31" s="10">
        <f t="shared" si="23"/>
        <v>-1</v>
      </c>
      <c r="S31" s="10">
        <f t="shared" si="24"/>
        <v>106.85139648461151</v>
      </c>
      <c r="T31" s="10">
        <f t="shared" si="25"/>
        <v>1</v>
      </c>
      <c r="U31" s="10">
        <f t="shared" si="26"/>
        <v>-1</v>
      </c>
      <c r="V31" s="10">
        <f t="shared" si="27"/>
        <v>1</v>
      </c>
      <c r="Y31" s="10">
        <f t="shared" si="28"/>
        <v>-0.8947752311777093</v>
      </c>
      <c r="Z31" s="10">
        <f t="shared" si="29"/>
        <v>-5.7856726679123245</v>
      </c>
      <c r="AA31" s="10">
        <f t="shared" si="30"/>
        <v>-10.03953673227689</v>
      </c>
      <c r="AB31" s="10">
        <f t="shared" si="31"/>
        <v>-5.1490529093057864</v>
      </c>
      <c r="AC31" s="10">
        <f t="shared" si="32"/>
        <v>-7.3666451907392618</v>
      </c>
      <c r="AD31" s="10">
        <f t="shared" si="33"/>
        <v>-2.2877435546640967</v>
      </c>
      <c r="AE31" s="10">
        <f t="shared" si="34"/>
        <v>-4.3649729269434872</v>
      </c>
      <c r="AF31" s="10">
        <f t="shared" si="35"/>
        <v>-5.2649729269434875</v>
      </c>
      <c r="AG31" s="10">
        <f t="shared" si="36"/>
        <v>-5.3132189867991144</v>
      </c>
      <c r="AH31" s="10">
        <f t="shared" si="37"/>
        <v>-12.156543722712005</v>
      </c>
      <c r="AI31" s="10">
        <f t="shared" si="38"/>
        <v>-1.1778113835692476</v>
      </c>
      <c r="AJ31" s="10">
        <f t="shared" si="42"/>
        <v>15.021410623642325</v>
      </c>
      <c r="AK31" s="10">
        <f t="shared" si="39"/>
        <v>-1</v>
      </c>
      <c r="AL31" s="10">
        <f t="shared" si="40"/>
        <v>0</v>
      </c>
      <c r="AN31" s="10">
        <f t="shared" si="3"/>
        <v>1</v>
      </c>
      <c r="AO31" s="10">
        <f t="shared" si="4"/>
        <v>-1</v>
      </c>
      <c r="AP31" s="10">
        <f t="shared" si="5"/>
        <v>1</v>
      </c>
      <c r="AU31" s="16">
        <v>8</v>
      </c>
      <c r="AV31" s="16">
        <f>X184</f>
        <v>0</v>
      </c>
      <c r="AW31" s="16">
        <f t="shared" ref="AW31:BB31" si="47">AE184</f>
        <v>-36.708241470714505</v>
      </c>
      <c r="AX31" s="16">
        <f t="shared" si="47"/>
        <v>-37.608241470714503</v>
      </c>
      <c r="AY31" s="16">
        <f t="shared" si="47"/>
        <v>-3.1076165830993174</v>
      </c>
      <c r="AZ31" s="16">
        <f t="shared" si="47"/>
        <v>-12.327870393676504</v>
      </c>
      <c r="BA31" s="16">
        <f t="shared" si="47"/>
        <v>6.9640817044301606</v>
      </c>
      <c r="BB31" s="16">
        <f t="shared" si="47"/>
        <v>38.783121034917976</v>
      </c>
      <c r="BG31" s="10">
        <f t="shared" si="7"/>
        <v>8</v>
      </c>
      <c r="BH31">
        <v>0.86545014710281976</v>
      </c>
      <c r="BI31">
        <v>0.66308075474807993</v>
      </c>
      <c r="BJ31">
        <v>1.2363852874841541</v>
      </c>
      <c r="BK31">
        <v>1.01086243375903</v>
      </c>
      <c r="BL31">
        <v>-6.6181655711261556E-2</v>
      </c>
      <c r="BM31">
        <v>0.2708517715994751</v>
      </c>
      <c r="BP31" s="16">
        <f>1</f>
        <v>1</v>
      </c>
      <c r="BQ31" s="14">
        <f t="shared" si="8"/>
        <v>6.2148496897867416</v>
      </c>
      <c r="BR31" s="14">
        <f t="shared" si="9"/>
        <v>12.60134354357022</v>
      </c>
      <c r="BS31" s="14">
        <f t="shared" si="10"/>
        <v>4.5347653769551082</v>
      </c>
      <c r="BT31" s="14">
        <f t="shared" si="11"/>
        <v>13.744445742614742</v>
      </c>
      <c r="BU31" s="14">
        <f t="shared" si="12"/>
        <v>7.1874217111003338</v>
      </c>
      <c r="BV31" s="16">
        <f t="shared" si="13"/>
        <v>1</v>
      </c>
      <c r="BX31" s="10">
        <f t="shared" si="14"/>
        <v>-0.46610571515697075</v>
      </c>
      <c r="BY31" s="10">
        <f t="shared" si="15"/>
        <v>-1</v>
      </c>
      <c r="BZ31" s="10">
        <f t="shared" si="2"/>
        <v>-1</v>
      </c>
      <c r="CA31" s="10">
        <f t="shared" si="16"/>
        <v>1</v>
      </c>
    </row>
    <row r="32" spans="1:80" x14ac:dyDescent="0.25">
      <c r="B32" s="10">
        <f t="shared" si="17"/>
        <v>8</v>
      </c>
      <c r="C32">
        <v>0.64555024437140673</v>
      </c>
      <c r="D32">
        <v>-0.5103288458485622</v>
      </c>
      <c r="E32">
        <v>-3.1472882255911827</v>
      </c>
      <c r="F32">
        <v>0.15425712263095193</v>
      </c>
      <c r="G32">
        <v>2.4689870770089328</v>
      </c>
      <c r="H32">
        <v>0.95117038483840444</v>
      </c>
      <c r="K32" s="10">
        <f>1</f>
        <v>1</v>
      </c>
      <c r="L32" s="10">
        <f t="shared" si="18"/>
        <v>7.6452874498271441</v>
      </c>
      <c r="M32" s="10">
        <f t="shared" si="19"/>
        <v>8.501741617249289</v>
      </c>
      <c r="N32" s="10">
        <f t="shared" si="20"/>
        <v>-2.5321315830849658</v>
      </c>
      <c r="O32" s="10">
        <f t="shared" si="21"/>
        <v>9.3314056044346305</v>
      </c>
      <c r="P32" s="10">
        <f t="shared" si="22"/>
        <v>6.8093589490665556</v>
      </c>
      <c r="Q32" s="10">
        <f t="shared" si="23"/>
        <v>-1</v>
      </c>
      <c r="S32" s="10">
        <f t="shared" si="24"/>
        <v>32.288690062916331</v>
      </c>
      <c r="T32" s="10">
        <f t="shared" si="25"/>
        <v>1</v>
      </c>
      <c r="U32" s="10">
        <f t="shared" si="26"/>
        <v>-1</v>
      </c>
      <c r="V32" s="10">
        <f t="shared" si="27"/>
        <v>1</v>
      </c>
      <c r="Y32" s="10">
        <f t="shared" si="28"/>
        <v>-0.8947752311777093</v>
      </c>
      <c r="Z32" s="10">
        <f t="shared" si="29"/>
        <v>-6.8408138453391221</v>
      </c>
      <c r="AA32" s="10">
        <f t="shared" si="30"/>
        <v>-7.6071478209873851</v>
      </c>
      <c r="AB32" s="10">
        <f t="shared" si="31"/>
        <v>2.2656886226272293</v>
      </c>
      <c r="AC32" s="10">
        <f t="shared" si="32"/>
        <v>-8.349510606920969</v>
      </c>
      <c r="AD32" s="10">
        <f t="shared" si="33"/>
        <v>-6.0928457278230308</v>
      </c>
      <c r="AE32" s="10">
        <f t="shared" si="34"/>
        <v>-11.205786772282609</v>
      </c>
      <c r="AF32" s="10">
        <f t="shared" si="35"/>
        <v>-12.10578677228261</v>
      </c>
      <c r="AG32" s="10">
        <f t="shared" si="36"/>
        <v>-12.9203668077865</v>
      </c>
      <c r="AH32" s="10">
        <f t="shared" si="37"/>
        <v>-9.8908551000847762</v>
      </c>
      <c r="AI32" s="10">
        <f t="shared" si="38"/>
        <v>-9.5273219904902167</v>
      </c>
      <c r="AJ32" s="10">
        <f t="shared" si="42"/>
        <v>12.733667068978228</v>
      </c>
      <c r="AK32" s="10">
        <f t="shared" si="39"/>
        <v>1</v>
      </c>
      <c r="AL32" s="10">
        <f t="shared" si="40"/>
        <v>1</v>
      </c>
      <c r="AN32" s="10">
        <f t="shared" si="3"/>
        <v>-1</v>
      </c>
      <c r="AO32" s="10">
        <f t="shared" si="4"/>
        <v>0</v>
      </c>
      <c r="AP32" s="10">
        <f t="shared" si="5"/>
        <v>0</v>
      </c>
      <c r="AU32" s="16">
        <v>9</v>
      </c>
      <c r="AV32" s="16">
        <f>X204</f>
        <v>5</v>
      </c>
      <c r="AW32" s="16">
        <f t="shared" ref="AW32:BB32" si="48">AE204</f>
        <v>-33.074504361024509</v>
      </c>
      <c r="AX32" s="16">
        <f t="shared" si="48"/>
        <v>-33.974504361024508</v>
      </c>
      <c r="AY32" s="16">
        <f t="shared" si="48"/>
        <v>10.300125424753556</v>
      </c>
      <c r="AZ32" s="16">
        <f t="shared" si="48"/>
        <v>-13.946620646004078</v>
      </c>
      <c r="BA32" s="16">
        <f t="shared" si="48"/>
        <v>13.947503293353527</v>
      </c>
      <c r="BB32" s="16">
        <f t="shared" si="48"/>
        <v>39.947071103541937</v>
      </c>
      <c r="BG32" s="10">
        <f t="shared" si="7"/>
        <v>9</v>
      </c>
      <c r="BH32">
        <v>0.44270564103499055</v>
      </c>
      <c r="BI32">
        <v>0.48564857024757657</v>
      </c>
      <c r="BJ32">
        <v>0.57567149269743823</v>
      </c>
      <c r="BK32">
        <v>-0.86979753177729435</v>
      </c>
      <c r="BL32">
        <v>-0.98307282314635813</v>
      </c>
      <c r="BM32">
        <v>0.35010834070863978</v>
      </c>
      <c r="BP32" s="16">
        <f>1</f>
        <v>1</v>
      </c>
      <c r="BQ32" s="14">
        <f t="shared" si="8"/>
        <v>5.2382424057565746</v>
      </c>
      <c r="BR32" s="14">
        <f t="shared" si="9"/>
        <v>12.191446877102901</v>
      </c>
      <c r="BS32" s="14">
        <f t="shared" si="10"/>
        <v>3.0084110532767108</v>
      </c>
      <c r="BT32" s="14">
        <f t="shared" si="11"/>
        <v>9.3998210466949708</v>
      </c>
      <c r="BU32" s="14">
        <f t="shared" si="12"/>
        <v>5.0692567676714422</v>
      </c>
      <c r="BV32" s="16">
        <f t="shared" si="13"/>
        <v>1</v>
      </c>
      <c r="BX32" s="10">
        <f t="shared" si="14"/>
        <v>-24.998547054638721</v>
      </c>
      <c r="BY32" s="10">
        <f t="shared" si="15"/>
        <v>-1</v>
      </c>
      <c r="BZ32" s="10">
        <f t="shared" si="2"/>
        <v>-1</v>
      </c>
      <c r="CA32" s="10">
        <f t="shared" si="16"/>
        <v>1</v>
      </c>
    </row>
    <row r="33" spans="2:79" x14ac:dyDescent="0.25">
      <c r="B33" s="10">
        <f t="shared" si="17"/>
        <v>9</v>
      </c>
      <c r="C33">
        <v>0.47714479478599969</v>
      </c>
      <c r="D33">
        <v>-0.92319169198162854</v>
      </c>
      <c r="E33">
        <v>1.4770876077818684</v>
      </c>
      <c r="F33">
        <v>0.44625153350352775</v>
      </c>
      <c r="G33">
        <v>0.95505583885824308</v>
      </c>
      <c r="H33">
        <v>0.69066438795129248</v>
      </c>
      <c r="K33" s="10">
        <f>1</f>
        <v>1</v>
      </c>
      <c r="L33" s="10">
        <f t="shared" si="18"/>
        <v>7.3651804700043266</v>
      </c>
      <c r="M33" s="10">
        <f t="shared" si="19"/>
        <v>7.8150312691216541</v>
      </c>
      <c r="N33" s="10">
        <f t="shared" si="20"/>
        <v>5.1595431901522755</v>
      </c>
      <c r="O33" s="10">
        <f t="shared" si="21"/>
        <v>9.8170767793046601</v>
      </c>
      <c r="P33" s="10">
        <f t="shared" si="22"/>
        <v>4.2912533424974235</v>
      </c>
      <c r="Q33" s="10">
        <f t="shared" si="23"/>
        <v>-1</v>
      </c>
      <c r="S33" s="10">
        <f t="shared" si="24"/>
        <v>-291.25951587913147</v>
      </c>
      <c r="T33" s="10">
        <f t="shared" si="25"/>
        <v>-1</v>
      </c>
      <c r="U33" s="10">
        <f t="shared" si="26"/>
        <v>0</v>
      </c>
      <c r="V33" s="10">
        <f t="shared" si="27"/>
        <v>0</v>
      </c>
      <c r="Y33" s="10">
        <f t="shared" si="28"/>
        <v>0</v>
      </c>
      <c r="Z33" s="10">
        <f t="shared" si="29"/>
        <v>0</v>
      </c>
      <c r="AA33" s="10">
        <f t="shared" si="30"/>
        <v>0</v>
      </c>
      <c r="AB33" s="10">
        <f t="shared" si="31"/>
        <v>0</v>
      </c>
      <c r="AC33" s="10">
        <f t="shared" si="32"/>
        <v>0</v>
      </c>
      <c r="AD33" s="10">
        <f t="shared" si="33"/>
        <v>0</v>
      </c>
      <c r="AE33" s="10">
        <f t="shared" si="34"/>
        <v>-11.205786772282609</v>
      </c>
      <c r="AF33" s="10">
        <f t="shared" si="35"/>
        <v>-12.10578677228261</v>
      </c>
      <c r="AG33" s="10">
        <f t="shared" si="36"/>
        <v>-12.9203668077865</v>
      </c>
      <c r="AH33" s="10">
        <f t="shared" si="37"/>
        <v>-9.8908551000847762</v>
      </c>
      <c r="AI33" s="10">
        <f t="shared" si="38"/>
        <v>-9.5273219904902167</v>
      </c>
      <c r="AJ33" s="10">
        <f t="shared" si="42"/>
        <v>6.6408213411551973</v>
      </c>
      <c r="AK33" s="10">
        <f t="shared" si="39"/>
        <v>-1</v>
      </c>
      <c r="AL33" s="10">
        <f t="shared" si="40"/>
        <v>0</v>
      </c>
      <c r="AN33" s="10">
        <f t="shared" si="3"/>
        <v>1</v>
      </c>
      <c r="AO33" s="10">
        <f t="shared" si="4"/>
        <v>0</v>
      </c>
      <c r="AP33" s="10">
        <f t="shared" si="5"/>
        <v>0</v>
      </c>
      <c r="AU33" s="16" t="s">
        <v>82</v>
      </c>
      <c r="AV33" s="16">
        <f>X224</f>
        <v>3</v>
      </c>
      <c r="AW33" s="16">
        <f t="shared" ref="AW33:BB33" si="49">AE224</f>
        <v>-34.450337120847443</v>
      </c>
      <c r="AX33" s="16">
        <f t="shared" si="49"/>
        <v>-35.350337120847435</v>
      </c>
      <c r="AY33" s="16">
        <f t="shared" si="49"/>
        <v>3.5739311772021196</v>
      </c>
      <c r="AZ33" s="16">
        <f t="shared" si="49"/>
        <v>-16.988871170549164</v>
      </c>
      <c r="BA33" s="16">
        <f t="shared" si="49"/>
        <v>-2.2811773369307797</v>
      </c>
      <c r="BB33" s="16">
        <f t="shared" si="49"/>
        <v>44.110253187856188</v>
      </c>
      <c r="BG33" s="10">
        <f t="shared" si="7"/>
        <v>10</v>
      </c>
      <c r="BH33">
        <v>-0.61189894040580839</v>
      </c>
      <c r="BI33">
        <v>0.77919366958667524</v>
      </c>
      <c r="BJ33">
        <v>0.1701471319393022</v>
      </c>
      <c r="BK33">
        <v>-0.58963223636965267</v>
      </c>
      <c r="BL33">
        <v>-0.35634911910165101</v>
      </c>
      <c r="BM33">
        <v>0.50877407147434917</v>
      </c>
      <c r="BP33" s="16">
        <f>1</f>
        <v>1</v>
      </c>
      <c r="BQ33" s="14">
        <f t="shared" si="8"/>
        <v>5.5537856944164261</v>
      </c>
      <c r="BR33" s="14">
        <f t="shared" si="9"/>
        <v>10.646590599876196</v>
      </c>
      <c r="BS33" s="14">
        <f t="shared" si="10"/>
        <v>2.9857231006141514</v>
      </c>
      <c r="BT33" s="14">
        <f t="shared" si="11"/>
        <v>8.0941024044196173</v>
      </c>
      <c r="BU33" s="14">
        <f t="shared" si="12"/>
        <v>2.110007527690692</v>
      </c>
      <c r="BV33" s="16">
        <f t="shared" si="13"/>
        <v>-1</v>
      </c>
      <c r="BX33" s="10">
        <f t="shared" si="14"/>
        <v>-168.84353343990978</v>
      </c>
      <c r="BY33" s="10">
        <f t="shared" si="15"/>
        <v>-1</v>
      </c>
      <c r="BZ33" s="10">
        <f t="shared" si="2"/>
        <v>0</v>
      </c>
      <c r="CA33" s="10">
        <f t="shared" si="16"/>
        <v>0</v>
      </c>
    </row>
    <row r="34" spans="2:79" x14ac:dyDescent="0.25">
      <c r="B34" s="10">
        <f t="shared" si="17"/>
        <v>10</v>
      </c>
      <c r="C34">
        <v>0.15681280274293385</v>
      </c>
      <c r="D34">
        <v>-0.94652250481885858</v>
      </c>
      <c r="E34">
        <v>-1.0145663509320002</v>
      </c>
      <c r="F34">
        <v>0.1992509623960359</v>
      </c>
      <c r="G34">
        <v>-0.65253857428615447</v>
      </c>
      <c r="H34">
        <v>2.673421430097354E-2</v>
      </c>
      <c r="K34" s="10">
        <f>1</f>
        <v>1</v>
      </c>
      <c r="L34" s="10">
        <f t="shared" si="18"/>
        <v>4.5777843174300932</v>
      </c>
      <c r="M34" s="10">
        <f t="shared" si="19"/>
        <v>8.882903102289708</v>
      </c>
      <c r="N34" s="10">
        <f t="shared" si="20"/>
        <v>-0.66529218623919228</v>
      </c>
      <c r="O34" s="10">
        <f t="shared" si="21"/>
        <v>11.869493700994681</v>
      </c>
      <c r="P34" s="10">
        <f t="shared" si="22"/>
        <v>5.8328436397064412</v>
      </c>
      <c r="Q34" s="10">
        <f t="shared" si="23"/>
        <v>1</v>
      </c>
      <c r="S34" s="10">
        <f t="shared" si="24"/>
        <v>-249.16314122617564</v>
      </c>
      <c r="T34" s="10">
        <f t="shared" si="25"/>
        <v>-1</v>
      </c>
      <c r="U34" s="10">
        <f t="shared" si="26"/>
        <v>1</v>
      </c>
      <c r="V34" s="10">
        <f t="shared" si="27"/>
        <v>1</v>
      </c>
      <c r="Y34" s="10">
        <f t="shared" si="28"/>
        <v>0.8947752311777093</v>
      </c>
      <c r="Z34" s="10">
        <f t="shared" si="29"/>
        <v>4.0960880209102042</v>
      </c>
      <c r="AA34" s="10">
        <f t="shared" si="30"/>
        <v>7.9482016768804646</v>
      </c>
      <c r="AB34" s="10">
        <f t="shared" si="31"/>
        <v>-0.59528696974289685</v>
      </c>
      <c r="AC34" s="10">
        <f t="shared" si="32"/>
        <v>10.620528970269881</v>
      </c>
      <c r="AD34" s="10">
        <f t="shared" si="33"/>
        <v>5.2190840161417622</v>
      </c>
      <c r="AE34" s="10">
        <f t="shared" si="34"/>
        <v>-7.109698751372405</v>
      </c>
      <c r="AF34" s="10">
        <f t="shared" si="35"/>
        <v>-8.0096987513724045</v>
      </c>
      <c r="AG34" s="10">
        <f t="shared" si="36"/>
        <v>-4.9721651309060357</v>
      </c>
      <c r="AH34" s="10">
        <f t="shared" si="37"/>
        <v>-10.486142069827673</v>
      </c>
      <c r="AI34" s="10">
        <f t="shared" si="38"/>
        <v>1.093206979779664</v>
      </c>
      <c r="AJ34" s="10">
        <f t="shared" si="42"/>
        <v>6.6408213411551973</v>
      </c>
      <c r="AK34" s="10">
        <f t="shared" si="39"/>
        <v>1</v>
      </c>
      <c r="AL34" s="10">
        <f t="shared" si="40"/>
        <v>0</v>
      </c>
      <c r="AN34" s="10">
        <f t="shared" si="3"/>
        <v>1</v>
      </c>
      <c r="AO34" s="10">
        <f t="shared" si="4"/>
        <v>0</v>
      </c>
      <c r="AP34" s="10">
        <f t="shared" si="5"/>
        <v>0</v>
      </c>
      <c r="BG34" s="10">
        <f t="shared" si="7"/>
        <v>11</v>
      </c>
      <c r="BH34">
        <v>0.61328250922088046</v>
      </c>
      <c r="BI34">
        <v>-2.8499016480054706E-2</v>
      </c>
      <c r="BJ34">
        <v>1.6171861716429703</v>
      </c>
      <c r="BK34">
        <v>1.1250517673033755</v>
      </c>
      <c r="BL34">
        <v>-0.80833615356823429</v>
      </c>
      <c r="BM34">
        <v>0.45442060609759821</v>
      </c>
      <c r="BP34" s="16">
        <f>1</f>
        <v>1</v>
      </c>
      <c r="BQ34" s="14">
        <f t="shared" si="8"/>
        <v>5.6323021973477276</v>
      </c>
      <c r="BR34" s="14">
        <f t="shared" si="9"/>
        <v>11.003683887737946</v>
      </c>
      <c r="BS34" s="14">
        <f t="shared" si="10"/>
        <v>5.4144761996782718</v>
      </c>
      <c r="BT34" s="14">
        <f t="shared" si="11"/>
        <v>14.008241329067769</v>
      </c>
      <c r="BU34" s="14">
        <f t="shared" si="12"/>
        <v>5.4729263644320616</v>
      </c>
      <c r="BV34" s="16">
        <f t="shared" si="13"/>
        <v>1</v>
      </c>
      <c r="BX34" s="10">
        <f t="shared" si="14"/>
        <v>-76.756663301989875</v>
      </c>
      <c r="BY34" s="10">
        <f t="shared" si="15"/>
        <v>-1</v>
      </c>
      <c r="BZ34" s="10">
        <f t="shared" si="2"/>
        <v>-1</v>
      </c>
      <c r="CA34" s="10">
        <f t="shared" si="16"/>
        <v>1</v>
      </c>
    </row>
    <row r="35" spans="2:79" x14ac:dyDescent="0.25">
      <c r="B35" s="10">
        <f t="shared" si="17"/>
        <v>11</v>
      </c>
      <c r="C35">
        <v>0.42614374251570553</v>
      </c>
      <c r="D35">
        <v>0.65272843130514957</v>
      </c>
      <c r="E35">
        <v>-0.77888216765131801</v>
      </c>
      <c r="F35">
        <v>-0.46372861106647179</v>
      </c>
      <c r="G35">
        <v>1.735888872644864</v>
      </c>
      <c r="H35">
        <v>0.23096407971434676</v>
      </c>
      <c r="K35" s="10">
        <f>1</f>
        <v>1</v>
      </c>
      <c r="L35" s="10">
        <f t="shared" si="18"/>
        <v>5.1999817767025167</v>
      </c>
      <c r="M35" s="10">
        <f t="shared" si="19"/>
        <v>12.577428024064025</v>
      </c>
      <c r="N35" s="10">
        <f t="shared" si="20"/>
        <v>-0.12082410488301698</v>
      </c>
      <c r="O35" s="10">
        <f t="shared" si="21"/>
        <v>10.337905066930182</v>
      </c>
      <c r="P35" s="10">
        <f t="shared" si="22"/>
        <v>11.350492263331958</v>
      </c>
      <c r="Q35" s="10">
        <f t="shared" si="23"/>
        <v>1</v>
      </c>
      <c r="S35" s="10">
        <f t="shared" si="24"/>
        <v>-23.351995393434848</v>
      </c>
      <c r="T35" s="10">
        <f t="shared" si="25"/>
        <v>-1</v>
      </c>
      <c r="U35" s="10">
        <f t="shared" si="26"/>
        <v>1</v>
      </c>
      <c r="V35" s="10">
        <f t="shared" si="27"/>
        <v>1</v>
      </c>
      <c r="Y35" s="10">
        <f t="shared" si="28"/>
        <v>0.8947752311777093</v>
      </c>
      <c r="Z35" s="10">
        <f t="shared" si="29"/>
        <v>4.65281489636887</v>
      </c>
      <c r="AA35" s="10">
        <f t="shared" si="30"/>
        <v>11.253971067852888</v>
      </c>
      <c r="AB35" s="10">
        <f t="shared" si="31"/>
        <v>-0.10811041637854131</v>
      </c>
      <c r="AC35" s="10">
        <f t="shared" si="32"/>
        <v>9.2501013961556655</v>
      </c>
      <c r="AD35" s="10">
        <f t="shared" si="33"/>
        <v>10.156139338903653</v>
      </c>
      <c r="AE35" s="10">
        <f t="shared" si="34"/>
        <v>-2.456883855003535</v>
      </c>
      <c r="AF35" s="10">
        <f t="shared" si="35"/>
        <v>-3.3568838550035345</v>
      </c>
      <c r="AG35" s="10">
        <f t="shared" si="36"/>
        <v>6.281805936946852</v>
      </c>
      <c r="AH35" s="10">
        <f t="shared" si="37"/>
        <v>-10.594252486206214</v>
      </c>
      <c r="AI35" s="10">
        <f t="shared" si="38"/>
        <v>10.343308375935329</v>
      </c>
      <c r="AJ35" s="10">
        <f t="shared" si="42"/>
        <v>11.859905357296959</v>
      </c>
      <c r="AK35" s="10">
        <f t="shared" si="39"/>
        <v>1</v>
      </c>
      <c r="AL35" s="10">
        <f t="shared" si="40"/>
        <v>0</v>
      </c>
      <c r="AN35" s="10">
        <f t="shared" si="3"/>
        <v>1</v>
      </c>
      <c r="AO35" s="10">
        <f t="shared" si="4"/>
        <v>-1</v>
      </c>
      <c r="AP35" s="10">
        <f t="shared" si="5"/>
        <v>1</v>
      </c>
      <c r="BG35" s="10">
        <f t="shared" si="7"/>
        <v>12</v>
      </c>
      <c r="BH35">
        <v>-0.35129914977005683</v>
      </c>
      <c r="BI35">
        <v>-0.25680833459773567</v>
      </c>
      <c r="BJ35">
        <v>-0.63064135247259401</v>
      </c>
      <c r="BK35">
        <v>1.1079328032792546</v>
      </c>
      <c r="BL35">
        <v>0.27813712222268805</v>
      </c>
      <c r="BM35">
        <v>2.0172734763634143E-2</v>
      </c>
      <c r="BP35" s="16">
        <f>1</f>
        <v>1</v>
      </c>
      <c r="BQ35" s="14">
        <f t="shared" si="8"/>
        <v>3.403964606459426</v>
      </c>
      <c r="BR35" s="14">
        <f t="shared" si="9"/>
        <v>10.476252922023841</v>
      </c>
      <c r="BS35" s="14">
        <f t="shared" si="10"/>
        <v>0.22163583916385554</v>
      </c>
      <c r="BT35" s="14">
        <f t="shared" si="11"/>
        <v>13.968693789783309</v>
      </c>
      <c r="BU35" s="14">
        <f t="shared" si="12"/>
        <v>7.9828530454692475</v>
      </c>
      <c r="BV35" s="16">
        <f t="shared" si="13"/>
        <v>1</v>
      </c>
      <c r="BX35" s="10">
        <f t="shared" si="14"/>
        <v>199.15503201064155</v>
      </c>
      <c r="BY35" s="10">
        <f t="shared" si="15"/>
        <v>1</v>
      </c>
      <c r="BZ35" s="10">
        <f t="shared" si="2"/>
        <v>0</v>
      </c>
      <c r="CA35" s="10">
        <f t="shared" si="16"/>
        <v>0</v>
      </c>
    </row>
    <row r="36" spans="2:79" x14ac:dyDescent="0.25">
      <c r="B36" s="10">
        <f t="shared" si="17"/>
        <v>12</v>
      </c>
      <c r="C36">
        <v>-1.2459713616408408</v>
      </c>
      <c r="D36">
        <v>-0.58508703659754246</v>
      </c>
      <c r="E36">
        <v>-1.8880200514104217</v>
      </c>
      <c r="F36">
        <v>-1.165435605798848</v>
      </c>
      <c r="G36">
        <v>1.1048268788727</v>
      </c>
      <c r="H36">
        <v>0.85125278481398969</v>
      </c>
      <c r="K36" s="10">
        <f>1</f>
        <v>1</v>
      </c>
      <c r="L36" s="10">
        <f t="shared" si="18"/>
        <v>4.4991398302930552</v>
      </c>
      <c r="M36" s="10">
        <f t="shared" si="19"/>
        <v>8.3773971196141641</v>
      </c>
      <c r="N36" s="10">
        <f t="shared" si="20"/>
        <v>-0.43760432208988931</v>
      </c>
      <c r="O36" s="10">
        <f t="shared" si="21"/>
        <v>7.1363748298091689</v>
      </c>
      <c r="P36" s="10">
        <f t="shared" si="22"/>
        <v>4.5403659085494859</v>
      </c>
      <c r="Q36" s="10">
        <f t="shared" si="23"/>
        <v>-1</v>
      </c>
      <c r="S36" s="10">
        <f t="shared" si="24"/>
        <v>167.36333544058525</v>
      </c>
      <c r="T36" s="10">
        <f t="shared" si="25"/>
        <v>1</v>
      </c>
      <c r="U36" s="10">
        <f t="shared" si="26"/>
        <v>-1</v>
      </c>
      <c r="V36" s="10">
        <f t="shared" si="27"/>
        <v>1</v>
      </c>
      <c r="Y36" s="10">
        <f t="shared" si="28"/>
        <v>-0.8947752311777093</v>
      </c>
      <c r="Z36" s="10">
        <f t="shared" si="29"/>
        <v>-4.0257188817513079</v>
      </c>
      <c r="AA36" s="10">
        <f t="shared" si="30"/>
        <v>-7.4958874443702399</v>
      </c>
      <c r="AB36" s="10">
        <f t="shared" si="31"/>
        <v>0.39155750846234544</v>
      </c>
      <c r="AC36" s="10">
        <f t="shared" si="32"/>
        <v>-6.385451438113285</v>
      </c>
      <c r="AD36" s="10">
        <f t="shared" si="33"/>
        <v>-4.0626069554537567</v>
      </c>
      <c r="AE36" s="10">
        <f t="shared" si="34"/>
        <v>-6.4826027367548429</v>
      </c>
      <c r="AF36" s="10">
        <f t="shared" si="35"/>
        <v>-7.3826027367548424</v>
      </c>
      <c r="AG36" s="10">
        <f t="shared" si="36"/>
        <v>-1.2140815074233879</v>
      </c>
      <c r="AH36" s="10">
        <f t="shared" si="37"/>
        <v>-10.202694977743869</v>
      </c>
      <c r="AI36" s="10">
        <f t="shared" si="38"/>
        <v>3.9578569378220445</v>
      </c>
      <c r="AJ36" s="10">
        <f t="shared" si="42"/>
        <v>22.016044696200613</v>
      </c>
      <c r="AK36" s="10">
        <f t="shared" si="39"/>
        <v>1</v>
      </c>
      <c r="AL36" s="10">
        <f t="shared" si="40"/>
        <v>1</v>
      </c>
      <c r="AN36" s="10">
        <f t="shared" si="3"/>
        <v>1</v>
      </c>
      <c r="AO36" s="10">
        <f t="shared" si="4"/>
        <v>0</v>
      </c>
      <c r="AP36" s="10">
        <f t="shared" si="5"/>
        <v>0</v>
      </c>
      <c r="BG36" s="10">
        <f t="shared" si="7"/>
        <v>13</v>
      </c>
      <c r="BH36">
        <v>0.83970462583238259</v>
      </c>
      <c r="BI36">
        <v>-0.6284949449764099</v>
      </c>
      <c r="BJ36">
        <v>-0.32070261113403831</v>
      </c>
      <c r="BK36">
        <v>-0.85305600805440918</v>
      </c>
      <c r="BL36">
        <v>0.75293201007298194</v>
      </c>
      <c r="BM36">
        <v>0.61235389263588369</v>
      </c>
      <c r="BP36" s="16">
        <f>1</f>
        <v>1</v>
      </c>
      <c r="BQ36" s="14">
        <f t="shared" si="8"/>
        <v>7.9682223521375368</v>
      </c>
      <c r="BR36" s="14">
        <f t="shared" si="9"/>
        <v>8.3051972107254457</v>
      </c>
      <c r="BS36" s="14">
        <f t="shared" si="10"/>
        <v>2.1692979824391543</v>
      </c>
      <c r="BT36" s="14">
        <f t="shared" si="11"/>
        <v>7.655952467574898</v>
      </c>
      <c r="BU36" s="14">
        <f t="shared" si="12"/>
        <v>3.9550629438455633</v>
      </c>
      <c r="BV36" s="16">
        <f t="shared" si="13"/>
        <v>-1</v>
      </c>
      <c r="BX36" s="10">
        <f t="shared" si="14"/>
        <v>-166.30716166746407</v>
      </c>
      <c r="BY36" s="10">
        <f t="shared" si="15"/>
        <v>-1</v>
      </c>
      <c r="BZ36" s="10">
        <f t="shared" si="2"/>
        <v>0</v>
      </c>
      <c r="CA36" s="10">
        <f t="shared" si="16"/>
        <v>0</v>
      </c>
    </row>
    <row r="37" spans="2:79" x14ac:dyDescent="0.25">
      <c r="B37" s="10">
        <f t="shared" si="17"/>
        <v>13</v>
      </c>
      <c r="C37">
        <v>1.4211332199920435</v>
      </c>
      <c r="D37">
        <v>-0.40662143874214962</v>
      </c>
      <c r="E37">
        <v>-0.11919837561435997</v>
      </c>
      <c r="F37">
        <v>-1.3671615306520835</v>
      </c>
      <c r="G37">
        <v>0.17970137378142681</v>
      </c>
      <c r="H37">
        <v>0.17984557634205145</v>
      </c>
      <c r="K37" s="10">
        <f>1</f>
        <v>1</v>
      </c>
      <c r="L37" s="10">
        <f t="shared" si="18"/>
        <v>7.4985662817388752</v>
      </c>
      <c r="M37" s="10">
        <f t="shared" si="19"/>
        <v>10.130160739510346</v>
      </c>
      <c r="N37" s="10">
        <f t="shared" si="20"/>
        <v>1.4031507480428416</v>
      </c>
      <c r="O37" s="10">
        <f t="shared" si="21"/>
        <v>8.2508308241288244</v>
      </c>
      <c r="P37" s="10">
        <f t="shared" si="22"/>
        <v>7.7554507550624923</v>
      </c>
      <c r="Q37" s="10">
        <f t="shared" si="23"/>
        <v>1</v>
      </c>
      <c r="S37" s="10">
        <f t="shared" si="24"/>
        <v>114.9436598815148</v>
      </c>
      <c r="T37" s="10">
        <f t="shared" si="25"/>
        <v>1</v>
      </c>
      <c r="U37" s="10">
        <f t="shared" si="26"/>
        <v>0</v>
      </c>
      <c r="V37" s="10">
        <f t="shared" si="27"/>
        <v>0</v>
      </c>
      <c r="Y37" s="10">
        <f t="shared" si="28"/>
        <v>0</v>
      </c>
      <c r="Z37" s="10">
        <f t="shared" si="29"/>
        <v>0</v>
      </c>
      <c r="AA37" s="10">
        <f t="shared" si="30"/>
        <v>0</v>
      </c>
      <c r="AB37" s="10">
        <f t="shared" si="31"/>
        <v>0</v>
      </c>
      <c r="AC37" s="10">
        <f t="shared" si="32"/>
        <v>0</v>
      </c>
      <c r="AD37" s="10">
        <f t="shared" si="33"/>
        <v>0</v>
      </c>
      <c r="AE37" s="10">
        <f t="shared" si="34"/>
        <v>-6.4826027367548429</v>
      </c>
      <c r="AF37" s="10">
        <f t="shared" si="35"/>
        <v>-7.3826027367548424</v>
      </c>
      <c r="AG37" s="10">
        <f t="shared" si="36"/>
        <v>-1.2140815074233879</v>
      </c>
      <c r="AH37" s="10">
        <f t="shared" si="37"/>
        <v>-10.202694977743869</v>
      </c>
      <c r="AI37" s="10">
        <f t="shared" si="38"/>
        <v>3.9578569378220445</v>
      </c>
      <c r="AJ37" s="10">
        <f t="shared" si="42"/>
        <v>17.953437740746857</v>
      </c>
      <c r="AK37" s="10">
        <f t="shared" si="39"/>
        <v>1</v>
      </c>
      <c r="AL37" s="10">
        <f t="shared" si="40"/>
        <v>0</v>
      </c>
      <c r="AN37" s="10">
        <f t="shared" si="3"/>
        <v>1</v>
      </c>
      <c r="AO37" s="10">
        <f t="shared" si="4"/>
        <v>0</v>
      </c>
      <c r="AP37" s="10">
        <f t="shared" si="5"/>
        <v>0</v>
      </c>
      <c r="BG37" s="10">
        <f t="shared" si="7"/>
        <v>14</v>
      </c>
      <c r="BH37">
        <v>1.3628869055537507</v>
      </c>
      <c r="BI37">
        <v>-0.36059077501704451</v>
      </c>
      <c r="BJ37">
        <v>-6.0822458181064576E-3</v>
      </c>
      <c r="BK37">
        <v>1.7331331036984921</v>
      </c>
      <c r="BL37">
        <v>0.10287976692779921</v>
      </c>
      <c r="BM37">
        <v>0.97494430372020635</v>
      </c>
      <c r="BP37" s="16">
        <f>1</f>
        <v>1</v>
      </c>
      <c r="BQ37" s="14">
        <f t="shared" si="8"/>
        <v>8.8384258320744955</v>
      </c>
      <c r="BR37" s="14">
        <f t="shared" si="9"/>
        <v>8.7507993460126361</v>
      </c>
      <c r="BS37" s="14">
        <f t="shared" si="10"/>
        <v>2.6926026648966146</v>
      </c>
      <c r="BT37" s="14">
        <f t="shared" si="11"/>
        <v>11.95753310601128</v>
      </c>
      <c r="BU37" s="14">
        <f t="shared" si="12"/>
        <v>2.873838013163609</v>
      </c>
      <c r="BV37" s="16">
        <f t="shared" si="13"/>
        <v>-1</v>
      </c>
      <c r="BX37" s="10">
        <f t="shared" si="14"/>
        <v>-261.87272622703892</v>
      </c>
      <c r="BY37" s="10">
        <f t="shared" si="15"/>
        <v>-1</v>
      </c>
      <c r="BZ37" s="10">
        <f t="shared" si="2"/>
        <v>0</v>
      </c>
      <c r="CA37" s="10">
        <f t="shared" si="16"/>
        <v>0</v>
      </c>
    </row>
    <row r="38" spans="2:79" x14ac:dyDescent="0.25">
      <c r="B38" s="10">
        <f t="shared" si="17"/>
        <v>14</v>
      </c>
      <c r="C38">
        <v>0.31241825126926415</v>
      </c>
      <c r="D38">
        <v>-0.11403813005017582</v>
      </c>
      <c r="E38">
        <v>1.9252274796599522</v>
      </c>
      <c r="F38">
        <v>1.7369256966048852</v>
      </c>
      <c r="G38">
        <v>-1.1343195183144417</v>
      </c>
      <c r="H38">
        <v>0.46128727072969755</v>
      </c>
      <c r="K38" s="10">
        <f>1</f>
        <v>1</v>
      </c>
      <c r="L38" s="10">
        <f t="shared" si="18"/>
        <v>4.9372577399923552</v>
      </c>
      <c r="M38" s="10">
        <f t="shared" si="19"/>
        <v>10.80607488233869</v>
      </c>
      <c r="N38" s="10">
        <f t="shared" si="20"/>
        <v>6.1261007882265517</v>
      </c>
      <c r="O38" s="10">
        <f t="shared" si="21"/>
        <v>15.421767768056275</v>
      </c>
      <c r="P38" s="10">
        <f t="shared" si="22"/>
        <v>4.7198527610752192</v>
      </c>
      <c r="Q38" s="10">
        <f t="shared" si="23"/>
        <v>1</v>
      </c>
      <c r="S38" s="10">
        <f t="shared" si="24"/>
        <v>27.220124577980023</v>
      </c>
      <c r="T38" s="10">
        <f t="shared" si="25"/>
        <v>1</v>
      </c>
      <c r="U38" s="10">
        <f t="shared" si="26"/>
        <v>0</v>
      </c>
      <c r="V38" s="10">
        <f t="shared" si="27"/>
        <v>0</v>
      </c>
      <c r="Y38" s="10">
        <f t="shared" si="28"/>
        <v>0</v>
      </c>
      <c r="Z38" s="10">
        <f t="shared" si="29"/>
        <v>0</v>
      </c>
      <c r="AA38" s="10">
        <f t="shared" si="30"/>
        <v>0</v>
      </c>
      <c r="AB38" s="10">
        <f t="shared" si="31"/>
        <v>0</v>
      </c>
      <c r="AC38" s="10">
        <f t="shared" si="32"/>
        <v>0</v>
      </c>
      <c r="AD38" s="10">
        <f t="shared" si="33"/>
        <v>0</v>
      </c>
      <c r="AE38" s="10">
        <f t="shared" si="34"/>
        <v>-6.4826027367548429</v>
      </c>
      <c r="AF38" s="10">
        <f t="shared" si="35"/>
        <v>-7.3826027367548424</v>
      </c>
      <c r="AG38" s="10">
        <f t="shared" si="36"/>
        <v>-1.2140815074233879</v>
      </c>
      <c r="AH38" s="10">
        <f t="shared" si="37"/>
        <v>-10.202694977743869</v>
      </c>
      <c r="AI38" s="10">
        <f t="shared" si="38"/>
        <v>3.9578569378220445</v>
      </c>
      <c r="AJ38" s="10">
        <f t="shared" si="42"/>
        <v>17.953437740746857</v>
      </c>
      <c r="AK38" s="10">
        <f t="shared" si="39"/>
        <v>-1</v>
      </c>
      <c r="AL38" s="10">
        <f t="shared" si="40"/>
        <v>1</v>
      </c>
      <c r="AN38" s="10">
        <f t="shared" si="3"/>
        <v>-1</v>
      </c>
      <c r="AO38" s="10">
        <f t="shared" si="4"/>
        <v>0</v>
      </c>
      <c r="AP38" s="10">
        <f t="shared" si="5"/>
        <v>0</v>
      </c>
      <c r="BG38" s="10">
        <f t="shared" si="7"/>
        <v>15</v>
      </c>
      <c r="BH38">
        <v>0.30095179681666195</v>
      </c>
      <c r="BI38">
        <v>-0.67062956077279523</v>
      </c>
      <c r="BJ38">
        <v>-0.70729129220126197</v>
      </c>
      <c r="BK38">
        <v>0.43008412831113674</v>
      </c>
      <c r="BL38">
        <v>0.11873680705321021</v>
      </c>
      <c r="BM38">
        <v>0.94796594134342482</v>
      </c>
      <c r="BP38" s="16">
        <f>1</f>
        <v>1</v>
      </c>
      <c r="BQ38" s="14">
        <f t="shared" si="8"/>
        <v>7.0721205443984765</v>
      </c>
      <c r="BR38" s="14">
        <f t="shared" si="9"/>
        <v>8.2351151557457758</v>
      </c>
      <c r="BS38" s="14">
        <f t="shared" si="10"/>
        <v>1.5262891715365767</v>
      </c>
      <c r="BT38" s="14">
        <f t="shared" si="11"/>
        <v>9.7901857074826903</v>
      </c>
      <c r="BU38" s="14">
        <f t="shared" si="12"/>
        <v>2.900212858095248</v>
      </c>
      <c r="BV38" s="16">
        <f t="shared" si="13"/>
        <v>-1</v>
      </c>
      <c r="BX38" s="10">
        <f t="shared" si="14"/>
        <v>-175.35440411687</v>
      </c>
      <c r="BY38" s="10">
        <f t="shared" si="15"/>
        <v>-1</v>
      </c>
      <c r="BZ38" s="10">
        <f t="shared" si="2"/>
        <v>0</v>
      </c>
      <c r="CA38" s="10">
        <f t="shared" si="16"/>
        <v>0</v>
      </c>
    </row>
    <row r="39" spans="2:79" x14ac:dyDescent="0.25">
      <c r="B39" s="10">
        <f t="shared" si="17"/>
        <v>15</v>
      </c>
      <c r="C39">
        <v>-2.673914423212409E-2</v>
      </c>
      <c r="D39">
        <v>0.10795702110044658</v>
      </c>
      <c r="E39">
        <v>-0.72121338234865107</v>
      </c>
      <c r="F39">
        <v>-0.49981281335931271</v>
      </c>
      <c r="G39">
        <v>-2.4990731617435813</v>
      </c>
      <c r="H39">
        <v>0.80886257515182958</v>
      </c>
      <c r="K39" s="10">
        <f>1</f>
        <v>1</v>
      </c>
      <c r="L39" s="10">
        <f t="shared" si="18"/>
        <v>6.5270757133764148</v>
      </c>
      <c r="M39" s="10">
        <f t="shared" si="19"/>
        <v>9.5301298747824159</v>
      </c>
      <c r="N39" s="10">
        <f t="shared" si="20"/>
        <v>1.5031327081702979</v>
      </c>
      <c r="O39" s="10">
        <f t="shared" si="21"/>
        <v>8.2434980882932258</v>
      </c>
      <c r="P39" s="10">
        <f t="shared" si="22"/>
        <v>-1.4539624130432127</v>
      </c>
      <c r="Q39" s="10">
        <f t="shared" si="23"/>
        <v>-1</v>
      </c>
      <c r="S39" s="10">
        <f t="shared" si="24"/>
        <v>-75.052806297465025</v>
      </c>
      <c r="T39" s="10">
        <f t="shared" si="25"/>
        <v>-1</v>
      </c>
      <c r="U39" s="10">
        <f t="shared" si="26"/>
        <v>0</v>
      </c>
      <c r="V39" s="10">
        <f t="shared" si="27"/>
        <v>0</v>
      </c>
      <c r="Y39" s="10">
        <f t="shared" si="28"/>
        <v>0</v>
      </c>
      <c r="Z39" s="10">
        <f t="shared" si="29"/>
        <v>0</v>
      </c>
      <c r="AA39" s="10">
        <f t="shared" si="30"/>
        <v>0</v>
      </c>
      <c r="AB39" s="10">
        <f t="shared" si="31"/>
        <v>0</v>
      </c>
      <c r="AC39" s="10">
        <f t="shared" si="32"/>
        <v>0</v>
      </c>
      <c r="AD39" s="10">
        <f t="shared" si="33"/>
        <v>0</v>
      </c>
      <c r="AE39" s="10">
        <f t="shared" si="34"/>
        <v>-6.4826027367548429</v>
      </c>
      <c r="AF39" s="10">
        <f t="shared" si="35"/>
        <v>-7.3826027367548424</v>
      </c>
      <c r="AG39" s="10">
        <f t="shared" si="36"/>
        <v>-1.2140815074233879</v>
      </c>
      <c r="AH39" s="10">
        <f t="shared" si="37"/>
        <v>-10.202694977743869</v>
      </c>
      <c r="AI39" s="10">
        <f t="shared" si="38"/>
        <v>3.9578569378220445</v>
      </c>
      <c r="AJ39" s="10">
        <f t="shared" si="42"/>
        <v>17.953437740746857</v>
      </c>
      <c r="AK39" s="10">
        <f t="shared" si="39"/>
        <v>-1</v>
      </c>
      <c r="AL39" s="10">
        <f t="shared" si="40"/>
        <v>0</v>
      </c>
      <c r="AN39" s="10">
        <f t="shared" si="3"/>
        <v>-1</v>
      </c>
      <c r="AO39" s="10">
        <f t="shared" si="4"/>
        <v>0</v>
      </c>
      <c r="AP39" s="10">
        <f t="shared" si="5"/>
        <v>0</v>
      </c>
      <c r="BG39" s="10">
        <f t="shared" si="7"/>
        <v>16</v>
      </c>
      <c r="BH39">
        <v>1.3375733942666557</v>
      </c>
      <c r="BI39">
        <v>1.0167445907427464</v>
      </c>
      <c r="BJ39">
        <v>-0.35814309740089811</v>
      </c>
      <c r="BK39">
        <v>-0.92225491243880242</v>
      </c>
      <c r="BL39">
        <v>-1.044591044774279</v>
      </c>
      <c r="BM39">
        <v>0.91250343333231609</v>
      </c>
      <c r="BP39" s="16">
        <f>1</f>
        <v>1</v>
      </c>
      <c r="BQ39" s="14">
        <f t="shared" si="8"/>
        <v>8.7963221399861755</v>
      </c>
      <c r="BR39" s="14">
        <f t="shared" si="9"/>
        <v>11.041706501665407</v>
      </c>
      <c r="BS39" s="14">
        <f t="shared" si="10"/>
        <v>2.1070236228081192</v>
      </c>
      <c r="BT39" s="14">
        <f t="shared" si="11"/>
        <v>7.5408546713819664</v>
      </c>
      <c r="BU39" s="14">
        <f t="shared" si="12"/>
        <v>0.96526210726514505</v>
      </c>
      <c r="BV39" s="16">
        <f t="shared" si="13"/>
        <v>-1</v>
      </c>
      <c r="BX39" s="10">
        <f t="shared" si="14"/>
        <v>-316.3610147916425</v>
      </c>
      <c r="BY39" s="10">
        <f t="shared" si="15"/>
        <v>-1</v>
      </c>
      <c r="BZ39" s="10">
        <f t="shared" si="2"/>
        <v>0</v>
      </c>
      <c r="CA39" s="10">
        <f t="shared" si="16"/>
        <v>0</v>
      </c>
    </row>
    <row r="40" spans="2:79" x14ac:dyDescent="0.25">
      <c r="B40" s="10">
        <f t="shared" si="17"/>
        <v>16</v>
      </c>
      <c r="C40">
        <v>0.13956423572381027</v>
      </c>
      <c r="D40">
        <v>-0.5268680070003029</v>
      </c>
      <c r="E40">
        <v>-0.14969145922805183</v>
      </c>
      <c r="F40">
        <v>0.70798023443785496</v>
      </c>
      <c r="G40">
        <v>-3.5923903851653449E-2</v>
      </c>
      <c r="H40">
        <v>0.70973845637379074</v>
      </c>
      <c r="K40" s="10">
        <f>1</f>
        <v>1</v>
      </c>
      <c r="L40" s="10">
        <f t="shared" si="18"/>
        <v>6.8036863433083097</v>
      </c>
      <c r="M40" s="10">
        <f t="shared" si="19"/>
        <v>8.4742322077235155</v>
      </c>
      <c r="N40" s="10">
        <f t="shared" si="20"/>
        <v>2.4537389990115646</v>
      </c>
      <c r="O40" s="10">
        <f t="shared" si="21"/>
        <v>10.252407323132957</v>
      </c>
      <c r="P40" s="10">
        <f t="shared" si="22"/>
        <v>2.6429673548442341</v>
      </c>
      <c r="Q40" s="10">
        <f t="shared" si="23"/>
        <v>-1</v>
      </c>
      <c r="S40" s="10">
        <f t="shared" si="24"/>
        <v>-4.0067640205409987</v>
      </c>
      <c r="T40" s="10">
        <f t="shared" si="25"/>
        <v>-1</v>
      </c>
      <c r="U40" s="10">
        <f t="shared" si="26"/>
        <v>0</v>
      </c>
      <c r="V40" s="10">
        <f t="shared" si="27"/>
        <v>0</v>
      </c>
      <c r="Y40" s="10">
        <f t="shared" si="28"/>
        <v>0</v>
      </c>
      <c r="Z40" s="10">
        <f t="shared" si="29"/>
        <v>0</v>
      </c>
      <c r="AA40" s="10">
        <f t="shared" si="30"/>
        <v>0</v>
      </c>
      <c r="AB40" s="10">
        <f t="shared" si="31"/>
        <v>0</v>
      </c>
      <c r="AC40" s="10">
        <f t="shared" si="32"/>
        <v>0</v>
      </c>
      <c r="AD40" s="10">
        <f t="shared" si="33"/>
        <v>0</v>
      </c>
      <c r="AE40" s="10">
        <f t="shared" si="34"/>
        <v>-6.4826027367548429</v>
      </c>
      <c r="AF40" s="10">
        <f t="shared" si="35"/>
        <v>-7.3826027367548424</v>
      </c>
      <c r="AG40" s="10">
        <f t="shared" si="36"/>
        <v>-1.2140815074233879</v>
      </c>
      <c r="AH40" s="10">
        <f t="shared" si="37"/>
        <v>-10.202694977743869</v>
      </c>
      <c r="AI40" s="10">
        <f t="shared" si="38"/>
        <v>3.9578569378220445</v>
      </c>
      <c r="AJ40" s="10">
        <f t="shared" si="42"/>
        <v>17.953437740746857</v>
      </c>
      <c r="AK40" s="10">
        <f t="shared" si="39"/>
        <v>-1</v>
      </c>
      <c r="AL40" s="10">
        <f t="shared" si="40"/>
        <v>0</v>
      </c>
      <c r="AN40" s="10">
        <f t="shared" si="3"/>
        <v>1</v>
      </c>
      <c r="AO40" s="10">
        <f t="shared" si="4"/>
        <v>0</v>
      </c>
      <c r="AP40" s="10">
        <f t="shared" si="5"/>
        <v>0</v>
      </c>
      <c r="BG40" s="10">
        <f t="shared" si="7"/>
        <v>17</v>
      </c>
      <c r="BH40">
        <v>1.492053343099542</v>
      </c>
      <c r="BI40">
        <v>-1.2830651030526496</v>
      </c>
      <c r="BJ40">
        <v>0.62719209381612018</v>
      </c>
      <c r="BK40">
        <v>0.93924427346792072</v>
      </c>
      <c r="BL40">
        <v>0.96890971690299921</v>
      </c>
      <c r="BM40">
        <v>0.67027802362132638</v>
      </c>
      <c r="BP40" s="16">
        <f>1</f>
        <v>1</v>
      </c>
      <c r="BQ40" s="14">
        <f t="shared" si="8"/>
        <v>9.0532669836197428</v>
      </c>
      <c r="BR40" s="14">
        <f t="shared" si="9"/>
        <v>7.2164576805483414</v>
      </c>
      <c r="BS40" s="14">
        <f t="shared" si="10"/>
        <v>3.7459210884448488</v>
      </c>
      <c r="BT40" s="14">
        <f t="shared" si="11"/>
        <v>10.637066321246229</v>
      </c>
      <c r="BU40" s="14">
        <f t="shared" si="12"/>
        <v>4.3142963494042892</v>
      </c>
      <c r="BV40" s="16">
        <f t="shared" si="13"/>
        <v>-1</v>
      </c>
      <c r="BX40" s="10">
        <f t="shared" si="14"/>
        <v>-226.29455505379411</v>
      </c>
      <c r="BY40" s="10">
        <f t="shared" si="15"/>
        <v>-1</v>
      </c>
      <c r="BZ40" s="10">
        <f t="shared" si="2"/>
        <v>0</v>
      </c>
      <c r="CA40" s="10">
        <f t="shared" si="16"/>
        <v>0</v>
      </c>
    </row>
    <row r="41" spans="2:79" x14ac:dyDescent="0.25">
      <c r="B41" s="10">
        <f t="shared" si="17"/>
        <v>17</v>
      </c>
      <c r="C41">
        <v>-2.8483918868005276</v>
      </c>
      <c r="D41">
        <v>0.34212007449241355</v>
      </c>
      <c r="E41">
        <v>1.4251327229430899</v>
      </c>
      <c r="F41">
        <v>0.91351239461801015</v>
      </c>
      <c r="G41">
        <v>-0.27710257199942134</v>
      </c>
      <c r="H41">
        <v>0.11926633503219702</v>
      </c>
      <c r="K41" s="10">
        <f>1</f>
        <v>1</v>
      </c>
      <c r="L41" s="10">
        <f t="shared" si="18"/>
        <v>-2.3647181815588718</v>
      </c>
      <c r="M41" s="10">
        <f t="shared" si="19"/>
        <v>11.859873143066263</v>
      </c>
      <c r="N41" s="10">
        <f t="shared" si="20"/>
        <v>4.9708020791840291</v>
      </c>
      <c r="O41" s="10">
        <f t="shared" si="21"/>
        <v>13.519551613983566</v>
      </c>
      <c r="P41" s="10">
        <f t="shared" si="22"/>
        <v>6.7001607290066163</v>
      </c>
      <c r="Q41" s="10">
        <f t="shared" si="23"/>
        <v>1</v>
      </c>
      <c r="S41" s="10">
        <f t="shared" si="24"/>
        <v>119.66011176290733</v>
      </c>
      <c r="T41" s="10">
        <f t="shared" si="25"/>
        <v>1</v>
      </c>
      <c r="U41" s="10">
        <f t="shared" si="26"/>
        <v>0</v>
      </c>
      <c r="V41" s="10">
        <f t="shared" si="27"/>
        <v>0</v>
      </c>
      <c r="Y41" s="10">
        <f t="shared" si="28"/>
        <v>0</v>
      </c>
      <c r="Z41" s="10">
        <f t="shared" si="29"/>
        <v>0</v>
      </c>
      <c r="AA41" s="10">
        <f t="shared" si="30"/>
        <v>0</v>
      </c>
      <c r="AB41" s="10">
        <f t="shared" si="31"/>
        <v>0</v>
      </c>
      <c r="AC41" s="10">
        <f t="shared" si="32"/>
        <v>0</v>
      </c>
      <c r="AD41" s="10">
        <f t="shared" si="33"/>
        <v>0</v>
      </c>
      <c r="AE41" s="10">
        <f t="shared" si="34"/>
        <v>-6.4826027367548429</v>
      </c>
      <c r="AF41" s="10">
        <f t="shared" si="35"/>
        <v>-7.3826027367548424</v>
      </c>
      <c r="AG41" s="10">
        <f t="shared" si="36"/>
        <v>-1.2140815074233879</v>
      </c>
      <c r="AH41" s="10">
        <f t="shared" si="37"/>
        <v>-10.202694977743869</v>
      </c>
      <c r="AI41" s="10">
        <f t="shared" si="38"/>
        <v>3.9578569378220445</v>
      </c>
      <c r="AJ41" s="10">
        <f t="shared" si="42"/>
        <v>17.953437740746857</v>
      </c>
      <c r="AK41" s="10">
        <f t="shared" si="39"/>
        <v>1</v>
      </c>
      <c r="AL41" s="10">
        <f t="shared" si="40"/>
        <v>0</v>
      </c>
      <c r="AN41" s="10">
        <f t="shared" si="3"/>
        <v>1</v>
      </c>
      <c r="AO41" s="10">
        <f t="shared" si="4"/>
        <v>0</v>
      </c>
      <c r="AP41" s="10">
        <f t="shared" si="5"/>
        <v>0</v>
      </c>
      <c r="BG41" s="10">
        <f t="shared" si="7"/>
        <v>18</v>
      </c>
      <c r="BH41">
        <v>0.39212295632751193</v>
      </c>
      <c r="BI41">
        <v>-1.2209284250275232</v>
      </c>
      <c r="BJ41">
        <v>-0.9405516721017193</v>
      </c>
      <c r="BK41">
        <v>0.31249896892404649</v>
      </c>
      <c r="BL41">
        <v>-2.2083077055867761</v>
      </c>
      <c r="BM41">
        <v>3.5920285653248694E-2</v>
      </c>
      <c r="BP41" s="16">
        <f>1</f>
        <v>1</v>
      </c>
      <c r="BQ41" s="14">
        <f t="shared" si="8"/>
        <v>5.1213883304887133</v>
      </c>
      <c r="BR41" s="14">
        <f t="shared" si="9"/>
        <v>8.2489816281835857</v>
      </c>
      <c r="BS41" s="14">
        <f t="shared" si="10"/>
        <v>-0.49430646452479166</v>
      </c>
      <c r="BT41" s="14">
        <f t="shared" si="11"/>
        <v>12.131114671793069</v>
      </c>
      <c r="BU41" s="14">
        <f t="shared" si="12"/>
        <v>2.2387686272834806</v>
      </c>
      <c r="BV41" s="16">
        <f t="shared" si="13"/>
        <v>1</v>
      </c>
      <c r="BX41" s="10">
        <f t="shared" si="14"/>
        <v>-106.53471254718264</v>
      </c>
      <c r="BY41" s="10">
        <f t="shared" si="15"/>
        <v>-1</v>
      </c>
      <c r="BZ41" s="10">
        <f t="shared" si="2"/>
        <v>-1</v>
      </c>
      <c r="CA41" s="10">
        <f t="shared" si="16"/>
        <v>1</v>
      </c>
    </row>
    <row r="42" spans="2:79" x14ac:dyDescent="0.25">
      <c r="B42" s="10">
        <f t="shared" si="17"/>
        <v>18</v>
      </c>
      <c r="C42">
        <v>0.63363017943629529</v>
      </c>
      <c r="D42">
        <v>-2.7963551474385895E-2</v>
      </c>
      <c r="E42">
        <v>-0.11943029676331207</v>
      </c>
      <c r="F42">
        <v>0.34439153751009144</v>
      </c>
      <c r="G42">
        <v>-0.94353254098678008</v>
      </c>
      <c r="H42">
        <v>0.22537919248023927</v>
      </c>
      <c r="K42" s="10">
        <f>1</f>
        <v>1</v>
      </c>
      <c r="L42" s="10">
        <f t="shared" si="18"/>
        <v>5.6793085632736977</v>
      </c>
      <c r="M42" s="10">
        <f t="shared" si="19"/>
        <v>11.004920897367578</v>
      </c>
      <c r="N42" s="10">
        <f t="shared" si="20"/>
        <v>1.4026149731714093</v>
      </c>
      <c r="O42" s="10">
        <f t="shared" si="21"/>
        <v>12.204791595657257</v>
      </c>
      <c r="P42" s="10">
        <f t="shared" si="22"/>
        <v>5.1606011305558557</v>
      </c>
      <c r="Q42" s="10">
        <f t="shared" si="23"/>
        <v>1</v>
      </c>
      <c r="S42" s="10">
        <f t="shared" si="24"/>
        <v>64.873344820316731</v>
      </c>
      <c r="T42" s="10">
        <f t="shared" si="25"/>
        <v>1</v>
      </c>
      <c r="U42" s="10">
        <f t="shared" si="26"/>
        <v>0</v>
      </c>
      <c r="V42" s="10">
        <f t="shared" si="27"/>
        <v>0</v>
      </c>
      <c r="Y42" s="10">
        <f t="shared" si="28"/>
        <v>0</v>
      </c>
      <c r="Z42" s="10">
        <f t="shared" si="29"/>
        <v>0</v>
      </c>
      <c r="AA42" s="10">
        <f t="shared" si="30"/>
        <v>0</v>
      </c>
      <c r="AB42" s="10">
        <f t="shared" si="31"/>
        <v>0</v>
      </c>
      <c r="AC42" s="10">
        <f t="shared" si="32"/>
        <v>0</v>
      </c>
      <c r="AD42" s="10">
        <f t="shared" si="33"/>
        <v>0</v>
      </c>
      <c r="AE42" s="10">
        <f t="shared" si="34"/>
        <v>-6.4826027367548429</v>
      </c>
      <c r="AF42" s="10">
        <f t="shared" si="35"/>
        <v>-7.3826027367548424</v>
      </c>
      <c r="AG42" s="10">
        <f t="shared" si="36"/>
        <v>-1.2140815074233879</v>
      </c>
      <c r="AH42" s="10">
        <f t="shared" si="37"/>
        <v>-10.202694977743869</v>
      </c>
      <c r="AI42" s="10">
        <f t="shared" si="38"/>
        <v>3.9578569378220445</v>
      </c>
      <c r="AJ42" s="10">
        <f t="shared" si="42"/>
        <v>17.953437740746857</v>
      </c>
      <c r="AK42" s="10">
        <f t="shared" si="39"/>
        <v>-1</v>
      </c>
      <c r="AL42" s="10">
        <f t="shared" si="40"/>
        <v>1</v>
      </c>
      <c r="AN42" s="10">
        <f t="shared" si="3"/>
        <v>-1</v>
      </c>
      <c r="AO42" s="10">
        <f t="shared" si="4"/>
        <v>1</v>
      </c>
      <c r="AP42" s="10">
        <f t="shared" si="5"/>
        <v>1</v>
      </c>
      <c r="BG42" s="10">
        <f t="shared" si="7"/>
        <v>19</v>
      </c>
      <c r="BH42">
        <v>-0.91038145910715684</v>
      </c>
      <c r="BI42">
        <v>-2.9954208002891392E-2</v>
      </c>
      <c r="BJ42">
        <v>-1.063656327460194</v>
      </c>
      <c r="BK42">
        <v>1.498133315180894</v>
      </c>
      <c r="BL42">
        <v>-0.3987406671512872</v>
      </c>
      <c r="BM42">
        <v>0.7423017059846797</v>
      </c>
      <c r="BP42" s="16">
        <f>1</f>
        <v>1</v>
      </c>
      <c r="BQ42" s="14">
        <f t="shared" si="8"/>
        <v>5.0573229193151903</v>
      </c>
      <c r="BR42" s="14">
        <f t="shared" si="9"/>
        <v>9.3007436051403669</v>
      </c>
      <c r="BS42" s="14">
        <f t="shared" si="10"/>
        <v>0.93355102685909452</v>
      </c>
      <c r="BT42" s="14">
        <f t="shared" si="11"/>
        <v>11.566660475804131</v>
      </c>
      <c r="BU42" s="14">
        <f t="shared" si="12"/>
        <v>2.0394981200472331</v>
      </c>
      <c r="BV42" s="16">
        <f t="shared" si="13"/>
        <v>-1</v>
      </c>
      <c r="BX42" s="10">
        <f t="shared" si="14"/>
        <v>-132.27099312243357</v>
      </c>
      <c r="BY42" s="10">
        <f t="shared" si="15"/>
        <v>-1</v>
      </c>
      <c r="BZ42" s="10">
        <f t="shared" si="2"/>
        <v>0</v>
      </c>
      <c r="CA42" s="10">
        <f t="shared" si="16"/>
        <v>0</v>
      </c>
    </row>
    <row r="43" spans="2:79" x14ac:dyDescent="0.25">
      <c r="B43" s="10">
        <f t="shared" si="17"/>
        <v>19</v>
      </c>
      <c r="C43">
        <v>1.2365489965304732</v>
      </c>
      <c r="D43">
        <v>-6.8328063207445666E-2</v>
      </c>
      <c r="E43">
        <v>0.84789462562184781</v>
      </c>
      <c r="F43">
        <v>-0.70640908234054223</v>
      </c>
      <c r="G43">
        <v>-0.74130184657406062</v>
      </c>
      <c r="H43">
        <v>0.38862269966734825</v>
      </c>
      <c r="K43" s="10">
        <f>1</f>
        <v>1</v>
      </c>
      <c r="L43" s="10">
        <f t="shared" si="18"/>
        <v>7.0721472637216483</v>
      </c>
      <c r="M43" s="10">
        <f t="shared" si="19"/>
        <v>10.911672432611651</v>
      </c>
      <c r="N43" s="10">
        <f t="shared" si="20"/>
        <v>3.6372899403575856</v>
      </c>
      <c r="O43" s="10">
        <f t="shared" si="21"/>
        <v>9.7772744436191275</v>
      </c>
      <c r="P43" s="10">
        <f t="shared" si="22"/>
        <v>5.6277863130553101</v>
      </c>
      <c r="Q43" s="10">
        <f t="shared" si="23"/>
        <v>1</v>
      </c>
      <c r="S43" s="10">
        <f t="shared" si="24"/>
        <v>30.683888676114393</v>
      </c>
      <c r="T43" s="10">
        <f t="shared" si="25"/>
        <v>1</v>
      </c>
      <c r="U43" s="10">
        <f t="shared" si="26"/>
        <v>0</v>
      </c>
      <c r="V43" s="10">
        <f t="shared" si="27"/>
        <v>0</v>
      </c>
      <c r="Y43" s="10">
        <f t="shared" si="28"/>
        <v>0</v>
      </c>
      <c r="Z43" s="10">
        <f t="shared" si="29"/>
        <v>0</v>
      </c>
      <c r="AA43" s="10">
        <f t="shared" si="30"/>
        <v>0</v>
      </c>
      <c r="AB43" s="10">
        <f t="shared" si="31"/>
        <v>0</v>
      </c>
      <c r="AC43" s="10">
        <f t="shared" si="32"/>
        <v>0</v>
      </c>
      <c r="AD43" s="10">
        <f t="shared" si="33"/>
        <v>0</v>
      </c>
      <c r="AE43" s="10">
        <f t="shared" si="34"/>
        <v>-6.4826027367548429</v>
      </c>
      <c r="AF43" s="10">
        <f t="shared" si="35"/>
        <v>-7.3826027367548424</v>
      </c>
      <c r="AG43" s="10">
        <f t="shared" si="36"/>
        <v>-1.2140815074233879</v>
      </c>
      <c r="AH43" s="10">
        <f t="shared" si="37"/>
        <v>-10.202694977743869</v>
      </c>
      <c r="AI43" s="10">
        <f t="shared" si="38"/>
        <v>3.9578569378220445</v>
      </c>
      <c r="AJ43" s="10">
        <f t="shared" si="42"/>
        <v>17.953437740746857</v>
      </c>
      <c r="AK43" s="10">
        <f t="shared" si="39"/>
        <v>-1</v>
      </c>
      <c r="AL43" s="10">
        <f t="shared" si="40"/>
        <v>1</v>
      </c>
      <c r="AN43" s="10">
        <f t="shared" si="3"/>
        <v>1</v>
      </c>
      <c r="AO43" s="10">
        <f t="shared" si="4"/>
        <v>0</v>
      </c>
      <c r="AP43" s="10">
        <f t="shared" si="5"/>
        <v>0</v>
      </c>
      <c r="BG43" s="10">
        <f t="shared" si="7"/>
        <v>20</v>
      </c>
      <c r="BH43">
        <v>-1.1524093679327052</v>
      </c>
      <c r="BI43">
        <v>-0.94150436780182645</v>
      </c>
      <c r="BJ43">
        <v>-1.5517116480623372</v>
      </c>
      <c r="BK43">
        <v>-0.78824086813256145</v>
      </c>
      <c r="BL43">
        <v>-1.5979685485945083</v>
      </c>
      <c r="BM43">
        <v>0.55253761406292912</v>
      </c>
      <c r="BP43" s="16">
        <f>1</f>
        <v>1</v>
      </c>
      <c r="BQ43" s="14">
        <f t="shared" si="8"/>
        <v>4.6547604919064796</v>
      </c>
      <c r="BR43" s="14">
        <f t="shared" si="9"/>
        <v>7.7845719916511316</v>
      </c>
      <c r="BS43" s="14">
        <f t="shared" si="10"/>
        <v>0.12177384163806693</v>
      </c>
      <c r="BT43" s="14">
        <f t="shared" si="11"/>
        <v>7.7637587953095286</v>
      </c>
      <c r="BU43" s="14">
        <f t="shared" si="12"/>
        <v>4.4835234627847775E-2</v>
      </c>
      <c r="BV43" s="16">
        <f t="shared" si="13"/>
        <v>-1</v>
      </c>
      <c r="BX43" s="10">
        <f t="shared" si="14"/>
        <v>-188.97778235402453</v>
      </c>
      <c r="BY43" s="10">
        <f t="shared" si="15"/>
        <v>-1</v>
      </c>
      <c r="BZ43" s="10">
        <f t="shared" si="2"/>
        <v>0</v>
      </c>
      <c r="CA43" s="10">
        <f t="shared" si="16"/>
        <v>0</v>
      </c>
    </row>
    <row r="44" spans="2:79" x14ac:dyDescent="0.25">
      <c r="B44" s="10">
        <f t="shared" si="17"/>
        <v>20</v>
      </c>
      <c r="C44">
        <v>-1.2235113899805583</v>
      </c>
      <c r="D44">
        <v>-1.1017345968866721</v>
      </c>
      <c r="E44">
        <v>1.3185399438953027</v>
      </c>
      <c r="F44">
        <v>-2.5994086172431707</v>
      </c>
      <c r="G44">
        <v>-1.1035604075004812</v>
      </c>
      <c r="H44">
        <v>0.49678029725028228</v>
      </c>
      <c r="K44" s="10">
        <f>1</f>
        <v>1</v>
      </c>
      <c r="L44" s="10">
        <f t="shared" si="18"/>
        <v>1.3890151162035487</v>
      </c>
      <c r="M44" s="10">
        <f t="shared" si="19"/>
        <v>8.524338395930954</v>
      </c>
      <c r="N44" s="10">
        <f t="shared" si="20"/>
        <v>4.724555746117824</v>
      </c>
      <c r="O44" s="10">
        <f t="shared" si="21"/>
        <v>5.4041433729222588</v>
      </c>
      <c r="P44" s="10">
        <f t="shared" si="22"/>
        <v>4.7909112165726517</v>
      </c>
      <c r="Q44" s="10">
        <f t="shared" si="23"/>
        <v>1</v>
      </c>
      <c r="S44" s="10">
        <f t="shared" si="24"/>
        <v>32.112560262149067</v>
      </c>
      <c r="T44" s="10">
        <f t="shared" si="25"/>
        <v>1</v>
      </c>
      <c r="U44" s="10">
        <f t="shared" si="26"/>
        <v>0</v>
      </c>
      <c r="V44" s="10">
        <f t="shared" si="27"/>
        <v>0</v>
      </c>
      <c r="X44" s="10">
        <f>SUM(V25:V44)</f>
        <v>7</v>
      </c>
      <c r="Y44" s="10">
        <f t="shared" si="28"/>
        <v>0</v>
      </c>
      <c r="Z44" s="10">
        <f t="shared" si="29"/>
        <v>0</v>
      </c>
      <c r="AA44" s="10">
        <f t="shared" si="30"/>
        <v>0</v>
      </c>
      <c r="AB44" s="10">
        <f t="shared" si="31"/>
        <v>0</v>
      </c>
      <c r="AC44" s="10">
        <f t="shared" si="32"/>
        <v>0</v>
      </c>
      <c r="AD44" s="10">
        <f t="shared" si="33"/>
        <v>0</v>
      </c>
      <c r="AE44" s="10">
        <f t="shared" si="34"/>
        <v>-6.4826027367548429</v>
      </c>
      <c r="AF44" s="10">
        <f t="shared" si="35"/>
        <v>-7.3826027367548424</v>
      </c>
      <c r="AG44" s="10">
        <f t="shared" si="36"/>
        <v>-1.2140815074233879</v>
      </c>
      <c r="AH44" s="10">
        <f t="shared" si="37"/>
        <v>-10.202694977743869</v>
      </c>
      <c r="AI44" s="10">
        <f t="shared" si="38"/>
        <v>3.9578569378220445</v>
      </c>
      <c r="AJ44" s="10">
        <f t="shared" si="42"/>
        <v>17.953437740746857</v>
      </c>
      <c r="AK44" s="10">
        <f t="shared" si="39"/>
        <v>1</v>
      </c>
      <c r="AL44" s="10">
        <f t="shared" si="40"/>
        <v>0</v>
      </c>
      <c r="AN44" s="10">
        <f t="shared" si="3"/>
        <v>-1</v>
      </c>
      <c r="AO44" s="10">
        <f t="shared" si="4"/>
        <v>0</v>
      </c>
      <c r="AP44" s="10">
        <f t="shared" si="5"/>
        <v>0</v>
      </c>
      <c r="BG44" s="10">
        <f t="shared" si="7"/>
        <v>21</v>
      </c>
      <c r="BH44">
        <v>1.0902977010118775</v>
      </c>
      <c r="BI44">
        <v>-0.69935708779667038</v>
      </c>
      <c r="BJ44">
        <v>1.0601615940686315</v>
      </c>
      <c r="BK44">
        <v>0.78168341133277863</v>
      </c>
      <c r="BL44">
        <v>-1.1809652278316207</v>
      </c>
      <c r="BM44">
        <v>0.81582079531235696</v>
      </c>
      <c r="BP44" s="16">
        <f>1</f>
        <v>1</v>
      </c>
      <c r="BQ44" s="14">
        <f t="shared" si="8"/>
        <v>8.3850311289665918</v>
      </c>
      <c r="BR44" s="14">
        <f t="shared" si="9"/>
        <v>8.1873329678638154</v>
      </c>
      <c r="BS44" s="14">
        <f t="shared" si="10"/>
        <v>4.46607461892558</v>
      </c>
      <c r="BT44" s="14">
        <f t="shared" si="11"/>
        <v>10.374997027529155</v>
      </c>
      <c r="BU44" s="14">
        <f t="shared" si="12"/>
        <v>0.73843238984187831</v>
      </c>
      <c r="BV44" s="16">
        <f t="shared" si="13"/>
        <v>-1</v>
      </c>
      <c r="BX44" s="10">
        <f t="shared" si="14"/>
        <v>-368.57138449750403</v>
      </c>
      <c r="BY44" s="10">
        <f t="shared" si="15"/>
        <v>-1</v>
      </c>
      <c r="BZ44" s="10">
        <f t="shared" si="2"/>
        <v>0</v>
      </c>
      <c r="CA44" s="10">
        <f t="shared" si="16"/>
        <v>0</v>
      </c>
    </row>
    <row r="45" spans="2:79" x14ac:dyDescent="0.25">
      <c r="B45" s="10">
        <f t="shared" si="17"/>
        <v>21</v>
      </c>
      <c r="C45">
        <v>2.2993481252342463</v>
      </c>
      <c r="D45">
        <v>0.32690991247363854</v>
      </c>
      <c r="E45">
        <v>0.82295173342572525</v>
      </c>
      <c r="F45">
        <v>-5.4149040806805715E-2</v>
      </c>
      <c r="G45">
        <v>-1.4207125786924735</v>
      </c>
      <c r="H45">
        <v>0.75115207373271886</v>
      </c>
      <c r="K45" s="10">
        <f>1</f>
        <v>1</v>
      </c>
      <c r="L45" s="10">
        <f t="shared" si="18"/>
        <v>10.39603174454151</v>
      </c>
      <c r="M45" s="10">
        <f t="shared" si="19"/>
        <v>9.8943118729125565</v>
      </c>
      <c r="N45" s="10">
        <f t="shared" si="20"/>
        <v>4.0715259994334367</v>
      </c>
      <c r="O45" s="10">
        <f t="shared" si="21"/>
        <v>8.984765865870795</v>
      </c>
      <c r="P45" s="10">
        <f t="shared" si="22"/>
        <v>0.33966319005955636</v>
      </c>
      <c r="Q45" s="10">
        <f t="shared" si="23"/>
        <v>-1</v>
      </c>
      <c r="S45" s="10">
        <f t="shared" si="24"/>
        <v>-95.126874232652</v>
      </c>
      <c r="T45" s="12">
        <f t="shared" si="25"/>
        <v>-1</v>
      </c>
      <c r="U45" s="10">
        <f t="shared" si="26"/>
        <v>0</v>
      </c>
      <c r="V45" s="12">
        <f t="shared" si="27"/>
        <v>0</v>
      </c>
      <c r="W45" s="12"/>
      <c r="X45" s="12"/>
      <c r="Y45" s="10">
        <f t="shared" si="28"/>
        <v>0</v>
      </c>
      <c r="Z45" s="10">
        <f t="shared" si="29"/>
        <v>0</v>
      </c>
      <c r="AA45" s="10">
        <f t="shared" si="30"/>
        <v>0</v>
      </c>
      <c r="AB45" s="10">
        <f t="shared" si="31"/>
        <v>0</v>
      </c>
      <c r="AC45" s="10">
        <f t="shared" si="32"/>
        <v>0</v>
      </c>
      <c r="AD45" s="10">
        <f t="shared" si="33"/>
        <v>0</v>
      </c>
      <c r="AE45" s="10">
        <f t="shared" si="34"/>
        <v>-6.4826027367548429</v>
      </c>
      <c r="AF45" s="10">
        <f t="shared" si="35"/>
        <v>-7.3826027367548424</v>
      </c>
      <c r="AG45" s="10">
        <f t="shared" si="36"/>
        <v>-1.2140815074233879</v>
      </c>
      <c r="AH45" s="10">
        <f t="shared" si="37"/>
        <v>-10.202694977743869</v>
      </c>
      <c r="AI45" s="10">
        <f t="shared" si="38"/>
        <v>3.9578569378220445</v>
      </c>
      <c r="AJ45" s="10">
        <f t="shared" si="42"/>
        <v>17.953437740746857</v>
      </c>
      <c r="AK45" s="10">
        <f t="shared" si="39"/>
        <v>-1</v>
      </c>
      <c r="AL45" s="10">
        <f t="shared" si="40"/>
        <v>0</v>
      </c>
      <c r="AN45" s="10">
        <f t="shared" si="3"/>
        <v>-1</v>
      </c>
      <c r="AO45" s="10">
        <f t="shared" si="4"/>
        <v>0</v>
      </c>
      <c r="AP45" s="10">
        <f t="shared" si="5"/>
        <v>0</v>
      </c>
      <c r="BG45" s="10">
        <f t="shared" si="7"/>
        <v>22</v>
      </c>
      <c r="BH45">
        <v>2.9504008125513792</v>
      </c>
      <c r="BI45">
        <v>-7.1395334089174867E-2</v>
      </c>
      <c r="BJ45">
        <v>1.2357304512988776</v>
      </c>
      <c r="BK45">
        <v>-1.3623093764181249</v>
      </c>
      <c r="BL45">
        <v>0.56361614042543806</v>
      </c>
      <c r="BM45">
        <v>0.99816888943144022</v>
      </c>
      <c r="BP45" s="16">
        <f>1</f>
        <v>1</v>
      </c>
      <c r="BQ45" s="14">
        <f t="shared" si="8"/>
        <v>11.478920703294861</v>
      </c>
      <c r="BR45" s="14">
        <f t="shared" si="9"/>
        <v>9.2318150241647334</v>
      </c>
      <c r="BS45" s="14">
        <f t="shared" si="10"/>
        <v>4.7580964179277974</v>
      </c>
      <c r="BT45" s="14">
        <f t="shared" si="11"/>
        <v>6.8089167966501609</v>
      </c>
      <c r="BU45" s="14">
        <f t="shared" si="12"/>
        <v>3.6401758863895624</v>
      </c>
      <c r="BV45" s="16">
        <f t="shared" si="13"/>
        <v>-1</v>
      </c>
      <c r="BX45" s="10">
        <f t="shared" si="14"/>
        <v>-343.03813597859073</v>
      </c>
      <c r="BY45" s="10">
        <f t="shared" si="15"/>
        <v>-1</v>
      </c>
      <c r="BZ45" s="10">
        <f t="shared" si="2"/>
        <v>0</v>
      </c>
      <c r="CA45" s="10">
        <f t="shared" si="16"/>
        <v>0</v>
      </c>
    </row>
    <row r="46" spans="2:79" x14ac:dyDescent="0.25">
      <c r="B46" s="10">
        <f t="shared" si="17"/>
        <v>22</v>
      </c>
      <c r="C46">
        <v>-0.75008983912994154</v>
      </c>
      <c r="D46">
        <v>0.66107986640417948</v>
      </c>
      <c r="E46">
        <v>-0.32529669624636881</v>
      </c>
      <c r="F46">
        <v>-0.8589040589868091</v>
      </c>
      <c r="G46">
        <v>-0.38083044273662381</v>
      </c>
      <c r="H46">
        <v>0.63386944181646165</v>
      </c>
      <c r="K46" s="10">
        <f>1</f>
        <v>1</v>
      </c>
      <c r="L46" s="10">
        <f t="shared" si="18"/>
        <v>5.3239342532907816</v>
      </c>
      <c r="M46" s="10">
        <f t="shared" si="19"/>
        <v>10.450133176637902</v>
      </c>
      <c r="N46" s="10">
        <f t="shared" si="20"/>
        <v>2.1616566898976606</v>
      </c>
      <c r="O46" s="10">
        <f t="shared" si="21"/>
        <v>7.6462254671211873</v>
      </c>
      <c r="P46" s="10">
        <f t="shared" si="22"/>
        <v>2.0692880044072162</v>
      </c>
      <c r="Q46" s="10">
        <f t="shared" si="23"/>
        <v>-1</v>
      </c>
      <c r="S46" s="10">
        <f t="shared" si="24"/>
        <v>-13.11563175089875</v>
      </c>
      <c r="T46" s="10">
        <f t="shared" si="25"/>
        <v>-1</v>
      </c>
      <c r="U46" s="10">
        <f t="shared" si="26"/>
        <v>0</v>
      </c>
      <c r="V46" s="10">
        <f t="shared" si="27"/>
        <v>0</v>
      </c>
      <c r="Y46" s="10">
        <f t="shared" si="28"/>
        <v>0</v>
      </c>
      <c r="Z46" s="10">
        <f t="shared" si="29"/>
        <v>0</v>
      </c>
      <c r="AA46" s="10">
        <f t="shared" si="30"/>
        <v>0</v>
      </c>
      <c r="AB46" s="10">
        <f t="shared" si="31"/>
        <v>0</v>
      </c>
      <c r="AC46" s="10">
        <f t="shared" si="32"/>
        <v>0</v>
      </c>
      <c r="AD46" s="10">
        <f t="shared" si="33"/>
        <v>0</v>
      </c>
      <c r="AE46" s="10">
        <f t="shared" si="34"/>
        <v>-6.4826027367548429</v>
      </c>
      <c r="AF46" s="10">
        <f t="shared" si="35"/>
        <v>-7.3826027367548424</v>
      </c>
      <c r="AG46" s="10">
        <f t="shared" si="36"/>
        <v>-1.2140815074233879</v>
      </c>
      <c r="AH46" s="10">
        <f t="shared" si="37"/>
        <v>-10.202694977743869</v>
      </c>
      <c r="AI46" s="10">
        <f t="shared" si="38"/>
        <v>3.9578569378220445</v>
      </c>
      <c r="AJ46" s="10">
        <f t="shared" si="42"/>
        <v>17.953437740746857</v>
      </c>
      <c r="AK46" s="10">
        <f t="shared" si="39"/>
        <v>-1</v>
      </c>
      <c r="AL46" s="10">
        <f t="shared" si="40"/>
        <v>0</v>
      </c>
      <c r="AN46" s="10">
        <f t="shared" si="3"/>
        <v>1</v>
      </c>
      <c r="AO46" s="10">
        <f t="shared" si="4"/>
        <v>0</v>
      </c>
      <c r="AP46" s="10">
        <f t="shared" si="5"/>
        <v>0</v>
      </c>
      <c r="BG46" s="10">
        <f t="shared" si="7"/>
        <v>23</v>
      </c>
      <c r="BH46">
        <v>1.8154150893678889</v>
      </c>
      <c r="BI46">
        <v>-2.289780240971595</v>
      </c>
      <c r="BJ46">
        <v>-0.32038087738328613</v>
      </c>
      <c r="BK46">
        <v>0.17907950677908957</v>
      </c>
      <c r="BL46">
        <v>-0.65851281760842539</v>
      </c>
      <c r="BM46">
        <v>0.87194433423871576</v>
      </c>
      <c r="BP46" s="16">
        <f>1</f>
        <v>1</v>
      </c>
      <c r="BQ46" s="14">
        <f t="shared" si="8"/>
        <v>9.591111111351033</v>
      </c>
      <c r="BR46" s="14">
        <f t="shared" si="9"/>
        <v>5.5419991786494665</v>
      </c>
      <c r="BS46" s="14">
        <f t="shared" si="10"/>
        <v>2.1698331187393873</v>
      </c>
      <c r="BT46" s="14">
        <f t="shared" si="11"/>
        <v>9.3726924100151745</v>
      </c>
      <c r="BU46" s="14">
        <f t="shared" si="12"/>
        <v>1.6074218856631122</v>
      </c>
      <c r="BV46" s="16">
        <f t="shared" si="13"/>
        <v>-1</v>
      </c>
      <c r="BX46" s="10">
        <f t="shared" si="14"/>
        <v>-341.03262709331131</v>
      </c>
      <c r="BY46" s="10">
        <f t="shared" si="15"/>
        <v>-1</v>
      </c>
      <c r="BZ46" s="10">
        <f t="shared" si="2"/>
        <v>0</v>
      </c>
      <c r="CA46" s="10">
        <f t="shared" si="16"/>
        <v>0</v>
      </c>
    </row>
    <row r="47" spans="2:79" x14ac:dyDescent="0.25">
      <c r="B47" s="10">
        <f t="shared" si="17"/>
        <v>23</v>
      </c>
      <c r="C47">
        <v>-0.50510834626038559</v>
      </c>
      <c r="D47">
        <v>0.74928038884536363</v>
      </c>
      <c r="E47">
        <v>-1.5205978343146853</v>
      </c>
      <c r="F47">
        <v>0.16417402548540849</v>
      </c>
      <c r="G47">
        <v>-1.252146830665879</v>
      </c>
      <c r="H47">
        <v>0.40128788109988706</v>
      </c>
      <c r="K47" s="10">
        <f>1</f>
        <v>1</v>
      </c>
      <c r="L47" s="10">
        <f t="shared" si="18"/>
        <v>3.0486408128033569</v>
      </c>
      <c r="M47" s="10">
        <f t="shared" si="19"/>
        <v>12.800478456814096</v>
      </c>
      <c r="N47" s="10">
        <f t="shared" si="20"/>
        <v>-1.8343056814514218</v>
      </c>
      <c r="O47" s="10">
        <f t="shared" si="21"/>
        <v>11.788460378037932</v>
      </c>
      <c r="P47" s="10">
        <f t="shared" si="22"/>
        <v>4.4476528629134489</v>
      </c>
      <c r="Q47" s="10">
        <f t="shared" si="23"/>
        <v>1</v>
      </c>
      <c r="S47" s="10">
        <f t="shared" si="24"/>
        <v>100.69222889869143</v>
      </c>
      <c r="T47" s="10">
        <f t="shared" si="25"/>
        <v>1</v>
      </c>
      <c r="U47" s="10">
        <f t="shared" si="26"/>
        <v>0</v>
      </c>
      <c r="V47" s="10">
        <f t="shared" si="27"/>
        <v>0</v>
      </c>
      <c r="Y47" s="10">
        <f t="shared" si="28"/>
        <v>0</v>
      </c>
      <c r="Z47" s="10">
        <f t="shared" si="29"/>
        <v>0</v>
      </c>
      <c r="AA47" s="10">
        <f t="shared" si="30"/>
        <v>0</v>
      </c>
      <c r="AB47" s="10">
        <f t="shared" si="31"/>
        <v>0</v>
      </c>
      <c r="AC47" s="10">
        <f t="shared" si="32"/>
        <v>0</v>
      </c>
      <c r="AD47" s="10">
        <f t="shared" si="33"/>
        <v>0</v>
      </c>
      <c r="AE47" s="10">
        <f t="shared" si="34"/>
        <v>-6.4826027367548429</v>
      </c>
      <c r="AF47" s="10">
        <f t="shared" si="35"/>
        <v>-7.3826027367548424</v>
      </c>
      <c r="AG47" s="10">
        <f t="shared" si="36"/>
        <v>-1.2140815074233879</v>
      </c>
      <c r="AH47" s="10">
        <f t="shared" si="37"/>
        <v>-10.202694977743869</v>
      </c>
      <c r="AI47" s="10">
        <f t="shared" si="38"/>
        <v>3.9578569378220445</v>
      </c>
      <c r="AJ47" s="10">
        <f t="shared" si="42"/>
        <v>17.953437740746857</v>
      </c>
      <c r="AK47" s="10">
        <f t="shared" si="39"/>
        <v>1</v>
      </c>
      <c r="AL47" s="10">
        <f t="shared" si="40"/>
        <v>0</v>
      </c>
      <c r="AN47" s="10">
        <f t="shared" si="3"/>
        <v>1</v>
      </c>
      <c r="AO47" s="10">
        <f t="shared" si="4"/>
        <v>0</v>
      </c>
      <c r="AP47" s="10">
        <f t="shared" si="5"/>
        <v>0</v>
      </c>
      <c r="BG47" s="10">
        <f t="shared" si="7"/>
        <v>24</v>
      </c>
      <c r="BH47">
        <v>-5.6218141253339127E-2</v>
      </c>
      <c r="BI47">
        <v>-0.86045474745333195</v>
      </c>
      <c r="BJ47">
        <v>0.71893282438395545</v>
      </c>
      <c r="BK47">
        <v>0.74241029324184638</v>
      </c>
      <c r="BL47">
        <v>-5.8593059293343686E-2</v>
      </c>
      <c r="BM47">
        <v>0.47593615527817623</v>
      </c>
      <c r="BP47" s="16">
        <f>1</f>
        <v>1</v>
      </c>
      <c r="BQ47" s="14">
        <f t="shared" si="8"/>
        <v>4.0856488345453048</v>
      </c>
      <c r="BR47" s="14">
        <f t="shared" si="9"/>
        <v>9.0817333592341427</v>
      </c>
      <c r="BS47" s="14">
        <f t="shared" si="10"/>
        <v>3.3393675956722397</v>
      </c>
      <c r="BT47" s="14">
        <f t="shared" si="11"/>
        <v>13.124278449889463</v>
      </c>
      <c r="BU47" s="14">
        <f t="shared" si="12"/>
        <v>7.2049525800552923</v>
      </c>
      <c r="BV47" s="16">
        <f t="shared" si="13"/>
        <v>1</v>
      </c>
      <c r="BX47" s="10">
        <f t="shared" si="14"/>
        <v>84.719479291479587</v>
      </c>
      <c r="BY47" s="10">
        <f t="shared" si="15"/>
        <v>1</v>
      </c>
      <c r="BZ47" s="10">
        <f t="shared" si="2"/>
        <v>0</v>
      </c>
      <c r="CA47" s="10">
        <f t="shared" si="16"/>
        <v>0</v>
      </c>
    </row>
    <row r="48" spans="2:79" x14ac:dyDescent="0.25">
      <c r="B48" s="10">
        <f t="shared" si="17"/>
        <v>24</v>
      </c>
      <c r="C48">
        <v>-0.36083520171814598</v>
      </c>
      <c r="D48">
        <v>-8.7127318693092093E-2</v>
      </c>
      <c r="E48">
        <v>0.18779246602207422</v>
      </c>
      <c r="F48">
        <v>-0.32787852433102671</v>
      </c>
      <c r="G48">
        <v>1.1930342225241475</v>
      </c>
      <c r="H48">
        <v>0.29306924649800103</v>
      </c>
      <c r="K48" s="10">
        <f>1</f>
        <v>1</v>
      </c>
      <c r="L48" s="10">
        <f t="shared" si="18"/>
        <v>3.3819348043928801</v>
      </c>
      <c r="M48" s="10">
        <f t="shared" si="19"/>
        <v>10.868243151856715</v>
      </c>
      <c r="N48" s="10">
        <f t="shared" si="20"/>
        <v>2.1123485915852216</v>
      </c>
      <c r="O48" s="10">
        <f t="shared" si="21"/>
        <v>10.651740450566553</v>
      </c>
      <c r="P48" s="10">
        <f t="shared" si="22"/>
        <v>10.096411375542784</v>
      </c>
      <c r="Q48" s="10">
        <f t="shared" si="23"/>
        <v>1</v>
      </c>
      <c r="S48" s="10">
        <f t="shared" si="24"/>
        <v>157.22669260327709</v>
      </c>
      <c r="T48" s="10">
        <f t="shared" si="25"/>
        <v>1</v>
      </c>
      <c r="U48" s="10">
        <f t="shared" si="26"/>
        <v>0</v>
      </c>
      <c r="V48" s="10">
        <f t="shared" si="27"/>
        <v>0</v>
      </c>
      <c r="Y48" s="10">
        <f t="shared" si="28"/>
        <v>0</v>
      </c>
      <c r="Z48" s="10">
        <f t="shared" si="29"/>
        <v>0</v>
      </c>
      <c r="AA48" s="10">
        <f t="shared" si="30"/>
        <v>0</v>
      </c>
      <c r="AB48" s="10">
        <f t="shared" si="31"/>
        <v>0</v>
      </c>
      <c r="AC48" s="10">
        <f t="shared" si="32"/>
        <v>0</v>
      </c>
      <c r="AD48" s="10">
        <f t="shared" si="33"/>
        <v>0</v>
      </c>
      <c r="AE48" s="10">
        <f t="shared" si="34"/>
        <v>-6.4826027367548429</v>
      </c>
      <c r="AF48" s="10">
        <f t="shared" si="35"/>
        <v>-7.3826027367548424</v>
      </c>
      <c r="AG48" s="10">
        <f t="shared" si="36"/>
        <v>-1.2140815074233879</v>
      </c>
      <c r="AH48" s="10">
        <f t="shared" si="37"/>
        <v>-10.202694977743869</v>
      </c>
      <c r="AI48" s="10">
        <f t="shared" si="38"/>
        <v>3.9578569378220445</v>
      </c>
      <c r="AJ48" s="10">
        <f t="shared" si="42"/>
        <v>17.953437740746857</v>
      </c>
      <c r="AK48" s="10">
        <f t="shared" si="39"/>
        <v>1</v>
      </c>
      <c r="AL48" s="10">
        <f t="shared" si="40"/>
        <v>0</v>
      </c>
      <c r="AN48" s="10">
        <f t="shared" si="3"/>
        <v>1</v>
      </c>
      <c r="AO48" s="10">
        <f t="shared" si="4"/>
        <v>0</v>
      </c>
      <c r="AP48" s="10">
        <f t="shared" si="5"/>
        <v>0</v>
      </c>
      <c r="BG48" s="10">
        <f t="shared" si="7"/>
        <v>25</v>
      </c>
      <c r="BH48">
        <v>-1.4995475794421509</v>
      </c>
      <c r="BI48">
        <v>-2.3025859263725579</v>
      </c>
      <c r="BJ48">
        <v>-1.8907576304627582</v>
      </c>
      <c r="BK48">
        <v>1.573757799633313</v>
      </c>
      <c r="BL48">
        <v>-0.70739133661845699</v>
      </c>
      <c r="BM48">
        <v>2.4414807580797754E-2</v>
      </c>
      <c r="BP48" s="16">
        <f>1</f>
        <v>1</v>
      </c>
      <c r="BQ48" s="14">
        <f t="shared" si="8"/>
        <v>0.75132745991294625</v>
      </c>
      <c r="BR48" s="14">
        <f t="shared" si="9"/>
        <v>5.7501801547708506</v>
      </c>
      <c r="BS48" s="14">
        <f t="shared" si="10"/>
        <v>-2.6894338924265089</v>
      </c>
      <c r="BT48" s="14">
        <f t="shared" si="11"/>
        <v>15.044823882529462</v>
      </c>
      <c r="BU48" s="14">
        <f t="shared" si="12"/>
        <v>5.7061250035704418</v>
      </c>
      <c r="BV48" s="16">
        <f t="shared" si="13"/>
        <v>1</v>
      </c>
      <c r="BX48" s="10">
        <f t="shared" si="14"/>
        <v>222.60988528299475</v>
      </c>
      <c r="BY48" s="10">
        <f t="shared" si="15"/>
        <v>1</v>
      </c>
      <c r="BZ48" s="10">
        <f t="shared" si="2"/>
        <v>0</v>
      </c>
      <c r="CA48" s="10">
        <f t="shared" si="16"/>
        <v>0</v>
      </c>
    </row>
    <row r="49" spans="2:79" x14ac:dyDescent="0.25">
      <c r="B49" s="10">
        <f t="shared" si="17"/>
        <v>25</v>
      </c>
      <c r="C49">
        <v>-0.50319613364990801</v>
      </c>
      <c r="D49">
        <v>0.37811673792020883</v>
      </c>
      <c r="E49">
        <v>0.90760750026674941</v>
      </c>
      <c r="F49">
        <v>-0.99229282568558119</v>
      </c>
      <c r="G49">
        <v>0.81845200838870369</v>
      </c>
      <c r="H49">
        <v>0.21283608508560442</v>
      </c>
      <c r="K49" s="10">
        <f>1</f>
        <v>1</v>
      </c>
      <c r="L49" s="10">
        <f t="shared" si="18"/>
        <v>3.0530583291452658</v>
      </c>
      <c r="M49" s="10">
        <f t="shared" si="19"/>
        <v>11.943031181076877</v>
      </c>
      <c r="N49" s="10">
        <f t="shared" si="20"/>
        <v>3.7752362116669858</v>
      </c>
      <c r="O49" s="10">
        <f t="shared" si="21"/>
        <v>9.116837366071918</v>
      </c>
      <c r="P49" s="10">
        <f t="shared" si="22"/>
        <v>9.2310666731467546</v>
      </c>
      <c r="Q49" s="10">
        <f t="shared" si="23"/>
        <v>1</v>
      </c>
      <c r="S49" s="10">
        <f t="shared" si="24"/>
        <v>119.77300246825375</v>
      </c>
      <c r="T49" s="10">
        <f t="shared" si="25"/>
        <v>1</v>
      </c>
      <c r="U49" s="10">
        <f t="shared" si="26"/>
        <v>0</v>
      </c>
      <c r="V49" s="10">
        <f t="shared" si="27"/>
        <v>0</v>
      </c>
      <c r="Y49" s="10">
        <f t="shared" si="28"/>
        <v>0</v>
      </c>
      <c r="Z49" s="10">
        <f t="shared" si="29"/>
        <v>0</v>
      </c>
      <c r="AA49" s="10">
        <f t="shared" si="30"/>
        <v>0</v>
      </c>
      <c r="AB49" s="10">
        <f t="shared" si="31"/>
        <v>0</v>
      </c>
      <c r="AC49" s="10">
        <f t="shared" si="32"/>
        <v>0</v>
      </c>
      <c r="AD49" s="10">
        <f t="shared" si="33"/>
        <v>0</v>
      </c>
      <c r="AE49" s="10">
        <f t="shared" si="34"/>
        <v>-6.4826027367548429</v>
      </c>
      <c r="AF49" s="10">
        <f t="shared" si="35"/>
        <v>-7.3826027367548424</v>
      </c>
      <c r="AG49" s="10">
        <f t="shared" si="36"/>
        <v>-1.2140815074233879</v>
      </c>
      <c r="AH49" s="10">
        <f t="shared" si="37"/>
        <v>-10.202694977743869</v>
      </c>
      <c r="AI49" s="10">
        <f t="shared" si="38"/>
        <v>3.9578569378220445</v>
      </c>
      <c r="AJ49" s="10">
        <f t="shared" si="42"/>
        <v>17.953437740746857</v>
      </c>
      <c r="AK49" s="10">
        <f t="shared" si="39"/>
        <v>1</v>
      </c>
      <c r="AL49" s="10">
        <f t="shared" si="40"/>
        <v>0</v>
      </c>
      <c r="AN49" s="10">
        <f t="shared" si="3"/>
        <v>-1</v>
      </c>
      <c r="AO49" s="10">
        <f t="shared" si="4"/>
        <v>0</v>
      </c>
      <c r="AP49" s="10">
        <f t="shared" si="5"/>
        <v>0</v>
      </c>
      <c r="BG49" s="10">
        <f t="shared" si="7"/>
        <v>26</v>
      </c>
      <c r="BH49">
        <v>1.3445287549984641</v>
      </c>
      <c r="BI49">
        <v>0.5065862751507666</v>
      </c>
      <c r="BJ49">
        <v>3.0540104489773512</v>
      </c>
      <c r="BK49">
        <v>-1.893454282253515E-2</v>
      </c>
      <c r="BL49">
        <v>-0.96512394520686939</v>
      </c>
      <c r="BM49">
        <v>0.68764305551316873</v>
      </c>
      <c r="BP49" s="16">
        <f>1</f>
        <v>1</v>
      </c>
      <c r="BQ49" s="14">
        <f t="shared" si="8"/>
        <v>8.8078909169643627</v>
      </c>
      <c r="BR49" s="14">
        <f t="shared" si="9"/>
        <v>10.193165641712451</v>
      </c>
      <c r="BS49" s="14">
        <f t="shared" si="10"/>
        <v>7.7824220551077179</v>
      </c>
      <c r="BT49" s="14">
        <f t="shared" si="11"/>
        <v>9.0433377630429721</v>
      </c>
      <c r="BU49" s="14">
        <f t="shared" si="12"/>
        <v>1.0974388824817773</v>
      </c>
      <c r="BV49" s="16">
        <f t="shared" si="13"/>
        <v>-1</v>
      </c>
      <c r="BX49" s="10">
        <f t="shared" si="14"/>
        <v>-413.81829375774646</v>
      </c>
      <c r="BY49" s="10">
        <f t="shared" si="15"/>
        <v>-1</v>
      </c>
      <c r="BZ49" s="10">
        <f t="shared" si="2"/>
        <v>0</v>
      </c>
      <c r="CA49" s="10">
        <f t="shared" si="16"/>
        <v>0</v>
      </c>
    </row>
    <row r="50" spans="2:79" x14ac:dyDescent="0.25">
      <c r="B50" s="10">
        <f t="shared" si="17"/>
        <v>26</v>
      </c>
      <c r="C50">
        <v>0.64413825384690426</v>
      </c>
      <c r="D50">
        <v>-0.30471710488200188</v>
      </c>
      <c r="E50">
        <v>-8.1522557593416423E-2</v>
      </c>
      <c r="F50">
        <v>-0.41894963942468166</v>
      </c>
      <c r="G50">
        <v>-0.33030119084287435</v>
      </c>
      <c r="H50">
        <v>0.63631092257454147</v>
      </c>
      <c r="K50" s="10">
        <f>1</f>
        <v>1</v>
      </c>
      <c r="L50" s="10">
        <f t="shared" si="18"/>
        <v>7.6429389011172866</v>
      </c>
      <c r="M50" s="10">
        <f t="shared" si="19"/>
        <v>8.843733422859156</v>
      </c>
      <c r="N50" s="10">
        <f t="shared" si="20"/>
        <v>2.5671236026673543</v>
      </c>
      <c r="O50" s="10">
        <f t="shared" si="21"/>
        <v>8.377996939045854</v>
      </c>
      <c r="P50" s="10">
        <f t="shared" si="22"/>
        <v>2.153332767658696</v>
      </c>
      <c r="Q50" s="10">
        <f t="shared" si="23"/>
        <v>-1</v>
      </c>
      <c r="S50" s="10">
        <f t="shared" si="24"/>
        <v>-28.01733758892577</v>
      </c>
      <c r="T50" s="10">
        <f t="shared" si="25"/>
        <v>-1</v>
      </c>
      <c r="U50" s="10">
        <f t="shared" si="26"/>
        <v>0</v>
      </c>
      <c r="V50" s="10">
        <f t="shared" si="27"/>
        <v>0</v>
      </c>
      <c r="Y50" s="10">
        <f t="shared" si="28"/>
        <v>0</v>
      </c>
      <c r="Z50" s="10">
        <f t="shared" si="29"/>
        <v>0</v>
      </c>
      <c r="AA50" s="10">
        <f t="shared" si="30"/>
        <v>0</v>
      </c>
      <c r="AB50" s="10">
        <f t="shared" si="31"/>
        <v>0</v>
      </c>
      <c r="AC50" s="10">
        <f t="shared" si="32"/>
        <v>0</v>
      </c>
      <c r="AD50" s="10">
        <f t="shared" si="33"/>
        <v>0</v>
      </c>
      <c r="AE50" s="10">
        <f t="shared" si="34"/>
        <v>-6.4826027367548429</v>
      </c>
      <c r="AF50" s="10">
        <f t="shared" si="35"/>
        <v>-7.3826027367548424</v>
      </c>
      <c r="AG50" s="10">
        <f t="shared" si="36"/>
        <v>-1.2140815074233879</v>
      </c>
      <c r="AH50" s="10">
        <f t="shared" si="37"/>
        <v>-10.202694977743869</v>
      </c>
      <c r="AI50" s="10">
        <f t="shared" si="38"/>
        <v>3.9578569378220445</v>
      </c>
      <c r="AJ50" s="10">
        <f t="shared" si="42"/>
        <v>17.953437740746857</v>
      </c>
      <c r="AK50" s="10">
        <f t="shared" si="39"/>
        <v>-1</v>
      </c>
      <c r="AL50" s="10">
        <f t="shared" si="40"/>
        <v>0</v>
      </c>
      <c r="AN50" s="10">
        <f t="shared" si="3"/>
        <v>1</v>
      </c>
      <c r="AO50" s="10">
        <f t="shared" si="4"/>
        <v>0</v>
      </c>
      <c r="AP50" s="10">
        <f t="shared" si="5"/>
        <v>0</v>
      </c>
      <c r="BG50" s="10">
        <f t="shared" si="7"/>
        <v>27</v>
      </c>
      <c r="BH50">
        <v>-1.893049557111226</v>
      </c>
      <c r="BI50">
        <v>-0.75455773185240105</v>
      </c>
      <c r="BJ50">
        <v>-7.8913444667705335E-2</v>
      </c>
      <c r="BK50">
        <v>-0.79767005445319228</v>
      </c>
      <c r="BL50">
        <v>-1.0177723197557498</v>
      </c>
      <c r="BM50">
        <v>0.10138248847926268</v>
      </c>
      <c r="BP50" s="16">
        <f>1</f>
        <v>1</v>
      </c>
      <c r="BQ50" s="14">
        <f t="shared" si="8"/>
        <v>-0.15772491606337091</v>
      </c>
      <c r="BR50" s="14">
        <f t="shared" si="9"/>
        <v>9.3263723676860497</v>
      </c>
      <c r="BS50" s="14">
        <f t="shared" si="10"/>
        <v>1.4962153684801389</v>
      </c>
      <c r="BT50" s="14">
        <f t="shared" si="11"/>
        <v>9.5664470317104602</v>
      </c>
      <c r="BU50" s="14">
        <f t="shared" si="12"/>
        <v>4.9890953920544758</v>
      </c>
      <c r="BV50" s="16">
        <f t="shared" si="13"/>
        <v>1</v>
      </c>
      <c r="BX50" s="10">
        <f t="shared" si="14"/>
        <v>177.28559342911774</v>
      </c>
      <c r="BY50" s="10">
        <f t="shared" si="15"/>
        <v>1</v>
      </c>
      <c r="BZ50" s="10">
        <f t="shared" si="2"/>
        <v>0</v>
      </c>
      <c r="CA50" s="10">
        <f t="shared" si="16"/>
        <v>0</v>
      </c>
    </row>
    <row r="51" spans="2:79" x14ac:dyDescent="0.25">
      <c r="B51" s="10">
        <f t="shared" si="17"/>
        <v>27</v>
      </c>
      <c r="C51">
        <v>0.60031652537873015</v>
      </c>
      <c r="D51">
        <v>0.37171503208810464</v>
      </c>
      <c r="E51">
        <v>-0.27511646294442471</v>
      </c>
      <c r="F51">
        <v>0.71962631409405731</v>
      </c>
      <c r="G51">
        <v>1.5191426427918486</v>
      </c>
      <c r="H51">
        <v>0.412823877681814</v>
      </c>
      <c r="K51" s="10">
        <f>1</f>
        <v>1</v>
      </c>
      <c r="L51" s="10">
        <f t="shared" si="18"/>
        <v>5.6023487051482812</v>
      </c>
      <c r="M51" s="10">
        <f t="shared" si="19"/>
        <v>11.928242218816896</v>
      </c>
      <c r="N51" s="10">
        <f t="shared" si="20"/>
        <v>1.04295507994311</v>
      </c>
      <c r="O51" s="10">
        <f t="shared" si="21"/>
        <v>13.071643821466044</v>
      </c>
      <c r="P51" s="10">
        <f t="shared" si="22"/>
        <v>10.849773877114615</v>
      </c>
      <c r="Q51" s="10">
        <f t="shared" si="23"/>
        <v>1</v>
      </c>
      <c r="S51" s="10">
        <f t="shared" si="24"/>
        <v>173.56110752176889</v>
      </c>
      <c r="T51" s="10">
        <f t="shared" si="25"/>
        <v>1</v>
      </c>
      <c r="U51" s="10">
        <f t="shared" si="26"/>
        <v>0</v>
      </c>
      <c r="V51" s="10">
        <f t="shared" si="27"/>
        <v>0</v>
      </c>
      <c r="Y51" s="10">
        <f t="shared" si="28"/>
        <v>0</v>
      </c>
      <c r="Z51" s="10">
        <f t="shared" si="29"/>
        <v>0</v>
      </c>
      <c r="AA51" s="10">
        <f t="shared" si="30"/>
        <v>0</v>
      </c>
      <c r="AB51" s="10">
        <f t="shared" si="31"/>
        <v>0</v>
      </c>
      <c r="AC51" s="10">
        <f t="shared" si="32"/>
        <v>0</v>
      </c>
      <c r="AD51" s="10">
        <f t="shared" si="33"/>
        <v>0</v>
      </c>
      <c r="AE51" s="10">
        <f t="shared" si="34"/>
        <v>-6.4826027367548429</v>
      </c>
      <c r="AF51" s="10">
        <f t="shared" si="35"/>
        <v>-7.3826027367548424</v>
      </c>
      <c r="AG51" s="10">
        <f t="shared" si="36"/>
        <v>-1.2140815074233879</v>
      </c>
      <c r="AH51" s="10">
        <f t="shared" si="37"/>
        <v>-10.202694977743869</v>
      </c>
      <c r="AI51" s="10">
        <f t="shared" si="38"/>
        <v>3.9578569378220445</v>
      </c>
      <c r="AJ51" s="10">
        <f t="shared" si="42"/>
        <v>17.953437740746857</v>
      </c>
      <c r="AK51" s="10">
        <f t="shared" si="39"/>
        <v>1</v>
      </c>
      <c r="AL51" s="10">
        <f t="shared" si="40"/>
        <v>0</v>
      </c>
      <c r="AN51" s="10">
        <f t="shared" si="3"/>
        <v>-1</v>
      </c>
      <c r="AO51" s="10">
        <f t="shared" si="4"/>
        <v>0</v>
      </c>
      <c r="AP51" s="10">
        <f t="shared" si="5"/>
        <v>0</v>
      </c>
      <c r="BG51" s="10">
        <f t="shared" si="7"/>
        <v>28</v>
      </c>
      <c r="BH51">
        <v>5.4302518037729897E-2</v>
      </c>
      <c r="BI51">
        <v>-0.84789462562184781</v>
      </c>
      <c r="BJ51">
        <v>-0.63531388150295243</v>
      </c>
      <c r="BK51">
        <v>3.2800016924738884</v>
      </c>
      <c r="BL51">
        <v>1.0884969015023671</v>
      </c>
      <c r="BM51">
        <v>0.16125980407116916</v>
      </c>
      <c r="BP51" s="16">
        <f>1</f>
        <v>1</v>
      </c>
      <c r="BQ51" s="14">
        <f t="shared" si="8"/>
        <v>4.3409691979095442</v>
      </c>
      <c r="BR51" s="14">
        <f t="shared" si="9"/>
        <v>9.1107492454085808</v>
      </c>
      <c r="BS51" s="14">
        <f t="shared" si="10"/>
        <v>0.21084155131293714</v>
      </c>
      <c r="BT51" s="14">
        <f t="shared" si="11"/>
        <v>18.986519611657947</v>
      </c>
      <c r="BU51" s="14">
        <f t="shared" si="12"/>
        <v>9.8549134785920192</v>
      </c>
      <c r="BV51" s="16">
        <f t="shared" si="13"/>
        <v>1</v>
      </c>
      <c r="BX51" s="10">
        <f t="shared" si="14"/>
        <v>232.46527956482231</v>
      </c>
      <c r="BY51" s="10">
        <f t="shared" si="15"/>
        <v>1</v>
      </c>
      <c r="BZ51" s="10">
        <f t="shared" si="2"/>
        <v>0</v>
      </c>
      <c r="CA51" s="10">
        <f t="shared" si="16"/>
        <v>0</v>
      </c>
    </row>
    <row r="52" spans="2:79" x14ac:dyDescent="0.25">
      <c r="B52" s="10">
        <f t="shared" si="17"/>
        <v>28</v>
      </c>
      <c r="C52">
        <v>0.4530227215582272</v>
      </c>
      <c r="D52">
        <v>0.97233851192868315</v>
      </c>
      <c r="E52">
        <v>-0.49834056881081779</v>
      </c>
      <c r="F52">
        <v>-0.62216940932557918</v>
      </c>
      <c r="G52">
        <v>-2.09610334422905</v>
      </c>
      <c r="H52">
        <v>0.65703299050874353</v>
      </c>
      <c r="K52" s="10">
        <f>1</f>
        <v>1</v>
      </c>
      <c r="L52" s="10">
        <f t="shared" si="18"/>
        <v>7.3250584840737609</v>
      </c>
      <c r="M52" s="10">
        <f t="shared" si="19"/>
        <v>10.967846346587272</v>
      </c>
      <c r="N52" s="10">
        <f t="shared" si="20"/>
        <v>1.8738346708347302</v>
      </c>
      <c r="O52" s="10">
        <f t="shared" si="21"/>
        <v>8.0399836732794174</v>
      </c>
      <c r="P52" s="10">
        <f t="shared" si="22"/>
        <v>-0.7837070334125027</v>
      </c>
      <c r="Q52" s="10">
        <f t="shared" si="23"/>
        <v>-1</v>
      </c>
      <c r="S52" s="10">
        <f t="shared" si="24"/>
        <v>-75.243752829159547</v>
      </c>
      <c r="T52" s="10">
        <f t="shared" si="25"/>
        <v>-1</v>
      </c>
      <c r="U52" s="10">
        <f t="shared" si="26"/>
        <v>0</v>
      </c>
      <c r="V52" s="10">
        <f t="shared" si="27"/>
        <v>0</v>
      </c>
      <c r="Y52" s="10">
        <f t="shared" si="28"/>
        <v>0</v>
      </c>
      <c r="Z52" s="10">
        <f t="shared" si="29"/>
        <v>0</v>
      </c>
      <c r="AA52" s="10">
        <f t="shared" si="30"/>
        <v>0</v>
      </c>
      <c r="AB52" s="10">
        <f t="shared" si="31"/>
        <v>0</v>
      </c>
      <c r="AC52" s="10">
        <f t="shared" si="32"/>
        <v>0</v>
      </c>
      <c r="AD52" s="10">
        <f t="shared" si="33"/>
        <v>0</v>
      </c>
      <c r="AE52" s="10">
        <f t="shared" si="34"/>
        <v>-6.4826027367548429</v>
      </c>
      <c r="AF52" s="10">
        <f t="shared" si="35"/>
        <v>-7.3826027367548424</v>
      </c>
      <c r="AG52" s="10">
        <f t="shared" si="36"/>
        <v>-1.2140815074233879</v>
      </c>
      <c r="AH52" s="10">
        <f t="shared" si="37"/>
        <v>-10.202694977743869</v>
      </c>
      <c r="AI52" s="10">
        <f t="shared" si="38"/>
        <v>3.9578569378220445</v>
      </c>
      <c r="AJ52" s="10">
        <f t="shared" si="42"/>
        <v>17.953437740746857</v>
      </c>
      <c r="AK52" s="10">
        <f t="shared" si="39"/>
        <v>-1</v>
      </c>
      <c r="AL52" s="10">
        <f t="shared" si="40"/>
        <v>0</v>
      </c>
      <c r="AN52" s="10">
        <f t="shared" si="3"/>
        <v>-1</v>
      </c>
      <c r="AO52" s="10">
        <f t="shared" si="4"/>
        <v>0</v>
      </c>
      <c r="AP52" s="10">
        <f t="shared" si="5"/>
        <v>0</v>
      </c>
      <c r="BG52" s="10">
        <f t="shared" si="7"/>
        <v>29</v>
      </c>
      <c r="BH52">
        <v>1.8481750885257497</v>
      </c>
      <c r="BI52">
        <v>-0.42187480175925884</v>
      </c>
      <c r="BJ52">
        <v>-0.31885065254755318</v>
      </c>
      <c r="BK52">
        <v>0.55690406952635385</v>
      </c>
      <c r="BL52">
        <v>-0.87955413619056344</v>
      </c>
      <c r="BM52">
        <v>4.4618060853907897E-2</v>
      </c>
      <c r="BP52" s="16">
        <f>1</f>
        <v>1</v>
      </c>
      <c r="BQ52" s="14">
        <f t="shared" si="8"/>
        <v>8.4851011589749952</v>
      </c>
      <c r="BR52" s="14">
        <f t="shared" si="9"/>
        <v>10.094923036324026</v>
      </c>
      <c r="BS52" s="14">
        <f t="shared" si="10"/>
        <v>0.94192212146695964</v>
      </c>
      <c r="BT52" s="14">
        <f t="shared" si="11"/>
        <v>12.69572946412355</v>
      </c>
      <c r="BU52" s="14">
        <f t="shared" si="12"/>
        <v>5.3084014573437575</v>
      </c>
      <c r="BV52" s="16">
        <f t="shared" si="13"/>
        <v>1</v>
      </c>
      <c r="BX52" s="10">
        <f t="shared" si="14"/>
        <v>-109.13143502157016</v>
      </c>
      <c r="BY52" s="10">
        <f t="shared" si="15"/>
        <v>-1</v>
      </c>
      <c r="BZ52" s="10">
        <f t="shared" si="2"/>
        <v>-1</v>
      </c>
      <c r="CA52" s="10">
        <f t="shared" si="16"/>
        <v>1</v>
      </c>
    </row>
    <row r="53" spans="2:79" x14ac:dyDescent="0.25">
      <c r="B53" s="10">
        <f t="shared" si="17"/>
        <v>29</v>
      </c>
      <c r="C53">
        <v>-1.3779526852886193</v>
      </c>
      <c r="D53">
        <v>1.0314784049114678</v>
      </c>
      <c r="E53">
        <v>-0.24883092919480987</v>
      </c>
      <c r="F53">
        <v>-1.3884573490940966E-2</v>
      </c>
      <c r="G53">
        <v>0.21339474187698215</v>
      </c>
      <c r="H53">
        <v>0.56016724143192842</v>
      </c>
      <c r="K53" s="10">
        <f>1</f>
        <v>1</v>
      </c>
      <c r="L53" s="10">
        <f t="shared" si="18"/>
        <v>4.2796167088560129</v>
      </c>
      <c r="M53" s="10">
        <f t="shared" si="19"/>
        <v>11.066213096898705</v>
      </c>
      <c r="N53" s="10">
        <f t="shared" si="20"/>
        <v>2.2888413809001023</v>
      </c>
      <c r="O53" s="10">
        <f t="shared" si="21"/>
        <v>9.0517373229215448</v>
      </c>
      <c r="P53" s="10">
        <f t="shared" si="22"/>
        <v>3.0576563868232487</v>
      </c>
      <c r="Q53" s="10">
        <f t="shared" si="23"/>
        <v>-1</v>
      </c>
      <c r="S53" s="10">
        <f t="shared" si="24"/>
        <v>15.855977032565917</v>
      </c>
      <c r="T53" s="10">
        <f t="shared" si="25"/>
        <v>1</v>
      </c>
      <c r="U53" s="10">
        <f t="shared" si="26"/>
        <v>-1</v>
      </c>
      <c r="V53" s="10">
        <f t="shared" si="27"/>
        <v>1</v>
      </c>
      <c r="Y53" s="10">
        <f t="shared" si="28"/>
        <v>-0.8947752311777093</v>
      </c>
      <c r="Z53" s="10">
        <f t="shared" si="29"/>
        <v>-3.8292950300186264</v>
      </c>
      <c r="AA53" s="10">
        <f t="shared" si="30"/>
        <v>-9.9017733820393339</v>
      </c>
      <c r="AB53" s="10">
        <f t="shared" si="31"/>
        <v>-2.0479985757239962</v>
      </c>
      <c r="AC53" s="10">
        <f t="shared" si="32"/>
        <v>-8.0992703556770245</v>
      </c>
      <c r="AD53" s="10">
        <f t="shared" si="33"/>
        <v>-2.7359152003817715</v>
      </c>
      <c r="AE53" s="10">
        <f t="shared" si="34"/>
        <v>-10.31189776677347</v>
      </c>
      <c r="AF53" s="10">
        <f t="shared" si="35"/>
        <v>-11.211897766773468</v>
      </c>
      <c r="AG53" s="10">
        <f t="shared" si="36"/>
        <v>-11.115854889462721</v>
      </c>
      <c r="AH53" s="10">
        <f t="shared" si="37"/>
        <v>-12.250693553467865</v>
      </c>
      <c r="AI53" s="10">
        <f t="shared" si="38"/>
        <v>-4.14141341785498</v>
      </c>
      <c r="AJ53" s="10">
        <f t="shared" si="42"/>
        <v>17.953437740746857</v>
      </c>
      <c r="AK53" s="10">
        <f t="shared" si="39"/>
        <v>-1</v>
      </c>
      <c r="AL53" s="10">
        <f t="shared" si="40"/>
        <v>0</v>
      </c>
      <c r="AN53" s="10">
        <f t="shared" si="3"/>
        <v>1</v>
      </c>
      <c r="AO53" s="10">
        <f t="shared" si="4"/>
        <v>0</v>
      </c>
      <c r="AP53" s="10">
        <f t="shared" si="5"/>
        <v>0</v>
      </c>
      <c r="BG53" s="10">
        <f t="shared" si="7"/>
        <v>30</v>
      </c>
      <c r="BH53">
        <v>-0.61550053942482919</v>
      </c>
      <c r="BI53">
        <v>-1.5703380995546468</v>
      </c>
      <c r="BJ53">
        <v>-0.27328951546223834</v>
      </c>
      <c r="BK53">
        <v>-0.17146703612525016</v>
      </c>
      <c r="BL53">
        <v>-0.67763721744995564</v>
      </c>
      <c r="BM53">
        <v>0.80675679799798583</v>
      </c>
      <c r="BP53" s="16">
        <f>1</f>
        <v>1</v>
      </c>
      <c r="BQ53" s="14">
        <f t="shared" si="8"/>
        <v>5.5477951933593976</v>
      </c>
      <c r="BR53" s="14">
        <f t="shared" si="9"/>
        <v>6.7386395836107109</v>
      </c>
      <c r="BS53" s="14">
        <f t="shared" si="10"/>
        <v>2.2481596764364311</v>
      </c>
      <c r="BT53" s="14">
        <f t="shared" si="11"/>
        <v>8.7896321013256564</v>
      </c>
      <c r="BU53" s="14">
        <f t="shared" si="12"/>
        <v>1.5756124763255701</v>
      </c>
      <c r="BV53" s="16">
        <f t="shared" si="13"/>
        <v>-1</v>
      </c>
      <c r="BX53" s="10">
        <f t="shared" si="14"/>
        <v>-195.22707279036393</v>
      </c>
      <c r="BY53" s="10">
        <f t="shared" si="15"/>
        <v>-1</v>
      </c>
      <c r="BZ53" s="10">
        <f t="shared" si="2"/>
        <v>0</v>
      </c>
      <c r="CA53" s="10">
        <f t="shared" si="16"/>
        <v>0</v>
      </c>
    </row>
    <row r="54" spans="2:79" x14ac:dyDescent="0.25">
      <c r="B54" s="10">
        <f t="shared" si="17"/>
        <v>30</v>
      </c>
      <c r="C54">
        <v>1.0040002962341532</v>
      </c>
      <c r="D54">
        <v>-1.3519320418708958</v>
      </c>
      <c r="E54">
        <v>2.125198079738766</v>
      </c>
      <c r="F54">
        <v>0.9434143066755496</v>
      </c>
      <c r="G54">
        <v>1.4491979527520016</v>
      </c>
      <c r="H54">
        <v>0.37269203772087772</v>
      </c>
      <c r="K54" s="10">
        <f>1</f>
        <v>1</v>
      </c>
      <c r="L54" s="10">
        <f t="shared" si="18"/>
        <v>6.534922648519446</v>
      </c>
      <c r="M54" s="10">
        <f t="shared" si="19"/>
        <v>7.9463423635517074</v>
      </c>
      <c r="N54" s="10">
        <f t="shared" si="20"/>
        <v>6.5880647920769491</v>
      </c>
      <c r="O54" s="10">
        <f t="shared" si="21"/>
        <v>13.588629803534625</v>
      </c>
      <c r="P54" s="10">
        <f t="shared" si="22"/>
        <v>10.688190479124371</v>
      </c>
      <c r="Q54" s="10">
        <f t="shared" si="23"/>
        <v>1</v>
      </c>
      <c r="S54" s="10">
        <f t="shared" si="24"/>
        <v>-117.00590537952235</v>
      </c>
      <c r="T54" s="10">
        <f t="shared" si="25"/>
        <v>-1</v>
      </c>
      <c r="U54" s="10">
        <f t="shared" si="26"/>
        <v>1</v>
      </c>
      <c r="V54" s="10">
        <f t="shared" si="27"/>
        <v>1</v>
      </c>
      <c r="Y54" s="10">
        <f t="shared" si="28"/>
        <v>0.8947752311777093</v>
      </c>
      <c r="Z54" s="10">
        <f t="shared" si="29"/>
        <v>5.8472869235574354</v>
      </c>
      <c r="AA54" s="10">
        <f t="shared" si="30"/>
        <v>7.1101903253642043</v>
      </c>
      <c r="AB54" s="10">
        <f t="shared" si="31"/>
        <v>5.8948371973443798</v>
      </c>
      <c r="AC54" s="10">
        <f t="shared" si="32"/>
        <v>12.158769373846004</v>
      </c>
      <c r="AD54" s="10">
        <f t="shared" si="33"/>
        <v>9.5635281068299012</v>
      </c>
      <c r="AE54" s="10">
        <f t="shared" si="34"/>
        <v>-4.4646108432160343</v>
      </c>
      <c r="AF54" s="10">
        <f t="shared" si="35"/>
        <v>-5.3646108432160329</v>
      </c>
      <c r="AG54" s="10">
        <f t="shared" si="36"/>
        <v>-4.0056645640985167</v>
      </c>
      <c r="AH54" s="10">
        <f t="shared" si="37"/>
        <v>-6.3558563561234855</v>
      </c>
      <c r="AI54" s="10">
        <f t="shared" si="38"/>
        <v>8.0173559559910252</v>
      </c>
      <c r="AJ54" s="10">
        <f t="shared" si="42"/>
        <v>15.217522540365085</v>
      </c>
      <c r="AK54" s="10">
        <f t="shared" si="39"/>
        <v>1</v>
      </c>
      <c r="AL54" s="10">
        <f t="shared" si="40"/>
        <v>0</v>
      </c>
      <c r="AN54" s="10">
        <f t="shared" si="3"/>
        <v>-1</v>
      </c>
      <c r="AO54" s="10">
        <f t="shared" si="4"/>
        <v>0</v>
      </c>
      <c r="AP54" s="10">
        <f t="shared" si="5"/>
        <v>0</v>
      </c>
      <c r="BG54" s="10">
        <f t="shared" si="7"/>
        <v>31</v>
      </c>
      <c r="BH54">
        <v>-0.51303231884958223</v>
      </c>
      <c r="BI54">
        <v>-0.92061782197561115</v>
      </c>
      <c r="BJ54">
        <v>-0.63774905356694944</v>
      </c>
      <c r="BK54">
        <v>1.3638555174111389</v>
      </c>
      <c r="BL54">
        <v>0.48109086492331699</v>
      </c>
      <c r="BM54">
        <v>0.9804376354258858</v>
      </c>
      <c r="BP54" s="16">
        <f>1</f>
        <v>1</v>
      </c>
      <c r="BQ54" s="14">
        <f t="shared" si="8"/>
        <v>5.7182294866902339</v>
      </c>
      <c r="BR54" s="14">
        <f t="shared" si="9"/>
        <v>7.8193123595235203</v>
      </c>
      <c r="BS54" s="14">
        <f t="shared" si="10"/>
        <v>1.6419580319085565</v>
      </c>
      <c r="BT54" s="14">
        <f t="shared" si="11"/>
        <v>11.343317653566837</v>
      </c>
      <c r="BU54" s="14">
        <f t="shared" si="12"/>
        <v>3.5029124799092282</v>
      </c>
      <c r="BV54" s="16">
        <f t="shared" si="13"/>
        <v>-1</v>
      </c>
      <c r="BX54" s="10">
        <f t="shared" si="14"/>
        <v>-107.90276922850381</v>
      </c>
      <c r="BY54" s="10">
        <f t="shared" si="15"/>
        <v>-1</v>
      </c>
      <c r="BZ54" s="10">
        <f t="shared" si="2"/>
        <v>0</v>
      </c>
      <c r="CA54" s="10">
        <f t="shared" si="16"/>
        <v>0</v>
      </c>
    </row>
    <row r="55" spans="2:79" x14ac:dyDescent="0.25">
      <c r="B55" s="10">
        <f t="shared" si="17"/>
        <v>31</v>
      </c>
      <c r="C55">
        <v>0.20331071937107481</v>
      </c>
      <c r="D55">
        <v>0.60673983171000145</v>
      </c>
      <c r="E55">
        <v>0.15681280274293385</v>
      </c>
      <c r="F55">
        <v>1.3325370673555881</v>
      </c>
      <c r="G55">
        <v>0.78646962720085867</v>
      </c>
      <c r="H55">
        <v>0.58183538315988648</v>
      </c>
      <c r="K55" s="10">
        <f>1</f>
        <v>1</v>
      </c>
      <c r="L55" s="10">
        <f t="shared" si="18"/>
        <v>6.9097151865121296</v>
      </c>
      <c r="M55" s="10">
        <f t="shared" si="19"/>
        <v>10.359749979187193</v>
      </c>
      <c r="N55" s="10">
        <f t="shared" si="20"/>
        <v>2.9635442537398182</v>
      </c>
      <c r="O55" s="10">
        <f t="shared" si="21"/>
        <v>11.291226011168156</v>
      </c>
      <c r="P55" s="10">
        <f t="shared" si="22"/>
        <v>4.0108457030571607</v>
      </c>
      <c r="Q55" s="10">
        <f t="shared" si="23"/>
        <v>-1</v>
      </c>
      <c r="S55" s="10">
        <f t="shared" si="24"/>
        <v>49.694824180629162</v>
      </c>
      <c r="T55" s="10">
        <f t="shared" si="25"/>
        <v>1</v>
      </c>
      <c r="U55" s="10">
        <f t="shared" si="26"/>
        <v>-1</v>
      </c>
      <c r="V55" s="10">
        <f t="shared" si="27"/>
        <v>1</v>
      </c>
      <c r="Y55" s="10">
        <f t="shared" si="28"/>
        <v>-0.8947752311777093</v>
      </c>
      <c r="Z55" s="10">
        <f t="shared" si="29"/>
        <v>-6.1826420033835197</v>
      </c>
      <c r="AA55" s="10">
        <f t="shared" si="30"/>
        <v>-9.2696476825704899</v>
      </c>
      <c r="AB55" s="10">
        <f t="shared" si="31"/>
        <v>-2.6517059947454178</v>
      </c>
      <c r="AC55" s="10">
        <f t="shared" si="32"/>
        <v>-10.103109364422751</v>
      </c>
      <c r="AD55" s="10">
        <f t="shared" si="33"/>
        <v>-3.5888053911710931</v>
      </c>
      <c r="AE55" s="10">
        <f t="shared" si="34"/>
        <v>-10.647252846599553</v>
      </c>
      <c r="AF55" s="10">
        <f t="shared" si="35"/>
        <v>-11.547252846599552</v>
      </c>
      <c r="AG55" s="10">
        <f t="shared" si="36"/>
        <v>-13.275312246669007</v>
      </c>
      <c r="AH55" s="10">
        <f t="shared" si="37"/>
        <v>-9.0075623508689038</v>
      </c>
      <c r="AI55" s="10">
        <f t="shared" si="38"/>
        <v>-2.0857534084317262</v>
      </c>
      <c r="AJ55" s="10">
        <f t="shared" si="42"/>
        <v>24.781050647194988</v>
      </c>
      <c r="AK55" s="10">
        <f t="shared" si="39"/>
        <v>-1</v>
      </c>
      <c r="AL55" s="10">
        <f t="shared" si="40"/>
        <v>0</v>
      </c>
      <c r="AN55" s="10">
        <f t="shared" si="3"/>
        <v>-1</v>
      </c>
      <c r="AO55" s="10">
        <f t="shared" si="4"/>
        <v>0</v>
      </c>
      <c r="AP55" s="10">
        <f t="shared" si="5"/>
        <v>0</v>
      </c>
      <c r="BG55" s="10">
        <f t="shared" si="7"/>
        <v>32</v>
      </c>
      <c r="BH55">
        <v>-0.25846929929684848</v>
      </c>
      <c r="BI55">
        <v>-1.5622526916558854</v>
      </c>
      <c r="BJ55">
        <v>8.0601694207871333E-2</v>
      </c>
      <c r="BK55">
        <v>0.43335830923751928</v>
      </c>
      <c r="BL55">
        <v>-0.44625153350352775</v>
      </c>
      <c r="BM55">
        <v>0.48899807733390299</v>
      </c>
      <c r="BP55" s="16">
        <f>1</f>
        <v>1</v>
      </c>
      <c r="BQ55" s="14">
        <f t="shared" si="8"/>
        <v>3.6184163777924883</v>
      </c>
      <c r="BR55" s="14">
        <f t="shared" si="9"/>
        <v>7.4604680928899327</v>
      </c>
      <c r="BS55" s="14">
        <f t="shared" si="10"/>
        <v>1.8647207997818915</v>
      </c>
      <c r="BT55" s="14">
        <f t="shared" si="11"/>
        <v>12.410319038494597</v>
      </c>
      <c r="BU55" s="14">
        <f t="shared" si="12"/>
        <v>6.3093996297611454</v>
      </c>
      <c r="BV55" s="16">
        <f t="shared" si="13"/>
        <v>1</v>
      </c>
      <c r="BX55" s="10">
        <f t="shared" si="14"/>
        <v>82.620198755191183</v>
      </c>
      <c r="BY55" s="10">
        <f t="shared" si="15"/>
        <v>1</v>
      </c>
      <c r="BZ55" s="10">
        <f t="shared" si="2"/>
        <v>0</v>
      </c>
      <c r="CA55" s="10">
        <f t="shared" si="16"/>
        <v>0</v>
      </c>
    </row>
    <row r="56" spans="2:79" x14ac:dyDescent="0.25">
      <c r="B56" s="10">
        <f t="shared" si="17"/>
        <v>32</v>
      </c>
      <c r="C56">
        <v>6.6794427766581066E-2</v>
      </c>
      <c r="D56">
        <v>-0.37507788874791004</v>
      </c>
      <c r="E56">
        <v>0.59501189753063954</v>
      </c>
      <c r="F56">
        <v>3.0947830964578316E-2</v>
      </c>
      <c r="G56">
        <v>0.2184845016017789</v>
      </c>
      <c r="H56">
        <v>0.87688833277382727</v>
      </c>
      <c r="K56" s="10">
        <f>1</f>
        <v>1</v>
      </c>
      <c r="L56" s="10">
        <f t="shared" si="18"/>
        <v>6.6826491014650848</v>
      </c>
      <c r="M56" s="10">
        <f t="shared" si="19"/>
        <v>8.7267030849742149</v>
      </c>
      <c r="N56" s="10">
        <f t="shared" si="20"/>
        <v>3.6923961127755782</v>
      </c>
      <c r="O56" s="10">
        <f t="shared" si="21"/>
        <v>9.1263065808710149</v>
      </c>
      <c r="P56" s="10">
        <f t="shared" si="22"/>
        <v>3.0661221296364798</v>
      </c>
      <c r="Q56" s="10">
        <f t="shared" si="23"/>
        <v>-1</v>
      </c>
      <c r="S56" s="10">
        <f t="shared" si="24"/>
        <v>-179.97618552569023</v>
      </c>
      <c r="T56" s="10">
        <f t="shared" si="25"/>
        <v>-1</v>
      </c>
      <c r="U56" s="10">
        <f t="shared" si="26"/>
        <v>0</v>
      </c>
      <c r="V56" s="10">
        <f t="shared" si="27"/>
        <v>0</v>
      </c>
      <c r="Y56" s="10">
        <f t="shared" si="28"/>
        <v>0</v>
      </c>
      <c r="Z56" s="10">
        <f t="shared" si="29"/>
        <v>0</v>
      </c>
      <c r="AA56" s="10">
        <f t="shared" si="30"/>
        <v>0</v>
      </c>
      <c r="AB56" s="10">
        <f t="shared" si="31"/>
        <v>0</v>
      </c>
      <c r="AC56" s="10">
        <f t="shared" si="32"/>
        <v>0</v>
      </c>
      <c r="AD56" s="10">
        <f t="shared" si="33"/>
        <v>0</v>
      </c>
      <c r="AE56" s="10">
        <f t="shared" si="34"/>
        <v>-10.647252846599553</v>
      </c>
      <c r="AF56" s="10">
        <f t="shared" si="35"/>
        <v>-11.547252846599552</v>
      </c>
      <c r="AG56" s="10">
        <f t="shared" si="36"/>
        <v>-13.275312246669007</v>
      </c>
      <c r="AH56" s="10">
        <f t="shared" si="37"/>
        <v>-9.0075623508689038</v>
      </c>
      <c r="AI56" s="10">
        <f t="shared" si="38"/>
        <v>-2.0857534084317262</v>
      </c>
      <c r="AJ56" s="10">
        <f t="shared" si="42"/>
        <v>21.192245256023895</v>
      </c>
      <c r="AK56" s="10">
        <f t="shared" si="39"/>
        <v>-1</v>
      </c>
      <c r="AL56" s="10">
        <f t="shared" si="40"/>
        <v>0</v>
      </c>
      <c r="AN56" s="10">
        <f t="shared" si="3"/>
        <v>1</v>
      </c>
      <c r="AO56" s="10">
        <f t="shared" si="4"/>
        <v>0</v>
      </c>
      <c r="AP56" s="10">
        <f t="shared" si="5"/>
        <v>0</v>
      </c>
      <c r="BG56" s="10">
        <f t="shared" si="7"/>
        <v>33</v>
      </c>
      <c r="BH56">
        <v>-0.10611074685584754</v>
      </c>
      <c r="BI56">
        <v>-0.50536868911876809</v>
      </c>
      <c r="BJ56">
        <v>0.96792973636183888</v>
      </c>
      <c r="BK56">
        <v>-0.99079215942765586</v>
      </c>
      <c r="BL56">
        <v>0.17573711375007406</v>
      </c>
      <c r="BM56">
        <v>0.14554277169103061</v>
      </c>
      <c r="BP56" s="16">
        <f>1</f>
        <v>1</v>
      </c>
      <c r="BQ56" s="14">
        <f t="shared" si="8"/>
        <v>3.9703889521546958</v>
      </c>
      <c r="BR56" s="14">
        <f t="shared" si="9"/>
        <v>9.9020388299135291</v>
      </c>
      <c r="BS56" s="14">
        <f t="shared" si="10"/>
        <v>3.9145902051876007</v>
      </c>
      <c r="BT56" s="14">
        <f t="shared" si="11"/>
        <v>9.1203041446517741</v>
      </c>
      <c r="BU56" s="14">
        <f t="shared" si="12"/>
        <v>7.7462926816473701</v>
      </c>
      <c r="BV56" s="16">
        <f t="shared" si="13"/>
        <v>1</v>
      </c>
      <c r="BX56" s="10">
        <f t="shared" si="14"/>
        <v>114.96571186427153</v>
      </c>
      <c r="BY56" s="10">
        <f t="shared" si="15"/>
        <v>1</v>
      </c>
      <c r="BZ56" s="10">
        <f t="shared" si="2"/>
        <v>0</v>
      </c>
      <c r="CA56" s="10">
        <f t="shared" si="16"/>
        <v>0</v>
      </c>
    </row>
    <row r="57" spans="2:79" x14ac:dyDescent="0.25">
      <c r="B57" s="10">
        <f t="shared" si="17"/>
        <v>33</v>
      </c>
      <c r="C57">
        <v>-1.0868393474083859</v>
      </c>
      <c r="D57">
        <v>-0.29271859602886252</v>
      </c>
      <c r="E57">
        <v>0.70621126724290662</v>
      </c>
      <c r="F57">
        <v>-0.44684384192805737</v>
      </c>
      <c r="G57">
        <v>1.5764044292154722</v>
      </c>
      <c r="H57">
        <v>0.13577684865871151</v>
      </c>
      <c r="K57" s="10">
        <f>1</f>
        <v>1</v>
      </c>
      <c r="L57" s="10">
        <f t="shared" si="18"/>
        <v>1.7047493490166148</v>
      </c>
      <c r="M57" s="10">
        <f t="shared" si="19"/>
        <v>10.393294486416309</v>
      </c>
      <c r="N57" s="10">
        <f t="shared" si="20"/>
        <v>3.3099787681657249</v>
      </c>
      <c r="O57" s="10">
        <f t="shared" si="21"/>
        <v>10.376911578648389</v>
      </c>
      <c r="P57" s="10">
        <f t="shared" si="22"/>
        <v>10.982057743410248</v>
      </c>
      <c r="Q57" s="10">
        <f t="shared" si="23"/>
        <v>1</v>
      </c>
      <c r="S57" s="10">
        <f t="shared" si="24"/>
        <v>12.969288087170497</v>
      </c>
      <c r="T57" s="10">
        <f t="shared" si="25"/>
        <v>1</v>
      </c>
      <c r="U57" s="10">
        <f t="shared" si="26"/>
        <v>0</v>
      </c>
      <c r="V57" s="10">
        <f t="shared" si="27"/>
        <v>0</v>
      </c>
      <c r="Y57" s="10">
        <f t="shared" si="28"/>
        <v>0</v>
      </c>
      <c r="Z57" s="10">
        <f t="shared" si="29"/>
        <v>0</v>
      </c>
      <c r="AA57" s="10">
        <f t="shared" si="30"/>
        <v>0</v>
      </c>
      <c r="AB57" s="10">
        <f t="shared" si="31"/>
        <v>0</v>
      </c>
      <c r="AC57" s="10">
        <f t="shared" si="32"/>
        <v>0</v>
      </c>
      <c r="AD57" s="10">
        <f t="shared" si="33"/>
        <v>0</v>
      </c>
      <c r="AE57" s="10">
        <f t="shared" si="34"/>
        <v>-10.647252846599553</v>
      </c>
      <c r="AF57" s="10">
        <f t="shared" si="35"/>
        <v>-11.547252846599552</v>
      </c>
      <c r="AG57" s="10">
        <f t="shared" si="36"/>
        <v>-13.275312246669007</v>
      </c>
      <c r="AH57" s="10">
        <f t="shared" si="37"/>
        <v>-9.0075623508689038</v>
      </c>
      <c r="AI57" s="10">
        <f t="shared" si="38"/>
        <v>-2.0857534084317262</v>
      </c>
      <c r="AJ57" s="10">
        <f t="shared" si="42"/>
        <v>21.192245256023895</v>
      </c>
      <c r="AK57" s="10">
        <f t="shared" si="39"/>
        <v>1</v>
      </c>
      <c r="AL57" s="10">
        <f t="shared" si="40"/>
        <v>0</v>
      </c>
      <c r="AN57" s="10">
        <f t="shared" si="3"/>
        <v>-1</v>
      </c>
      <c r="AO57" s="10">
        <f t="shared" si="4"/>
        <v>0</v>
      </c>
      <c r="AP57" s="10">
        <f t="shared" si="5"/>
        <v>0</v>
      </c>
      <c r="BG57" s="10">
        <f t="shared" si="7"/>
        <v>34</v>
      </c>
      <c r="BH57">
        <v>-0.45293745642993599</v>
      </c>
      <c r="BI57">
        <v>-1.0572148312348872</v>
      </c>
      <c r="BJ57">
        <v>0.94413053375319578</v>
      </c>
      <c r="BK57">
        <v>0.38305188354570419</v>
      </c>
      <c r="BL57">
        <v>-0.85735791799379513</v>
      </c>
      <c r="BM57">
        <v>0.31601916562395094</v>
      </c>
      <c r="BP57" s="16">
        <f>1</f>
        <v>1</v>
      </c>
      <c r="BQ57" s="14">
        <f t="shared" si="8"/>
        <v>3.1691638954015668</v>
      </c>
      <c r="BR57" s="14">
        <f t="shared" si="9"/>
        <v>8.6271861604667119</v>
      </c>
      <c r="BS57" s="14">
        <f t="shared" si="10"/>
        <v>3.85961024852796</v>
      </c>
      <c r="BT57" s="14">
        <f t="shared" si="11"/>
        <v>12.294103165647119</v>
      </c>
      <c r="BU57" s="14">
        <f t="shared" si="12"/>
        <v>5.3596782641567335</v>
      </c>
      <c r="BV57" s="16">
        <f t="shared" si="13"/>
        <v>1</v>
      </c>
      <c r="BX57" s="10">
        <f t="shared" si="14"/>
        <v>27.15293481317488</v>
      </c>
      <c r="BY57" s="10">
        <f t="shared" si="15"/>
        <v>1</v>
      </c>
      <c r="BZ57" s="10">
        <f t="shared" si="2"/>
        <v>0</v>
      </c>
      <c r="CA57" s="10">
        <f t="shared" si="16"/>
        <v>0</v>
      </c>
    </row>
    <row r="58" spans="2:79" x14ac:dyDescent="0.25">
      <c r="B58" s="10">
        <f t="shared" si="17"/>
        <v>34</v>
      </c>
      <c r="C58">
        <v>-0.10941903383354656</v>
      </c>
      <c r="D58">
        <v>-0.24914697860367596</v>
      </c>
      <c r="E58">
        <v>1.3625003703054972</v>
      </c>
      <c r="F58">
        <v>-0.22373683350451756</v>
      </c>
      <c r="G58">
        <v>-1.3428325473796576</v>
      </c>
      <c r="H58">
        <v>0.6921292764061403</v>
      </c>
      <c r="K58" s="10">
        <f>1</f>
        <v>1</v>
      </c>
      <c r="L58" s="10">
        <f t="shared" si="18"/>
        <v>6.3895551389214109</v>
      </c>
      <c r="M58" s="10">
        <f t="shared" si="19"/>
        <v>8.9361626184612888</v>
      </c>
      <c r="N58" s="10">
        <f t="shared" si="20"/>
        <v>4.9689514658656542</v>
      </c>
      <c r="O58" s="10">
        <f t="shared" si="21"/>
        <v>8.702692307418145</v>
      </c>
      <c r="P58" s="10">
        <f t="shared" si="22"/>
        <v>0.46920021165383652</v>
      </c>
      <c r="Q58" s="10">
        <f t="shared" si="23"/>
        <v>-1</v>
      </c>
      <c r="S58" s="10">
        <f t="shared" si="24"/>
        <v>-256.02581499050939</v>
      </c>
      <c r="T58" s="10">
        <f t="shared" si="25"/>
        <v>-1</v>
      </c>
      <c r="U58" s="10">
        <f t="shared" si="26"/>
        <v>0</v>
      </c>
      <c r="V58" s="10">
        <f t="shared" si="27"/>
        <v>0</v>
      </c>
      <c r="Y58" s="10">
        <f t="shared" si="28"/>
        <v>0</v>
      </c>
      <c r="Z58" s="10">
        <f t="shared" si="29"/>
        <v>0</v>
      </c>
      <c r="AA58" s="10">
        <f t="shared" si="30"/>
        <v>0</v>
      </c>
      <c r="AB58" s="10">
        <f t="shared" si="31"/>
        <v>0</v>
      </c>
      <c r="AC58" s="10">
        <f t="shared" si="32"/>
        <v>0</v>
      </c>
      <c r="AD58" s="10">
        <f t="shared" si="33"/>
        <v>0</v>
      </c>
      <c r="AE58" s="10">
        <f t="shared" si="34"/>
        <v>-10.647252846599553</v>
      </c>
      <c r="AF58" s="10">
        <f t="shared" si="35"/>
        <v>-11.547252846599552</v>
      </c>
      <c r="AG58" s="10">
        <f t="shared" si="36"/>
        <v>-13.275312246669007</v>
      </c>
      <c r="AH58" s="10">
        <f t="shared" si="37"/>
        <v>-9.0075623508689038</v>
      </c>
      <c r="AI58" s="10">
        <f t="shared" si="38"/>
        <v>-2.0857534084317262</v>
      </c>
      <c r="AJ58" s="10">
        <f t="shared" si="42"/>
        <v>21.192245256023895</v>
      </c>
      <c r="AK58" s="10">
        <f t="shared" si="39"/>
        <v>-1</v>
      </c>
      <c r="AL58" s="10">
        <f t="shared" si="40"/>
        <v>0</v>
      </c>
      <c r="AN58" s="10">
        <f t="shared" si="3"/>
        <v>1</v>
      </c>
      <c r="AO58" s="10">
        <f t="shared" si="4"/>
        <v>0</v>
      </c>
      <c r="AP58" s="10">
        <f t="shared" si="5"/>
        <v>0</v>
      </c>
      <c r="BG58" s="10">
        <f t="shared" si="7"/>
        <v>35</v>
      </c>
      <c r="BH58">
        <v>-0.94891902335803024</v>
      </c>
      <c r="BI58">
        <v>1.6343938114005141</v>
      </c>
      <c r="BJ58">
        <v>-0.38181724448804744</v>
      </c>
      <c r="BK58">
        <v>1.2354007594694849</v>
      </c>
      <c r="BL58">
        <v>0.44034322854713537</v>
      </c>
      <c r="BM58">
        <v>0.8231757560960723</v>
      </c>
      <c r="BP58" s="16">
        <f>1</f>
        <v>1</v>
      </c>
      <c r="BQ58" s="14">
        <f t="shared" si="8"/>
        <v>4.9932238016285897</v>
      </c>
      <c r="BR58" s="14">
        <f t="shared" si="9"/>
        <v>12.069035832244007</v>
      </c>
      <c r="BS58" s="14">
        <f t="shared" si="10"/>
        <v>2.0676466676277019</v>
      </c>
      <c r="BT58" s="14">
        <f t="shared" si="11"/>
        <v>11.129660231081468</v>
      </c>
      <c r="BU58" s="14">
        <f t="shared" si="12"/>
        <v>3.4351373729376329</v>
      </c>
      <c r="BV58" s="16">
        <f t="shared" si="13"/>
        <v>-1</v>
      </c>
      <c r="BX58" s="10">
        <f t="shared" si="14"/>
        <v>-76.81951068271016</v>
      </c>
      <c r="BY58" s="10">
        <f t="shared" si="15"/>
        <v>-1</v>
      </c>
      <c r="BZ58" s="10">
        <f t="shared" si="2"/>
        <v>0</v>
      </c>
      <c r="CA58" s="10">
        <f t="shared" si="16"/>
        <v>0</v>
      </c>
    </row>
    <row r="59" spans="2:79" x14ac:dyDescent="0.25">
      <c r="B59" s="10">
        <f t="shared" si="17"/>
        <v>35</v>
      </c>
      <c r="C59">
        <v>-0.7738162821624428</v>
      </c>
      <c r="D59">
        <v>0.81759708336903714</v>
      </c>
      <c r="E59">
        <v>-0.48797346607898362</v>
      </c>
      <c r="F59">
        <v>-1.0751750778581481</v>
      </c>
      <c r="G59">
        <v>0.43386307879700325</v>
      </c>
      <c r="H59">
        <v>0.22864467299417096</v>
      </c>
      <c r="K59" s="10">
        <f>1</f>
        <v>1</v>
      </c>
      <c r="L59" s="10">
        <f t="shared" si="18"/>
        <v>2.4278825919110556</v>
      </c>
      <c r="M59" s="10">
        <f t="shared" si="19"/>
        <v>12.958300925314676</v>
      </c>
      <c r="N59" s="10">
        <f t="shared" si="20"/>
        <v>0.55122142821189546</v>
      </c>
      <c r="O59" s="10">
        <f t="shared" si="21"/>
        <v>8.9253661345674526</v>
      </c>
      <c r="P59" s="10">
        <f t="shared" si="22"/>
        <v>8.342604860856861</v>
      </c>
      <c r="Q59" s="10">
        <f t="shared" si="23"/>
        <v>1</v>
      </c>
      <c r="S59" s="10">
        <f t="shared" si="24"/>
        <v>-57.490863922159349</v>
      </c>
      <c r="T59" s="10">
        <f t="shared" si="25"/>
        <v>-1</v>
      </c>
      <c r="U59" s="10">
        <f t="shared" si="26"/>
        <v>1</v>
      </c>
      <c r="V59" s="10">
        <f t="shared" si="27"/>
        <v>1</v>
      </c>
      <c r="Y59" s="10">
        <f t="shared" si="28"/>
        <v>0.8947752311777093</v>
      </c>
      <c r="Z59" s="10">
        <f t="shared" si="29"/>
        <v>2.1724092074495509</v>
      </c>
      <c r="AA59" s="10">
        <f t="shared" si="30"/>
        <v>11.594766706118763</v>
      </c>
      <c r="AB59" s="10">
        <f t="shared" si="31"/>
        <v>0.49321928085840583</v>
      </c>
      <c r="AC59" s="10">
        <f t="shared" si="32"/>
        <v>7.9861965464032902</v>
      </c>
      <c r="AD59" s="10">
        <f t="shared" si="33"/>
        <v>7.4647561929974788</v>
      </c>
      <c r="AE59" s="10">
        <f t="shared" si="34"/>
        <v>-8.4748436391500022</v>
      </c>
      <c r="AF59" s="10">
        <f t="shared" si="35"/>
        <v>-9.3748436391500007</v>
      </c>
      <c r="AG59" s="10">
        <f t="shared" si="36"/>
        <v>-1.6805455405502432</v>
      </c>
      <c r="AH59" s="10">
        <f t="shared" si="37"/>
        <v>-8.5143430700104972</v>
      </c>
      <c r="AI59" s="10">
        <f t="shared" si="38"/>
        <v>5.9004431379715641</v>
      </c>
      <c r="AJ59" s="10">
        <f t="shared" si="42"/>
        <v>21.192245256023895</v>
      </c>
      <c r="AK59" s="10">
        <f t="shared" si="39"/>
        <v>1</v>
      </c>
      <c r="AL59" s="10">
        <f t="shared" si="40"/>
        <v>0</v>
      </c>
      <c r="AN59" s="10">
        <f t="shared" si="3"/>
        <v>1</v>
      </c>
      <c r="AO59" s="10">
        <f t="shared" si="4"/>
        <v>-1</v>
      </c>
      <c r="AP59" s="10">
        <f t="shared" si="5"/>
        <v>1</v>
      </c>
      <c r="BG59" s="10">
        <f t="shared" si="7"/>
        <v>36</v>
      </c>
      <c r="BH59">
        <v>0.5527988378162263</v>
      </c>
      <c r="BI59">
        <v>-0.69292354965000413</v>
      </c>
      <c r="BJ59">
        <v>1.0134158401342575</v>
      </c>
      <c r="BK59">
        <v>-0.14582383300876245</v>
      </c>
      <c r="BL59">
        <v>1.4472334441961721</v>
      </c>
      <c r="BM59">
        <v>0.42921231727042453</v>
      </c>
      <c r="BP59" s="16">
        <f>1</f>
        <v>1</v>
      </c>
      <c r="BQ59" s="14">
        <f t="shared" si="8"/>
        <v>5.4925752624950377</v>
      </c>
      <c r="BR59" s="14">
        <f t="shared" si="9"/>
        <v>9.4687571661166299</v>
      </c>
      <c r="BS59" s="14">
        <f t="shared" si="10"/>
        <v>4.0196703650209935</v>
      </c>
      <c r="BT59" s="14">
        <f t="shared" si="11"/>
        <v>11.072315845598794</v>
      </c>
      <c r="BU59" s="14">
        <f t="shared" si="12"/>
        <v>10.683652150801649</v>
      </c>
      <c r="BV59" s="16">
        <f t="shared" si="13"/>
        <v>1</v>
      </c>
      <c r="BX59" s="10">
        <f t="shared" si="14"/>
        <v>182.93698552277561</v>
      </c>
      <c r="BY59" s="10">
        <f t="shared" si="15"/>
        <v>1</v>
      </c>
      <c r="BZ59" s="10">
        <f t="shared" si="2"/>
        <v>0</v>
      </c>
      <c r="CA59" s="10">
        <f t="shared" si="16"/>
        <v>0</v>
      </c>
    </row>
    <row r="60" spans="2:79" x14ac:dyDescent="0.25">
      <c r="B60" s="10">
        <f t="shared" si="17"/>
        <v>36</v>
      </c>
      <c r="C60">
        <v>-1.8435503079672344</v>
      </c>
      <c r="D60">
        <v>0.42321289583924226</v>
      </c>
      <c r="E60">
        <v>-0.22075710148783401</v>
      </c>
      <c r="F60">
        <v>-0.58508703659754246</v>
      </c>
      <c r="G60">
        <v>0.58100795286009088</v>
      </c>
      <c r="H60">
        <v>0.88882106997894228</v>
      </c>
      <c r="K60" s="10">
        <f>1</f>
        <v>1</v>
      </c>
      <c r="L60" s="10">
        <f t="shared" si="18"/>
        <v>3.5051931719558627</v>
      </c>
      <c r="M60" s="10">
        <f t="shared" si="19"/>
        <v>10.054491593253411</v>
      </c>
      <c r="N60" s="10">
        <f t="shared" si="20"/>
        <v>2.3355362777126847</v>
      </c>
      <c r="O60" s="10">
        <f t="shared" si="21"/>
        <v>8.101662386498532</v>
      </c>
      <c r="P60" s="10">
        <f t="shared" si="22"/>
        <v>3.6691035016580034</v>
      </c>
      <c r="Q60" s="10">
        <f t="shared" si="23"/>
        <v>-1</v>
      </c>
      <c r="S60" s="10">
        <f t="shared" si="24"/>
        <v>47.441869829754594</v>
      </c>
      <c r="T60" s="10">
        <f t="shared" si="25"/>
        <v>1</v>
      </c>
      <c r="U60" s="10">
        <f t="shared" si="26"/>
        <v>-1</v>
      </c>
      <c r="V60" s="10">
        <f t="shared" si="27"/>
        <v>1</v>
      </c>
      <c r="Y60" s="10">
        <f t="shared" si="28"/>
        <v>-0.8947752311777093</v>
      </c>
      <c r="Z60" s="10">
        <f t="shared" si="29"/>
        <v>-3.1363600307593353</v>
      </c>
      <c r="AA60" s="10">
        <f t="shared" si="30"/>
        <v>-8.9965100397276565</v>
      </c>
      <c r="AB60" s="10">
        <f t="shared" si="31"/>
        <v>-2.0897800128142943</v>
      </c>
      <c r="AC60" s="10">
        <f t="shared" si="32"/>
        <v>-7.2491668348029759</v>
      </c>
      <c r="AD60" s="10">
        <f t="shared" si="33"/>
        <v>-3.2830229339109827</v>
      </c>
      <c r="AE60" s="10">
        <f t="shared" si="34"/>
        <v>-11.611203669909337</v>
      </c>
      <c r="AF60" s="10">
        <f t="shared" si="35"/>
        <v>-12.511203669909335</v>
      </c>
      <c r="AG60" s="10">
        <f t="shared" si="36"/>
        <v>-10.6770555802779</v>
      </c>
      <c r="AH60" s="10">
        <f t="shared" si="37"/>
        <v>-10.604123082824792</v>
      </c>
      <c r="AI60" s="10">
        <f t="shared" si="38"/>
        <v>-1.3487236968314118</v>
      </c>
      <c r="AJ60" s="10">
        <f t="shared" si="42"/>
        <v>28.657001449021372</v>
      </c>
      <c r="AK60" s="10">
        <f t="shared" si="39"/>
        <v>-1</v>
      </c>
      <c r="AL60" s="10">
        <f t="shared" si="40"/>
        <v>0</v>
      </c>
      <c r="AN60" s="10">
        <f t="shared" si="3"/>
        <v>-1</v>
      </c>
      <c r="AO60" s="10">
        <f t="shared" si="4"/>
        <v>0</v>
      </c>
      <c r="AP60" s="10">
        <f t="shared" si="5"/>
        <v>0</v>
      </c>
      <c r="BG60" s="10">
        <f t="shared" si="7"/>
        <v>37</v>
      </c>
      <c r="BH60">
        <v>0.60692400438711047</v>
      </c>
      <c r="BI60">
        <v>0.87539433479832951</v>
      </c>
      <c r="BJ60">
        <v>1.0605640454741661</v>
      </c>
      <c r="BK60">
        <v>-1.327350673818728</v>
      </c>
      <c r="BL60">
        <v>-2.0693369151558727</v>
      </c>
      <c r="BM60">
        <v>0.17920468764305553</v>
      </c>
      <c r="BP60" s="16">
        <f>1</f>
        <v>1</v>
      </c>
      <c r="BQ60" s="14">
        <f t="shared" si="8"/>
        <v>5.6176130362892884</v>
      </c>
      <c r="BR60" s="14">
        <f t="shared" si="9"/>
        <v>13.091821801239941</v>
      </c>
      <c r="BS60" s="14">
        <f t="shared" si="10"/>
        <v>4.1285902447663183</v>
      </c>
      <c r="BT60" s="14">
        <f t="shared" si="11"/>
        <v>8.3428002576965756</v>
      </c>
      <c r="BU60" s="14">
        <f t="shared" si="12"/>
        <v>2.5598133345575089</v>
      </c>
      <c r="BV60" s="16">
        <f t="shared" si="13"/>
        <v>1</v>
      </c>
      <c r="BX60" s="10">
        <f t="shared" si="14"/>
        <v>-162.5030620240519</v>
      </c>
      <c r="BY60" s="10">
        <f t="shared" si="15"/>
        <v>-1</v>
      </c>
      <c r="BZ60" s="10">
        <f t="shared" si="2"/>
        <v>-1</v>
      </c>
      <c r="CA60" s="10">
        <f t="shared" si="16"/>
        <v>1</v>
      </c>
    </row>
    <row r="61" spans="2:79" x14ac:dyDescent="0.25">
      <c r="B61" s="10">
        <f t="shared" si="17"/>
        <v>37</v>
      </c>
      <c r="C61">
        <v>0.36933897717972286</v>
      </c>
      <c r="D61">
        <v>0.10226585800410248</v>
      </c>
      <c r="E61">
        <v>-1.1693668966472615</v>
      </c>
      <c r="F61">
        <v>-0.77072400017641485</v>
      </c>
      <c r="G61">
        <v>1.60264789883513</v>
      </c>
      <c r="H61">
        <v>0.94033631397442552</v>
      </c>
      <c r="K61" s="10">
        <f>1</f>
        <v>1</v>
      </c>
      <c r="L61" s="10">
        <f t="shared" si="18"/>
        <v>7.185868208724389</v>
      </c>
      <c r="M61" s="10">
        <f t="shared" si="19"/>
        <v>9.5206638241853554</v>
      </c>
      <c r="N61" s="10">
        <f t="shared" si="20"/>
        <v>0.75772376982413969</v>
      </c>
      <c r="O61" s="10">
        <f t="shared" si="21"/>
        <v>7.7928944140868941</v>
      </c>
      <c r="P61" s="10">
        <f t="shared" si="22"/>
        <v>5.3683862768765351</v>
      </c>
      <c r="Q61" s="10">
        <f t="shared" si="23"/>
        <v>-1</v>
      </c>
      <c r="S61" s="10">
        <f t="shared" si="24"/>
        <v>-67.871325352178872</v>
      </c>
      <c r="T61" s="10">
        <f t="shared" si="25"/>
        <v>-1</v>
      </c>
      <c r="U61" s="10">
        <f t="shared" si="26"/>
        <v>0</v>
      </c>
      <c r="V61" s="10">
        <f t="shared" si="27"/>
        <v>0</v>
      </c>
      <c r="Y61" s="10">
        <f t="shared" si="28"/>
        <v>0</v>
      </c>
      <c r="Z61" s="10">
        <f t="shared" si="29"/>
        <v>0</v>
      </c>
      <c r="AA61" s="10">
        <f t="shared" si="30"/>
        <v>0</v>
      </c>
      <c r="AB61" s="10">
        <f t="shared" si="31"/>
        <v>0</v>
      </c>
      <c r="AC61" s="10">
        <f t="shared" si="32"/>
        <v>0</v>
      </c>
      <c r="AD61" s="10">
        <f t="shared" si="33"/>
        <v>0</v>
      </c>
      <c r="AE61" s="10">
        <f t="shared" si="34"/>
        <v>-11.611203669909337</v>
      </c>
      <c r="AF61" s="10">
        <f t="shared" si="35"/>
        <v>-12.511203669909335</v>
      </c>
      <c r="AG61" s="10">
        <f t="shared" si="36"/>
        <v>-10.6770555802779</v>
      </c>
      <c r="AH61" s="10">
        <f t="shared" si="37"/>
        <v>-10.604123082824792</v>
      </c>
      <c r="AI61" s="10">
        <f t="shared" si="38"/>
        <v>-1.3487236968314118</v>
      </c>
      <c r="AJ61" s="10">
        <f t="shared" si="42"/>
        <v>25.373978515110391</v>
      </c>
      <c r="AK61" s="10">
        <f t="shared" si="39"/>
        <v>-1</v>
      </c>
      <c r="AL61" s="10">
        <f t="shared" si="40"/>
        <v>0</v>
      </c>
      <c r="AN61" s="10">
        <f t="shared" si="3"/>
        <v>-1</v>
      </c>
      <c r="AO61" s="10">
        <f t="shared" si="4"/>
        <v>0</v>
      </c>
      <c r="AP61" s="10">
        <f t="shared" si="5"/>
        <v>0</v>
      </c>
      <c r="BG61" s="10">
        <f t="shared" si="7"/>
        <v>38</v>
      </c>
      <c r="BH61">
        <v>9.3963308245292865E-2</v>
      </c>
      <c r="BI61">
        <v>1.6799913282738999</v>
      </c>
      <c r="BJ61">
        <v>0.48961169341055211</v>
      </c>
      <c r="BK61">
        <v>-0.37097834137966856</v>
      </c>
      <c r="BL61">
        <v>0.79924802776076831</v>
      </c>
      <c r="BM61">
        <v>0.87279885250404365</v>
      </c>
      <c r="BP61" s="16">
        <f>1</f>
        <v>1</v>
      </c>
      <c r="BQ61" s="14">
        <f t="shared" si="8"/>
        <v>6.727838809249449</v>
      </c>
      <c r="BR61" s="14">
        <f t="shared" si="9"/>
        <v>12.144877693479897</v>
      </c>
      <c r="BS61" s="14">
        <f t="shared" si="10"/>
        <v>3.5170850826309543</v>
      </c>
      <c r="BT61" s="14">
        <f t="shared" si="11"/>
        <v>8.4577870850693291</v>
      </c>
      <c r="BU61" s="14">
        <f t="shared" si="12"/>
        <v>4.0320998797872747</v>
      </c>
      <c r="BV61" s="16">
        <f t="shared" si="13"/>
        <v>-1</v>
      </c>
      <c r="BX61" s="10">
        <f t="shared" si="14"/>
        <v>-130.06482109808422</v>
      </c>
      <c r="BY61" s="10">
        <f t="shared" si="15"/>
        <v>-1</v>
      </c>
      <c r="BZ61" s="10">
        <f t="shared" si="2"/>
        <v>0</v>
      </c>
      <c r="CA61" s="10">
        <f t="shared" si="16"/>
        <v>0</v>
      </c>
    </row>
    <row r="62" spans="2:79" x14ac:dyDescent="0.25">
      <c r="B62" s="10">
        <f t="shared" si="17"/>
        <v>38</v>
      </c>
      <c r="C62">
        <v>0.17201045920955949</v>
      </c>
      <c r="D62">
        <v>-0.82070073403883725</v>
      </c>
      <c r="E62">
        <v>0.18950572666653898</v>
      </c>
      <c r="F62">
        <v>0.58381715462019201</v>
      </c>
      <c r="G62">
        <v>0.60922502598259598</v>
      </c>
      <c r="H62">
        <v>0.66573076570940271</v>
      </c>
      <c r="K62" s="10">
        <f>1</f>
        <v>1</v>
      </c>
      <c r="L62" s="10">
        <f t="shared" si="18"/>
        <v>6.8576537991692916</v>
      </c>
      <c r="M62" s="10">
        <f t="shared" si="19"/>
        <v>7.9855033812722951</v>
      </c>
      <c r="N62" s="10">
        <f t="shared" si="20"/>
        <v>3.0179220437956795</v>
      </c>
      <c r="O62" s="10">
        <f t="shared" si="21"/>
        <v>10.045888202885681</v>
      </c>
      <c r="P62" s="10">
        <f t="shared" si="22"/>
        <v>3.716036657035354</v>
      </c>
      <c r="Q62" s="10">
        <f t="shared" si="23"/>
        <v>-1</v>
      </c>
      <c r="S62" s="10">
        <f t="shared" si="24"/>
        <v>-133.93128047213813</v>
      </c>
      <c r="T62" s="10">
        <f t="shared" si="25"/>
        <v>-1</v>
      </c>
      <c r="U62" s="10">
        <f t="shared" si="26"/>
        <v>0</v>
      </c>
      <c r="V62" s="10">
        <f t="shared" si="27"/>
        <v>0</v>
      </c>
      <c r="Y62" s="10">
        <f t="shared" si="28"/>
        <v>0</v>
      </c>
      <c r="Z62" s="10">
        <f t="shared" si="29"/>
        <v>0</v>
      </c>
      <c r="AA62" s="10">
        <f t="shared" si="30"/>
        <v>0</v>
      </c>
      <c r="AB62" s="10">
        <f t="shared" si="31"/>
        <v>0</v>
      </c>
      <c r="AC62" s="10">
        <f t="shared" si="32"/>
        <v>0</v>
      </c>
      <c r="AD62" s="10">
        <f t="shared" si="33"/>
        <v>0</v>
      </c>
      <c r="AE62" s="10">
        <f t="shared" si="34"/>
        <v>-11.611203669909337</v>
      </c>
      <c r="AF62" s="10">
        <f t="shared" si="35"/>
        <v>-12.511203669909335</v>
      </c>
      <c r="AG62" s="10">
        <f t="shared" si="36"/>
        <v>-10.6770555802779</v>
      </c>
      <c r="AH62" s="10">
        <f t="shared" si="37"/>
        <v>-10.604123082824792</v>
      </c>
      <c r="AI62" s="10">
        <f t="shared" si="38"/>
        <v>-1.3487236968314118</v>
      </c>
      <c r="AJ62" s="10">
        <f t="shared" si="42"/>
        <v>25.373978515110391</v>
      </c>
      <c r="AK62" s="10">
        <f t="shared" si="39"/>
        <v>-1</v>
      </c>
      <c r="AL62" s="10">
        <f t="shared" si="40"/>
        <v>0</v>
      </c>
      <c r="AN62" s="10">
        <f t="shared" si="3"/>
        <v>1</v>
      </c>
      <c r="AO62" s="10">
        <f t="shared" si="4"/>
        <v>0</v>
      </c>
      <c r="AP62" s="10">
        <f t="shared" si="5"/>
        <v>0</v>
      </c>
      <c r="BG62" s="10">
        <f t="shared" si="7"/>
        <v>39</v>
      </c>
      <c r="BH62">
        <v>0.11357656148902606</v>
      </c>
      <c r="BI62">
        <v>6.3804463934502564E-2</v>
      </c>
      <c r="BJ62">
        <v>-1.4314991858555004</v>
      </c>
      <c r="BK62">
        <v>0.54559450290980749</v>
      </c>
      <c r="BL62">
        <v>-0.87169610196724534</v>
      </c>
      <c r="BM62">
        <v>0.51747184667500834</v>
      </c>
      <c r="BP62" s="16">
        <f>1</f>
        <v>1</v>
      </c>
      <c r="BQ62" s="14">
        <f t="shared" si="8"/>
        <v>6.7604613232127875</v>
      </c>
      <c r="BR62" s="14">
        <f t="shared" si="9"/>
        <v>9.4566913995451003</v>
      </c>
      <c r="BS62" s="14">
        <f t="shared" si="10"/>
        <v>0.32172194194431469</v>
      </c>
      <c r="BT62" s="14">
        <f t="shared" si="11"/>
        <v>9.9823128758533723</v>
      </c>
      <c r="BU62" s="14">
        <f t="shared" si="12"/>
        <v>1.2528364130583558</v>
      </c>
      <c r="BV62" s="16">
        <f t="shared" si="13"/>
        <v>-1</v>
      </c>
      <c r="BX62" s="10">
        <f t="shared" si="14"/>
        <v>-212.61154690686666</v>
      </c>
      <c r="BY62" s="10">
        <f t="shared" si="15"/>
        <v>-1</v>
      </c>
      <c r="BZ62" s="10">
        <f t="shared" si="2"/>
        <v>0</v>
      </c>
      <c r="CA62" s="10">
        <f t="shared" si="16"/>
        <v>0</v>
      </c>
    </row>
    <row r="63" spans="2:79" x14ac:dyDescent="0.25">
      <c r="B63" s="10">
        <f t="shared" si="17"/>
        <v>39</v>
      </c>
      <c r="C63">
        <v>-0.63316292653325945</v>
      </c>
      <c r="D63">
        <v>0.85492956714006141</v>
      </c>
      <c r="E63">
        <v>0.77062168202246539</v>
      </c>
      <c r="F63">
        <v>-6.3344032241730019E-2</v>
      </c>
      <c r="G63">
        <v>0.77257936936803162</v>
      </c>
      <c r="H63">
        <v>0.42164372692037722</v>
      </c>
      <c r="K63" s="10">
        <f>1</f>
        <v>1</v>
      </c>
      <c r="L63" s="10">
        <f t="shared" si="18"/>
        <v>2.7528142933503785</v>
      </c>
      <c r="M63" s="10">
        <f t="shared" si="19"/>
        <v>13.044544921530846</v>
      </c>
      <c r="N63" s="10">
        <f t="shared" si="20"/>
        <v>3.4587771069690412</v>
      </c>
      <c r="O63" s="10">
        <f t="shared" si="21"/>
        <v>11.262857350120479</v>
      </c>
      <c r="P63" s="10">
        <f t="shared" si="22"/>
        <v>9.125093555194308</v>
      </c>
      <c r="Q63" s="10">
        <f t="shared" si="23"/>
        <v>1</v>
      </c>
      <c r="S63" s="10">
        <f t="shared" si="24"/>
        <v>-5.6574080486931564</v>
      </c>
      <c r="T63" s="10">
        <f t="shared" si="25"/>
        <v>-1</v>
      </c>
      <c r="U63" s="10">
        <f t="shared" si="26"/>
        <v>1</v>
      </c>
      <c r="V63" s="10">
        <f t="shared" si="27"/>
        <v>1</v>
      </c>
      <c r="Y63" s="10">
        <f t="shared" si="28"/>
        <v>0.8947752311777093</v>
      </c>
      <c r="Z63" s="10">
        <f t="shared" si="29"/>
        <v>2.4631500457218873</v>
      </c>
      <c r="AA63" s="10">
        <f t="shared" si="30"/>
        <v>11.671935697770778</v>
      </c>
      <c r="AB63" s="10">
        <f t="shared" si="31"/>
        <v>3.0948280854803922</v>
      </c>
      <c r="AC63" s="10">
        <f t="shared" si="32"/>
        <v>10.077725789175613</v>
      </c>
      <c r="AD63" s="10">
        <f t="shared" si="33"/>
        <v>8.1649076953672122</v>
      </c>
      <c r="AE63" s="10">
        <f t="shared" si="34"/>
        <v>-9.1480536241874493</v>
      </c>
      <c r="AF63" s="10">
        <f t="shared" si="35"/>
        <v>-10.048053624187448</v>
      </c>
      <c r="AG63" s="10">
        <f t="shared" si="36"/>
        <v>0.99488011749287786</v>
      </c>
      <c r="AH63" s="10">
        <f t="shared" si="37"/>
        <v>-7.5092949973443996</v>
      </c>
      <c r="AI63" s="10">
        <f t="shared" si="38"/>
        <v>8.7290020923442011</v>
      </c>
      <c r="AJ63" s="10">
        <f t="shared" si="42"/>
        <v>25.373978515110391</v>
      </c>
      <c r="AK63" s="10">
        <f t="shared" si="39"/>
        <v>1</v>
      </c>
      <c r="AL63" s="10">
        <f t="shared" si="40"/>
        <v>0</v>
      </c>
      <c r="AN63" s="10">
        <f t="shared" si="3"/>
        <v>1</v>
      </c>
      <c r="AO63" s="10">
        <f t="shared" si="4"/>
        <v>0</v>
      </c>
      <c r="AP63" s="10">
        <f t="shared" si="5"/>
        <v>0</v>
      </c>
      <c r="BG63" s="10">
        <f t="shared" si="7"/>
        <v>40</v>
      </c>
      <c r="BH63">
        <v>-0.19995241018477827</v>
      </c>
      <c r="BI63">
        <v>0.64103460317710415</v>
      </c>
      <c r="BJ63">
        <v>-1.2264263204997405</v>
      </c>
      <c r="BK63">
        <v>-2.6816451281774789E-2</v>
      </c>
      <c r="BL63">
        <v>1.8258469935972244</v>
      </c>
      <c r="BM63">
        <v>0.23892941068758203</v>
      </c>
      <c r="BP63" s="16">
        <f>1</f>
        <v>1</v>
      </c>
      <c r="BQ63" s="14">
        <f t="shared" si="8"/>
        <v>3.7535997316276388</v>
      </c>
      <c r="BR63" s="14">
        <f t="shared" si="9"/>
        <v>12.55041341461523</v>
      </c>
      <c r="BS63" s="14">
        <f t="shared" si="10"/>
        <v>-1.1547225312927292</v>
      </c>
      <c r="BT63" s="14">
        <f t="shared" si="11"/>
        <v>11.347241892371089</v>
      </c>
      <c r="BU63" s="14">
        <f t="shared" si="12"/>
        <v>11.558309881109931</v>
      </c>
      <c r="BV63" s="16">
        <f t="shared" si="13"/>
        <v>1</v>
      </c>
      <c r="BX63" s="10">
        <f t="shared" si="14"/>
        <v>381.2852972984353</v>
      </c>
      <c r="BY63" s="10">
        <f t="shared" si="15"/>
        <v>1</v>
      </c>
      <c r="BZ63" s="10">
        <f t="shared" si="2"/>
        <v>0</v>
      </c>
      <c r="CA63" s="10">
        <f t="shared" si="16"/>
        <v>0</v>
      </c>
    </row>
    <row r="64" spans="2:79" x14ac:dyDescent="0.25">
      <c r="B64" s="10">
        <f t="shared" si="17"/>
        <v>40</v>
      </c>
      <c r="C64">
        <v>-0.21919049686403014</v>
      </c>
      <c r="D64">
        <v>-0.84231942309997976</v>
      </c>
      <c r="E64">
        <v>-0.57829311117529869</v>
      </c>
      <c r="F64">
        <v>0.56334670262003783</v>
      </c>
      <c r="G64">
        <v>1.1868223737110384</v>
      </c>
      <c r="H64">
        <v>0.14227729117709892</v>
      </c>
      <c r="K64" s="10">
        <f>1</f>
        <v>1</v>
      </c>
      <c r="L64" s="10">
        <f t="shared" si="18"/>
        <v>3.709156680772836</v>
      </c>
      <c r="M64" s="10">
        <f t="shared" si="19"/>
        <v>9.1236288531022325</v>
      </c>
      <c r="N64" s="10">
        <f t="shared" si="20"/>
        <v>0.34256863195786669</v>
      </c>
      <c r="O64" s="10">
        <f t="shared" si="21"/>
        <v>12.710612974890255</v>
      </c>
      <c r="P64" s="10">
        <f t="shared" si="22"/>
        <v>10.082061013300104</v>
      </c>
      <c r="Q64" s="10">
        <f t="shared" si="23"/>
        <v>1</v>
      </c>
      <c r="S64" s="10">
        <f t="shared" si="24"/>
        <v>326.85957597032473</v>
      </c>
      <c r="T64" s="10">
        <f t="shared" si="25"/>
        <v>1</v>
      </c>
      <c r="U64" s="10">
        <f t="shared" si="26"/>
        <v>0</v>
      </c>
      <c r="V64" s="10">
        <f t="shared" si="27"/>
        <v>0</v>
      </c>
      <c r="X64" s="10">
        <f>SUM(V46:V64)</f>
        <v>6</v>
      </c>
      <c r="Y64" s="10">
        <f t="shared" si="28"/>
        <v>0</v>
      </c>
      <c r="Z64" s="10">
        <f t="shared" si="29"/>
        <v>0</v>
      </c>
      <c r="AA64" s="10">
        <f t="shared" si="30"/>
        <v>0</v>
      </c>
      <c r="AB64" s="10">
        <f t="shared" si="31"/>
        <v>0</v>
      </c>
      <c r="AC64" s="10">
        <f t="shared" si="32"/>
        <v>0</v>
      </c>
      <c r="AD64" s="10">
        <f t="shared" si="33"/>
        <v>0</v>
      </c>
      <c r="AE64" s="10">
        <f t="shared" si="34"/>
        <v>-9.1480536241874493</v>
      </c>
      <c r="AF64" s="10">
        <f t="shared" si="35"/>
        <v>-10.048053624187448</v>
      </c>
      <c r="AG64" s="10">
        <f t="shared" si="36"/>
        <v>0.99488011749287786</v>
      </c>
      <c r="AH64" s="10">
        <f t="shared" si="37"/>
        <v>-7.5092949973443996</v>
      </c>
      <c r="AI64" s="10">
        <f t="shared" si="38"/>
        <v>8.7290020923442011</v>
      </c>
      <c r="AJ64" s="10">
        <f t="shared" si="42"/>
        <v>33.5388862104776</v>
      </c>
      <c r="AK64" s="10">
        <f t="shared" si="39"/>
        <v>1</v>
      </c>
      <c r="AL64" s="10">
        <f t="shared" si="40"/>
        <v>0</v>
      </c>
      <c r="AN64" s="10">
        <f t="shared" si="3"/>
        <v>-1</v>
      </c>
      <c r="AO64" s="10">
        <f t="shared" si="4"/>
        <v>1</v>
      </c>
      <c r="AP64" s="10">
        <f t="shared" si="5"/>
        <v>1</v>
      </c>
      <c r="BG64" s="10">
        <f t="shared" si="7"/>
        <v>41</v>
      </c>
      <c r="BH64">
        <v>1.4319266483653337</v>
      </c>
      <c r="BI64">
        <v>0.496695520268986</v>
      </c>
      <c r="BJ64">
        <v>0.14768033906875644</v>
      </c>
      <c r="BK64">
        <v>0.49142272473545745</v>
      </c>
      <c r="BL64">
        <v>1.1809652278316207</v>
      </c>
      <c r="BM64">
        <v>0.11331522568437757</v>
      </c>
      <c r="BP64" s="16">
        <f>1</f>
        <v>1</v>
      </c>
      <c r="BQ64" s="14">
        <f t="shared" si="8"/>
        <v>7.5235008240397558</v>
      </c>
      <c r="BR64" s="14">
        <f t="shared" si="9"/>
        <v>12.216967094875987</v>
      </c>
      <c r="BS64" s="14">
        <f t="shared" si="10"/>
        <v>2.0196831759540896</v>
      </c>
      <c r="BT64" s="14">
        <f t="shared" si="11"/>
        <v>12.544457106060973</v>
      </c>
      <c r="BU64" s="14">
        <f t="shared" si="12"/>
        <v>10.068530071449025</v>
      </c>
      <c r="BV64" s="16">
        <f t="shared" si="13"/>
        <v>1</v>
      </c>
      <c r="BX64" s="10">
        <f t="shared" si="14"/>
        <v>124.45111415670755</v>
      </c>
      <c r="BY64" s="10">
        <f t="shared" si="15"/>
        <v>1</v>
      </c>
      <c r="BZ64" s="10">
        <f t="shared" si="2"/>
        <v>0</v>
      </c>
      <c r="CA64" s="10">
        <f t="shared" si="16"/>
        <v>0</v>
      </c>
    </row>
    <row r="65" spans="2:79" x14ac:dyDescent="0.25">
      <c r="B65" s="10">
        <f t="shared" si="17"/>
        <v>41</v>
      </c>
      <c r="C65">
        <v>2.5949339033104479</v>
      </c>
      <c r="D65">
        <v>-0.64989080783561803</v>
      </c>
      <c r="E65">
        <v>0.78751099863438867</v>
      </c>
      <c r="F65">
        <v>-0.23992470232769847</v>
      </c>
      <c r="G65">
        <v>-2.3494794731959701</v>
      </c>
      <c r="H65">
        <v>0.16101565599536119</v>
      </c>
      <c r="K65" s="10">
        <f>1</f>
        <v>1</v>
      </c>
      <c r="L65" s="10">
        <f t="shared" si="18"/>
        <v>10.210233212649648</v>
      </c>
      <c r="M65" s="10">
        <f t="shared" si="19"/>
        <v>9.5681696682414383</v>
      </c>
      <c r="N65" s="10">
        <f t="shared" si="20"/>
        <v>3.4977941240768859</v>
      </c>
      <c r="O65" s="10">
        <f t="shared" si="21"/>
        <v>10.854927817862489</v>
      </c>
      <c r="P65" s="10">
        <f t="shared" si="22"/>
        <v>1.9126393114256617</v>
      </c>
      <c r="Q65" s="10">
        <f t="shared" si="23"/>
        <v>1</v>
      </c>
      <c r="S65" s="10">
        <f t="shared" si="24"/>
        <v>30.412669247668262</v>
      </c>
      <c r="T65" s="12">
        <f t="shared" si="25"/>
        <v>1</v>
      </c>
      <c r="U65" s="10">
        <f t="shared" si="26"/>
        <v>0</v>
      </c>
      <c r="V65" s="12">
        <f t="shared" si="27"/>
        <v>0</v>
      </c>
      <c r="W65" s="12"/>
      <c r="X65" s="12"/>
      <c r="Y65" s="10">
        <f t="shared" si="28"/>
        <v>0</v>
      </c>
      <c r="Z65" s="10">
        <f t="shared" si="29"/>
        <v>0</v>
      </c>
      <c r="AA65" s="10">
        <f t="shared" si="30"/>
        <v>0</v>
      </c>
      <c r="AB65" s="10">
        <f t="shared" si="31"/>
        <v>0</v>
      </c>
      <c r="AC65" s="10">
        <f t="shared" si="32"/>
        <v>0</v>
      </c>
      <c r="AD65" s="10">
        <f t="shared" si="33"/>
        <v>0</v>
      </c>
      <c r="AE65" s="10">
        <f t="shared" si="34"/>
        <v>-9.1480536241874493</v>
      </c>
      <c r="AF65" s="10">
        <f t="shared" si="35"/>
        <v>-10.048053624187448</v>
      </c>
      <c r="AG65" s="10">
        <f t="shared" si="36"/>
        <v>0.99488011749287786</v>
      </c>
      <c r="AH65" s="10">
        <f t="shared" si="37"/>
        <v>-7.5092949973443996</v>
      </c>
      <c r="AI65" s="10">
        <f t="shared" si="38"/>
        <v>8.7290020923442011</v>
      </c>
      <c r="AJ65" s="10">
        <f t="shared" si="42"/>
        <v>33.5388862104776</v>
      </c>
      <c r="AK65" s="10">
        <f t="shared" si="39"/>
        <v>-1</v>
      </c>
      <c r="AL65" s="10">
        <f t="shared" si="40"/>
        <v>1</v>
      </c>
      <c r="AN65" s="10">
        <f t="shared" si="3"/>
        <v>-1</v>
      </c>
      <c r="AO65" s="10">
        <f t="shared" si="4"/>
        <v>0</v>
      </c>
      <c r="AP65" s="10">
        <f t="shared" si="5"/>
        <v>0</v>
      </c>
      <c r="BG65" s="10">
        <f t="shared" si="7"/>
        <v>42</v>
      </c>
      <c r="BH65">
        <v>0.51678853196790442</v>
      </c>
      <c r="BI65">
        <v>-1.0577491593721788</v>
      </c>
      <c r="BJ65">
        <v>-0.32062189347925596</v>
      </c>
      <c r="BK65">
        <v>0.48444462663610466</v>
      </c>
      <c r="BL65">
        <v>-1.2578630048665218</v>
      </c>
      <c r="BM65">
        <v>0.85772270882290114</v>
      </c>
      <c r="BP65" s="16">
        <f>1</f>
        <v>1</v>
      </c>
      <c r="BQ65" s="14">
        <f t="shared" si="8"/>
        <v>7.431119473274415</v>
      </c>
      <c r="BR65" s="14">
        <f t="shared" si="9"/>
        <v>7.5912232754007647</v>
      </c>
      <c r="BS65" s="14">
        <f t="shared" si="10"/>
        <v>2.1694322392494598</v>
      </c>
      <c r="BT65" s="14">
        <f t="shared" si="11"/>
        <v>9.8806029418712242</v>
      </c>
      <c r="BU65" s="14">
        <f t="shared" si="12"/>
        <v>0.6105291412631515</v>
      </c>
      <c r="BV65" s="16">
        <f t="shared" si="13"/>
        <v>-1</v>
      </c>
      <c r="BX65" s="10">
        <f t="shared" si="14"/>
        <v>-302.4774234817063</v>
      </c>
      <c r="BY65" s="10">
        <f t="shared" si="15"/>
        <v>-1</v>
      </c>
      <c r="BZ65" s="10">
        <f t="shared" si="2"/>
        <v>0</v>
      </c>
      <c r="CA65" s="10">
        <f t="shared" si="16"/>
        <v>0</v>
      </c>
    </row>
    <row r="66" spans="2:79" x14ac:dyDescent="0.25">
      <c r="B66" s="10">
        <f t="shared" si="17"/>
        <v>42</v>
      </c>
      <c r="C66">
        <v>-1.3156272871128749</v>
      </c>
      <c r="D66">
        <v>0.70150804276636336</v>
      </c>
      <c r="E66">
        <v>0.4593891844706377</v>
      </c>
      <c r="F66">
        <v>0.48057700041681528</v>
      </c>
      <c r="G66">
        <v>-0.30535829864675179</v>
      </c>
      <c r="H66">
        <v>0.62474440748313853</v>
      </c>
      <c r="K66" s="10">
        <f>1</f>
        <v>1</v>
      </c>
      <c r="L66" s="10">
        <f t="shared" si="18"/>
        <v>4.3832818758220524</v>
      </c>
      <c r="M66" s="10">
        <f t="shared" si="19"/>
        <v>10.517376929191245</v>
      </c>
      <c r="N66" s="10">
        <f t="shared" si="20"/>
        <v>3.4668163073468494</v>
      </c>
      <c r="O66" s="10">
        <f t="shared" si="21"/>
        <v>9.8741699606224831</v>
      </c>
      <c r="P66" s="10">
        <f t="shared" si="22"/>
        <v>2.1948200129842026</v>
      </c>
      <c r="Q66" s="10">
        <f t="shared" si="23"/>
        <v>-1</v>
      </c>
      <c r="S66" s="10">
        <f t="shared" si="24"/>
        <v>91.042146793574659</v>
      </c>
      <c r="T66" s="10">
        <f t="shared" si="25"/>
        <v>1</v>
      </c>
      <c r="U66" s="10">
        <f t="shared" si="26"/>
        <v>-1</v>
      </c>
      <c r="V66" s="10">
        <f t="shared" si="27"/>
        <v>1</v>
      </c>
      <c r="Y66" s="10">
        <f t="shared" si="28"/>
        <v>-0.8947752311777093</v>
      </c>
      <c r="Z66" s="10">
        <f t="shared" si="29"/>
        <v>-3.9220520537557402</v>
      </c>
      <c r="AA66" s="10">
        <f t="shared" si="30"/>
        <v>-9.4106883732002036</v>
      </c>
      <c r="AB66" s="10">
        <f t="shared" si="31"/>
        <v>-3.1020213628569295</v>
      </c>
      <c r="AC66" s="10">
        <f t="shared" si="32"/>
        <v>-8.8351627092039742</v>
      </c>
      <c r="AD66" s="10">
        <f t="shared" si="33"/>
        <v>-1.9638705845114028</v>
      </c>
      <c r="AE66" s="10">
        <f t="shared" si="34"/>
        <v>-13.070105677943189</v>
      </c>
      <c r="AF66" s="10">
        <f t="shared" si="35"/>
        <v>-13.970105677943188</v>
      </c>
      <c r="AG66" s="10">
        <f t="shared" si="36"/>
        <v>-8.4158082557073257</v>
      </c>
      <c r="AH66" s="10">
        <f t="shared" si="37"/>
        <v>-10.611316360201329</v>
      </c>
      <c r="AI66" s="10">
        <f t="shared" si="38"/>
        <v>-0.10616061685977307</v>
      </c>
      <c r="AJ66" s="10">
        <f t="shared" si="42"/>
        <v>33.5388862104776</v>
      </c>
      <c r="AK66" s="10">
        <f t="shared" si="39"/>
        <v>-1</v>
      </c>
      <c r="AL66" s="10">
        <f t="shared" si="40"/>
        <v>0</v>
      </c>
      <c r="AN66" s="10">
        <f t="shared" si="3"/>
        <v>-1</v>
      </c>
      <c r="AO66" s="10">
        <f t="shared" si="4"/>
        <v>0</v>
      </c>
      <c r="AP66" s="10">
        <f t="shared" si="5"/>
        <v>0</v>
      </c>
      <c r="BG66" s="10">
        <f t="shared" si="7"/>
        <v>43</v>
      </c>
      <c r="BH66">
        <v>-0.71932845457922667</v>
      </c>
      <c r="BI66">
        <v>0.99794078778359108</v>
      </c>
      <c r="BJ66">
        <v>-1.6731246432755142</v>
      </c>
      <c r="BK66">
        <v>0.85030819718667772</v>
      </c>
      <c r="BL66">
        <v>0.26060547497763764</v>
      </c>
      <c r="BM66">
        <v>0.57023834955900754</v>
      </c>
      <c r="BP66" s="16">
        <f>1</f>
        <v>1</v>
      </c>
      <c r="BQ66" s="14">
        <f t="shared" si="8"/>
        <v>5.3750993346042533</v>
      </c>
      <c r="BR66" s="14">
        <f t="shared" si="9"/>
        <v>11.010430337687108</v>
      </c>
      <c r="BS66" s="14">
        <f t="shared" si="10"/>
        <v>-8.0171092353856555E-2</v>
      </c>
      <c r="BT66" s="14">
        <f t="shared" si="11"/>
        <v>10.489139898522025</v>
      </c>
      <c r="BU66" s="14">
        <f t="shared" si="12"/>
        <v>3.1361814933242655</v>
      </c>
      <c r="BV66" s="16">
        <f t="shared" si="13"/>
        <v>-1</v>
      </c>
      <c r="BX66" s="10">
        <f t="shared" si="14"/>
        <v>-69.339202546079235</v>
      </c>
      <c r="BY66" s="10">
        <f t="shared" si="15"/>
        <v>-1</v>
      </c>
      <c r="BZ66" s="10">
        <f t="shared" si="2"/>
        <v>0</v>
      </c>
      <c r="CA66" s="10">
        <f t="shared" si="16"/>
        <v>0</v>
      </c>
    </row>
    <row r="67" spans="2:79" x14ac:dyDescent="0.25">
      <c r="B67" s="10">
        <f t="shared" si="17"/>
        <v>43</v>
      </c>
      <c r="C67">
        <v>0.29791181077598594</v>
      </c>
      <c r="D67">
        <v>-2.9815419111400843</v>
      </c>
      <c r="E67">
        <v>1.0992107490892522</v>
      </c>
      <c r="F67">
        <v>0.92389655037550256</v>
      </c>
      <c r="G67">
        <v>-1.8862101569538936</v>
      </c>
      <c r="H67">
        <v>0.98785363322855313</v>
      </c>
      <c r="K67" s="10">
        <f>1</f>
        <v>1</v>
      </c>
      <c r="L67" s="10">
        <f t="shared" si="18"/>
        <v>7.067064168190619</v>
      </c>
      <c r="M67" s="10">
        <f t="shared" si="19"/>
        <v>4.3913994049181868</v>
      </c>
      <c r="N67" s="10">
        <f t="shared" si="20"/>
        <v>4.5310246600577813</v>
      </c>
      <c r="O67" s="10">
        <f t="shared" si="21"/>
        <v>10.61153861787821</v>
      </c>
      <c r="P67" s="10">
        <f t="shared" si="22"/>
        <v>-0.43459394403345364</v>
      </c>
      <c r="Q67" s="10">
        <f t="shared" si="23"/>
        <v>-1</v>
      </c>
      <c r="S67" s="10">
        <f t="shared" si="24"/>
        <v>-212.53737473234327</v>
      </c>
      <c r="T67" s="10">
        <f t="shared" si="25"/>
        <v>-1</v>
      </c>
      <c r="U67" s="10">
        <f t="shared" si="26"/>
        <v>0</v>
      </c>
      <c r="V67" s="10">
        <f t="shared" si="27"/>
        <v>0</v>
      </c>
      <c r="Y67" s="10">
        <f t="shared" si="28"/>
        <v>0</v>
      </c>
      <c r="Z67" s="10">
        <f t="shared" si="29"/>
        <v>0</v>
      </c>
      <c r="AA67" s="10">
        <f t="shared" si="30"/>
        <v>0</v>
      </c>
      <c r="AB67" s="10">
        <f t="shared" si="31"/>
        <v>0</v>
      </c>
      <c r="AC67" s="10">
        <f t="shared" si="32"/>
        <v>0</v>
      </c>
      <c r="AD67" s="10">
        <f t="shared" si="33"/>
        <v>0</v>
      </c>
      <c r="AE67" s="10">
        <f t="shared" si="34"/>
        <v>-13.070105677943189</v>
      </c>
      <c r="AF67" s="10">
        <f t="shared" si="35"/>
        <v>-13.970105677943188</v>
      </c>
      <c r="AG67" s="10">
        <f t="shared" si="36"/>
        <v>-8.4158082557073257</v>
      </c>
      <c r="AH67" s="10">
        <f t="shared" si="37"/>
        <v>-10.611316360201329</v>
      </c>
      <c r="AI67" s="10">
        <f t="shared" si="38"/>
        <v>-0.10616061685977307</v>
      </c>
      <c r="AJ67" s="10">
        <f t="shared" si="42"/>
        <v>31.575015625966195</v>
      </c>
      <c r="AK67" s="10">
        <f t="shared" si="39"/>
        <v>-1</v>
      </c>
      <c r="AL67" s="10">
        <f t="shared" si="40"/>
        <v>0</v>
      </c>
      <c r="AN67" s="10">
        <f t="shared" si="3"/>
        <v>1</v>
      </c>
      <c r="AO67" s="10">
        <f t="shared" si="4"/>
        <v>0</v>
      </c>
      <c r="AP67" s="10">
        <f t="shared" si="5"/>
        <v>0</v>
      </c>
      <c r="BG67" s="10">
        <f t="shared" si="7"/>
        <v>44</v>
      </c>
      <c r="BH67">
        <v>1.5249861462507397</v>
      </c>
      <c r="BI67">
        <v>-0.17069055502361152</v>
      </c>
      <c r="BJ67">
        <v>1.0485587154107634</v>
      </c>
      <c r="BK67">
        <v>-0.94365304903476499</v>
      </c>
      <c r="BL67">
        <v>-1.6452531781396829</v>
      </c>
      <c r="BM67">
        <v>0.95056001464888451</v>
      </c>
      <c r="BP67" s="16">
        <f>1</f>
        <v>1</v>
      </c>
      <c r="BQ67" s="14">
        <f t="shared" si="8"/>
        <v>9.1080437622245416</v>
      </c>
      <c r="BR67" s="14">
        <f t="shared" si="9"/>
        <v>9.0666583471376114</v>
      </c>
      <c r="BS67" s="14">
        <f t="shared" si="10"/>
        <v>4.4467756751793575</v>
      </c>
      <c r="BT67" s="14">
        <f t="shared" si="11"/>
        <v>7.5052633800639761</v>
      </c>
      <c r="BU67" s="14">
        <f t="shared" si="12"/>
        <v>-3.3812783037533656E-2</v>
      </c>
      <c r="BV67" s="16">
        <f t="shared" si="13"/>
        <v>-1</v>
      </c>
      <c r="BX67" s="10">
        <f t="shared" si="14"/>
        <v>-418.1771679080656</v>
      </c>
      <c r="BY67" s="10">
        <f t="shared" si="15"/>
        <v>-1</v>
      </c>
      <c r="BZ67" s="10">
        <f t="shared" si="2"/>
        <v>0</v>
      </c>
      <c r="CA67" s="10">
        <f t="shared" si="16"/>
        <v>0</v>
      </c>
    </row>
    <row r="68" spans="2:79" x14ac:dyDescent="0.25">
      <c r="B68" s="10">
        <f t="shared" si="17"/>
        <v>44</v>
      </c>
      <c r="C68">
        <v>4.3223735701758415E-3</v>
      </c>
      <c r="D68">
        <v>-0.56999397202162072</v>
      </c>
      <c r="E68">
        <v>-0.26876591618929524</v>
      </c>
      <c r="F68">
        <v>-1.8866558093577623</v>
      </c>
      <c r="G68">
        <v>0.57251554608228616</v>
      </c>
      <c r="H68">
        <v>0.19391460921048617</v>
      </c>
      <c r="K68" s="10">
        <f>1</f>
        <v>1</v>
      </c>
      <c r="L68" s="10">
        <f t="shared" si="18"/>
        <v>4.2255070867684443</v>
      </c>
      <c r="M68" s="10">
        <f t="shared" si="19"/>
        <v>9.7527441114499158</v>
      </c>
      <c r="N68" s="10">
        <f t="shared" si="20"/>
        <v>1.0576258565696866</v>
      </c>
      <c r="O68" s="10">
        <f t="shared" si="21"/>
        <v>7.0507161228994244</v>
      </c>
      <c r="P68" s="10">
        <f t="shared" si="22"/>
        <v>8.6629141908563749</v>
      </c>
      <c r="Q68" s="10">
        <f t="shared" si="23"/>
        <v>1</v>
      </c>
      <c r="S68" s="10">
        <f t="shared" si="24"/>
        <v>107.38222938305688</v>
      </c>
      <c r="T68" s="10">
        <f t="shared" si="25"/>
        <v>1</v>
      </c>
      <c r="U68" s="10">
        <f t="shared" si="26"/>
        <v>0</v>
      </c>
      <c r="V68" s="10">
        <f t="shared" si="27"/>
        <v>0</v>
      </c>
      <c r="Y68" s="10">
        <f t="shared" si="28"/>
        <v>0</v>
      </c>
      <c r="Z68" s="10">
        <f t="shared" si="29"/>
        <v>0</v>
      </c>
      <c r="AA68" s="10">
        <f t="shared" si="30"/>
        <v>0</v>
      </c>
      <c r="AB68" s="10">
        <f t="shared" si="31"/>
        <v>0</v>
      </c>
      <c r="AC68" s="10">
        <f t="shared" si="32"/>
        <v>0</v>
      </c>
      <c r="AD68" s="10">
        <f t="shared" si="33"/>
        <v>0</v>
      </c>
      <c r="AE68" s="10">
        <f t="shared" si="34"/>
        <v>-13.070105677943189</v>
      </c>
      <c r="AF68" s="10">
        <f t="shared" si="35"/>
        <v>-13.970105677943188</v>
      </c>
      <c r="AG68" s="10">
        <f t="shared" si="36"/>
        <v>-8.4158082557073257</v>
      </c>
      <c r="AH68" s="10">
        <f t="shared" si="37"/>
        <v>-10.611316360201329</v>
      </c>
      <c r="AI68" s="10">
        <f t="shared" si="38"/>
        <v>-0.10616061685977307</v>
      </c>
      <c r="AJ68" s="10">
        <f t="shared" si="42"/>
        <v>31.575015625966195</v>
      </c>
      <c r="AK68" s="10">
        <f t="shared" si="39"/>
        <v>1</v>
      </c>
      <c r="AL68" s="10">
        <f t="shared" si="40"/>
        <v>0</v>
      </c>
      <c r="AN68" s="10">
        <f t="shared" si="3"/>
        <v>-1</v>
      </c>
      <c r="AO68" s="10">
        <f t="shared" si="4"/>
        <v>0</v>
      </c>
      <c r="AP68" s="10">
        <f t="shared" si="5"/>
        <v>0</v>
      </c>
      <c r="BG68" s="10">
        <f t="shared" si="7"/>
        <v>45</v>
      </c>
      <c r="BH68">
        <v>0.41970224629039876</v>
      </c>
      <c r="BI68">
        <v>-0.45437900553224608</v>
      </c>
      <c r="BJ68">
        <v>0.34877757570939139</v>
      </c>
      <c r="BK68">
        <v>1.3569115253631026</v>
      </c>
      <c r="BL68">
        <v>0.34788399716489948</v>
      </c>
      <c r="BM68">
        <v>0.69096957304605244</v>
      </c>
      <c r="BP68" s="16">
        <f>1</f>
        <v>1</v>
      </c>
      <c r="BQ68" s="14">
        <f t="shared" si="8"/>
        <v>7.2696368945912964</v>
      </c>
      <c r="BR68" s="14">
        <f t="shared" si="9"/>
        <v>8.5948023871421562</v>
      </c>
      <c r="BS68" s="14">
        <f t="shared" si="10"/>
        <v>3.2828372037030404</v>
      </c>
      <c r="BT68" s="14">
        <f t="shared" si="11"/>
        <v>11.331767785998551</v>
      </c>
      <c r="BU68" s="14">
        <f t="shared" si="12"/>
        <v>3.2813509240847245</v>
      </c>
      <c r="BV68" s="16">
        <f t="shared" si="13"/>
        <v>-1</v>
      </c>
      <c r="BX68" s="10">
        <f t="shared" si="14"/>
        <v>-197.59747000629764</v>
      </c>
      <c r="BY68" s="10">
        <f t="shared" si="15"/>
        <v>-1</v>
      </c>
      <c r="BZ68" s="10">
        <f t="shared" si="2"/>
        <v>0</v>
      </c>
      <c r="CA68" s="10">
        <f t="shared" si="16"/>
        <v>0</v>
      </c>
    </row>
    <row r="69" spans="2:79" x14ac:dyDescent="0.25">
      <c r="B69" s="10">
        <f t="shared" si="17"/>
        <v>45</v>
      </c>
      <c r="C69">
        <v>1.3523140296456404</v>
      </c>
      <c r="D69">
        <v>1.6260173651971854</v>
      </c>
      <c r="E69">
        <v>-0.51740016715484671</v>
      </c>
      <c r="F69">
        <v>-0.35422999644652009</v>
      </c>
      <c r="G69">
        <v>0.78324205787794199</v>
      </c>
      <c r="H69">
        <v>0.51524399548326061</v>
      </c>
      <c r="K69" s="10">
        <f>1</f>
        <v>1</v>
      </c>
      <c r="L69" s="10">
        <f t="shared" si="18"/>
        <v>8.8208400808654144</v>
      </c>
      <c r="M69" s="10">
        <f t="shared" si="19"/>
        <v>12.05510337902804</v>
      </c>
      <c r="N69" s="10">
        <f t="shared" si="20"/>
        <v>1.8421330451336311</v>
      </c>
      <c r="O69" s="10">
        <f t="shared" si="21"/>
        <v>8.485644427737304</v>
      </c>
      <c r="P69" s="10">
        <f t="shared" si="22"/>
        <v>4.0054773215859161</v>
      </c>
      <c r="Q69" s="10">
        <f t="shared" si="23"/>
        <v>-1</v>
      </c>
      <c r="S69" s="10">
        <f t="shared" si="24"/>
        <v>-131.72690106436619</v>
      </c>
      <c r="T69" s="10">
        <f t="shared" si="25"/>
        <v>-1</v>
      </c>
      <c r="U69" s="10">
        <f t="shared" si="26"/>
        <v>0</v>
      </c>
      <c r="V69" s="10">
        <f t="shared" si="27"/>
        <v>0</v>
      </c>
      <c r="Y69" s="10">
        <f t="shared" si="28"/>
        <v>0</v>
      </c>
      <c r="Z69" s="10">
        <f t="shared" si="29"/>
        <v>0</v>
      </c>
      <c r="AA69" s="10">
        <f t="shared" si="30"/>
        <v>0</v>
      </c>
      <c r="AB69" s="10">
        <f t="shared" si="31"/>
        <v>0</v>
      </c>
      <c r="AC69" s="10">
        <f t="shared" si="32"/>
        <v>0</v>
      </c>
      <c r="AD69" s="10">
        <f t="shared" si="33"/>
        <v>0</v>
      </c>
      <c r="AE69" s="10">
        <f t="shared" si="34"/>
        <v>-13.070105677943189</v>
      </c>
      <c r="AF69" s="10">
        <f t="shared" si="35"/>
        <v>-13.970105677943188</v>
      </c>
      <c r="AG69" s="10">
        <f t="shared" si="36"/>
        <v>-8.4158082557073257</v>
      </c>
      <c r="AH69" s="10">
        <f t="shared" si="37"/>
        <v>-10.611316360201329</v>
      </c>
      <c r="AI69" s="10">
        <f t="shared" si="38"/>
        <v>-0.10616061685977307</v>
      </c>
      <c r="AJ69" s="10">
        <f t="shared" si="42"/>
        <v>31.575015625966195</v>
      </c>
      <c r="AK69" s="10">
        <f t="shared" si="39"/>
        <v>-1</v>
      </c>
      <c r="AL69" s="10">
        <f t="shared" si="40"/>
        <v>0</v>
      </c>
      <c r="AN69" s="10">
        <f t="shared" si="3"/>
        <v>-1</v>
      </c>
      <c r="AO69" s="10">
        <f t="shared" si="4"/>
        <v>0</v>
      </c>
      <c r="AP69" s="10">
        <f t="shared" si="5"/>
        <v>0</v>
      </c>
      <c r="BG69" s="10">
        <f t="shared" si="7"/>
        <v>46</v>
      </c>
      <c r="BH69">
        <v>0.68816689235973172</v>
      </c>
      <c r="BI69">
        <v>-0.84526845967047848</v>
      </c>
      <c r="BJ69">
        <v>1.8803530110744759</v>
      </c>
      <c r="BK69">
        <v>-0.4348726179159712</v>
      </c>
      <c r="BL69">
        <v>0.682362042425666</v>
      </c>
      <c r="BM69">
        <v>2.0386364329966124E-2</v>
      </c>
      <c r="BP69" s="16">
        <f>1</f>
        <v>1</v>
      </c>
      <c r="BQ69" s="14">
        <f t="shared" si="8"/>
        <v>5.8052970748300003</v>
      </c>
      <c r="BR69" s="14">
        <f t="shared" si="9"/>
        <v>9.1168161079233307</v>
      </c>
      <c r="BS69" s="14">
        <f t="shared" si="10"/>
        <v>6.0224336032991914</v>
      </c>
      <c r="BT69" s="14">
        <f t="shared" si="11"/>
        <v>10.404567016864977</v>
      </c>
      <c r="BU69" s="14">
        <f t="shared" si="12"/>
        <v>8.9166771302070877</v>
      </c>
      <c r="BV69" s="16">
        <f t="shared" si="13"/>
        <v>1</v>
      </c>
      <c r="BX69" s="10">
        <f t="shared" si="14"/>
        <v>60.181202230883741</v>
      </c>
      <c r="BY69" s="10">
        <f t="shared" si="15"/>
        <v>1</v>
      </c>
      <c r="BZ69" s="10">
        <f t="shared" si="2"/>
        <v>0</v>
      </c>
      <c r="CA69" s="10">
        <f t="shared" si="16"/>
        <v>0</v>
      </c>
    </row>
    <row r="70" spans="2:79" x14ac:dyDescent="0.25">
      <c r="B70" s="10">
        <f t="shared" si="17"/>
        <v>46</v>
      </c>
      <c r="C70">
        <v>-0.46168565859261435</v>
      </c>
      <c r="D70">
        <v>2.3519169189967215</v>
      </c>
      <c r="E70">
        <v>9.834366210270673E-2</v>
      </c>
      <c r="F70">
        <v>6.6165739553980529E-3</v>
      </c>
      <c r="G70">
        <v>-7.0015175879234448E-2</v>
      </c>
      <c r="H70">
        <v>0.75548570207831045</v>
      </c>
      <c r="K70" s="10">
        <f>1</f>
        <v>1</v>
      </c>
      <c r="L70" s="10">
        <f t="shared" si="18"/>
        <v>5.8036338365136846</v>
      </c>
      <c r="M70" s="10">
        <f t="shared" si="19"/>
        <v>13.262484328813754</v>
      </c>
      <c r="N70" s="10">
        <f t="shared" si="20"/>
        <v>2.8662931586126166</v>
      </c>
      <c r="O70" s="10">
        <f t="shared" si="21"/>
        <v>9.0858366617982487</v>
      </c>
      <c r="P70" s="10">
        <f t="shared" si="22"/>
        <v>2.586263707370398</v>
      </c>
      <c r="Q70" s="10">
        <f t="shared" si="23"/>
        <v>-1</v>
      </c>
      <c r="S70" s="10">
        <f t="shared" si="24"/>
        <v>-155.48039333447932</v>
      </c>
      <c r="T70" s="10">
        <f t="shared" si="25"/>
        <v>-1</v>
      </c>
      <c r="U70" s="10">
        <f t="shared" si="26"/>
        <v>0</v>
      </c>
      <c r="V70" s="10">
        <f t="shared" si="27"/>
        <v>0</v>
      </c>
      <c r="Y70" s="10">
        <f t="shared" si="28"/>
        <v>0</v>
      </c>
      <c r="Z70" s="10">
        <f t="shared" si="29"/>
        <v>0</v>
      </c>
      <c r="AA70" s="10">
        <f t="shared" si="30"/>
        <v>0</v>
      </c>
      <c r="AB70" s="10">
        <f t="shared" si="31"/>
        <v>0</v>
      </c>
      <c r="AC70" s="10">
        <f t="shared" si="32"/>
        <v>0</v>
      </c>
      <c r="AD70" s="10">
        <f t="shared" si="33"/>
        <v>0</v>
      </c>
      <c r="AE70" s="10">
        <f t="shared" si="34"/>
        <v>-13.070105677943189</v>
      </c>
      <c r="AF70" s="10">
        <f t="shared" si="35"/>
        <v>-13.970105677943188</v>
      </c>
      <c r="AG70" s="10">
        <f t="shared" si="36"/>
        <v>-8.4158082557073257</v>
      </c>
      <c r="AH70" s="10">
        <f t="shared" si="37"/>
        <v>-10.611316360201329</v>
      </c>
      <c r="AI70" s="10">
        <f t="shared" si="38"/>
        <v>-0.10616061685977307</v>
      </c>
      <c r="AJ70" s="10">
        <f t="shared" si="42"/>
        <v>31.575015625966195</v>
      </c>
      <c r="AK70" s="10">
        <f t="shared" si="39"/>
        <v>-1</v>
      </c>
      <c r="AL70" s="10">
        <f t="shared" si="40"/>
        <v>0</v>
      </c>
      <c r="AN70" s="10">
        <f t="shared" si="3"/>
        <v>-1</v>
      </c>
      <c r="AO70" s="10">
        <f t="shared" si="4"/>
        <v>0</v>
      </c>
      <c r="AP70" s="10">
        <f t="shared" si="5"/>
        <v>0</v>
      </c>
      <c r="BG70" s="10">
        <f t="shared" si="7"/>
        <v>47</v>
      </c>
      <c r="BH70">
        <v>1.1714928405126557</v>
      </c>
      <c r="BI70">
        <v>-1.228863766300492</v>
      </c>
      <c r="BJ70">
        <v>0.69399447966134176</v>
      </c>
      <c r="BK70">
        <v>0.82639189713518135</v>
      </c>
      <c r="BL70">
        <v>-0.63017409956955817</v>
      </c>
      <c r="BM70">
        <v>0.29566331980346078</v>
      </c>
      <c r="BP70" s="16">
        <f>1</f>
        <v>1</v>
      </c>
      <c r="BQ70" s="14">
        <f t="shared" si="8"/>
        <v>6.9218571595900293</v>
      </c>
      <c r="BR70" s="14">
        <f t="shared" si="9"/>
        <v>8.230649723268888</v>
      </c>
      <c r="BS70" s="14">
        <f t="shared" si="10"/>
        <v>3.2817560389087981</v>
      </c>
      <c r="BT70" s="14">
        <f t="shared" si="11"/>
        <v>13.318289359338413</v>
      </c>
      <c r="BU70" s="14">
        <f t="shared" si="12"/>
        <v>5.8845091459359464</v>
      </c>
      <c r="BV70" s="16">
        <f t="shared" si="13"/>
        <v>1</v>
      </c>
      <c r="BX70" s="10">
        <f t="shared" si="14"/>
        <v>-76.292067657998189</v>
      </c>
      <c r="BY70" s="10">
        <f t="shared" si="15"/>
        <v>-1</v>
      </c>
      <c r="BZ70" s="10">
        <f t="shared" si="2"/>
        <v>-1</v>
      </c>
      <c r="CA70" s="10">
        <f t="shared" si="16"/>
        <v>1</v>
      </c>
    </row>
    <row r="71" spans="2:79" x14ac:dyDescent="0.25">
      <c r="B71" s="10">
        <f t="shared" si="17"/>
        <v>47</v>
      </c>
      <c r="C71">
        <v>-0.19418166630202904</v>
      </c>
      <c r="D71">
        <v>-0.93331436801236123</v>
      </c>
      <c r="E71">
        <v>-1.6084777598734945</v>
      </c>
      <c r="F71">
        <v>0.41177827370120212</v>
      </c>
      <c r="G71">
        <v>0.45073534238326829</v>
      </c>
      <c r="H71">
        <v>0.85323648792992945</v>
      </c>
      <c r="K71" s="10">
        <f>1</f>
        <v>1</v>
      </c>
      <c r="L71" s="10">
        <f t="shared" si="18"/>
        <v>6.2485703605723169</v>
      </c>
      <c r="M71" s="10">
        <f t="shared" si="19"/>
        <v>7.7981943305447023</v>
      </c>
      <c r="N71" s="10">
        <f t="shared" si="20"/>
        <v>2.7355376114220231E-2</v>
      </c>
      <c r="O71" s="10">
        <f t="shared" si="21"/>
        <v>9.7597377756581096</v>
      </c>
      <c r="P71" s="10">
        <f t="shared" si="22"/>
        <v>3.4524224645292669</v>
      </c>
      <c r="Q71" s="10">
        <f t="shared" si="23"/>
        <v>-1</v>
      </c>
      <c r="S71" s="10">
        <f t="shared" si="24"/>
        <v>-58.307485245615652</v>
      </c>
      <c r="T71" s="10">
        <f t="shared" si="25"/>
        <v>-1</v>
      </c>
      <c r="U71" s="10">
        <f t="shared" si="26"/>
        <v>0</v>
      </c>
      <c r="V71" s="10">
        <f t="shared" si="27"/>
        <v>0</v>
      </c>
      <c r="Y71" s="10">
        <f t="shared" si="28"/>
        <v>0</v>
      </c>
      <c r="Z71" s="10">
        <f t="shared" si="29"/>
        <v>0</v>
      </c>
      <c r="AA71" s="10">
        <f t="shared" si="30"/>
        <v>0</v>
      </c>
      <c r="AB71" s="10">
        <f t="shared" si="31"/>
        <v>0</v>
      </c>
      <c r="AC71" s="10">
        <f t="shared" si="32"/>
        <v>0</v>
      </c>
      <c r="AD71" s="10">
        <f t="shared" si="33"/>
        <v>0</v>
      </c>
      <c r="AE71" s="10">
        <f t="shared" si="34"/>
        <v>-13.070105677943189</v>
      </c>
      <c r="AF71" s="10">
        <f t="shared" si="35"/>
        <v>-13.970105677943188</v>
      </c>
      <c r="AG71" s="10">
        <f t="shared" si="36"/>
        <v>-8.4158082557073257</v>
      </c>
      <c r="AH71" s="10">
        <f t="shared" si="37"/>
        <v>-10.611316360201329</v>
      </c>
      <c r="AI71" s="10">
        <f t="shared" si="38"/>
        <v>-0.10616061685977307</v>
      </c>
      <c r="AJ71" s="10">
        <f t="shared" si="42"/>
        <v>31.575015625966195</v>
      </c>
      <c r="AK71" s="10">
        <f t="shared" si="39"/>
        <v>-1</v>
      </c>
      <c r="AL71" s="10">
        <f t="shared" si="40"/>
        <v>0</v>
      </c>
      <c r="AN71" s="10">
        <f t="shared" si="3"/>
        <v>1</v>
      </c>
      <c r="AO71" s="10">
        <f t="shared" si="4"/>
        <v>0</v>
      </c>
      <c r="AP71" s="10">
        <f t="shared" si="5"/>
        <v>0</v>
      </c>
      <c r="BG71" s="10">
        <f t="shared" si="7"/>
        <v>48</v>
      </c>
      <c r="BH71">
        <v>-2.0140214473940432</v>
      </c>
      <c r="BI71">
        <v>2.105844032485038</v>
      </c>
      <c r="BJ71">
        <v>0.60848833527415991</v>
      </c>
      <c r="BK71">
        <v>-1.149442141468171</v>
      </c>
      <c r="BL71">
        <v>2.0198604033794254</v>
      </c>
      <c r="BM71">
        <v>0.43253883480330818</v>
      </c>
      <c r="BP71" s="16">
        <f>1</f>
        <v>1</v>
      </c>
      <c r="BQ71" s="14">
        <f t="shared" si="8"/>
        <v>-0.43718929115838812</v>
      </c>
      <c r="BR71" s="14">
        <f t="shared" si="9"/>
        <v>15.934356997192905</v>
      </c>
      <c r="BS71" s="14">
        <f t="shared" si="10"/>
        <v>3.0842231975844014</v>
      </c>
      <c r="BT71" s="14">
        <f t="shared" si="11"/>
        <v>8.7537973637282569</v>
      </c>
      <c r="BU71" s="14">
        <f t="shared" si="12"/>
        <v>12.00651182453726</v>
      </c>
      <c r="BV71" s="16">
        <f t="shared" si="13"/>
        <v>1</v>
      </c>
      <c r="BX71" s="10">
        <f t="shared" si="14"/>
        <v>495.19658872828813</v>
      </c>
      <c r="BY71" s="10">
        <f t="shared" si="15"/>
        <v>1</v>
      </c>
      <c r="BZ71" s="10">
        <f t="shared" si="2"/>
        <v>0</v>
      </c>
      <c r="CA71" s="10">
        <f t="shared" si="16"/>
        <v>0</v>
      </c>
    </row>
    <row r="72" spans="2:79" x14ac:dyDescent="0.25">
      <c r="B72" s="10">
        <f t="shared" si="17"/>
        <v>48</v>
      </c>
      <c r="C72">
        <v>1.846487975853961</v>
      </c>
      <c r="D72">
        <v>-1.3829117051500361</v>
      </c>
      <c r="E72">
        <v>-0.74029571806022432</v>
      </c>
      <c r="F72">
        <v>-0.362060745828785</v>
      </c>
      <c r="G72">
        <v>0.31362333174911328</v>
      </c>
      <c r="H72">
        <v>0.31110568559831536</v>
      </c>
      <c r="K72" s="10">
        <f>1</f>
        <v>1</v>
      </c>
      <c r="L72" s="10">
        <f t="shared" si="18"/>
        <v>8.4812036594200659</v>
      </c>
      <c r="M72" s="10">
        <f t="shared" si="19"/>
        <v>7.8747743966569326</v>
      </c>
      <c r="N72" s="10">
        <f t="shared" si="20"/>
        <v>-3.168324747473994E-2</v>
      </c>
      <c r="O72" s="10">
        <f t="shared" si="21"/>
        <v>10.572774063020674</v>
      </c>
      <c r="P72" s="10">
        <f t="shared" si="22"/>
        <v>8.0648318534932297</v>
      </c>
      <c r="Q72" s="10">
        <f t="shared" si="23"/>
        <v>1</v>
      </c>
      <c r="S72" s="10">
        <f t="shared" si="24"/>
        <v>56.034972085244306</v>
      </c>
      <c r="T72" s="10">
        <f t="shared" si="25"/>
        <v>1</v>
      </c>
      <c r="U72" s="10">
        <f t="shared" si="26"/>
        <v>0</v>
      </c>
      <c r="V72" s="10">
        <f t="shared" si="27"/>
        <v>0</v>
      </c>
      <c r="Y72" s="10">
        <f t="shared" si="28"/>
        <v>0</v>
      </c>
      <c r="Z72" s="10">
        <f t="shared" si="29"/>
        <v>0</v>
      </c>
      <c r="AA72" s="10">
        <f t="shared" si="30"/>
        <v>0</v>
      </c>
      <c r="AB72" s="10">
        <f t="shared" si="31"/>
        <v>0</v>
      </c>
      <c r="AC72" s="10">
        <f t="shared" si="32"/>
        <v>0</v>
      </c>
      <c r="AD72" s="10">
        <f t="shared" si="33"/>
        <v>0</v>
      </c>
      <c r="AE72" s="10">
        <f t="shared" si="34"/>
        <v>-13.070105677943189</v>
      </c>
      <c r="AF72" s="10">
        <f t="shared" si="35"/>
        <v>-13.970105677943188</v>
      </c>
      <c r="AG72" s="10">
        <f t="shared" si="36"/>
        <v>-8.4158082557073257</v>
      </c>
      <c r="AH72" s="10">
        <f t="shared" si="37"/>
        <v>-10.611316360201329</v>
      </c>
      <c r="AI72" s="10">
        <f t="shared" si="38"/>
        <v>-0.10616061685977307</v>
      </c>
      <c r="AJ72" s="10">
        <f t="shared" si="42"/>
        <v>31.575015625966195</v>
      </c>
      <c r="AK72" s="10">
        <f t="shared" si="39"/>
        <v>1</v>
      </c>
      <c r="AL72" s="10">
        <f t="shared" si="40"/>
        <v>0</v>
      </c>
      <c r="AN72" s="10">
        <f t="shared" si="3"/>
        <v>-1</v>
      </c>
      <c r="AO72" s="10">
        <f t="shared" si="4"/>
        <v>0</v>
      </c>
      <c r="AP72" s="10">
        <f t="shared" si="5"/>
        <v>0</v>
      </c>
      <c r="BG72" s="10">
        <f t="shared" si="7"/>
        <v>49</v>
      </c>
      <c r="BH72">
        <v>1.5881732906564139</v>
      </c>
      <c r="BI72">
        <v>-2.2793756215833127</v>
      </c>
      <c r="BJ72">
        <v>0.84384737419895828</v>
      </c>
      <c r="BK72">
        <v>-0.5107654033054132</v>
      </c>
      <c r="BL72">
        <v>-1.1045449355151504</v>
      </c>
      <c r="BM72">
        <v>0.3737296670430616</v>
      </c>
      <c r="BP72" s="16">
        <f>1</f>
        <v>1</v>
      </c>
      <c r="BQ72" s="14">
        <f t="shared" si="8"/>
        <v>7.8844555065406832</v>
      </c>
      <c r="BR72" s="14">
        <f t="shared" si="9"/>
        <v>5.8037996634726392</v>
      </c>
      <c r="BS72" s="14">
        <f t="shared" si="10"/>
        <v>3.6279401435816077</v>
      </c>
      <c r="BT72" s="14">
        <f t="shared" si="11"/>
        <v>10.229242569230937</v>
      </c>
      <c r="BU72" s="14">
        <f t="shared" si="12"/>
        <v>4.7886367997164729</v>
      </c>
      <c r="BV72" s="16">
        <f t="shared" si="13"/>
        <v>1</v>
      </c>
      <c r="BX72" s="10">
        <f t="shared" si="14"/>
        <v>-166.16745910435225</v>
      </c>
      <c r="BY72" s="10">
        <f t="shared" si="15"/>
        <v>-1</v>
      </c>
      <c r="BZ72" s="10">
        <f t="shared" si="2"/>
        <v>-1</v>
      </c>
      <c r="CA72" s="10">
        <f t="shared" si="16"/>
        <v>1</v>
      </c>
    </row>
    <row r="73" spans="2:79" x14ac:dyDescent="0.25">
      <c r="B73" s="10">
        <f t="shared" si="17"/>
        <v>49</v>
      </c>
      <c r="C73">
        <v>-0.49643631427898072</v>
      </c>
      <c r="D73">
        <v>-2.6154157239943743</v>
      </c>
      <c r="E73">
        <v>0.18078935681842268</v>
      </c>
      <c r="F73">
        <v>0.43857426135218702</v>
      </c>
      <c r="G73">
        <v>-0.78157881944207475</v>
      </c>
      <c r="H73">
        <v>0.56453138828699612</v>
      </c>
      <c r="K73" s="10">
        <f>1</f>
        <v>1</v>
      </c>
      <c r="L73" s="10">
        <f t="shared" si="18"/>
        <v>5.7458334432655187</v>
      </c>
      <c r="M73" s="10">
        <f t="shared" si="19"/>
        <v>5.0003731689377293</v>
      </c>
      <c r="N73" s="10">
        <f t="shared" si="20"/>
        <v>3.0034241992236348</v>
      </c>
      <c r="O73" s="10">
        <f t="shared" si="21"/>
        <v>9.8043072547976813</v>
      </c>
      <c r="P73" s="10">
        <f t="shared" si="22"/>
        <v>1.4027275234714032</v>
      </c>
      <c r="Q73" s="10">
        <f t="shared" si="23"/>
        <v>-1</v>
      </c>
      <c r="S73" s="10">
        <f t="shared" si="24"/>
        <v>-124.04216006030221</v>
      </c>
      <c r="T73" s="10">
        <f t="shared" si="25"/>
        <v>-1</v>
      </c>
      <c r="U73" s="10">
        <f t="shared" si="26"/>
        <v>0</v>
      </c>
      <c r="V73" s="10">
        <f t="shared" si="27"/>
        <v>0</v>
      </c>
      <c r="Y73" s="10">
        <f t="shared" si="28"/>
        <v>0</v>
      </c>
      <c r="Z73" s="10">
        <f t="shared" si="29"/>
        <v>0</v>
      </c>
      <c r="AA73" s="10">
        <f t="shared" si="30"/>
        <v>0</v>
      </c>
      <c r="AB73" s="10">
        <f t="shared" si="31"/>
        <v>0</v>
      </c>
      <c r="AC73" s="10">
        <f t="shared" si="32"/>
        <v>0</v>
      </c>
      <c r="AD73" s="10">
        <f t="shared" si="33"/>
        <v>0</v>
      </c>
      <c r="AE73" s="10">
        <f t="shared" si="34"/>
        <v>-13.070105677943189</v>
      </c>
      <c r="AF73" s="10">
        <f t="shared" si="35"/>
        <v>-13.970105677943188</v>
      </c>
      <c r="AG73" s="10">
        <f t="shared" si="36"/>
        <v>-8.4158082557073257</v>
      </c>
      <c r="AH73" s="10">
        <f t="shared" si="37"/>
        <v>-10.611316360201329</v>
      </c>
      <c r="AI73" s="10">
        <f t="shared" si="38"/>
        <v>-0.10616061685977307</v>
      </c>
      <c r="AJ73" s="10">
        <f t="shared" si="42"/>
        <v>31.575015625966195</v>
      </c>
      <c r="AK73" s="10">
        <f t="shared" si="39"/>
        <v>-1</v>
      </c>
      <c r="AL73" s="10">
        <f t="shared" si="40"/>
        <v>0</v>
      </c>
      <c r="AN73" s="10">
        <f t="shared" si="3"/>
        <v>-1</v>
      </c>
      <c r="AO73" s="10">
        <f t="shared" si="4"/>
        <v>0</v>
      </c>
      <c r="AP73" s="10">
        <f t="shared" si="5"/>
        <v>0</v>
      </c>
      <c r="BG73" s="10">
        <f t="shared" si="7"/>
        <v>50</v>
      </c>
      <c r="BH73">
        <v>-0.69906491262372583</v>
      </c>
      <c r="BI73">
        <v>0.68700273914146237</v>
      </c>
      <c r="BJ73">
        <v>-0.42246028897352517</v>
      </c>
      <c r="BK73">
        <v>1.1503311725391541</v>
      </c>
      <c r="BL73">
        <v>2.2270978661254048</v>
      </c>
      <c r="BM73">
        <v>0.27539902951139866</v>
      </c>
      <c r="BP73" s="16">
        <f>1</f>
        <v>1</v>
      </c>
      <c r="BQ73" s="14">
        <f t="shared" si="8"/>
        <v>2.6005701867464772</v>
      </c>
      <c r="BR73" s="14">
        <f t="shared" si="9"/>
        <v>12.656607145750032</v>
      </c>
      <c r="BS73" s="14">
        <f t="shared" si="10"/>
        <v>0.70256732400192468</v>
      </c>
      <c r="BT73" s="14">
        <f t="shared" si="11"/>
        <v>14.066640790053906</v>
      </c>
      <c r="BU73" s="14">
        <f t="shared" si="12"/>
        <v>12.485263441025872</v>
      </c>
      <c r="BV73" s="16">
        <f t="shared" si="13"/>
        <v>1</v>
      </c>
      <c r="BX73" s="10">
        <f t="shared" si="14"/>
        <v>425.55627651464715</v>
      </c>
      <c r="BY73" s="10">
        <f t="shared" si="15"/>
        <v>1</v>
      </c>
      <c r="BZ73" s="10">
        <f t="shared" si="2"/>
        <v>0</v>
      </c>
      <c r="CA73" s="10">
        <f t="shared" si="16"/>
        <v>0</v>
      </c>
    </row>
    <row r="74" spans="2:79" x14ac:dyDescent="0.25">
      <c r="B74" s="10">
        <f t="shared" si="17"/>
        <v>50</v>
      </c>
      <c r="C74">
        <v>0.96038093033712357</v>
      </c>
      <c r="D74">
        <v>-0.32215211831498891</v>
      </c>
      <c r="E74">
        <v>0.30287310437415726</v>
      </c>
      <c r="F74">
        <v>0.4889216143055819</v>
      </c>
      <c r="G74">
        <v>-0.49574396143725608</v>
      </c>
      <c r="H74">
        <v>0.78200628681295203</v>
      </c>
      <c r="K74" s="10">
        <f>1</f>
        <v>1</v>
      </c>
      <c r="L74" s="10">
        <f t="shared" si="18"/>
        <v>8.1689419563677959</v>
      </c>
      <c r="M74" s="10">
        <f t="shared" si="19"/>
        <v>8.8147339518330874</v>
      </c>
      <c r="N74" s="10">
        <f t="shared" si="20"/>
        <v>3.2064847883997905</v>
      </c>
      <c r="O74" s="10">
        <f t="shared" si="21"/>
        <v>9.888049467490724</v>
      </c>
      <c r="P74" s="10">
        <f t="shared" si="22"/>
        <v>1.8781535800564009</v>
      </c>
      <c r="Q74" s="10">
        <f t="shared" si="23"/>
        <v>-1</v>
      </c>
      <c r="S74" s="10">
        <f t="shared" si="24"/>
        <v>-177.14621613573277</v>
      </c>
      <c r="T74" s="10">
        <f t="shared" si="25"/>
        <v>-1</v>
      </c>
      <c r="U74" s="10">
        <f t="shared" si="26"/>
        <v>0</v>
      </c>
      <c r="V74" s="10">
        <f t="shared" si="27"/>
        <v>0</v>
      </c>
      <c r="Y74" s="10">
        <f t="shared" si="28"/>
        <v>0</v>
      </c>
      <c r="Z74" s="10">
        <f t="shared" si="29"/>
        <v>0</v>
      </c>
      <c r="AA74" s="10">
        <f t="shared" si="30"/>
        <v>0</v>
      </c>
      <c r="AB74" s="10">
        <f t="shared" si="31"/>
        <v>0</v>
      </c>
      <c r="AC74" s="10">
        <f t="shared" si="32"/>
        <v>0</v>
      </c>
      <c r="AD74" s="10">
        <f t="shared" si="33"/>
        <v>0</v>
      </c>
      <c r="AE74" s="10">
        <f t="shared" si="34"/>
        <v>-13.070105677943189</v>
      </c>
      <c r="AF74" s="10">
        <f t="shared" si="35"/>
        <v>-13.970105677943188</v>
      </c>
      <c r="AG74" s="10">
        <f t="shared" si="36"/>
        <v>-8.4158082557073257</v>
      </c>
      <c r="AH74" s="10">
        <f t="shared" si="37"/>
        <v>-10.611316360201329</v>
      </c>
      <c r="AI74" s="10">
        <f t="shared" si="38"/>
        <v>-0.10616061685977307</v>
      </c>
      <c r="AJ74" s="10">
        <f t="shared" si="42"/>
        <v>31.575015625966195</v>
      </c>
      <c r="AK74" s="10">
        <f t="shared" si="39"/>
        <v>-1</v>
      </c>
      <c r="AL74" s="10">
        <f t="shared" si="40"/>
        <v>0</v>
      </c>
      <c r="AN74" s="10">
        <f t="shared" si="3"/>
        <v>1</v>
      </c>
      <c r="AO74" s="10">
        <f t="shared" si="4"/>
        <v>0</v>
      </c>
      <c r="AP74" s="10">
        <f t="shared" si="5"/>
        <v>0</v>
      </c>
      <c r="BG74" s="10">
        <f t="shared" si="7"/>
        <v>51</v>
      </c>
      <c r="BH74">
        <v>-0.80399559010402299</v>
      </c>
      <c r="BI74">
        <v>-1.1292399904050399</v>
      </c>
      <c r="BJ74">
        <v>-0.53373696573544294</v>
      </c>
      <c r="BK74">
        <v>-0.13670614862348884</v>
      </c>
      <c r="BL74">
        <v>-0.576485490455525</v>
      </c>
      <c r="BM74">
        <v>0.55217139194921716</v>
      </c>
      <c r="BP74" s="16">
        <f>1</f>
        <v>1</v>
      </c>
      <c r="BQ74" s="14">
        <f t="shared" si="8"/>
        <v>5.234273395298338</v>
      </c>
      <c r="BR74" s="14">
        <f t="shared" si="9"/>
        <v>7.4723133421715406</v>
      </c>
      <c r="BS74" s="14">
        <f t="shared" si="10"/>
        <v>1.8149602231041171</v>
      </c>
      <c r="BT74" s="14">
        <f t="shared" si="11"/>
        <v>8.8474495130427346</v>
      </c>
      <c r="BU74" s="14">
        <f t="shared" si="12"/>
        <v>1.7438570599897281</v>
      </c>
      <c r="BV74" s="16">
        <f t="shared" si="13"/>
        <v>-1</v>
      </c>
      <c r="BX74" s="10">
        <f t="shared" si="14"/>
        <v>-166.87288289711819</v>
      </c>
      <c r="BY74" s="10">
        <f t="shared" si="15"/>
        <v>-1</v>
      </c>
      <c r="BZ74" s="10">
        <f t="shared" si="2"/>
        <v>0</v>
      </c>
      <c r="CA74" s="10">
        <f t="shared" si="16"/>
        <v>0</v>
      </c>
    </row>
    <row r="75" spans="2:79" x14ac:dyDescent="0.25">
      <c r="B75" s="10">
        <f t="shared" si="17"/>
        <v>51</v>
      </c>
      <c r="C75">
        <v>0.62226263253251091</v>
      </c>
      <c r="D75">
        <v>0.73017190516111441</v>
      </c>
      <c r="E75">
        <v>0.60802904044976458</v>
      </c>
      <c r="F75">
        <v>-0.73357114160899073</v>
      </c>
      <c r="G75">
        <v>-0.43958607420790941</v>
      </c>
      <c r="H75">
        <v>0.11963255714590899</v>
      </c>
      <c r="K75" s="10">
        <f>1</f>
        <v>1</v>
      </c>
      <c r="L75" s="10">
        <f t="shared" si="18"/>
        <v>5.6530477155312813</v>
      </c>
      <c r="M75" s="10">
        <f t="shared" si="19"/>
        <v>12.756334809563917</v>
      </c>
      <c r="N75" s="10">
        <f t="shared" si="20"/>
        <v>3.0831621532311724</v>
      </c>
      <c r="O75" s="10">
        <f t="shared" si="21"/>
        <v>9.7145257513237162</v>
      </c>
      <c r="P75" s="10">
        <f t="shared" si="22"/>
        <v>6.3247979046200102</v>
      </c>
      <c r="Q75" s="10">
        <f t="shared" si="23"/>
        <v>1</v>
      </c>
      <c r="S75" s="10">
        <f t="shared" si="24"/>
        <v>-33.440763843806366</v>
      </c>
      <c r="T75" s="10">
        <f t="shared" si="25"/>
        <v>-1</v>
      </c>
      <c r="U75" s="10">
        <f t="shared" si="26"/>
        <v>1</v>
      </c>
      <c r="V75" s="10">
        <f t="shared" si="27"/>
        <v>1</v>
      </c>
      <c r="Y75" s="10">
        <f t="shared" si="28"/>
        <v>0.8947752311777093</v>
      </c>
      <c r="Z75" s="10">
        <f t="shared" si="29"/>
        <v>5.0582070765231233</v>
      </c>
      <c r="AA75" s="10">
        <f t="shared" si="30"/>
        <v>11.414052428207814</v>
      </c>
      <c r="AB75" s="10">
        <f t="shared" si="31"/>
        <v>2.7587371284157864</v>
      </c>
      <c r="AC75" s="10">
        <f t="shared" si="32"/>
        <v>8.6923170249224881</v>
      </c>
      <c r="AD75" s="10">
        <f t="shared" si="33"/>
        <v>5.6592725072586614</v>
      </c>
      <c r="AE75" s="10">
        <f t="shared" si="34"/>
        <v>-8.0118986014200662</v>
      </c>
      <c r="AF75" s="10">
        <f t="shared" si="35"/>
        <v>-8.9118986014200647</v>
      </c>
      <c r="AG75" s="10">
        <f t="shared" si="36"/>
        <v>2.9982441725004882</v>
      </c>
      <c r="AH75" s="10">
        <f t="shared" si="37"/>
        <v>-7.8525792317855423</v>
      </c>
      <c r="AI75" s="10">
        <f t="shared" si="38"/>
        <v>8.5861564080627151</v>
      </c>
      <c r="AJ75" s="10">
        <f t="shared" si="42"/>
        <v>31.575015625966195</v>
      </c>
      <c r="AK75" s="10">
        <f t="shared" si="39"/>
        <v>1</v>
      </c>
      <c r="AL75" s="10">
        <f t="shared" si="40"/>
        <v>0</v>
      </c>
      <c r="AN75" s="10">
        <f t="shared" si="3"/>
        <v>-1</v>
      </c>
      <c r="AO75" s="10">
        <f t="shared" si="4"/>
        <v>0</v>
      </c>
      <c r="AP75" s="10">
        <f t="shared" si="5"/>
        <v>0</v>
      </c>
      <c r="BG75" s="10">
        <f t="shared" si="7"/>
        <v>52</v>
      </c>
      <c r="BH75">
        <v>0.57089437177637592</v>
      </c>
      <c r="BI75">
        <v>0.54461793297377881</v>
      </c>
      <c r="BJ75">
        <v>2.2855783754494041</v>
      </c>
      <c r="BK75">
        <v>-4.6412651499849744E-2</v>
      </c>
      <c r="BL75">
        <v>-0.91618630904122256</v>
      </c>
      <c r="BM75">
        <v>0.80349131748405411</v>
      </c>
      <c r="BP75" s="16">
        <f>1</f>
        <v>1</v>
      </c>
      <c r="BQ75" s="14">
        <f t="shared" si="8"/>
        <v>7.5211131368811381</v>
      </c>
      <c r="BR75" s="14">
        <f t="shared" si="9"/>
        <v>10.256423290658402</v>
      </c>
      <c r="BS75" s="14">
        <f t="shared" si="10"/>
        <v>6.5042972209957561</v>
      </c>
      <c r="BT75" s="14">
        <f t="shared" si="11"/>
        <v>8.9976337193092668</v>
      </c>
      <c r="BU75" s="14">
        <f t="shared" si="12"/>
        <v>1.1788363283469441</v>
      </c>
      <c r="BV75" s="16">
        <f t="shared" si="13"/>
        <v>-1</v>
      </c>
      <c r="BX75" s="10">
        <f t="shared" si="14"/>
        <v>-342.69556782708793</v>
      </c>
      <c r="BY75" s="10">
        <f t="shared" si="15"/>
        <v>-1</v>
      </c>
      <c r="BZ75" s="10">
        <f t="shared" si="2"/>
        <v>0</v>
      </c>
      <c r="CA75" s="10">
        <f t="shared" si="16"/>
        <v>0</v>
      </c>
    </row>
    <row r="76" spans="2:79" x14ac:dyDescent="0.25">
      <c r="B76" s="10">
        <f t="shared" si="17"/>
        <v>52</v>
      </c>
      <c r="C76">
        <v>-0.23048755792842712</v>
      </c>
      <c r="D76">
        <v>1.6812464309623465</v>
      </c>
      <c r="E76">
        <v>0.72309831011807546</v>
      </c>
      <c r="F76">
        <v>-1.1400152288842946</v>
      </c>
      <c r="G76">
        <v>0.66967231759917922</v>
      </c>
      <c r="H76">
        <v>0.86672566911832027</v>
      </c>
      <c r="K76" s="10">
        <f>1</f>
        <v>1</v>
      </c>
      <c r="L76" s="10">
        <f t="shared" si="18"/>
        <v>6.1881831600495252</v>
      </c>
      <c r="M76" s="10">
        <f t="shared" si="19"/>
        <v>12.146965292333103</v>
      </c>
      <c r="N76" s="10">
        <f t="shared" si="20"/>
        <v>3.9054408703801147</v>
      </c>
      <c r="O76" s="10">
        <f t="shared" si="21"/>
        <v>7.1786562703505696</v>
      </c>
      <c r="P76" s="10">
        <f t="shared" si="22"/>
        <v>3.8165779894855447</v>
      </c>
      <c r="Q76" s="10">
        <f t="shared" si="23"/>
        <v>-1</v>
      </c>
      <c r="S76" s="10">
        <f t="shared" si="24"/>
        <v>124.73699977346831</v>
      </c>
      <c r="T76" s="10">
        <f t="shared" si="25"/>
        <v>1</v>
      </c>
      <c r="U76" s="10">
        <f t="shared" si="26"/>
        <v>-1</v>
      </c>
      <c r="V76" s="10">
        <f t="shared" si="27"/>
        <v>1</v>
      </c>
      <c r="Y76" s="10">
        <f t="shared" si="28"/>
        <v>-0.8947752311777093</v>
      </c>
      <c r="Z76" s="10">
        <f t="shared" si="29"/>
        <v>-5.5370330176033216</v>
      </c>
      <c r="AA76" s="10">
        <f t="shared" si="30"/>
        <v>-10.868803677554963</v>
      </c>
      <c r="AB76" s="10">
        <f t="shared" si="31"/>
        <v>-3.4944917576452412</v>
      </c>
      <c r="AC76" s="10">
        <f t="shared" si="32"/>
        <v>-6.4232838238482435</v>
      </c>
      <c r="AD76" s="10">
        <f t="shared" si="33"/>
        <v>-3.4149794528496851</v>
      </c>
      <c r="AE76" s="10">
        <f t="shared" si="34"/>
        <v>-13.548931619023389</v>
      </c>
      <c r="AF76" s="10">
        <f t="shared" si="35"/>
        <v>-14.448931619023387</v>
      </c>
      <c r="AG76" s="10">
        <f t="shared" si="36"/>
        <v>-7.8705595050544748</v>
      </c>
      <c r="AH76" s="10">
        <f t="shared" si="37"/>
        <v>-11.347070989430783</v>
      </c>
      <c r="AI76" s="10">
        <f t="shared" si="38"/>
        <v>2.1628725842144716</v>
      </c>
      <c r="AJ76" s="10">
        <f t="shared" si="42"/>
        <v>37.234288133224858</v>
      </c>
      <c r="AK76" s="10">
        <f t="shared" si="39"/>
        <v>-1</v>
      </c>
      <c r="AL76" s="10">
        <f t="shared" si="40"/>
        <v>0</v>
      </c>
      <c r="AN76" s="10">
        <f t="shared" si="3"/>
        <v>-1</v>
      </c>
      <c r="AO76" s="10">
        <f t="shared" si="4"/>
        <v>0</v>
      </c>
      <c r="AP76" s="10">
        <f t="shared" si="5"/>
        <v>0</v>
      </c>
      <c r="BG76" s="10">
        <f t="shared" si="7"/>
        <v>53</v>
      </c>
      <c r="BH76">
        <v>-4.1435441744397394E-2</v>
      </c>
      <c r="BI76">
        <v>-1.3120006769895554</v>
      </c>
      <c r="BJ76">
        <v>-1.7623779058340006</v>
      </c>
      <c r="BK76">
        <v>-0.42229316932207439</v>
      </c>
      <c r="BL76">
        <v>-0.99129238151363097</v>
      </c>
      <c r="BM76">
        <v>0.22415845210119939</v>
      </c>
      <c r="BP76" s="16">
        <f>1</f>
        <v>1</v>
      </c>
      <c r="BQ76" s="14">
        <f t="shared" si="8"/>
        <v>4.1197992299043049</v>
      </c>
      <c r="BR76" s="14">
        <f t="shared" si="9"/>
        <v>8.0385901899448111</v>
      </c>
      <c r="BS76" s="14">
        <f t="shared" si="10"/>
        <v>-2.3928562376145619</v>
      </c>
      <c r="BT76" s="14">
        <f t="shared" si="11"/>
        <v>10.433627550945369</v>
      </c>
      <c r="BU76" s="14">
        <f t="shared" si="12"/>
        <v>5.0502682759044983</v>
      </c>
      <c r="BV76" s="16">
        <f t="shared" si="13"/>
        <v>1</v>
      </c>
      <c r="BX76" s="10">
        <f t="shared" si="14"/>
        <v>88.262323288453558</v>
      </c>
      <c r="BY76" s="10">
        <f t="shared" si="15"/>
        <v>1</v>
      </c>
      <c r="BZ76" s="10">
        <f t="shared" si="2"/>
        <v>0</v>
      </c>
      <c r="CA76" s="10">
        <f t="shared" si="16"/>
        <v>0</v>
      </c>
    </row>
    <row r="77" spans="2:79" x14ac:dyDescent="0.25">
      <c r="B77" s="10">
        <f t="shared" si="17"/>
        <v>53</v>
      </c>
      <c r="C77">
        <v>1.9004437490366399</v>
      </c>
      <c r="D77">
        <v>1.3853036762156989</v>
      </c>
      <c r="E77">
        <v>-1.2071814126102254</v>
      </c>
      <c r="F77">
        <v>-0.54541715144296177</v>
      </c>
      <c r="G77">
        <v>-0.42170768210780807</v>
      </c>
      <c r="H77">
        <v>0.65569017609179969</v>
      </c>
      <c r="K77" s="10">
        <f>1</f>
        <v>1</v>
      </c>
      <c r="L77" s="10">
        <f t="shared" si="18"/>
        <v>9.7325383698918397</v>
      </c>
      <c r="M77" s="10">
        <f t="shared" si="19"/>
        <v>11.654726879404027</v>
      </c>
      <c r="N77" s="10">
        <f t="shared" si="20"/>
        <v>0.69482729060732096</v>
      </c>
      <c r="O77" s="10">
        <f t="shared" si="21"/>
        <v>8.1676448814113947</v>
      </c>
      <c r="P77" s="10">
        <f t="shared" si="22"/>
        <v>2.001297330162735</v>
      </c>
      <c r="Q77" s="10">
        <f t="shared" si="23"/>
        <v>-1</v>
      </c>
      <c r="S77" s="10">
        <f t="shared" si="24"/>
        <v>-161.604732393397</v>
      </c>
      <c r="T77" s="10">
        <f t="shared" si="25"/>
        <v>-1</v>
      </c>
      <c r="U77" s="10">
        <f t="shared" si="26"/>
        <v>0</v>
      </c>
      <c r="V77" s="10">
        <f t="shared" si="27"/>
        <v>0</v>
      </c>
      <c r="Y77" s="10">
        <f t="shared" si="28"/>
        <v>0</v>
      </c>
      <c r="Z77" s="10">
        <f t="shared" si="29"/>
        <v>0</v>
      </c>
      <c r="AA77" s="10">
        <f t="shared" si="30"/>
        <v>0</v>
      </c>
      <c r="AB77" s="10">
        <f t="shared" si="31"/>
        <v>0</v>
      </c>
      <c r="AC77" s="10">
        <f t="shared" si="32"/>
        <v>0</v>
      </c>
      <c r="AD77" s="10">
        <f t="shared" si="33"/>
        <v>0</v>
      </c>
      <c r="AE77" s="10">
        <f t="shared" si="34"/>
        <v>-13.548931619023389</v>
      </c>
      <c r="AF77" s="10">
        <f t="shared" si="35"/>
        <v>-14.448931619023387</v>
      </c>
      <c r="AG77" s="10">
        <f t="shared" si="36"/>
        <v>-7.8705595050544748</v>
      </c>
      <c r="AH77" s="10">
        <f t="shared" si="37"/>
        <v>-11.347070989430783</v>
      </c>
      <c r="AI77" s="10">
        <f t="shared" si="38"/>
        <v>2.1628725842144716</v>
      </c>
      <c r="AJ77" s="10">
        <f t="shared" si="42"/>
        <v>33.819308680375173</v>
      </c>
      <c r="AK77" s="10">
        <f t="shared" si="39"/>
        <v>-1</v>
      </c>
      <c r="AL77" s="10">
        <f t="shared" si="40"/>
        <v>0</v>
      </c>
      <c r="AN77" s="10">
        <f t="shared" si="3"/>
        <v>-1</v>
      </c>
      <c r="AO77" s="10">
        <f t="shared" si="4"/>
        <v>0</v>
      </c>
      <c r="AP77" s="10">
        <f t="shared" si="5"/>
        <v>0</v>
      </c>
      <c r="BG77" s="10">
        <f t="shared" si="7"/>
        <v>54</v>
      </c>
      <c r="BH77">
        <v>0.5742276698583737</v>
      </c>
      <c r="BI77">
        <v>1.4200850273482502</v>
      </c>
      <c r="BJ77">
        <v>-0.53144503908697516</v>
      </c>
      <c r="BK77">
        <v>1.0857343113457318</v>
      </c>
      <c r="BL77">
        <v>0.29599277695524506</v>
      </c>
      <c r="BM77">
        <v>0.67992187261574144</v>
      </c>
      <c r="BP77" s="16">
        <f>1</f>
        <v>1</v>
      </c>
      <c r="BQ77" s="14">
        <f t="shared" si="8"/>
        <v>7.5266573758644739</v>
      </c>
      <c r="BR77" s="14">
        <f t="shared" si="9"/>
        <v>11.71257832805893</v>
      </c>
      <c r="BS77" s="14">
        <f t="shared" si="10"/>
        <v>1.8187723601404082</v>
      </c>
      <c r="BT77" s="14">
        <f t="shared" si="11"/>
        <v>10.880721631600506</v>
      </c>
      <c r="BU77" s="14">
        <f t="shared" si="12"/>
        <v>3.195040813526957</v>
      </c>
      <c r="BV77" s="16">
        <f t="shared" si="13"/>
        <v>-1</v>
      </c>
      <c r="BX77" s="10">
        <f t="shared" si="14"/>
        <v>-173.4459495789304</v>
      </c>
      <c r="BY77" s="10">
        <f t="shared" si="15"/>
        <v>-1</v>
      </c>
      <c r="BZ77" s="10">
        <f t="shared" si="2"/>
        <v>0</v>
      </c>
      <c r="CA77" s="10">
        <f t="shared" si="16"/>
        <v>0</v>
      </c>
    </row>
    <row r="78" spans="2:79" x14ac:dyDescent="0.25">
      <c r="B78" s="10">
        <f t="shared" si="17"/>
        <v>54</v>
      </c>
      <c r="C78">
        <v>-0.53179746828391217</v>
      </c>
      <c r="D78">
        <v>-1.1205975170014426</v>
      </c>
      <c r="E78">
        <v>-3.668246790766716</v>
      </c>
      <c r="F78">
        <v>-0.75435536928125657</v>
      </c>
      <c r="G78">
        <v>0.59885110204049852</v>
      </c>
      <c r="H78">
        <v>0.76796777245399339</v>
      </c>
      <c r="K78" s="10">
        <f>1</f>
        <v>1</v>
      </c>
      <c r="L78" s="10">
        <f t="shared" si="18"/>
        <v>5.6870176147056029</v>
      </c>
      <c r="M78" s="10">
        <f t="shared" si="19"/>
        <v>7.4866882755792208</v>
      </c>
      <c r="N78" s="10">
        <f t="shared" si="20"/>
        <v>-3.3986363824450452</v>
      </c>
      <c r="O78" s="10">
        <f t="shared" si="21"/>
        <v>7.8201201824641338</v>
      </c>
      <c r="P78" s="10">
        <f t="shared" si="22"/>
        <v>3.6987818204995637</v>
      </c>
      <c r="Q78" s="10">
        <f t="shared" si="23"/>
        <v>-1</v>
      </c>
      <c r="S78" s="10">
        <f t="shared" si="24"/>
        <v>25.924050156788823</v>
      </c>
      <c r="T78" s="10">
        <f t="shared" si="25"/>
        <v>1</v>
      </c>
      <c r="U78" s="10">
        <f t="shared" si="26"/>
        <v>-1</v>
      </c>
      <c r="V78" s="10">
        <f t="shared" si="27"/>
        <v>1</v>
      </c>
      <c r="Y78" s="10">
        <f t="shared" si="28"/>
        <v>-0.8947752311777093</v>
      </c>
      <c r="Z78" s="10">
        <f t="shared" si="29"/>
        <v>-5.0886025009099107</v>
      </c>
      <c r="AA78" s="10">
        <f t="shared" si="30"/>
        <v>-6.6989032325368427</v>
      </c>
      <c r="AB78" s="10">
        <f t="shared" si="31"/>
        <v>3.0410156547912388</v>
      </c>
      <c r="AC78" s="10">
        <f t="shared" si="32"/>
        <v>-6.9972498441018152</v>
      </c>
      <c r="AD78" s="10">
        <f t="shared" si="33"/>
        <v>-3.3095783585134058</v>
      </c>
      <c r="AE78" s="10">
        <f t="shared" si="34"/>
        <v>-18.637534119933299</v>
      </c>
      <c r="AF78" s="10">
        <f t="shared" si="35"/>
        <v>-19.537534119933298</v>
      </c>
      <c r="AG78" s="10">
        <f t="shared" si="36"/>
        <v>-14.569462737591317</v>
      </c>
      <c r="AH78" s="10">
        <f t="shared" si="37"/>
        <v>-8.3060553346395452</v>
      </c>
      <c r="AI78" s="10">
        <f t="shared" si="38"/>
        <v>-4.8343772598873436</v>
      </c>
      <c r="AJ78" s="10">
        <f t="shared" si="42"/>
        <v>33.819308680375173</v>
      </c>
      <c r="AK78" s="10">
        <f t="shared" si="39"/>
        <v>-1</v>
      </c>
      <c r="AL78" s="10">
        <f t="shared" si="40"/>
        <v>0</v>
      </c>
      <c r="AN78" s="10">
        <f t="shared" si="3"/>
        <v>-1</v>
      </c>
      <c r="AO78" s="10">
        <f t="shared" si="4"/>
        <v>0</v>
      </c>
      <c r="AP78" s="10">
        <f t="shared" si="5"/>
        <v>0</v>
      </c>
      <c r="BG78" s="10">
        <f t="shared" si="7"/>
        <v>55</v>
      </c>
      <c r="BH78">
        <v>1.84104465006385</v>
      </c>
      <c r="BI78">
        <v>0.52959421736886725</v>
      </c>
      <c r="BJ78">
        <v>0.60692400438711047</v>
      </c>
      <c r="BK78">
        <v>0.48229367166641168</v>
      </c>
      <c r="BL78">
        <v>-1.9141225493513048</v>
      </c>
      <c r="BM78">
        <v>0.93435468611713002</v>
      </c>
      <c r="BP78" s="16">
        <f>1</f>
        <v>1</v>
      </c>
      <c r="BQ78" s="14">
        <f t="shared" si="8"/>
        <v>9.633740485034636</v>
      </c>
      <c r="BR78" s="14">
        <f t="shared" si="9"/>
        <v>10.231434505472597</v>
      </c>
      <c r="BS78" s="14">
        <f t="shared" si="10"/>
        <v>3.7122093924711415</v>
      </c>
      <c r="BT78" s="14">
        <f t="shared" si="11"/>
        <v>9.8770252815177209</v>
      </c>
      <c r="BU78" s="14">
        <f t="shared" si="12"/>
        <v>-0.48102032722542409</v>
      </c>
      <c r="BV78" s="16">
        <f t="shared" si="13"/>
        <v>-1</v>
      </c>
      <c r="BX78" s="10">
        <f t="shared" si="14"/>
        <v>-445.25529001267233</v>
      </c>
      <c r="BY78" s="10">
        <f t="shared" si="15"/>
        <v>-1</v>
      </c>
      <c r="BZ78" s="10">
        <f t="shared" si="2"/>
        <v>0</v>
      </c>
      <c r="CA78" s="10">
        <f t="shared" si="16"/>
        <v>0</v>
      </c>
    </row>
    <row r="79" spans="2:79" x14ac:dyDescent="0.25">
      <c r="B79" s="10">
        <f t="shared" si="17"/>
        <v>55</v>
      </c>
      <c r="C79">
        <v>-0.8990946298581548</v>
      </c>
      <c r="D79">
        <v>1.9227900338592008</v>
      </c>
      <c r="E79">
        <v>-3.9751739677740261E-2</v>
      </c>
      <c r="F79">
        <v>0.53074018069310114</v>
      </c>
      <c r="G79">
        <v>-1.0609664968797006</v>
      </c>
      <c r="H79">
        <v>0.78395947141941591</v>
      </c>
      <c r="K79" s="10">
        <f>1</f>
        <v>1</v>
      </c>
      <c r="L79" s="10">
        <f t="shared" si="18"/>
        <v>5.0760961814661307</v>
      </c>
      <c r="M79" s="10">
        <f t="shared" si="19"/>
        <v>12.548722178879979</v>
      </c>
      <c r="N79" s="10">
        <f t="shared" si="20"/>
        <v>2.6366005565301514</v>
      </c>
      <c r="O79" s="10">
        <f t="shared" si="21"/>
        <v>9.9576058408751109</v>
      </c>
      <c r="P79" s="10">
        <f t="shared" si="22"/>
        <v>0.93802499324196376</v>
      </c>
      <c r="Q79" s="10">
        <f t="shared" si="23"/>
        <v>-1</v>
      </c>
      <c r="S79" s="10">
        <f t="shared" si="24"/>
        <v>-338.9552932125406</v>
      </c>
      <c r="T79" s="10">
        <f t="shared" si="25"/>
        <v>-1</v>
      </c>
      <c r="U79" s="10">
        <f t="shared" si="26"/>
        <v>0</v>
      </c>
      <c r="V79" s="10">
        <f t="shared" si="27"/>
        <v>0</v>
      </c>
      <c r="Y79" s="10">
        <f t="shared" si="28"/>
        <v>0</v>
      </c>
      <c r="Z79" s="10">
        <f t="shared" si="29"/>
        <v>0</v>
      </c>
      <c r="AA79" s="10">
        <f t="shared" si="30"/>
        <v>0</v>
      </c>
      <c r="AB79" s="10">
        <f t="shared" si="31"/>
        <v>0</v>
      </c>
      <c r="AC79" s="10">
        <f t="shared" si="32"/>
        <v>0</v>
      </c>
      <c r="AD79" s="10">
        <f t="shared" si="33"/>
        <v>0</v>
      </c>
      <c r="AE79" s="10">
        <f t="shared" si="34"/>
        <v>-18.637534119933299</v>
      </c>
      <c r="AF79" s="10">
        <f t="shared" si="35"/>
        <v>-19.537534119933298</v>
      </c>
      <c r="AG79" s="10">
        <f t="shared" si="36"/>
        <v>-14.569462737591317</v>
      </c>
      <c r="AH79" s="10">
        <f t="shared" si="37"/>
        <v>-8.3060553346395452</v>
      </c>
      <c r="AI79" s="10">
        <f t="shared" si="38"/>
        <v>-4.8343772598873436</v>
      </c>
      <c r="AJ79" s="10">
        <f t="shared" si="42"/>
        <v>30.509730321861767</v>
      </c>
      <c r="AK79" s="10">
        <f t="shared" si="39"/>
        <v>-1</v>
      </c>
      <c r="AL79" s="10">
        <f t="shared" si="40"/>
        <v>0</v>
      </c>
      <c r="AN79" s="10">
        <f t="shared" si="3"/>
        <v>-1</v>
      </c>
      <c r="AO79" s="10">
        <f t="shared" si="4"/>
        <v>0</v>
      </c>
      <c r="AP79" s="10">
        <f t="shared" si="5"/>
        <v>0</v>
      </c>
      <c r="BG79" s="10">
        <f t="shared" si="7"/>
        <v>56</v>
      </c>
      <c r="BH79">
        <v>1.2393502402119339</v>
      </c>
      <c r="BI79">
        <v>4.3273757910355926E-2</v>
      </c>
      <c r="BJ79">
        <v>0.83818122220691293</v>
      </c>
      <c r="BK79">
        <v>0.12197233445476741</v>
      </c>
      <c r="BL79">
        <v>0.92941945695201866</v>
      </c>
      <c r="BM79">
        <v>0.4812768944364757</v>
      </c>
      <c r="BP79" s="16">
        <f>1</f>
        <v>1</v>
      </c>
      <c r="BQ79" s="14">
        <f t="shared" si="8"/>
        <v>7.0786185837373807</v>
      </c>
      <c r="BR79" s="14">
        <f t="shared" si="9"/>
        <v>11.169490452361833</v>
      </c>
      <c r="BS79" s="14">
        <f t="shared" si="10"/>
        <v>3.6148504280952389</v>
      </c>
      <c r="BT79" s="14">
        <f t="shared" si="11"/>
        <v>11.690967735869091</v>
      </c>
      <c r="BU79" s="14">
        <f t="shared" si="12"/>
        <v>9.4874191910427257</v>
      </c>
      <c r="BV79" s="16">
        <f t="shared" si="13"/>
        <v>1</v>
      </c>
      <c r="BX79" s="10">
        <f t="shared" si="14"/>
        <v>85.648163501950194</v>
      </c>
      <c r="BY79" s="10">
        <f t="shared" si="15"/>
        <v>1</v>
      </c>
      <c r="BZ79" s="10">
        <f t="shared" si="2"/>
        <v>0</v>
      </c>
      <c r="CA79" s="10">
        <f t="shared" si="16"/>
        <v>0</v>
      </c>
    </row>
    <row r="80" spans="2:79" x14ac:dyDescent="0.25">
      <c r="B80" s="10">
        <f t="shared" si="17"/>
        <v>56</v>
      </c>
      <c r="C80">
        <v>1.8794526113197207</v>
      </c>
      <c r="D80">
        <v>-0.79137635111692362</v>
      </c>
      <c r="E80">
        <v>-0.56558974392828532</v>
      </c>
      <c r="F80">
        <v>-0.66785332819563337</v>
      </c>
      <c r="G80">
        <v>6.4264895627275109E-2</v>
      </c>
      <c r="H80">
        <v>0.80593279824213382</v>
      </c>
      <c r="K80" s="10">
        <f>1</f>
        <v>1</v>
      </c>
      <c r="L80" s="10">
        <f t="shared" si="18"/>
        <v>9.6976240354483494</v>
      </c>
      <c r="M80" s="10">
        <f t="shared" si="19"/>
        <v>8.0342783131741236</v>
      </c>
      <c r="N80" s="10">
        <f t="shared" si="20"/>
        <v>1.7619798384400314</v>
      </c>
      <c r="O80" s="10">
        <f t="shared" si="21"/>
        <v>7.9639981005282703</v>
      </c>
      <c r="P80" s="10">
        <f t="shared" si="22"/>
        <v>2.8096103114896729</v>
      </c>
      <c r="Q80" s="10">
        <f t="shared" si="23"/>
        <v>-1</v>
      </c>
      <c r="S80" s="10">
        <f t="shared" si="24"/>
        <v>-292.57593354052915</v>
      </c>
      <c r="T80" s="10">
        <f t="shared" si="25"/>
        <v>-1</v>
      </c>
      <c r="U80" s="10">
        <f t="shared" si="26"/>
        <v>0</v>
      </c>
      <c r="V80" s="10">
        <f t="shared" si="27"/>
        <v>0</v>
      </c>
      <c r="Y80" s="10">
        <f t="shared" si="28"/>
        <v>0</v>
      </c>
      <c r="Z80" s="10">
        <f t="shared" si="29"/>
        <v>0</v>
      </c>
      <c r="AA80" s="10">
        <f t="shared" si="30"/>
        <v>0</v>
      </c>
      <c r="AB80" s="10">
        <f t="shared" si="31"/>
        <v>0</v>
      </c>
      <c r="AC80" s="10">
        <f t="shared" si="32"/>
        <v>0</v>
      </c>
      <c r="AD80" s="10">
        <f t="shared" si="33"/>
        <v>0</v>
      </c>
      <c r="AE80" s="10">
        <f t="shared" si="34"/>
        <v>-18.637534119933299</v>
      </c>
      <c r="AF80" s="10">
        <f t="shared" si="35"/>
        <v>-19.537534119933298</v>
      </c>
      <c r="AG80" s="10">
        <f t="shared" si="36"/>
        <v>-14.569462737591317</v>
      </c>
      <c r="AH80" s="10">
        <f t="shared" si="37"/>
        <v>-8.3060553346395452</v>
      </c>
      <c r="AI80" s="10">
        <f t="shared" si="38"/>
        <v>-4.8343772598873436</v>
      </c>
      <c r="AJ80" s="10">
        <f t="shared" si="42"/>
        <v>30.509730321861767</v>
      </c>
      <c r="AK80" s="10">
        <f t="shared" si="39"/>
        <v>-1</v>
      </c>
      <c r="AL80" s="10">
        <f t="shared" si="40"/>
        <v>0</v>
      </c>
      <c r="AN80" s="10">
        <f t="shared" si="3"/>
        <v>-1</v>
      </c>
      <c r="AO80" s="10">
        <f t="shared" si="4"/>
        <v>0</v>
      </c>
      <c r="AP80" s="10">
        <f t="shared" si="5"/>
        <v>0</v>
      </c>
      <c r="BG80" s="10">
        <f t="shared" si="7"/>
        <v>57</v>
      </c>
      <c r="BH80">
        <v>-2.7421629056334496</v>
      </c>
      <c r="BI80">
        <v>-0.76036712925997563</v>
      </c>
      <c r="BJ80">
        <v>-8.2136466517113149E-2</v>
      </c>
      <c r="BK80">
        <v>1.9979961507488042</v>
      </c>
      <c r="BL80">
        <v>-0.37278141462593339</v>
      </c>
      <c r="BM80">
        <v>0.88375499740592667</v>
      </c>
      <c r="BP80" s="16">
        <f>1</f>
        <v>1</v>
      </c>
      <c r="BQ80" s="14">
        <f t="shared" si="8"/>
        <v>2.0105404669353728</v>
      </c>
      <c r="BR80" s="14">
        <f t="shared" si="9"/>
        <v>8.0858556196234641</v>
      </c>
      <c r="BS80" s="14">
        <f t="shared" si="10"/>
        <v>2.5661024945326334</v>
      </c>
      <c r="BT80" s="14">
        <f t="shared" si="11"/>
        <v>12.398076974149621</v>
      </c>
      <c r="BU80" s="14">
        <f t="shared" si="12"/>
        <v>2.0826758666179996</v>
      </c>
      <c r="BV80" s="16">
        <f t="shared" si="13"/>
        <v>-1</v>
      </c>
      <c r="BX80" s="10">
        <f t="shared" si="14"/>
        <v>-56.63536604902707</v>
      </c>
      <c r="BY80" s="10">
        <f t="shared" si="15"/>
        <v>-1</v>
      </c>
      <c r="BZ80" s="10">
        <f t="shared" si="2"/>
        <v>0</v>
      </c>
      <c r="CA80" s="10">
        <f t="shared" si="16"/>
        <v>0</v>
      </c>
    </row>
    <row r="81" spans="2:79" x14ac:dyDescent="0.25">
      <c r="B81" s="10">
        <f t="shared" si="17"/>
        <v>57</v>
      </c>
      <c r="C81">
        <v>0.1129603788285749</v>
      </c>
      <c r="D81">
        <v>-0.26226757654512767</v>
      </c>
      <c r="E81">
        <v>-0.45259866965352558</v>
      </c>
      <c r="F81">
        <v>1.6509056877112016</v>
      </c>
      <c r="G81">
        <v>0.67860128183383495</v>
      </c>
      <c r="H81">
        <v>0.64491714224677266</v>
      </c>
      <c r="K81" s="10">
        <f>1</f>
        <v>1</v>
      </c>
      <c r="L81" s="10">
        <f t="shared" si="18"/>
        <v>6.7594364331960861</v>
      </c>
      <c r="M81" s="10">
        <f t="shared" si="19"/>
        <v>8.9143392684931175</v>
      </c>
      <c r="N81" s="10">
        <f t="shared" si="20"/>
        <v>1.9499166815763784</v>
      </c>
      <c r="O81" s="10">
        <f t="shared" si="21"/>
        <v>11.820765126070384</v>
      </c>
      <c r="P81" s="10">
        <f t="shared" si="22"/>
        <v>3.8314294400227613</v>
      </c>
      <c r="Q81" s="10">
        <f t="shared" si="23"/>
        <v>-1</v>
      </c>
      <c r="S81" s="10">
        <f t="shared" si="24"/>
        <v>-237.02366288029739</v>
      </c>
      <c r="T81" s="10">
        <f t="shared" si="25"/>
        <v>-1</v>
      </c>
      <c r="U81" s="10">
        <f t="shared" si="26"/>
        <v>0</v>
      </c>
      <c r="V81" s="10">
        <f t="shared" si="27"/>
        <v>0</v>
      </c>
      <c r="Y81" s="10">
        <f t="shared" si="28"/>
        <v>0</v>
      </c>
      <c r="Z81" s="10">
        <f t="shared" si="29"/>
        <v>0</v>
      </c>
      <c r="AA81" s="10">
        <f t="shared" si="30"/>
        <v>0</v>
      </c>
      <c r="AB81" s="10">
        <f t="shared" si="31"/>
        <v>0</v>
      </c>
      <c r="AC81" s="10">
        <f t="shared" si="32"/>
        <v>0</v>
      </c>
      <c r="AD81" s="10">
        <f t="shared" si="33"/>
        <v>0</v>
      </c>
      <c r="AE81" s="10">
        <f t="shared" si="34"/>
        <v>-18.637534119933299</v>
      </c>
      <c r="AF81" s="10">
        <f t="shared" si="35"/>
        <v>-19.537534119933298</v>
      </c>
      <c r="AG81" s="10">
        <f t="shared" si="36"/>
        <v>-14.569462737591317</v>
      </c>
      <c r="AH81" s="10">
        <f t="shared" si="37"/>
        <v>-8.3060553346395452</v>
      </c>
      <c r="AI81" s="10">
        <f t="shared" si="38"/>
        <v>-4.8343772598873436</v>
      </c>
      <c r="AJ81" s="10">
        <f t="shared" si="42"/>
        <v>30.509730321861767</v>
      </c>
      <c r="AK81" s="10">
        <f t="shared" si="39"/>
        <v>-1</v>
      </c>
      <c r="AL81" s="10">
        <f t="shared" si="40"/>
        <v>0</v>
      </c>
      <c r="AN81" s="10">
        <f t="shared" si="3"/>
        <v>1</v>
      </c>
      <c r="AO81" s="10">
        <f t="shared" si="4"/>
        <v>-1</v>
      </c>
      <c r="AP81" s="10">
        <f t="shared" si="5"/>
        <v>1</v>
      </c>
      <c r="BG81" s="10">
        <f t="shared" si="7"/>
        <v>58</v>
      </c>
      <c r="BH81">
        <v>-1.2280497685424052</v>
      </c>
      <c r="BI81">
        <v>1.0574808584351558</v>
      </c>
      <c r="BJ81">
        <v>-1.4860279407002963</v>
      </c>
      <c r="BK81">
        <v>-1.0813323569891509</v>
      </c>
      <c r="BL81">
        <v>-1.2349073585937731</v>
      </c>
      <c r="BM81">
        <v>0.12421033356730857</v>
      </c>
      <c r="BP81" s="16">
        <f>1</f>
        <v>1</v>
      </c>
      <c r="BQ81" s="14">
        <f t="shared" si="8"/>
        <v>1.3785307373468902</v>
      </c>
      <c r="BR81" s="14">
        <f t="shared" si="9"/>
        <v>13.512470733999633</v>
      </c>
      <c r="BS81" s="14">
        <f t="shared" si="10"/>
        <v>-1.7544437094390799</v>
      </c>
      <c r="BT81" s="14">
        <f t="shared" si="11"/>
        <v>8.9111418370004039</v>
      </c>
      <c r="BU81" s="14">
        <f t="shared" si="12"/>
        <v>4.48747879502326</v>
      </c>
      <c r="BV81" s="16">
        <f t="shared" si="13"/>
        <v>1</v>
      </c>
      <c r="BX81" s="10">
        <f t="shared" si="14"/>
        <v>172.53272619427378</v>
      </c>
      <c r="BY81" s="10">
        <f t="shared" si="15"/>
        <v>1</v>
      </c>
      <c r="BZ81" s="10">
        <f t="shared" si="2"/>
        <v>0</v>
      </c>
      <c r="CA81" s="10">
        <f t="shared" si="16"/>
        <v>0</v>
      </c>
    </row>
    <row r="82" spans="2:79" x14ac:dyDescent="0.25">
      <c r="B82" s="10">
        <f t="shared" si="17"/>
        <v>58</v>
      </c>
      <c r="C82">
        <v>-1.3681346899829805</v>
      </c>
      <c r="D82">
        <v>-1.4181978258420713</v>
      </c>
      <c r="E82">
        <v>-3.377208486199379</v>
      </c>
      <c r="F82">
        <v>-0.31627678254153579</v>
      </c>
      <c r="G82">
        <v>0.83535951489466242</v>
      </c>
      <c r="H82">
        <v>0.56895657216101569</v>
      </c>
      <c r="K82" s="10">
        <f>1</f>
        <v>1</v>
      </c>
      <c r="L82" s="10">
        <f t="shared" si="18"/>
        <v>4.2959468752475836</v>
      </c>
      <c r="M82" s="10">
        <f t="shared" si="19"/>
        <v>6.991692870686399</v>
      </c>
      <c r="N82" s="10">
        <f t="shared" si="20"/>
        <v>-2.9145554889477943</v>
      </c>
      <c r="O82" s="10">
        <f t="shared" si="21"/>
        <v>8.5487716017549307</v>
      </c>
      <c r="P82" s="10">
        <f t="shared" si="22"/>
        <v>4.0921637294007382</v>
      </c>
      <c r="Q82" s="10">
        <f t="shared" si="23"/>
        <v>-1</v>
      </c>
      <c r="S82" s="10">
        <f t="shared" si="24"/>
        <v>-96.703667572148447</v>
      </c>
      <c r="T82" s="10">
        <f t="shared" si="25"/>
        <v>-1</v>
      </c>
      <c r="U82" s="10">
        <f t="shared" si="26"/>
        <v>0</v>
      </c>
      <c r="V82" s="10">
        <f t="shared" si="27"/>
        <v>0</v>
      </c>
      <c r="Y82" s="10">
        <f t="shared" si="28"/>
        <v>0</v>
      </c>
      <c r="Z82" s="10">
        <f t="shared" si="29"/>
        <v>0</v>
      </c>
      <c r="AA82" s="10">
        <f t="shared" si="30"/>
        <v>0</v>
      </c>
      <c r="AB82" s="10">
        <f t="shared" si="31"/>
        <v>0</v>
      </c>
      <c r="AC82" s="10">
        <f t="shared" si="32"/>
        <v>0</v>
      </c>
      <c r="AD82" s="10">
        <f t="shared" si="33"/>
        <v>0</v>
      </c>
      <c r="AE82" s="10">
        <f t="shared" si="34"/>
        <v>-18.637534119933299</v>
      </c>
      <c r="AF82" s="10">
        <f t="shared" si="35"/>
        <v>-19.537534119933298</v>
      </c>
      <c r="AG82" s="10">
        <f t="shared" si="36"/>
        <v>-14.569462737591317</v>
      </c>
      <c r="AH82" s="10">
        <f t="shared" si="37"/>
        <v>-8.3060553346395452</v>
      </c>
      <c r="AI82" s="10">
        <f t="shared" si="38"/>
        <v>-4.8343772598873436</v>
      </c>
      <c r="AJ82" s="10">
        <f t="shared" si="42"/>
        <v>30.509730321861767</v>
      </c>
      <c r="AK82" s="10">
        <f t="shared" si="39"/>
        <v>1</v>
      </c>
      <c r="AL82" s="10">
        <f t="shared" si="40"/>
        <v>1</v>
      </c>
      <c r="AN82" s="10">
        <f t="shared" si="3"/>
        <v>-1</v>
      </c>
      <c r="AO82" s="10">
        <f t="shared" si="4"/>
        <v>0</v>
      </c>
      <c r="AP82" s="10">
        <f t="shared" si="5"/>
        <v>0</v>
      </c>
      <c r="BG82" s="10">
        <f t="shared" si="7"/>
        <v>59</v>
      </c>
      <c r="BH82">
        <v>-0.8536062523489818</v>
      </c>
      <c r="BI82">
        <v>0.94580400400445797</v>
      </c>
      <c r="BJ82">
        <v>-1.219154910359066</v>
      </c>
      <c r="BK82">
        <v>0.34544655136414804</v>
      </c>
      <c r="BL82">
        <v>0.59364310800447129</v>
      </c>
      <c r="BM82">
        <v>0.82641071810052802</v>
      </c>
      <c r="BP82" s="16">
        <f>1</f>
        <v>1</v>
      </c>
      <c r="BQ82" s="14">
        <f t="shared" si="8"/>
        <v>5.1517565123669584</v>
      </c>
      <c r="BR82" s="14">
        <f t="shared" si="9"/>
        <v>10.923711783875452</v>
      </c>
      <c r="BS82" s="14">
        <f t="shared" si="10"/>
        <v>0.67491190009828594</v>
      </c>
      <c r="BT82" s="14">
        <f t="shared" si="11"/>
        <v>9.6494089326425208</v>
      </c>
      <c r="BU82" s="14">
        <f t="shared" si="12"/>
        <v>3.6901194198233491</v>
      </c>
      <c r="BV82" s="16">
        <f t="shared" si="13"/>
        <v>-1</v>
      </c>
      <c r="BX82" s="10">
        <f t="shared" si="14"/>
        <v>-48.231974874706964</v>
      </c>
      <c r="BY82" s="10">
        <f t="shared" si="15"/>
        <v>-1</v>
      </c>
      <c r="BZ82" s="10">
        <f t="shared" si="2"/>
        <v>0</v>
      </c>
      <c r="CA82" s="10">
        <f t="shared" si="16"/>
        <v>0</v>
      </c>
    </row>
    <row r="83" spans="2:79" x14ac:dyDescent="0.25">
      <c r="B83" s="10">
        <f t="shared" si="17"/>
        <v>59</v>
      </c>
      <c r="C83">
        <v>-0.10926555660262238</v>
      </c>
      <c r="D83">
        <v>-2.3525217329734005E-2</v>
      </c>
      <c r="E83">
        <v>1.8628725229064003E-2</v>
      </c>
      <c r="F83">
        <v>-0.98854570751427673</v>
      </c>
      <c r="G83">
        <v>-0.25356825972266961</v>
      </c>
      <c r="H83">
        <v>0.50648518326364944</v>
      </c>
      <c r="K83" s="10">
        <f>1</f>
        <v>1</v>
      </c>
      <c r="L83" s="10">
        <f t="shared" si="18"/>
        <v>6.3898104159550915</v>
      </c>
      <c r="M83" s="10">
        <f t="shared" si="19"/>
        <v>9.3114368764400801</v>
      </c>
      <c r="N83" s="10">
        <f t="shared" si="20"/>
        <v>2.7337041582601156</v>
      </c>
      <c r="O83" s="10">
        <f t="shared" si="21"/>
        <v>7.4305939022420251</v>
      </c>
      <c r="P83" s="10">
        <f t="shared" si="22"/>
        <v>2.2809618297938403</v>
      </c>
      <c r="Q83" s="10">
        <f t="shared" si="23"/>
        <v>-1</v>
      </c>
      <c r="S83" s="10">
        <f t="shared" si="24"/>
        <v>-268.17836764031722</v>
      </c>
      <c r="T83" s="10">
        <f t="shared" si="25"/>
        <v>-1</v>
      </c>
      <c r="U83" s="10">
        <f t="shared" si="26"/>
        <v>0</v>
      </c>
      <c r="V83" s="10">
        <f t="shared" si="27"/>
        <v>0</v>
      </c>
      <c r="Y83" s="10">
        <f t="shared" si="28"/>
        <v>0</v>
      </c>
      <c r="Z83" s="10">
        <f t="shared" si="29"/>
        <v>0</v>
      </c>
      <c r="AA83" s="10">
        <f t="shared" si="30"/>
        <v>0</v>
      </c>
      <c r="AB83" s="10">
        <f t="shared" si="31"/>
        <v>0</v>
      </c>
      <c r="AC83" s="10">
        <f t="shared" si="32"/>
        <v>0</v>
      </c>
      <c r="AD83" s="10">
        <f t="shared" si="33"/>
        <v>0</v>
      </c>
      <c r="AE83" s="10">
        <f t="shared" si="34"/>
        <v>-18.637534119933299</v>
      </c>
      <c r="AF83" s="10">
        <f t="shared" si="35"/>
        <v>-19.537534119933298</v>
      </c>
      <c r="AG83" s="10">
        <f t="shared" si="36"/>
        <v>-14.569462737591317</v>
      </c>
      <c r="AH83" s="10">
        <f t="shared" si="37"/>
        <v>-8.3060553346395452</v>
      </c>
      <c r="AI83" s="10">
        <f t="shared" si="38"/>
        <v>-4.8343772598873436</v>
      </c>
      <c r="AJ83" s="10">
        <f t="shared" si="42"/>
        <v>30.509730321861767</v>
      </c>
      <c r="AK83" s="10">
        <f t="shared" si="39"/>
        <v>-1</v>
      </c>
      <c r="AL83" s="10">
        <f t="shared" si="40"/>
        <v>0</v>
      </c>
      <c r="AN83" s="10">
        <f t="shared" si="3"/>
        <v>-1</v>
      </c>
      <c r="AO83" s="10">
        <f t="shared" si="4"/>
        <v>0</v>
      </c>
      <c r="AP83" s="10">
        <f t="shared" si="5"/>
        <v>0</v>
      </c>
      <c r="BG83" s="10">
        <f t="shared" si="7"/>
        <v>60</v>
      </c>
      <c r="BH83">
        <v>0.33491005524410866</v>
      </c>
      <c r="BI83">
        <v>-0.16634544408589136</v>
      </c>
      <c r="BJ83">
        <v>0.90069988800678402</v>
      </c>
      <c r="BK83">
        <v>0.51766164688160643</v>
      </c>
      <c r="BL83">
        <v>-0.61522314354078844</v>
      </c>
      <c r="BM83">
        <v>0.64787743766594441</v>
      </c>
      <c r="BP83" s="16">
        <f>1</f>
        <v>1</v>
      </c>
      <c r="BQ83" s="14">
        <f t="shared" si="8"/>
        <v>7.1286029517764566</v>
      </c>
      <c r="BR83" s="14">
        <f t="shared" si="9"/>
        <v>9.0738855236022466</v>
      </c>
      <c r="BS83" s="14">
        <f t="shared" si="10"/>
        <v>4.2008436718728515</v>
      </c>
      <c r="BT83" s="14">
        <f t="shared" si="11"/>
        <v>9.9358524557235786</v>
      </c>
      <c r="BU83" s="14">
        <f t="shared" si="12"/>
        <v>1.6794251366888477</v>
      </c>
      <c r="BV83" s="16">
        <f t="shared" si="13"/>
        <v>-1</v>
      </c>
      <c r="BX83" s="10">
        <f t="shared" si="14"/>
        <v>-273.97257770040238</v>
      </c>
      <c r="BY83" s="10">
        <f t="shared" si="15"/>
        <v>-1</v>
      </c>
      <c r="BZ83" s="10">
        <f t="shared" si="2"/>
        <v>0</v>
      </c>
      <c r="CA83" s="10">
        <f t="shared" si="16"/>
        <v>0</v>
      </c>
    </row>
    <row r="84" spans="2:79" x14ac:dyDescent="0.25">
      <c r="B84" s="10">
        <f t="shared" si="17"/>
        <v>60</v>
      </c>
      <c r="C84">
        <v>0.36108076528762467</v>
      </c>
      <c r="D84">
        <v>1.1455995263531804</v>
      </c>
      <c r="E84">
        <v>-0.44160856305097695</v>
      </c>
      <c r="F84">
        <v>1.483954292780254</v>
      </c>
      <c r="G84">
        <v>-0.17923525774676818</v>
      </c>
      <c r="H84">
        <v>0.96682638019959111</v>
      </c>
      <c r="K84" s="10">
        <f>1</f>
        <v>1</v>
      </c>
      <c r="L84" s="10">
        <f t="shared" si="18"/>
        <v>7.1721324133714051</v>
      </c>
      <c r="M84" s="10">
        <f t="shared" si="19"/>
        <v>11.256029535379334</v>
      </c>
      <c r="N84" s="10">
        <f t="shared" si="20"/>
        <v>1.9681964081288701</v>
      </c>
      <c r="O84" s="10">
        <f t="shared" si="21"/>
        <v>11.543076659774062</v>
      </c>
      <c r="P84" s="10">
        <f t="shared" si="22"/>
        <v>2.4045991154986228</v>
      </c>
      <c r="Q84" s="10">
        <f t="shared" si="23"/>
        <v>-1</v>
      </c>
      <c r="S84" s="10">
        <f t="shared" si="24"/>
        <v>-321.54548379024811</v>
      </c>
      <c r="T84" s="10">
        <f t="shared" si="25"/>
        <v>-1</v>
      </c>
      <c r="U84" s="10">
        <f t="shared" si="26"/>
        <v>0</v>
      </c>
      <c r="V84" s="10">
        <f t="shared" si="27"/>
        <v>0</v>
      </c>
      <c r="X84" s="10">
        <f>SUM(V66:V84)</f>
        <v>4</v>
      </c>
      <c r="Y84" s="10">
        <f t="shared" si="28"/>
        <v>0</v>
      </c>
      <c r="Z84" s="10">
        <f t="shared" si="29"/>
        <v>0</v>
      </c>
      <c r="AA84" s="10">
        <f t="shared" si="30"/>
        <v>0</v>
      </c>
      <c r="AB84" s="10">
        <f t="shared" si="31"/>
        <v>0</v>
      </c>
      <c r="AC84" s="10">
        <f t="shared" si="32"/>
        <v>0</v>
      </c>
      <c r="AD84" s="10">
        <f t="shared" si="33"/>
        <v>0</v>
      </c>
      <c r="AE84" s="10">
        <f t="shared" si="34"/>
        <v>-18.637534119933299</v>
      </c>
      <c r="AF84" s="10">
        <f t="shared" si="35"/>
        <v>-19.537534119933298</v>
      </c>
      <c r="AG84" s="10">
        <f t="shared" si="36"/>
        <v>-14.569462737591317</v>
      </c>
      <c r="AH84" s="10">
        <f t="shared" si="37"/>
        <v>-8.3060553346395452</v>
      </c>
      <c r="AI84" s="10">
        <f t="shared" si="38"/>
        <v>-4.8343772598873436</v>
      </c>
      <c r="AJ84" s="10">
        <f t="shared" si="42"/>
        <v>30.509730321861767</v>
      </c>
      <c r="AK84" s="10">
        <f t="shared" si="39"/>
        <v>-1</v>
      </c>
      <c r="AL84" s="10">
        <f t="shared" si="40"/>
        <v>0</v>
      </c>
      <c r="AN84" s="10">
        <f t="shared" si="3"/>
        <v>1</v>
      </c>
      <c r="AO84" s="10">
        <f t="shared" si="4"/>
        <v>0</v>
      </c>
      <c r="AP84" s="10">
        <f t="shared" si="5"/>
        <v>0</v>
      </c>
    </row>
    <row r="85" spans="2:79" x14ac:dyDescent="0.25">
      <c r="B85" s="10">
        <f t="shared" si="17"/>
        <v>61</v>
      </c>
      <c r="C85">
        <v>1.3240355656307656</v>
      </c>
      <c r="D85">
        <v>-0.21276946426951326</v>
      </c>
      <c r="E85">
        <v>2.1157757146283984</v>
      </c>
      <c r="F85">
        <v>0.62495701058651321</v>
      </c>
      <c r="G85">
        <v>-0.16758576748543419</v>
      </c>
      <c r="H85">
        <v>6.1647389141514332E-2</v>
      </c>
      <c r="K85" s="10">
        <f>1</f>
        <v>1</v>
      </c>
      <c r="L85" s="10">
        <f t="shared" si="18"/>
        <v>7.2742552022324922</v>
      </c>
      <c r="M85" s="10">
        <f t="shared" si="19"/>
        <v>10.577989741605599</v>
      </c>
      <c r="N85" s="10">
        <f t="shared" si="20"/>
        <v>6.566297624751301</v>
      </c>
      <c r="O85" s="10">
        <f t="shared" si="21"/>
        <v>12.852942620025246</v>
      </c>
      <c r="P85" s="10">
        <f t="shared" si="22"/>
        <v>6.9531620276087249</v>
      </c>
      <c r="Q85" s="10">
        <f t="shared" si="23"/>
        <v>1</v>
      </c>
      <c r="S85" s="10">
        <f t="shared" si="24"/>
        <v>-219.41107730283056</v>
      </c>
      <c r="T85" s="12">
        <f t="shared" si="25"/>
        <v>-1</v>
      </c>
      <c r="U85" s="10">
        <f t="shared" si="26"/>
        <v>1</v>
      </c>
      <c r="V85" s="12">
        <f t="shared" si="27"/>
        <v>1</v>
      </c>
      <c r="W85" s="12"/>
      <c r="X85" s="12"/>
      <c r="Y85" s="10">
        <f t="shared" si="28"/>
        <v>0.8947752311777093</v>
      </c>
      <c r="Z85" s="10">
        <f t="shared" si="29"/>
        <v>6.5088233802232329</v>
      </c>
      <c r="AA85" s="10">
        <f t="shared" si="30"/>
        <v>9.464923216440587</v>
      </c>
      <c r="AB85" s="10">
        <f t="shared" si="31"/>
        <v>5.8753604751684891</v>
      </c>
      <c r="AC85" s="10">
        <f t="shared" si="32"/>
        <v>11.500494704146922</v>
      </c>
      <c r="AD85" s="10">
        <f t="shared" si="33"/>
        <v>6.2215171606696664</v>
      </c>
      <c r="AE85" s="10">
        <f t="shared" si="34"/>
        <v>-12.128710739710066</v>
      </c>
      <c r="AF85" s="10">
        <f t="shared" si="35"/>
        <v>-13.028710739710064</v>
      </c>
      <c r="AG85" s="10">
        <f t="shared" si="36"/>
        <v>-5.1045395211507305</v>
      </c>
      <c r="AH85" s="10">
        <f t="shared" si="37"/>
        <v>-2.430694859471056</v>
      </c>
      <c r="AI85" s="10">
        <f t="shared" si="38"/>
        <v>6.6661174442595783</v>
      </c>
      <c r="AJ85" s="10">
        <f t="shared" si="42"/>
        <v>30.509730321861767</v>
      </c>
      <c r="AK85" s="10">
        <f t="shared" si="39"/>
        <v>-1</v>
      </c>
      <c r="AL85" s="10">
        <f t="shared" si="40"/>
        <v>1</v>
      </c>
      <c r="AN85" s="10">
        <f t="shared" si="3"/>
        <v>-1</v>
      </c>
      <c r="AO85" s="10">
        <f t="shared" si="4"/>
        <v>0</v>
      </c>
      <c r="AP85" s="10">
        <f t="shared" si="5"/>
        <v>0</v>
      </c>
    </row>
    <row r="86" spans="2:79" x14ac:dyDescent="0.25">
      <c r="B86" s="10">
        <f t="shared" si="17"/>
        <v>62</v>
      </c>
      <c r="C86">
        <v>-1.6878857422852889</v>
      </c>
      <c r="D86">
        <v>1.1144561540277209</v>
      </c>
      <c r="E86">
        <v>0.13886847227695398</v>
      </c>
      <c r="F86">
        <v>-1.0461758392921183</v>
      </c>
      <c r="G86">
        <v>0.14667421055492014</v>
      </c>
      <c r="H86">
        <v>0.96642963957640304</v>
      </c>
      <c r="K86" s="10">
        <f>1</f>
        <v>1</v>
      </c>
      <c r="L86" s="10">
        <f t="shared" si="18"/>
        <v>3.7641083761012442</v>
      </c>
      <c r="M86" s="10">
        <f t="shared" si="19"/>
        <v>11.204229097893148</v>
      </c>
      <c r="N86" s="10">
        <f t="shared" si="20"/>
        <v>2.9336976411501281</v>
      </c>
      <c r="O86" s="10">
        <f t="shared" si="21"/>
        <v>7.3347383215656086</v>
      </c>
      <c r="P86" s="10">
        <f t="shared" si="22"/>
        <v>2.9466808419890036</v>
      </c>
      <c r="Q86" s="10">
        <f t="shared" si="23"/>
        <v>-1</v>
      </c>
      <c r="S86" s="10">
        <f t="shared" si="24"/>
        <v>13.303120933487278</v>
      </c>
      <c r="T86" s="10">
        <f t="shared" si="25"/>
        <v>1</v>
      </c>
      <c r="U86" s="10">
        <f t="shared" si="26"/>
        <v>-1</v>
      </c>
      <c r="V86" s="10">
        <f t="shared" si="27"/>
        <v>1</v>
      </c>
      <c r="Y86" s="10">
        <f t="shared" si="28"/>
        <v>-0.8947752311777093</v>
      </c>
      <c r="Z86" s="10">
        <f t="shared" si="29"/>
        <v>-3.3680309424039425</v>
      </c>
      <c r="AA86" s="10">
        <f t="shared" si="30"/>
        <v>-10.025266681235358</v>
      </c>
      <c r="AB86" s="10">
        <f t="shared" si="31"/>
        <v>-2.6249999850656063</v>
      </c>
      <c r="AC86" s="10">
        <f t="shared" si="32"/>
        <v>-6.562942177306871</v>
      </c>
      <c r="AD86" s="10">
        <f t="shared" si="33"/>
        <v>-2.6366170315976376</v>
      </c>
      <c r="AE86" s="10">
        <f t="shared" si="34"/>
        <v>-15.496741682114008</v>
      </c>
      <c r="AF86" s="10">
        <f t="shared" si="35"/>
        <v>-16.396741682114005</v>
      </c>
      <c r="AG86" s="10">
        <f t="shared" si="36"/>
        <v>-15.129806202386089</v>
      </c>
      <c r="AH86" s="10">
        <f t="shared" si="37"/>
        <v>-5.0556948445366618</v>
      </c>
      <c r="AI86" s="10">
        <f t="shared" si="38"/>
        <v>0.10317526695270729</v>
      </c>
      <c r="AJ86" s="10">
        <f t="shared" si="42"/>
        <v>36.73124748253143</v>
      </c>
      <c r="AK86" s="10">
        <f t="shared" si="39"/>
        <v>-1</v>
      </c>
      <c r="AL86" s="10">
        <f t="shared" si="40"/>
        <v>0</v>
      </c>
      <c r="AN86" s="10">
        <f t="shared" si="3"/>
        <v>1</v>
      </c>
      <c r="AO86" s="10">
        <f t="shared" si="4"/>
        <v>0</v>
      </c>
      <c r="AP86" s="10">
        <f t="shared" si="5"/>
        <v>0</v>
      </c>
    </row>
    <row r="87" spans="2:79" x14ac:dyDescent="0.25">
      <c r="B87" s="10">
        <f t="shared" si="17"/>
        <v>63</v>
      </c>
      <c r="C87">
        <v>0.82424094216548838</v>
      </c>
      <c r="D87">
        <v>-1.3969793144497089</v>
      </c>
      <c r="E87">
        <v>6.9630914367735386E-2</v>
      </c>
      <c r="F87">
        <v>1.2273994798306376</v>
      </c>
      <c r="G87">
        <v>-0.39394080886268057</v>
      </c>
      <c r="H87">
        <v>0.33411664174321726</v>
      </c>
      <c r="K87" s="10">
        <f>1</f>
        <v>1</v>
      </c>
      <c r="L87" s="10">
        <f t="shared" si="18"/>
        <v>6.119649848905941</v>
      </c>
      <c r="M87" s="10">
        <f t="shared" si="19"/>
        <v>7.8422759738181824</v>
      </c>
      <c r="N87" s="10">
        <f t="shared" si="20"/>
        <v>1.8393765472852097</v>
      </c>
      <c r="O87" s="10">
        <f t="shared" si="21"/>
        <v>14.244680880908833</v>
      </c>
      <c r="P87" s="10">
        <f t="shared" si="22"/>
        <v>6.4302457530906603</v>
      </c>
      <c r="Q87" s="10">
        <f t="shared" si="23"/>
        <v>1</v>
      </c>
      <c r="S87" s="10">
        <f t="shared" si="24"/>
        <v>-6.1298547535683383</v>
      </c>
      <c r="T87" s="10">
        <f t="shared" si="25"/>
        <v>-1</v>
      </c>
      <c r="U87" s="10">
        <f t="shared" si="26"/>
        <v>1</v>
      </c>
      <c r="V87" s="10">
        <f t="shared" si="27"/>
        <v>1</v>
      </c>
      <c r="Y87" s="10">
        <f t="shared" si="28"/>
        <v>0.8947752311777093</v>
      </c>
      <c r="Z87" s="10">
        <f t="shared" si="29"/>
        <v>5.4757111082814474</v>
      </c>
      <c r="AA87" s="10">
        <f t="shared" si="30"/>
        <v>7.0170742974325595</v>
      </c>
      <c r="AB87" s="10">
        <f t="shared" si="31"/>
        <v>1.6458285753199802</v>
      </c>
      <c r="AC87" s="10">
        <f t="shared" si="32"/>
        <v>12.745787628267896</v>
      </c>
      <c r="AD87" s="10">
        <f t="shared" si="33"/>
        <v>5.7536246302511787</v>
      </c>
      <c r="AE87" s="10">
        <f t="shared" si="34"/>
        <v>-10.021030573832562</v>
      </c>
      <c r="AF87" s="10">
        <f t="shared" si="35"/>
        <v>-10.921030573832557</v>
      </c>
      <c r="AG87" s="10">
        <f t="shared" si="36"/>
        <v>-8.1127319049535291</v>
      </c>
      <c r="AH87" s="10">
        <f t="shared" si="37"/>
        <v>-3.4098662692166819</v>
      </c>
      <c r="AI87" s="10">
        <f t="shared" si="38"/>
        <v>12.848962895220604</v>
      </c>
      <c r="AJ87" s="10">
        <f t="shared" si="42"/>
        <v>34.094630450933792</v>
      </c>
      <c r="AK87" s="10">
        <f t="shared" si="39"/>
        <v>-1</v>
      </c>
      <c r="AL87" s="10">
        <f t="shared" si="40"/>
        <v>1</v>
      </c>
      <c r="AN87" s="10">
        <f t="shared" si="3"/>
        <v>-1</v>
      </c>
      <c r="AO87" s="10">
        <f t="shared" si="4"/>
        <v>0</v>
      </c>
      <c r="AP87" s="10">
        <f t="shared" si="5"/>
        <v>0</v>
      </c>
    </row>
    <row r="88" spans="2:79" x14ac:dyDescent="0.25">
      <c r="B88" s="10">
        <f t="shared" si="17"/>
        <v>64</v>
      </c>
      <c r="C88">
        <v>1.256007635674905</v>
      </c>
      <c r="D88">
        <v>-0.40421355151920579</v>
      </c>
      <c r="E88">
        <v>0.44684384192805737</v>
      </c>
      <c r="F88">
        <v>-0.49799382395576686</v>
      </c>
      <c r="G88">
        <v>-1.2965983842150308</v>
      </c>
      <c r="H88">
        <v>0.53535569322794274</v>
      </c>
      <c r="K88" s="10">
        <f>1</f>
        <v>1</v>
      </c>
      <c r="L88" s="10">
        <f t="shared" si="18"/>
        <v>8.6606546877015909</v>
      </c>
      <c r="M88" s="10">
        <f t="shared" si="19"/>
        <v>8.6782420492767649</v>
      </c>
      <c r="N88" s="10">
        <f t="shared" si="20"/>
        <v>3.4459497735197315</v>
      </c>
      <c r="O88" s="10">
        <f t="shared" si="21"/>
        <v>8.2465235938775834</v>
      </c>
      <c r="P88" s="10">
        <f t="shared" si="22"/>
        <v>0.54610099984425142</v>
      </c>
      <c r="Q88" s="10">
        <f t="shared" si="23"/>
        <v>-1</v>
      </c>
      <c r="S88" s="10">
        <f t="shared" si="24"/>
        <v>-62.180396806975082</v>
      </c>
      <c r="T88" s="10">
        <f t="shared" si="25"/>
        <v>-1</v>
      </c>
      <c r="U88" s="10">
        <f t="shared" si="26"/>
        <v>0</v>
      </c>
      <c r="V88" s="10">
        <f t="shared" si="27"/>
        <v>0</v>
      </c>
      <c r="Y88" s="10">
        <f t="shared" si="28"/>
        <v>0</v>
      </c>
      <c r="Z88" s="10">
        <f t="shared" si="29"/>
        <v>0</v>
      </c>
      <c r="AA88" s="10">
        <f t="shared" si="30"/>
        <v>0</v>
      </c>
      <c r="AB88" s="10">
        <f t="shared" si="31"/>
        <v>0</v>
      </c>
      <c r="AC88" s="10">
        <f t="shared" si="32"/>
        <v>0</v>
      </c>
      <c r="AD88" s="10">
        <f t="shared" si="33"/>
        <v>0</v>
      </c>
      <c r="AE88" s="10">
        <f t="shared" si="34"/>
        <v>-10.021030573832562</v>
      </c>
      <c r="AF88" s="10">
        <f t="shared" si="35"/>
        <v>-10.921030573832557</v>
      </c>
      <c r="AG88" s="10">
        <f t="shared" si="36"/>
        <v>-8.1127319049535291</v>
      </c>
      <c r="AH88" s="10">
        <f t="shared" si="37"/>
        <v>-3.4098662692166819</v>
      </c>
      <c r="AI88" s="10">
        <f t="shared" si="38"/>
        <v>12.848962895220604</v>
      </c>
      <c r="AJ88" s="10">
        <f t="shared" si="42"/>
        <v>39.848255081184973</v>
      </c>
      <c r="AK88" s="10">
        <f t="shared" si="39"/>
        <v>-1</v>
      </c>
      <c r="AL88" s="10">
        <f t="shared" si="40"/>
        <v>0</v>
      </c>
      <c r="AN88" s="10">
        <f t="shared" si="3"/>
        <v>-1</v>
      </c>
      <c r="AO88" s="10">
        <f t="shared" si="4"/>
        <v>0</v>
      </c>
      <c r="AP88" s="10">
        <f t="shared" si="5"/>
        <v>0</v>
      </c>
    </row>
    <row r="89" spans="2:79" x14ac:dyDescent="0.25">
      <c r="B89" s="10">
        <f t="shared" si="17"/>
        <v>65</v>
      </c>
      <c r="C89">
        <v>-0.21081291379232425</v>
      </c>
      <c r="D89">
        <v>0.18125660972145852</v>
      </c>
      <c r="E89">
        <v>0.76128571890876628</v>
      </c>
      <c r="F89">
        <v>0.30896671887603588</v>
      </c>
      <c r="G89">
        <v>0.82005726653733291</v>
      </c>
      <c r="H89">
        <v>0.86785485396893214</v>
      </c>
      <c r="K89" s="10">
        <f>1</f>
        <v>1</v>
      </c>
      <c r="L89" s="10">
        <f t="shared" si="18"/>
        <v>6.220907784826335</v>
      </c>
      <c r="M89" s="10">
        <f t="shared" si="19"/>
        <v>9.6520482951270843</v>
      </c>
      <c r="N89" s="10">
        <f t="shared" si="20"/>
        <v>3.9689575782417266</v>
      </c>
      <c r="O89" s="10">
        <f t="shared" si="21"/>
        <v>9.5887324181482256</v>
      </c>
      <c r="P89" s="10">
        <f t="shared" si="22"/>
        <v>4.0667116636723275</v>
      </c>
      <c r="Q89" s="10">
        <f t="shared" si="23"/>
        <v>-1</v>
      </c>
      <c r="S89" s="10">
        <f t="shared" si="24"/>
        <v>115.45878135768835</v>
      </c>
      <c r="T89" s="10">
        <f t="shared" si="25"/>
        <v>1</v>
      </c>
      <c r="U89" s="10">
        <f t="shared" si="26"/>
        <v>-1</v>
      </c>
      <c r="V89" s="10">
        <f t="shared" si="27"/>
        <v>1</v>
      </c>
      <c r="Y89" s="10">
        <f t="shared" si="28"/>
        <v>-0.8947752311777093</v>
      </c>
      <c r="Z89" s="10">
        <f t="shared" si="29"/>
        <v>-5.5663142013031957</v>
      </c>
      <c r="AA89" s="10">
        <f t="shared" si="30"/>
        <v>-8.636413744610751</v>
      </c>
      <c r="AB89" s="10">
        <f t="shared" si="31"/>
        <v>-3.5513249346057623</v>
      </c>
      <c r="AC89" s="10">
        <f t="shared" si="32"/>
        <v>-8.5797602661497745</v>
      </c>
      <c r="AD89" s="10">
        <f t="shared" si="33"/>
        <v>-3.6387928689954938</v>
      </c>
      <c r="AE89" s="10">
        <f t="shared" si="34"/>
        <v>-15.587344775135758</v>
      </c>
      <c r="AF89" s="10">
        <f t="shared" si="35"/>
        <v>-16.487344775135753</v>
      </c>
      <c r="AG89" s="10">
        <f t="shared" si="36"/>
        <v>-16.74914564956428</v>
      </c>
      <c r="AH89" s="10">
        <f t="shared" si="37"/>
        <v>-6.9611912038224446</v>
      </c>
      <c r="AI89" s="10">
        <f t="shared" si="38"/>
        <v>4.2692026290708291</v>
      </c>
      <c r="AJ89" s="10">
        <f t="shared" si="42"/>
        <v>39.848255081184973</v>
      </c>
      <c r="AK89" s="10">
        <f t="shared" si="39"/>
        <v>-1</v>
      </c>
      <c r="AL89" s="10">
        <f t="shared" si="40"/>
        <v>0</v>
      </c>
      <c r="AN89" s="10">
        <f t="shared" ref="AN89:AN152" si="50">IF(SUMPRODUCT(K90:P90,$AN$18:$AS$18)&gt;=0,1,-1)</f>
        <v>1</v>
      </c>
      <c r="AO89" s="10">
        <f t="shared" ref="AO89:AO152" si="51">(Q90-AN89)/2</f>
        <v>0</v>
      </c>
      <c r="AP89" s="10">
        <f t="shared" ref="AP89:AP152" si="52">IF(AO89&lt;&gt;0,1,0)</f>
        <v>0</v>
      </c>
    </row>
    <row r="90" spans="2:79" x14ac:dyDescent="0.25">
      <c r="B90" s="10">
        <f t="shared" ref="B90:B153" si="53">B89+1</f>
        <v>66</v>
      </c>
      <c r="C90">
        <v>-0.23575466912006959</v>
      </c>
      <c r="D90">
        <v>1.4575562090612948</v>
      </c>
      <c r="E90">
        <v>8.2520728028612211E-2</v>
      </c>
      <c r="F90">
        <v>2.0105380826862529</v>
      </c>
      <c r="G90">
        <v>-1.4732268027728423</v>
      </c>
      <c r="H90">
        <v>1.434369945371868E-2</v>
      </c>
      <c r="K90" s="10">
        <f>1</f>
        <v>1</v>
      </c>
      <c r="L90" s="10">
        <f t="shared" ref="L90:L153" si="54">IF(Q90=1, C90*$C$7+$C$2,C90*$C$13+$C$8)</f>
        <v>3.6708907990239599</v>
      </c>
      <c r="M90" s="10">
        <f t="shared" ref="M90:M153" si="55">IF(Q90=1, D90*$C$7+$C$3,D90*$C$13+$C$10)</f>
        <v>14.436708650694687</v>
      </c>
      <c r="N90" s="10">
        <f t="shared" ref="N90:N153" si="56">IF(Q90=1, E90*$C$7+$C$4,E90*$C$13+$C$12)</f>
        <v>1.869154074208254</v>
      </c>
      <c r="O90" s="10">
        <f t="shared" ref="O90:O153" si="57">IF(Q90=1, F90*$C$7+$C$5,F90*$C$13+$C$11)</f>
        <v>16.053856051670927</v>
      </c>
      <c r="P90" s="10">
        <f t="shared" ref="P90:P153" si="58">IF(Q90=1, G90*$C$7+$C$6,G90*$C$13+$C$12)</f>
        <v>3.9369228403730627</v>
      </c>
      <c r="Q90" s="10">
        <f t="shared" ref="Q90:Q153" si="59">IF(H90&lt;$C$14,1,-1)</f>
        <v>1</v>
      </c>
      <c r="S90" s="10">
        <f t="shared" ref="S90:S153" si="60">SUMPRODUCT(K90:P90,AE89:AJ89)</f>
        <v>-105.5079917606474</v>
      </c>
      <c r="T90" s="10">
        <f t="shared" ref="T90:T153" si="61">IF(S90&gt;=0,1,-1)</f>
        <v>-1</v>
      </c>
      <c r="U90" s="10">
        <f t="shared" ref="U90:U153" si="62">(Q90-T90)/2</f>
        <v>1</v>
      </c>
      <c r="V90" s="10">
        <f t="shared" ref="V90:V153" si="63">IF(U90&lt;&gt;0,1,0)</f>
        <v>1</v>
      </c>
      <c r="Y90" s="10">
        <f t="shared" ref="Y90:Y153" si="64">IF(U90=0,0,$C$15*(U90)*K90)</f>
        <v>0.8947752311777093</v>
      </c>
      <c r="Z90" s="10">
        <f t="shared" ref="Z90:Z153" si="65">IF(U90=0,0,$C$15*(U90)*L90)</f>
        <v>3.2846221633247898</v>
      </c>
      <c r="AA90" s="10">
        <f t="shared" ref="AA90:AA153" si="66">IF(U90=0,0,$C$15*(U90)*M90)</f>
        <v>12.917609320370573</v>
      </c>
      <c r="AB90" s="10">
        <f t="shared" ref="AB90:AB153" si="67">IF(U90=0,0,$C$15*(U90)*N90)</f>
        <v>1.6724727688564476</v>
      </c>
      <c r="AC90" s="10">
        <f t="shared" ref="AC90:AC153" si="68">IF(U90=0,0,$C$15*(U90)*O90)</f>
        <v>14.36459275992752</v>
      </c>
      <c r="AD90" s="10">
        <f t="shared" ref="AD90:AD153" si="69">IF(U90=0,0,$C$15*(U90)*P90)</f>
        <v>3.5226610446236113</v>
      </c>
      <c r="AE90" s="10">
        <f t="shared" ref="AE90:AE153" si="70">IF(U90=0,AE89,AE89+$C$15*(U90)*L90)</f>
        <v>-12.302722611810967</v>
      </c>
      <c r="AF90" s="10">
        <f t="shared" ref="AF90:AF153" si="71">IF(U90=0,AF89,AF89+$C$15*(U90)*L90)</f>
        <v>-13.202722611810962</v>
      </c>
      <c r="AG90" s="10">
        <f t="shared" ref="AG90:AG153" si="72">IF(U90=0,AG89,AG89+$C$15*(U90)*M90)</f>
        <v>-3.8315363291937068</v>
      </c>
      <c r="AH90" s="10">
        <f t="shared" ref="AH90:AH153" si="73">IF(U90=0,AH89,AH89+$C$15*(U90)*N90)</f>
        <v>-5.2887184349659968</v>
      </c>
      <c r="AI90" s="10">
        <f t="shared" ref="AI90:AI153" si="74">IF(U90=0,AI89,AI89+$C$15*(U90)*O90)</f>
        <v>18.633795388998351</v>
      </c>
      <c r="AJ90" s="10">
        <f t="shared" si="42"/>
        <v>36.209462212189479</v>
      </c>
      <c r="AK90" s="10">
        <f t="shared" ref="AK90:AK153" si="75">IF(SUMPRODUCT(K90:P90,$AW$33:$BB$33)&gt;=0,1,-1)</f>
        <v>-1</v>
      </c>
      <c r="AL90" s="10">
        <f t="shared" ref="AL90:AL153" si="76">IF(Q90=AK90,0,1)</f>
        <v>1</v>
      </c>
      <c r="AN90" s="10">
        <f t="shared" si="50"/>
        <v>-1</v>
      </c>
      <c r="AO90" s="10">
        <f t="shared" si="51"/>
        <v>0</v>
      </c>
      <c r="AP90" s="10">
        <f t="shared" si="52"/>
        <v>0</v>
      </c>
    </row>
    <row r="91" spans="2:79" x14ac:dyDescent="0.25">
      <c r="B91" s="10">
        <f t="shared" si="53"/>
        <v>67</v>
      </c>
      <c r="C91">
        <v>-0.30704086384503171</v>
      </c>
      <c r="D91">
        <v>0.21754431145382114</v>
      </c>
      <c r="E91">
        <v>-0.29943180379632395</v>
      </c>
      <c r="F91">
        <v>0.81067128121503629</v>
      </c>
      <c r="G91">
        <v>8.1982989286188968E-2</v>
      </c>
      <c r="H91">
        <v>0.7849055452131718</v>
      </c>
      <c r="K91" s="10">
        <f>1</f>
        <v>1</v>
      </c>
      <c r="L91" s="10">
        <f t="shared" si="54"/>
        <v>6.0608528665908361</v>
      </c>
      <c r="M91" s="10">
        <f t="shared" si="55"/>
        <v>9.7124052405940322</v>
      </c>
      <c r="N91" s="10">
        <f t="shared" si="56"/>
        <v>2.2046774883662383</v>
      </c>
      <c r="O91" s="10">
        <f t="shared" si="57"/>
        <v>10.423212240897877</v>
      </c>
      <c r="P91" s="10">
        <f t="shared" si="58"/>
        <v>2.8390806268223083</v>
      </c>
      <c r="Q91" s="10">
        <f t="shared" si="59"/>
        <v>-1</v>
      </c>
      <c r="S91" s="10">
        <f t="shared" si="60"/>
        <v>155.82975306780213</v>
      </c>
      <c r="T91" s="10">
        <f t="shared" si="61"/>
        <v>1</v>
      </c>
      <c r="U91" s="10">
        <f t="shared" si="62"/>
        <v>-1</v>
      </c>
      <c r="V91" s="10">
        <f t="shared" si="63"/>
        <v>1</v>
      </c>
      <c r="Y91" s="10">
        <f t="shared" si="64"/>
        <v>-0.8947752311777093</v>
      </c>
      <c r="Z91" s="10">
        <f t="shared" si="65"/>
        <v>-5.423101024837897</v>
      </c>
      <c r="AA91" s="10">
        <f t="shared" si="66"/>
        <v>-8.6904196444441197</v>
      </c>
      <c r="AB91" s="10">
        <f t="shared" si="67"/>
        <v>-1.9726908093251925</v>
      </c>
      <c r="AC91" s="10">
        <f t="shared" si="68"/>
        <v>-9.3264321424637266</v>
      </c>
      <c r="AD91" s="10">
        <f t="shared" si="69"/>
        <v>-2.5403390241970869</v>
      </c>
      <c r="AE91" s="10">
        <f t="shared" si="70"/>
        <v>-17.725823636648865</v>
      </c>
      <c r="AF91" s="10">
        <f t="shared" si="71"/>
        <v>-18.62582363664886</v>
      </c>
      <c r="AG91" s="10">
        <f t="shared" si="72"/>
        <v>-12.521955973637827</v>
      </c>
      <c r="AH91" s="10">
        <f t="shared" si="73"/>
        <v>-7.2614092442911895</v>
      </c>
      <c r="AI91" s="10">
        <f t="shared" si="74"/>
        <v>9.3073632465346243</v>
      </c>
      <c r="AJ91" s="10">
        <f t="shared" ref="AJ91:AJ154" si="77">IF(U90=0,AJ90,AJ90+$C$15*(U90)*P90)</f>
        <v>39.73212325681309</v>
      </c>
      <c r="AK91" s="10">
        <f t="shared" si="75"/>
        <v>-1</v>
      </c>
      <c r="AL91" s="10">
        <f t="shared" si="76"/>
        <v>0</v>
      </c>
      <c r="AN91" s="10">
        <f t="shared" si="50"/>
        <v>1</v>
      </c>
      <c r="AO91" s="10">
        <f t="shared" si="51"/>
        <v>0</v>
      </c>
      <c r="AP91" s="10">
        <f t="shared" si="52"/>
        <v>0</v>
      </c>
    </row>
    <row r="92" spans="2:79" x14ac:dyDescent="0.25">
      <c r="B92" s="10">
        <f t="shared" si="53"/>
        <v>68</v>
      </c>
      <c r="C92">
        <v>0.91980155048076995</v>
      </c>
      <c r="D92">
        <v>0.42572537495288998</v>
      </c>
      <c r="E92">
        <v>0.71863496486912481</v>
      </c>
      <c r="F92">
        <v>0.85868350652162917</v>
      </c>
      <c r="G92">
        <v>-3.9292444853344932E-2</v>
      </c>
      <c r="H92">
        <v>0.41679128391369363</v>
      </c>
      <c r="K92" s="10">
        <f>1</f>
        <v>1</v>
      </c>
      <c r="L92" s="10">
        <f t="shared" si="54"/>
        <v>6.34041010671538</v>
      </c>
      <c r="M92" s="10">
        <f t="shared" si="55"/>
        <v>12.05301473152284</v>
      </c>
      <c r="N92" s="10">
        <f t="shared" si="56"/>
        <v>3.3386794926510861</v>
      </c>
      <c r="O92" s="10">
        <f t="shared" si="57"/>
        <v>13.392888131143154</v>
      </c>
      <c r="P92" s="10">
        <f t="shared" si="58"/>
        <v>7.2495400800175895</v>
      </c>
      <c r="Q92" s="10">
        <f t="shared" si="59"/>
        <v>1</v>
      </c>
      <c r="S92" s="10">
        <f t="shared" si="60"/>
        <v>101.70007275346239</v>
      </c>
      <c r="T92" s="10">
        <f t="shared" si="61"/>
        <v>1</v>
      </c>
      <c r="U92" s="10">
        <f t="shared" si="62"/>
        <v>0</v>
      </c>
      <c r="V92" s="10">
        <f t="shared" si="63"/>
        <v>0</v>
      </c>
      <c r="Y92" s="10">
        <f t="shared" si="64"/>
        <v>0</v>
      </c>
      <c r="Z92" s="10">
        <f t="shared" si="65"/>
        <v>0</v>
      </c>
      <c r="AA92" s="10">
        <f t="shared" si="66"/>
        <v>0</v>
      </c>
      <c r="AB92" s="10">
        <f t="shared" si="67"/>
        <v>0</v>
      </c>
      <c r="AC92" s="10">
        <f t="shared" si="68"/>
        <v>0</v>
      </c>
      <c r="AD92" s="10">
        <f t="shared" si="69"/>
        <v>0</v>
      </c>
      <c r="AE92" s="10">
        <f t="shared" si="70"/>
        <v>-17.725823636648865</v>
      </c>
      <c r="AF92" s="10">
        <f t="shared" si="71"/>
        <v>-18.62582363664886</v>
      </c>
      <c r="AG92" s="10">
        <f t="shared" si="72"/>
        <v>-12.521955973637827</v>
      </c>
      <c r="AH92" s="10">
        <f t="shared" si="73"/>
        <v>-7.2614092442911895</v>
      </c>
      <c r="AI92" s="10">
        <f t="shared" si="74"/>
        <v>9.3073632465346243</v>
      </c>
      <c r="AJ92" s="10">
        <f t="shared" si="77"/>
        <v>37.191784232616001</v>
      </c>
      <c r="AK92" s="10">
        <f t="shared" si="75"/>
        <v>1</v>
      </c>
      <c r="AL92" s="10">
        <f t="shared" si="76"/>
        <v>0</v>
      </c>
      <c r="AN92" s="10">
        <f t="shared" si="50"/>
        <v>1</v>
      </c>
      <c r="AO92" s="10">
        <f t="shared" si="51"/>
        <v>0</v>
      </c>
      <c r="AP92" s="10">
        <f t="shared" si="52"/>
        <v>0</v>
      </c>
    </row>
    <row r="93" spans="2:79" x14ac:dyDescent="0.25">
      <c r="B93" s="10">
        <f t="shared" si="53"/>
        <v>69</v>
      </c>
      <c r="C93">
        <v>-1.3355156625038944</v>
      </c>
      <c r="D93">
        <v>0.46355808080988936</v>
      </c>
      <c r="E93">
        <v>-0.97824795375345275</v>
      </c>
      <c r="F93">
        <v>-1.6291824067593552</v>
      </c>
      <c r="G93">
        <v>0.22318772607832216</v>
      </c>
      <c r="H93">
        <v>0.4693746757408368</v>
      </c>
      <c r="K93" s="10">
        <f>1</f>
        <v>1</v>
      </c>
      <c r="L93" s="10">
        <f t="shared" si="54"/>
        <v>1.1302673694705865</v>
      </c>
      <c r="M93" s="10">
        <f t="shared" si="55"/>
        <v>12.140414320598962</v>
      </c>
      <c r="N93" s="10">
        <f t="shared" si="56"/>
        <v>-0.58139089191183557</v>
      </c>
      <c r="O93" s="10">
        <f t="shared" si="57"/>
        <v>7.6455207786961594</v>
      </c>
      <c r="P93" s="10">
        <f t="shared" si="58"/>
        <v>7.855911169803484</v>
      </c>
      <c r="Q93" s="10">
        <f t="shared" si="59"/>
        <v>1</v>
      </c>
      <c r="S93" s="10">
        <f t="shared" si="60"/>
        <v>176.75699152432841</v>
      </c>
      <c r="T93" s="10">
        <f t="shared" si="61"/>
        <v>1</v>
      </c>
      <c r="U93" s="10">
        <f t="shared" si="62"/>
        <v>0</v>
      </c>
      <c r="V93" s="10">
        <f t="shared" si="63"/>
        <v>0</v>
      </c>
      <c r="Y93" s="10">
        <f t="shared" si="64"/>
        <v>0</v>
      </c>
      <c r="Z93" s="10">
        <f t="shared" si="65"/>
        <v>0</v>
      </c>
      <c r="AA93" s="10">
        <f t="shared" si="66"/>
        <v>0</v>
      </c>
      <c r="AB93" s="10">
        <f t="shared" si="67"/>
        <v>0</v>
      </c>
      <c r="AC93" s="10">
        <f t="shared" si="68"/>
        <v>0</v>
      </c>
      <c r="AD93" s="10">
        <f t="shared" si="69"/>
        <v>0</v>
      </c>
      <c r="AE93" s="10">
        <f t="shared" si="70"/>
        <v>-17.725823636648865</v>
      </c>
      <c r="AF93" s="10">
        <f t="shared" si="71"/>
        <v>-18.62582363664886</v>
      </c>
      <c r="AG93" s="10">
        <f t="shared" si="72"/>
        <v>-12.521955973637827</v>
      </c>
      <c r="AH93" s="10">
        <f t="shared" si="73"/>
        <v>-7.2614092442911895</v>
      </c>
      <c r="AI93" s="10">
        <f t="shared" si="74"/>
        <v>9.3073632465346243</v>
      </c>
      <c r="AJ93" s="10">
        <f t="shared" si="77"/>
        <v>37.191784232616001</v>
      </c>
      <c r="AK93" s="10">
        <f t="shared" si="75"/>
        <v>1</v>
      </c>
      <c r="AL93" s="10">
        <f t="shared" si="76"/>
        <v>0</v>
      </c>
      <c r="AN93" s="10">
        <f t="shared" si="50"/>
        <v>-1</v>
      </c>
      <c r="AO93" s="10">
        <f t="shared" si="51"/>
        <v>0</v>
      </c>
      <c r="AP93" s="10">
        <f t="shared" si="52"/>
        <v>0</v>
      </c>
    </row>
    <row r="94" spans="2:79" x14ac:dyDescent="0.25">
      <c r="B94" s="10">
        <f t="shared" si="53"/>
        <v>70</v>
      </c>
      <c r="C94">
        <v>-0.90138883024337701</v>
      </c>
      <c r="D94">
        <v>1.1210272532480303</v>
      </c>
      <c r="E94">
        <v>0.35089215089101344</v>
      </c>
      <c r="F94">
        <v>0.37852714740438387</v>
      </c>
      <c r="G94">
        <v>0.88079332272172906</v>
      </c>
      <c r="H94">
        <v>0.63035981322672197</v>
      </c>
      <c r="K94" s="10">
        <f>1</f>
        <v>1</v>
      </c>
      <c r="L94" s="10">
        <f t="shared" si="54"/>
        <v>5.0722802625478591</v>
      </c>
      <c r="M94" s="10">
        <f t="shared" si="55"/>
        <v>11.21515873681664</v>
      </c>
      <c r="N94" s="10">
        <f t="shared" si="56"/>
        <v>3.2863543539448563</v>
      </c>
      <c r="O94" s="10">
        <f t="shared" si="57"/>
        <v>9.7044315335760487</v>
      </c>
      <c r="P94" s="10">
        <f t="shared" si="58"/>
        <v>4.1677332951340356</v>
      </c>
      <c r="Q94" s="10">
        <f t="shared" si="59"/>
        <v>-1</v>
      </c>
      <c r="S94" s="10">
        <f t="shared" si="60"/>
        <v>-31.172402232217536</v>
      </c>
      <c r="T94" s="10">
        <f t="shared" si="61"/>
        <v>-1</v>
      </c>
      <c r="U94" s="10">
        <f t="shared" si="62"/>
        <v>0</v>
      </c>
      <c r="V94" s="10">
        <f t="shared" si="63"/>
        <v>0</v>
      </c>
      <c r="Y94" s="10">
        <f t="shared" si="64"/>
        <v>0</v>
      </c>
      <c r="Z94" s="10">
        <f t="shared" si="65"/>
        <v>0</v>
      </c>
      <c r="AA94" s="10">
        <f t="shared" si="66"/>
        <v>0</v>
      </c>
      <c r="AB94" s="10">
        <f t="shared" si="67"/>
        <v>0</v>
      </c>
      <c r="AC94" s="10">
        <f t="shared" si="68"/>
        <v>0</v>
      </c>
      <c r="AD94" s="10">
        <f t="shared" si="69"/>
        <v>0</v>
      </c>
      <c r="AE94" s="10">
        <f t="shared" si="70"/>
        <v>-17.725823636648865</v>
      </c>
      <c r="AF94" s="10">
        <f t="shared" si="71"/>
        <v>-18.62582363664886</v>
      </c>
      <c r="AG94" s="10">
        <f t="shared" si="72"/>
        <v>-12.521955973637827</v>
      </c>
      <c r="AH94" s="10">
        <f t="shared" si="73"/>
        <v>-7.2614092442911895</v>
      </c>
      <c r="AI94" s="10">
        <f t="shared" si="74"/>
        <v>9.3073632465346243</v>
      </c>
      <c r="AJ94" s="10">
        <f t="shared" si="77"/>
        <v>37.191784232616001</v>
      </c>
      <c r="AK94" s="10">
        <f t="shared" si="75"/>
        <v>-1</v>
      </c>
      <c r="AL94" s="10">
        <f t="shared" si="76"/>
        <v>0</v>
      </c>
      <c r="AN94" s="10">
        <f t="shared" si="50"/>
        <v>1</v>
      </c>
      <c r="AO94" s="10">
        <f t="shared" si="51"/>
        <v>0</v>
      </c>
      <c r="AP94" s="10">
        <f t="shared" si="52"/>
        <v>0</v>
      </c>
    </row>
    <row r="95" spans="2:79" x14ac:dyDescent="0.25">
      <c r="B95" s="10">
        <f t="shared" si="53"/>
        <v>71</v>
      </c>
      <c r="C95">
        <v>0.9070299711311236</v>
      </c>
      <c r="D95">
        <v>0.16960370885499287</v>
      </c>
      <c r="E95">
        <v>0.59236526794848032</v>
      </c>
      <c r="F95">
        <v>-0.27106693778478075</v>
      </c>
      <c r="G95">
        <v>-0.20885863705188967</v>
      </c>
      <c r="H95">
        <v>0.20029297769096957</v>
      </c>
      <c r="K95" s="10">
        <f>1</f>
        <v>1</v>
      </c>
      <c r="L95" s="10">
        <f t="shared" si="54"/>
        <v>6.3109057199228697</v>
      </c>
      <c r="M95" s="10">
        <f t="shared" si="55"/>
        <v>11.461332802795384</v>
      </c>
      <c r="N95" s="10">
        <f t="shared" si="56"/>
        <v>3.0469763386302109</v>
      </c>
      <c r="O95" s="10">
        <f t="shared" si="57"/>
        <v>10.782984283288229</v>
      </c>
      <c r="P95" s="10">
        <f t="shared" si="58"/>
        <v>6.8578151112730223</v>
      </c>
      <c r="Q95" s="10">
        <f t="shared" si="59"/>
        <v>1</v>
      </c>
      <c r="S95" s="10">
        <f t="shared" si="60"/>
        <v>54.500244060145576</v>
      </c>
      <c r="T95" s="10">
        <f t="shared" si="61"/>
        <v>1</v>
      </c>
      <c r="U95" s="10">
        <f t="shared" si="62"/>
        <v>0</v>
      </c>
      <c r="V95" s="10">
        <f t="shared" si="63"/>
        <v>0</v>
      </c>
      <c r="Y95" s="10">
        <f t="shared" si="64"/>
        <v>0</v>
      </c>
      <c r="Z95" s="10">
        <f t="shared" si="65"/>
        <v>0</v>
      </c>
      <c r="AA95" s="10">
        <f t="shared" si="66"/>
        <v>0</v>
      </c>
      <c r="AB95" s="10">
        <f t="shared" si="67"/>
        <v>0</v>
      </c>
      <c r="AC95" s="10">
        <f t="shared" si="68"/>
        <v>0</v>
      </c>
      <c r="AD95" s="10">
        <f t="shared" si="69"/>
        <v>0</v>
      </c>
      <c r="AE95" s="10">
        <f t="shared" si="70"/>
        <v>-17.725823636648865</v>
      </c>
      <c r="AF95" s="10">
        <f t="shared" si="71"/>
        <v>-18.62582363664886</v>
      </c>
      <c r="AG95" s="10">
        <f t="shared" si="72"/>
        <v>-12.521955973637827</v>
      </c>
      <c r="AH95" s="10">
        <f t="shared" si="73"/>
        <v>-7.2614092442911895</v>
      </c>
      <c r="AI95" s="10">
        <f t="shared" si="74"/>
        <v>9.3073632465346243</v>
      </c>
      <c r="AJ95" s="10">
        <f t="shared" si="77"/>
        <v>37.191784232616001</v>
      </c>
      <c r="AK95" s="10">
        <f t="shared" si="75"/>
        <v>1</v>
      </c>
      <c r="AL95" s="10">
        <f t="shared" si="76"/>
        <v>0</v>
      </c>
      <c r="AN95" s="10">
        <f t="shared" si="50"/>
        <v>-1</v>
      </c>
      <c r="AO95" s="10">
        <f t="shared" si="51"/>
        <v>0</v>
      </c>
      <c r="AP95" s="10">
        <f t="shared" si="52"/>
        <v>0</v>
      </c>
    </row>
    <row r="96" spans="2:79" x14ac:dyDescent="0.25">
      <c r="B96" s="10">
        <f t="shared" si="53"/>
        <v>72</v>
      </c>
      <c r="C96">
        <v>-0.24678001864231192</v>
      </c>
      <c r="D96">
        <v>-0.53930193644191604</v>
      </c>
      <c r="E96">
        <v>2.7122268875245936E-2</v>
      </c>
      <c r="F96">
        <v>-0.32295815799443517</v>
      </c>
      <c r="G96">
        <v>-0.88769184003467672</v>
      </c>
      <c r="H96">
        <v>0.80404065065462205</v>
      </c>
      <c r="K96" s="10">
        <f>1</f>
        <v>1</v>
      </c>
      <c r="L96" s="10">
        <f t="shared" si="54"/>
        <v>6.1610840847186301</v>
      </c>
      <c r="M96" s="10">
        <f t="shared" si="55"/>
        <v>8.4535509861134397</v>
      </c>
      <c r="N96" s="10">
        <f t="shared" si="56"/>
        <v>2.7478313783980761</v>
      </c>
      <c r="O96" s="10">
        <f t="shared" si="57"/>
        <v>8.5376585415553858</v>
      </c>
      <c r="P96" s="10">
        <f t="shared" si="58"/>
        <v>1.2262308733259093</v>
      </c>
      <c r="Q96" s="10">
        <f t="shared" si="59"/>
        <v>-1</v>
      </c>
      <c r="S96" s="10">
        <f t="shared" si="60"/>
        <v>-133.22040726980606</v>
      </c>
      <c r="T96" s="10">
        <f t="shared" si="61"/>
        <v>-1</v>
      </c>
      <c r="U96" s="10">
        <f t="shared" si="62"/>
        <v>0</v>
      </c>
      <c r="V96" s="10">
        <f t="shared" si="63"/>
        <v>0</v>
      </c>
      <c r="Y96" s="10">
        <f t="shared" si="64"/>
        <v>0</v>
      </c>
      <c r="Z96" s="10">
        <f t="shared" si="65"/>
        <v>0</v>
      </c>
      <c r="AA96" s="10">
        <f t="shared" si="66"/>
        <v>0</v>
      </c>
      <c r="AB96" s="10">
        <f t="shared" si="67"/>
        <v>0</v>
      </c>
      <c r="AC96" s="10">
        <f t="shared" si="68"/>
        <v>0</v>
      </c>
      <c r="AD96" s="10">
        <f t="shared" si="69"/>
        <v>0</v>
      </c>
      <c r="AE96" s="10">
        <f t="shared" si="70"/>
        <v>-17.725823636648865</v>
      </c>
      <c r="AF96" s="10">
        <f t="shared" si="71"/>
        <v>-18.62582363664886</v>
      </c>
      <c r="AG96" s="10">
        <f t="shared" si="72"/>
        <v>-12.521955973637827</v>
      </c>
      <c r="AH96" s="10">
        <f t="shared" si="73"/>
        <v>-7.2614092442911895</v>
      </c>
      <c r="AI96" s="10">
        <f t="shared" si="74"/>
        <v>9.3073632465346243</v>
      </c>
      <c r="AJ96" s="10">
        <f t="shared" si="77"/>
        <v>37.191784232616001</v>
      </c>
      <c r="AK96" s="10">
        <f t="shared" si="75"/>
        <v>-1</v>
      </c>
      <c r="AL96" s="10">
        <f t="shared" si="76"/>
        <v>0</v>
      </c>
      <c r="AN96" s="10">
        <f t="shared" si="50"/>
        <v>1</v>
      </c>
      <c r="AO96" s="10">
        <f t="shared" si="51"/>
        <v>0</v>
      </c>
      <c r="AP96" s="10">
        <f t="shared" si="52"/>
        <v>0</v>
      </c>
    </row>
    <row r="97" spans="2:42" x14ac:dyDescent="0.25">
      <c r="B97" s="10">
        <f t="shared" si="53"/>
        <v>73</v>
      </c>
      <c r="C97">
        <v>-0.70307351052179001</v>
      </c>
      <c r="D97">
        <v>2.3756547307129949</v>
      </c>
      <c r="E97">
        <v>-0.48642277761246078</v>
      </c>
      <c r="F97">
        <v>-0.80547579273115844</v>
      </c>
      <c r="G97">
        <v>0.48143533604161348</v>
      </c>
      <c r="H97">
        <v>0.13562425611133153</v>
      </c>
      <c r="K97" s="10">
        <f>1</f>
        <v>1</v>
      </c>
      <c r="L97" s="10">
        <f t="shared" si="54"/>
        <v>2.5913096857824049</v>
      </c>
      <c r="M97" s="10">
        <f t="shared" si="55"/>
        <v>16.557662775071918</v>
      </c>
      <c r="N97" s="10">
        <f t="shared" si="56"/>
        <v>0.55480376607774762</v>
      </c>
      <c r="O97" s="10">
        <f t="shared" si="57"/>
        <v>9.548414530400386</v>
      </c>
      <c r="P97" s="10">
        <f t="shared" si="58"/>
        <v>8.4525043681857355</v>
      </c>
      <c r="Q97" s="10">
        <f t="shared" si="59"/>
        <v>1</v>
      </c>
      <c r="S97" s="10">
        <f t="shared" si="60"/>
        <v>125.88019882620489</v>
      </c>
      <c r="T97" s="10">
        <f t="shared" si="61"/>
        <v>1</v>
      </c>
      <c r="U97" s="10">
        <f t="shared" si="62"/>
        <v>0</v>
      </c>
      <c r="V97" s="10">
        <f t="shared" si="63"/>
        <v>0</v>
      </c>
      <c r="Y97" s="10">
        <f t="shared" si="64"/>
        <v>0</v>
      </c>
      <c r="Z97" s="10">
        <f t="shared" si="65"/>
        <v>0</v>
      </c>
      <c r="AA97" s="10">
        <f t="shared" si="66"/>
        <v>0</v>
      </c>
      <c r="AB97" s="10">
        <f t="shared" si="67"/>
        <v>0</v>
      </c>
      <c r="AC97" s="10">
        <f t="shared" si="68"/>
        <v>0</v>
      </c>
      <c r="AD97" s="10">
        <f t="shared" si="69"/>
        <v>0</v>
      </c>
      <c r="AE97" s="10">
        <f t="shared" si="70"/>
        <v>-17.725823636648865</v>
      </c>
      <c r="AF97" s="10">
        <f t="shared" si="71"/>
        <v>-18.62582363664886</v>
      </c>
      <c r="AG97" s="10">
        <f t="shared" si="72"/>
        <v>-12.521955973637827</v>
      </c>
      <c r="AH97" s="10">
        <f t="shared" si="73"/>
        <v>-7.2614092442911895</v>
      </c>
      <c r="AI97" s="10">
        <f t="shared" si="74"/>
        <v>9.3073632465346243</v>
      </c>
      <c r="AJ97" s="10">
        <f t="shared" si="77"/>
        <v>37.191784232616001</v>
      </c>
      <c r="AK97" s="10">
        <f t="shared" si="75"/>
        <v>1</v>
      </c>
      <c r="AL97" s="10">
        <f t="shared" si="76"/>
        <v>0</v>
      </c>
      <c r="AN97" s="10">
        <f t="shared" si="50"/>
        <v>-1</v>
      </c>
      <c r="AO97" s="10">
        <f t="shared" si="51"/>
        <v>0</v>
      </c>
      <c r="AP97" s="10">
        <f t="shared" si="52"/>
        <v>0</v>
      </c>
    </row>
    <row r="98" spans="2:42" x14ac:dyDescent="0.25">
      <c r="B98" s="10">
        <f t="shared" si="53"/>
        <v>74</v>
      </c>
      <c r="C98">
        <v>2.9687362257391214</v>
      </c>
      <c r="D98">
        <v>0.36852043194812723</v>
      </c>
      <c r="E98">
        <v>-1.6004423741833307</v>
      </c>
      <c r="F98">
        <v>1.8327773432247341</v>
      </c>
      <c r="G98">
        <v>0.64800133259268478</v>
      </c>
      <c r="H98">
        <v>0.96197393719290747</v>
      </c>
      <c r="K98" s="10">
        <f>1</f>
        <v>1</v>
      </c>
      <c r="L98" s="10">
        <f t="shared" si="54"/>
        <v>11.509417799585188</v>
      </c>
      <c r="M98" s="10">
        <f t="shared" si="55"/>
        <v>9.9635222040957316</v>
      </c>
      <c r="N98" s="10">
        <f t="shared" si="56"/>
        <v>4.0720547033120891E-2</v>
      </c>
      <c r="O98" s="10">
        <f t="shared" si="57"/>
        <v>12.1232703019224</v>
      </c>
      <c r="P98" s="10">
        <f t="shared" si="58"/>
        <v>3.7805328723299021</v>
      </c>
      <c r="Q98" s="10">
        <f t="shared" si="59"/>
        <v>-1</v>
      </c>
      <c r="S98" s="10">
        <f t="shared" si="60"/>
        <v>-103.71624136301534</v>
      </c>
      <c r="T98" s="10">
        <f t="shared" si="61"/>
        <v>-1</v>
      </c>
      <c r="U98" s="10">
        <f t="shared" si="62"/>
        <v>0</v>
      </c>
      <c r="V98" s="10">
        <f t="shared" si="63"/>
        <v>0</v>
      </c>
      <c r="Y98" s="10">
        <f t="shared" si="64"/>
        <v>0</v>
      </c>
      <c r="Z98" s="10">
        <f t="shared" si="65"/>
        <v>0</v>
      </c>
      <c r="AA98" s="10">
        <f t="shared" si="66"/>
        <v>0</v>
      </c>
      <c r="AB98" s="10">
        <f t="shared" si="67"/>
        <v>0</v>
      </c>
      <c r="AC98" s="10">
        <f t="shared" si="68"/>
        <v>0</v>
      </c>
      <c r="AD98" s="10">
        <f t="shared" si="69"/>
        <v>0</v>
      </c>
      <c r="AE98" s="10">
        <f t="shared" si="70"/>
        <v>-17.725823636648865</v>
      </c>
      <c r="AF98" s="10">
        <f t="shared" si="71"/>
        <v>-18.62582363664886</v>
      </c>
      <c r="AG98" s="10">
        <f t="shared" si="72"/>
        <v>-12.521955973637827</v>
      </c>
      <c r="AH98" s="10">
        <f t="shared" si="73"/>
        <v>-7.2614092442911895</v>
      </c>
      <c r="AI98" s="10">
        <f t="shared" si="74"/>
        <v>9.3073632465346243</v>
      </c>
      <c r="AJ98" s="10">
        <f t="shared" si="77"/>
        <v>37.191784232616001</v>
      </c>
      <c r="AK98" s="10">
        <f t="shared" si="75"/>
        <v>-1</v>
      </c>
      <c r="AL98" s="10">
        <f t="shared" si="76"/>
        <v>0</v>
      </c>
      <c r="AN98" s="10">
        <f t="shared" si="50"/>
        <v>-1</v>
      </c>
      <c r="AO98" s="10">
        <f t="shared" si="51"/>
        <v>0</v>
      </c>
      <c r="AP98" s="10">
        <f t="shared" si="52"/>
        <v>0</v>
      </c>
    </row>
    <row r="99" spans="2:42" x14ac:dyDescent="0.25">
      <c r="B99" s="10">
        <f t="shared" si="53"/>
        <v>75</v>
      </c>
      <c r="C99">
        <v>0.12860368769906927</v>
      </c>
      <c r="D99">
        <v>-0.76466449172585271</v>
      </c>
      <c r="E99">
        <v>1.2728537512884941</v>
      </c>
      <c r="F99">
        <v>-0.43377895053708926</v>
      </c>
      <c r="G99">
        <v>0.12922100722789764</v>
      </c>
      <c r="H99">
        <v>0.77117221594897301</v>
      </c>
      <c r="K99" s="10">
        <f>1</f>
        <v>1</v>
      </c>
      <c r="L99" s="10">
        <f t="shared" si="54"/>
        <v>6.7854557812215637</v>
      </c>
      <c r="M99" s="10">
        <f t="shared" si="55"/>
        <v>8.0787078626804174</v>
      </c>
      <c r="N99" s="10">
        <f t="shared" si="56"/>
        <v>4.8198432050225595</v>
      </c>
      <c r="O99" s="10">
        <f t="shared" si="57"/>
        <v>8.3533315047693755</v>
      </c>
      <c r="P99" s="10">
        <f t="shared" si="58"/>
        <v>2.9176511159070904</v>
      </c>
      <c r="Q99" s="10">
        <f t="shared" si="59"/>
        <v>-1</v>
      </c>
      <c r="S99" s="10">
        <f t="shared" si="60"/>
        <v>-94.010463094833867</v>
      </c>
      <c r="T99" s="10">
        <f t="shared" si="61"/>
        <v>-1</v>
      </c>
      <c r="U99" s="10">
        <f t="shared" si="62"/>
        <v>0</v>
      </c>
      <c r="V99" s="10">
        <f t="shared" si="63"/>
        <v>0</v>
      </c>
      <c r="Y99" s="10">
        <f t="shared" si="64"/>
        <v>0</v>
      </c>
      <c r="Z99" s="10">
        <f t="shared" si="65"/>
        <v>0</v>
      </c>
      <c r="AA99" s="10">
        <f t="shared" si="66"/>
        <v>0</v>
      </c>
      <c r="AB99" s="10">
        <f t="shared" si="67"/>
        <v>0</v>
      </c>
      <c r="AC99" s="10">
        <f t="shared" si="68"/>
        <v>0</v>
      </c>
      <c r="AD99" s="10">
        <f t="shared" si="69"/>
        <v>0</v>
      </c>
      <c r="AE99" s="10">
        <f t="shared" si="70"/>
        <v>-17.725823636648865</v>
      </c>
      <c r="AF99" s="10">
        <f t="shared" si="71"/>
        <v>-18.62582363664886</v>
      </c>
      <c r="AG99" s="10">
        <f t="shared" si="72"/>
        <v>-12.521955973637827</v>
      </c>
      <c r="AH99" s="10">
        <f t="shared" si="73"/>
        <v>-7.2614092442911895</v>
      </c>
      <c r="AI99" s="10">
        <f t="shared" si="74"/>
        <v>9.3073632465346243</v>
      </c>
      <c r="AJ99" s="10">
        <f t="shared" si="77"/>
        <v>37.191784232616001</v>
      </c>
      <c r="AK99" s="10">
        <f t="shared" si="75"/>
        <v>-1</v>
      </c>
      <c r="AL99" s="10">
        <f t="shared" si="76"/>
        <v>0</v>
      </c>
      <c r="AN99" s="10">
        <f t="shared" si="50"/>
        <v>-1</v>
      </c>
      <c r="AO99" s="10">
        <f t="shared" si="51"/>
        <v>0</v>
      </c>
      <c r="AP99" s="10">
        <f t="shared" si="52"/>
        <v>0</v>
      </c>
    </row>
    <row r="100" spans="2:42" x14ac:dyDescent="0.25">
      <c r="B100" s="10">
        <f t="shared" si="53"/>
        <v>76</v>
      </c>
      <c r="C100">
        <v>-1.2317991604504641</v>
      </c>
      <c r="D100">
        <v>1.7537695384817198</v>
      </c>
      <c r="E100">
        <v>0.9393625077791512</v>
      </c>
      <c r="F100">
        <v>-1.4343868315336294E-2</v>
      </c>
      <c r="G100">
        <v>0.29895204534113873</v>
      </c>
      <c r="H100">
        <v>0.72475356303598137</v>
      </c>
      <c r="K100" s="10">
        <f>1</f>
        <v>1</v>
      </c>
      <c r="L100" s="10">
        <f t="shared" si="54"/>
        <v>4.522712300677183</v>
      </c>
      <c r="M100" s="10">
        <f t="shared" si="55"/>
        <v>12.267592199981451</v>
      </c>
      <c r="N100" s="10">
        <f t="shared" si="56"/>
        <v>4.2651507930683774</v>
      </c>
      <c r="O100" s="10">
        <f t="shared" si="57"/>
        <v>9.0509733827614944</v>
      </c>
      <c r="P100" s="10">
        <f t="shared" si="58"/>
        <v>3.199962932924509</v>
      </c>
      <c r="Q100" s="10">
        <f t="shared" si="59"/>
        <v>-1</v>
      </c>
      <c r="S100" s="10">
        <f t="shared" si="60"/>
        <v>-83.297292174382719</v>
      </c>
      <c r="T100" s="10">
        <f t="shared" si="61"/>
        <v>-1</v>
      </c>
      <c r="U100" s="10">
        <f t="shared" si="62"/>
        <v>0</v>
      </c>
      <c r="V100" s="10">
        <f t="shared" si="63"/>
        <v>0</v>
      </c>
      <c r="Y100" s="10">
        <f t="shared" si="64"/>
        <v>0</v>
      </c>
      <c r="Z100" s="10">
        <f t="shared" si="65"/>
        <v>0</v>
      </c>
      <c r="AA100" s="10">
        <f t="shared" si="66"/>
        <v>0</v>
      </c>
      <c r="AB100" s="10">
        <f t="shared" si="67"/>
        <v>0</v>
      </c>
      <c r="AC100" s="10">
        <f t="shared" si="68"/>
        <v>0</v>
      </c>
      <c r="AD100" s="10">
        <f t="shared" si="69"/>
        <v>0</v>
      </c>
      <c r="AE100" s="10">
        <f t="shared" si="70"/>
        <v>-17.725823636648865</v>
      </c>
      <c r="AF100" s="10">
        <f t="shared" si="71"/>
        <v>-18.62582363664886</v>
      </c>
      <c r="AG100" s="10">
        <f t="shared" si="72"/>
        <v>-12.521955973637827</v>
      </c>
      <c r="AH100" s="10">
        <f t="shared" si="73"/>
        <v>-7.2614092442911895</v>
      </c>
      <c r="AI100" s="10">
        <f t="shared" si="74"/>
        <v>9.3073632465346243</v>
      </c>
      <c r="AJ100" s="10">
        <f t="shared" si="77"/>
        <v>37.191784232616001</v>
      </c>
      <c r="AK100" s="10">
        <f t="shared" si="75"/>
        <v>-1</v>
      </c>
      <c r="AL100" s="10">
        <f t="shared" si="76"/>
        <v>0</v>
      </c>
      <c r="AN100" s="10">
        <f t="shared" si="50"/>
        <v>1</v>
      </c>
      <c r="AO100" s="10">
        <f t="shared" si="51"/>
        <v>0</v>
      </c>
      <c r="AP100" s="10">
        <f t="shared" si="52"/>
        <v>0</v>
      </c>
    </row>
    <row r="101" spans="2:42" x14ac:dyDescent="0.25">
      <c r="B101" s="10">
        <f t="shared" si="53"/>
        <v>77</v>
      </c>
      <c r="C101">
        <v>0.22663925847155042</v>
      </c>
      <c r="D101">
        <v>1.9653089111670852</v>
      </c>
      <c r="E101">
        <v>-0.17853608369478025</v>
      </c>
      <c r="F101">
        <v>-0.90092953541898169</v>
      </c>
      <c r="G101">
        <v>-0.7557787284895312</v>
      </c>
      <c r="H101">
        <v>0.48344370860927155</v>
      </c>
      <c r="K101" s="10">
        <f>1</f>
        <v>1</v>
      </c>
      <c r="L101" s="10">
        <f t="shared" si="54"/>
        <v>4.7390945752898022</v>
      </c>
      <c r="M101" s="10">
        <f t="shared" si="55"/>
        <v>15.609698435884116</v>
      </c>
      <c r="N101" s="10">
        <f t="shared" si="56"/>
        <v>1.2660711713784059</v>
      </c>
      <c r="O101" s="10">
        <f t="shared" si="57"/>
        <v>9.327901149247392</v>
      </c>
      <c r="P101" s="10">
        <f t="shared" si="58"/>
        <v>5.5943424051493258</v>
      </c>
      <c r="Q101" s="10">
        <f t="shared" si="59"/>
        <v>1</v>
      </c>
      <c r="S101" s="10">
        <f t="shared" si="60"/>
        <v>-15.771040897576881</v>
      </c>
      <c r="T101" s="10">
        <f t="shared" si="61"/>
        <v>-1</v>
      </c>
      <c r="U101" s="10">
        <f t="shared" si="62"/>
        <v>1</v>
      </c>
      <c r="V101" s="10">
        <f t="shared" si="63"/>
        <v>1</v>
      </c>
      <c r="Y101" s="10">
        <f t="shared" si="64"/>
        <v>0.8947752311777093</v>
      </c>
      <c r="Z101" s="10">
        <f t="shared" si="65"/>
        <v>4.240424444177961</v>
      </c>
      <c r="AA101" s="10">
        <f t="shared" si="66"/>
        <v>13.967171526582538</v>
      </c>
      <c r="AB101" s="10">
        <f t="shared" si="67"/>
        <v>1.1328491250575463</v>
      </c>
      <c r="AC101" s="10">
        <f t="shared" si="68"/>
        <v>8.346374907220655</v>
      </c>
      <c r="AD101" s="10">
        <f t="shared" si="69"/>
        <v>5.0056790188547504</v>
      </c>
      <c r="AE101" s="10">
        <f t="shared" si="70"/>
        <v>-13.485399192470904</v>
      </c>
      <c r="AF101" s="10">
        <f t="shared" si="71"/>
        <v>-14.385399192470899</v>
      </c>
      <c r="AG101" s="10">
        <f t="shared" si="72"/>
        <v>1.4452155529447115</v>
      </c>
      <c r="AH101" s="10">
        <f t="shared" si="73"/>
        <v>-6.1285601192336436</v>
      </c>
      <c r="AI101" s="10">
        <f t="shared" si="74"/>
        <v>17.653738153755278</v>
      </c>
      <c r="AJ101" s="10">
        <f t="shared" si="77"/>
        <v>37.191784232616001</v>
      </c>
      <c r="AK101" s="10">
        <f t="shared" si="75"/>
        <v>1</v>
      </c>
      <c r="AL101" s="10">
        <f t="shared" si="76"/>
        <v>0</v>
      </c>
      <c r="AN101" s="10">
        <f t="shared" si="50"/>
        <v>-1</v>
      </c>
      <c r="AO101" s="10">
        <f t="shared" si="51"/>
        <v>0</v>
      </c>
      <c r="AP101" s="10">
        <f t="shared" si="52"/>
        <v>0</v>
      </c>
    </row>
    <row r="102" spans="2:42" x14ac:dyDescent="0.25">
      <c r="B102" s="10">
        <f t="shared" si="53"/>
        <v>78</v>
      </c>
      <c r="C102">
        <v>0.5980268724670168</v>
      </c>
      <c r="D102">
        <v>-0.71053818828659132</v>
      </c>
      <c r="E102">
        <v>6.3107563619269058E-3</v>
      </c>
      <c r="F102">
        <v>-0.65708832153177354</v>
      </c>
      <c r="G102">
        <v>2.2363201424013823</v>
      </c>
      <c r="H102">
        <v>0.5594653157139805</v>
      </c>
      <c r="K102" s="10">
        <f>1</f>
        <v>1</v>
      </c>
      <c r="L102" s="10">
        <f t="shared" si="54"/>
        <v>7.5662423345538157</v>
      </c>
      <c r="M102" s="10">
        <f t="shared" si="55"/>
        <v>8.1687355632249652</v>
      </c>
      <c r="N102" s="10">
        <f t="shared" si="56"/>
        <v>2.7132158126310424</v>
      </c>
      <c r="O102" s="10">
        <f t="shared" si="57"/>
        <v>7.9819034207646977</v>
      </c>
      <c r="P102" s="10">
        <f t="shared" si="58"/>
        <v>6.422366529771347</v>
      </c>
      <c r="Q102" s="10">
        <f t="shared" si="59"/>
        <v>-1</v>
      </c>
      <c r="S102" s="10">
        <f t="shared" si="60"/>
        <v>252.61836509447431</v>
      </c>
      <c r="T102" s="10">
        <f t="shared" si="61"/>
        <v>1</v>
      </c>
      <c r="U102" s="10">
        <f t="shared" si="62"/>
        <v>-1</v>
      </c>
      <c r="V102" s="10">
        <f t="shared" si="63"/>
        <v>1</v>
      </c>
      <c r="Y102" s="10">
        <f t="shared" si="64"/>
        <v>-0.8947752311777093</v>
      </c>
      <c r="Z102" s="10">
        <f t="shared" si="65"/>
        <v>-6.7700862340469614</v>
      </c>
      <c r="AA102" s="10">
        <f t="shared" si="66"/>
        <v>-7.3091822520141934</v>
      </c>
      <c r="AB102" s="10">
        <f t="shared" si="67"/>
        <v>-2.4277183059819571</v>
      </c>
      <c r="AC102" s="10">
        <f t="shared" si="68"/>
        <v>-7.1420094785528807</v>
      </c>
      <c r="AD102" s="10">
        <f t="shared" si="69"/>
        <v>-5.7465744963841399</v>
      </c>
      <c r="AE102" s="10">
        <f t="shared" si="70"/>
        <v>-20.255485426517865</v>
      </c>
      <c r="AF102" s="10">
        <f t="shared" si="71"/>
        <v>-21.15548542651786</v>
      </c>
      <c r="AG102" s="10">
        <f t="shared" si="72"/>
        <v>-5.8639666990694819</v>
      </c>
      <c r="AH102" s="10">
        <f t="shared" si="73"/>
        <v>-8.5562784252156003</v>
      </c>
      <c r="AI102" s="10">
        <f t="shared" si="74"/>
        <v>10.511728675202397</v>
      </c>
      <c r="AJ102" s="10">
        <f t="shared" si="77"/>
        <v>42.197463251470751</v>
      </c>
      <c r="AK102" s="10">
        <f t="shared" si="75"/>
        <v>-1</v>
      </c>
      <c r="AL102" s="10">
        <f t="shared" si="76"/>
        <v>0</v>
      </c>
      <c r="AN102" s="10">
        <f t="shared" si="50"/>
        <v>1</v>
      </c>
      <c r="AO102" s="10">
        <f t="shared" si="51"/>
        <v>0</v>
      </c>
      <c r="AP102" s="10">
        <f t="shared" si="52"/>
        <v>0</v>
      </c>
    </row>
    <row r="103" spans="2:42" x14ac:dyDescent="0.25">
      <c r="B103" s="10">
        <f t="shared" si="53"/>
        <v>79</v>
      </c>
      <c r="C103">
        <v>-0.13616613614431117</v>
      </c>
      <c r="D103">
        <v>0.61198988987598568</v>
      </c>
      <c r="E103">
        <v>9.5192262961063534E-2</v>
      </c>
      <c r="F103">
        <v>0.58055547924595885</v>
      </c>
      <c r="G103">
        <v>-1.2744021660182625</v>
      </c>
      <c r="H103">
        <v>0.14374217963194677</v>
      </c>
      <c r="K103" s="10">
        <f>1</f>
        <v>1</v>
      </c>
      <c r="L103" s="10">
        <f t="shared" si="54"/>
        <v>3.9009562057034235</v>
      </c>
      <c r="M103" s="10">
        <f t="shared" si="55"/>
        <v>12.483315491010543</v>
      </c>
      <c r="N103" s="10">
        <f t="shared" si="56"/>
        <v>1.8984273424287736</v>
      </c>
      <c r="O103" s="10">
        <f t="shared" si="57"/>
        <v>12.750367995620024</v>
      </c>
      <c r="P103" s="10">
        <f t="shared" si="58"/>
        <v>4.3962394860352063</v>
      </c>
      <c r="Q103" s="10">
        <f t="shared" si="59"/>
        <v>1</v>
      </c>
      <c r="S103" s="10">
        <f t="shared" si="60"/>
        <v>127.31123620468941</v>
      </c>
      <c r="T103" s="10">
        <f t="shared" si="61"/>
        <v>1</v>
      </c>
      <c r="U103" s="10">
        <f t="shared" si="62"/>
        <v>0</v>
      </c>
      <c r="V103" s="10">
        <f t="shared" si="63"/>
        <v>0</v>
      </c>
      <c r="Y103" s="10">
        <f t="shared" si="64"/>
        <v>0</v>
      </c>
      <c r="Z103" s="10">
        <f t="shared" si="65"/>
        <v>0</v>
      </c>
      <c r="AA103" s="10">
        <f t="shared" si="66"/>
        <v>0</v>
      </c>
      <c r="AB103" s="10">
        <f t="shared" si="67"/>
        <v>0</v>
      </c>
      <c r="AC103" s="10">
        <f t="shared" si="68"/>
        <v>0</v>
      </c>
      <c r="AD103" s="10">
        <f t="shared" si="69"/>
        <v>0</v>
      </c>
      <c r="AE103" s="10">
        <f t="shared" si="70"/>
        <v>-20.255485426517865</v>
      </c>
      <c r="AF103" s="10">
        <f t="shared" si="71"/>
        <v>-21.15548542651786</v>
      </c>
      <c r="AG103" s="10">
        <f t="shared" si="72"/>
        <v>-5.8639666990694819</v>
      </c>
      <c r="AH103" s="10">
        <f t="shared" si="73"/>
        <v>-8.5562784252156003</v>
      </c>
      <c r="AI103" s="10">
        <f t="shared" si="74"/>
        <v>10.511728675202397</v>
      </c>
      <c r="AJ103" s="10">
        <f t="shared" si="77"/>
        <v>36.450888755086609</v>
      </c>
      <c r="AK103" s="10">
        <f t="shared" si="75"/>
        <v>1</v>
      </c>
      <c r="AL103" s="10">
        <f t="shared" si="76"/>
        <v>0</v>
      </c>
      <c r="AN103" s="10">
        <f t="shared" si="50"/>
        <v>-1</v>
      </c>
      <c r="AO103" s="10">
        <f t="shared" si="51"/>
        <v>0</v>
      </c>
      <c r="AP103" s="10">
        <f t="shared" si="52"/>
        <v>0</v>
      </c>
    </row>
    <row r="104" spans="2:42" x14ac:dyDescent="0.25">
      <c r="B104" s="10">
        <f t="shared" si="53"/>
        <v>80</v>
      </c>
      <c r="C104">
        <v>-0.1351622813672293</v>
      </c>
      <c r="D104">
        <v>0.33377773434040137</v>
      </c>
      <c r="E104">
        <v>0.99680846687988378</v>
      </c>
      <c r="F104">
        <v>-1.0065377864520997</v>
      </c>
      <c r="G104">
        <v>-0.98779764812206849</v>
      </c>
      <c r="H104">
        <v>0.84798730430005798</v>
      </c>
      <c r="K104" s="10">
        <f>1</f>
        <v>1</v>
      </c>
      <c r="L104" s="10">
        <f t="shared" si="54"/>
        <v>6.3467366711387871</v>
      </c>
      <c r="M104" s="10">
        <f t="shared" si="55"/>
        <v>9.9057350474344972</v>
      </c>
      <c r="N104" s="10">
        <f t="shared" si="56"/>
        <v>4.3607000413043773</v>
      </c>
      <c r="O104" s="10">
        <f t="shared" si="57"/>
        <v>7.4006678701307465</v>
      </c>
      <c r="P104" s="10">
        <f t="shared" si="58"/>
        <v>1.0597259553727572</v>
      </c>
      <c r="Q104" s="10">
        <f t="shared" si="59"/>
        <v>-1</v>
      </c>
      <c r="S104" s="10">
        <f t="shared" si="60"/>
        <v>-133.50027913267905</v>
      </c>
      <c r="T104" s="10">
        <f t="shared" si="61"/>
        <v>-1</v>
      </c>
      <c r="U104" s="10">
        <f t="shared" si="62"/>
        <v>0</v>
      </c>
      <c r="V104" s="10">
        <f t="shared" si="63"/>
        <v>0</v>
      </c>
      <c r="X104" s="10">
        <f>SUM(V86:V104)</f>
        <v>7</v>
      </c>
      <c r="Y104" s="10">
        <f t="shared" si="64"/>
        <v>0</v>
      </c>
      <c r="Z104" s="10">
        <f t="shared" si="65"/>
        <v>0</v>
      </c>
      <c r="AA104" s="10">
        <f t="shared" si="66"/>
        <v>0</v>
      </c>
      <c r="AB104" s="10">
        <f t="shared" si="67"/>
        <v>0</v>
      </c>
      <c r="AC104" s="10">
        <f t="shared" si="68"/>
        <v>0</v>
      </c>
      <c r="AD104" s="10">
        <f t="shared" si="69"/>
        <v>0</v>
      </c>
      <c r="AE104" s="10">
        <f t="shared" si="70"/>
        <v>-20.255485426517865</v>
      </c>
      <c r="AF104" s="10">
        <f t="shared" si="71"/>
        <v>-21.15548542651786</v>
      </c>
      <c r="AG104" s="10">
        <f t="shared" si="72"/>
        <v>-5.8639666990694819</v>
      </c>
      <c r="AH104" s="10">
        <f t="shared" si="73"/>
        <v>-8.5562784252156003</v>
      </c>
      <c r="AI104" s="10">
        <f t="shared" si="74"/>
        <v>10.511728675202397</v>
      </c>
      <c r="AJ104" s="10">
        <f t="shared" si="77"/>
        <v>36.450888755086609</v>
      </c>
      <c r="AK104" s="10">
        <f t="shared" si="75"/>
        <v>-1</v>
      </c>
      <c r="AL104" s="10">
        <f t="shared" si="76"/>
        <v>0</v>
      </c>
      <c r="AN104" s="10">
        <f t="shared" si="50"/>
        <v>1</v>
      </c>
      <c r="AO104" s="10">
        <f t="shared" si="51"/>
        <v>0</v>
      </c>
      <c r="AP104" s="10">
        <f t="shared" si="52"/>
        <v>0</v>
      </c>
    </row>
    <row r="105" spans="2:42" x14ac:dyDescent="0.25">
      <c r="B105" s="10">
        <f t="shared" si="53"/>
        <v>81</v>
      </c>
      <c r="C105">
        <v>-0.23205984689411707</v>
      </c>
      <c r="D105">
        <v>-2.0539664546959102</v>
      </c>
      <c r="E105">
        <v>-0.7290736903087236</v>
      </c>
      <c r="F105">
        <v>0.35944822229794227</v>
      </c>
      <c r="G105">
        <v>-0.81866573964362033</v>
      </c>
      <c r="H105">
        <v>0.18182927945799127</v>
      </c>
      <c r="K105" s="10">
        <f>1</f>
        <v>1</v>
      </c>
      <c r="L105" s="10">
        <f t="shared" si="54"/>
        <v>3.6794264281031532</v>
      </c>
      <c r="M105" s="10">
        <f t="shared" si="55"/>
        <v>6.3245308169464298</v>
      </c>
      <c r="N105" s="10">
        <f t="shared" si="56"/>
        <v>-5.7585722006729956E-3</v>
      </c>
      <c r="O105" s="10">
        <f t="shared" si="57"/>
        <v>12.239574940741823</v>
      </c>
      <c r="P105" s="10">
        <f t="shared" si="58"/>
        <v>5.449063371874046</v>
      </c>
      <c r="Q105" s="10">
        <f t="shared" si="59"/>
        <v>1</v>
      </c>
      <c r="S105" s="10">
        <f t="shared" si="60"/>
        <v>192.14918990955181</v>
      </c>
      <c r="T105" s="12">
        <f t="shared" si="61"/>
        <v>1</v>
      </c>
      <c r="U105" s="10">
        <f t="shared" si="62"/>
        <v>0</v>
      </c>
      <c r="V105" s="12">
        <f t="shared" si="63"/>
        <v>0</v>
      </c>
      <c r="W105" s="12"/>
      <c r="X105" s="12"/>
      <c r="Y105" s="10">
        <f t="shared" si="64"/>
        <v>0</v>
      </c>
      <c r="Z105" s="10">
        <f t="shared" si="65"/>
        <v>0</v>
      </c>
      <c r="AA105" s="10">
        <f t="shared" si="66"/>
        <v>0</v>
      </c>
      <c r="AB105" s="10">
        <f t="shared" si="67"/>
        <v>0</v>
      </c>
      <c r="AC105" s="10">
        <f t="shared" si="68"/>
        <v>0</v>
      </c>
      <c r="AD105" s="10">
        <f t="shared" si="69"/>
        <v>0</v>
      </c>
      <c r="AE105" s="10">
        <f t="shared" si="70"/>
        <v>-20.255485426517865</v>
      </c>
      <c r="AF105" s="10">
        <f t="shared" si="71"/>
        <v>-21.15548542651786</v>
      </c>
      <c r="AG105" s="10">
        <f t="shared" si="72"/>
        <v>-5.8639666990694819</v>
      </c>
      <c r="AH105" s="10">
        <f t="shared" si="73"/>
        <v>-8.5562784252156003</v>
      </c>
      <c r="AI105" s="10">
        <f t="shared" si="74"/>
        <v>10.511728675202397</v>
      </c>
      <c r="AJ105" s="10">
        <f t="shared" si="77"/>
        <v>36.450888755086609</v>
      </c>
      <c r="AK105" s="10">
        <f t="shared" si="75"/>
        <v>1</v>
      </c>
      <c r="AL105" s="10">
        <f t="shared" si="76"/>
        <v>0</v>
      </c>
      <c r="AN105" s="10">
        <f t="shared" si="50"/>
        <v>-1</v>
      </c>
      <c r="AO105" s="10">
        <f t="shared" si="51"/>
        <v>0</v>
      </c>
      <c r="AP105" s="10">
        <f t="shared" si="52"/>
        <v>0</v>
      </c>
    </row>
    <row r="106" spans="2:42" x14ac:dyDescent="0.25">
      <c r="B106" s="10">
        <f t="shared" si="53"/>
        <v>82</v>
      </c>
      <c r="C106">
        <v>1.087391865439713</v>
      </c>
      <c r="D106">
        <v>-0.91061338025610894</v>
      </c>
      <c r="E106">
        <v>0.960988018050557</v>
      </c>
      <c r="F106">
        <v>-1.0007147466239985</v>
      </c>
      <c r="G106">
        <v>5.7826810007099994E-2</v>
      </c>
      <c r="H106">
        <v>0.88702047791985839</v>
      </c>
      <c r="K106" s="10">
        <f>1</f>
        <v>1</v>
      </c>
      <c r="L106" s="10">
        <f t="shared" si="54"/>
        <v>8.3801978837955815</v>
      </c>
      <c r="M106" s="10">
        <f t="shared" si="55"/>
        <v>7.8359526402374877</v>
      </c>
      <c r="N106" s="10">
        <f t="shared" si="56"/>
        <v>4.3011202725844111</v>
      </c>
      <c r="O106" s="10">
        <f t="shared" si="57"/>
        <v>7.4103532698826715</v>
      </c>
      <c r="P106" s="10">
        <f t="shared" si="58"/>
        <v>2.7989019126620365</v>
      </c>
      <c r="Q106" s="10">
        <f t="shared" si="59"/>
        <v>-1</v>
      </c>
      <c r="S106" s="10">
        <f t="shared" si="60"/>
        <v>-100.37590234365221</v>
      </c>
      <c r="T106" s="10">
        <f t="shared" si="61"/>
        <v>-1</v>
      </c>
      <c r="U106" s="10">
        <f t="shared" si="62"/>
        <v>0</v>
      </c>
      <c r="V106" s="10">
        <f t="shared" si="63"/>
        <v>0</v>
      </c>
      <c r="Y106" s="10">
        <f t="shared" si="64"/>
        <v>0</v>
      </c>
      <c r="Z106" s="10">
        <f t="shared" si="65"/>
        <v>0</v>
      </c>
      <c r="AA106" s="10">
        <f t="shared" si="66"/>
        <v>0</v>
      </c>
      <c r="AB106" s="10">
        <f t="shared" si="67"/>
        <v>0</v>
      </c>
      <c r="AC106" s="10">
        <f t="shared" si="68"/>
        <v>0</v>
      </c>
      <c r="AD106" s="10">
        <f t="shared" si="69"/>
        <v>0</v>
      </c>
      <c r="AE106" s="10">
        <f t="shared" si="70"/>
        <v>-20.255485426517865</v>
      </c>
      <c r="AF106" s="10">
        <f t="shared" si="71"/>
        <v>-21.15548542651786</v>
      </c>
      <c r="AG106" s="10">
        <f t="shared" si="72"/>
        <v>-5.8639666990694819</v>
      </c>
      <c r="AH106" s="10">
        <f t="shared" si="73"/>
        <v>-8.5562784252156003</v>
      </c>
      <c r="AI106" s="10">
        <f t="shared" si="74"/>
        <v>10.511728675202397</v>
      </c>
      <c r="AJ106" s="10">
        <f t="shared" si="77"/>
        <v>36.450888755086609</v>
      </c>
      <c r="AK106" s="10">
        <f t="shared" si="75"/>
        <v>-1</v>
      </c>
      <c r="AL106" s="10">
        <f t="shared" si="76"/>
        <v>0</v>
      </c>
      <c r="AN106" s="10">
        <f t="shared" si="50"/>
        <v>-1</v>
      </c>
      <c r="AO106" s="10">
        <f t="shared" si="51"/>
        <v>1</v>
      </c>
      <c r="AP106" s="10">
        <f t="shared" si="52"/>
        <v>1</v>
      </c>
    </row>
    <row r="107" spans="2:42" x14ac:dyDescent="0.25">
      <c r="B107" s="10">
        <f t="shared" si="53"/>
        <v>83</v>
      </c>
      <c r="C107">
        <v>-0.36606593312171753</v>
      </c>
      <c r="D107">
        <v>0.47989033191697672</v>
      </c>
      <c r="E107">
        <v>1.1544921107997652</v>
      </c>
      <c r="F107">
        <v>-0.53241365094436333</v>
      </c>
      <c r="G107">
        <v>-3.8417056202888489</v>
      </c>
      <c r="H107">
        <v>1.2176885280922881E-2</v>
      </c>
      <c r="K107" s="10">
        <f>1</f>
        <v>1</v>
      </c>
      <c r="L107" s="10">
        <f t="shared" si="54"/>
        <v>3.3698509799641512</v>
      </c>
      <c r="M107" s="10">
        <f t="shared" si="55"/>
        <v>12.178144427476406</v>
      </c>
      <c r="N107" s="10">
        <f t="shared" si="56"/>
        <v>4.3455790676964581</v>
      </c>
      <c r="O107" s="10">
        <f t="shared" si="57"/>
        <v>10.179231661869091</v>
      </c>
      <c r="P107" s="10">
        <f t="shared" si="58"/>
        <v>-1.5346412652670365</v>
      </c>
      <c r="Q107" s="10">
        <f t="shared" si="59"/>
        <v>1</v>
      </c>
      <c r="S107" s="10">
        <f t="shared" si="60"/>
        <v>-149.07825321148297</v>
      </c>
      <c r="T107" s="10">
        <f t="shared" si="61"/>
        <v>-1</v>
      </c>
      <c r="U107" s="10">
        <f t="shared" si="62"/>
        <v>1</v>
      </c>
      <c r="V107" s="10">
        <f t="shared" si="63"/>
        <v>1</v>
      </c>
      <c r="Y107" s="10">
        <f t="shared" si="64"/>
        <v>0.8947752311777093</v>
      </c>
      <c r="Z107" s="10">
        <f t="shared" si="65"/>
        <v>3.0152591896318537</v>
      </c>
      <c r="AA107" s="10">
        <f t="shared" si="66"/>
        <v>10.896701995410734</v>
      </c>
      <c r="AB107" s="10">
        <f t="shared" si="67"/>
        <v>3.8883165148991128</v>
      </c>
      <c r="AC107" s="10">
        <f t="shared" si="68"/>
        <v>9.108124363460373</v>
      </c>
      <c r="AD107" s="10">
        <f t="shared" si="69"/>
        <v>-1.3731589929041648</v>
      </c>
      <c r="AE107" s="10">
        <f t="shared" si="70"/>
        <v>-17.240226236886009</v>
      </c>
      <c r="AF107" s="10">
        <f t="shared" si="71"/>
        <v>-18.140226236886008</v>
      </c>
      <c r="AG107" s="10">
        <f t="shared" si="72"/>
        <v>5.0327352963412517</v>
      </c>
      <c r="AH107" s="10">
        <f t="shared" si="73"/>
        <v>-4.6679619103164871</v>
      </c>
      <c r="AI107" s="10">
        <f t="shared" si="74"/>
        <v>19.619853038662768</v>
      </c>
      <c r="AJ107" s="10">
        <f t="shared" si="77"/>
        <v>36.450888755086609</v>
      </c>
      <c r="AK107" s="10">
        <f t="shared" si="75"/>
        <v>-1</v>
      </c>
      <c r="AL107" s="10">
        <f t="shared" si="76"/>
        <v>1</v>
      </c>
      <c r="AN107" s="10">
        <f t="shared" si="50"/>
        <v>1</v>
      </c>
      <c r="AO107" s="10">
        <f t="shared" si="51"/>
        <v>0</v>
      </c>
      <c r="AP107" s="10">
        <f t="shared" si="52"/>
        <v>0</v>
      </c>
    </row>
    <row r="108" spans="2:42" x14ac:dyDescent="0.25">
      <c r="B108" s="10">
        <f t="shared" si="53"/>
        <v>84</v>
      </c>
      <c r="C108">
        <v>0.3235231815779116</v>
      </c>
      <c r="D108">
        <v>-1.1180213732586708</v>
      </c>
      <c r="E108">
        <v>-0.88882643467513844</v>
      </c>
      <c r="F108">
        <v>0.33928245102288201</v>
      </c>
      <c r="G108">
        <v>2.6273119146935642</v>
      </c>
      <c r="H108">
        <v>0.33204138309884945</v>
      </c>
      <c r="K108" s="10">
        <f>1</f>
        <v>1</v>
      </c>
      <c r="L108" s="10">
        <f t="shared" si="54"/>
        <v>4.962911901483297</v>
      </c>
      <c r="M108" s="10">
        <f t="shared" si="55"/>
        <v>8.4867133429498693</v>
      </c>
      <c r="N108" s="10">
        <f t="shared" si="56"/>
        <v>-0.37481291011090279</v>
      </c>
      <c r="O108" s="10">
        <f t="shared" si="57"/>
        <v>12.192988790401291</v>
      </c>
      <c r="P108" s="10">
        <f t="shared" si="58"/>
        <v>13.409821772104824</v>
      </c>
      <c r="Q108" s="10">
        <f t="shared" si="59"/>
        <v>1</v>
      </c>
      <c r="S108" s="10">
        <f t="shared" si="60"/>
        <v>665.21699306562664</v>
      </c>
      <c r="T108" s="10">
        <f t="shared" si="61"/>
        <v>1</v>
      </c>
      <c r="U108" s="10">
        <f t="shared" si="62"/>
        <v>0</v>
      </c>
      <c r="V108" s="10">
        <f t="shared" si="63"/>
        <v>0</v>
      </c>
      <c r="Y108" s="10">
        <f t="shared" si="64"/>
        <v>0</v>
      </c>
      <c r="Z108" s="10">
        <f t="shared" si="65"/>
        <v>0</v>
      </c>
      <c r="AA108" s="10">
        <f t="shared" si="66"/>
        <v>0</v>
      </c>
      <c r="AB108" s="10">
        <f t="shared" si="67"/>
        <v>0</v>
      </c>
      <c r="AC108" s="10">
        <f t="shared" si="68"/>
        <v>0</v>
      </c>
      <c r="AD108" s="10">
        <f t="shared" si="69"/>
        <v>0</v>
      </c>
      <c r="AE108" s="10">
        <f t="shared" si="70"/>
        <v>-17.240226236886009</v>
      </c>
      <c r="AF108" s="10">
        <f t="shared" si="71"/>
        <v>-18.140226236886008</v>
      </c>
      <c r="AG108" s="10">
        <f t="shared" si="72"/>
        <v>5.0327352963412517</v>
      </c>
      <c r="AH108" s="10">
        <f t="shared" si="73"/>
        <v>-4.6679619103164871</v>
      </c>
      <c r="AI108" s="10">
        <f t="shared" si="74"/>
        <v>19.619853038662768</v>
      </c>
      <c r="AJ108" s="10">
        <f t="shared" si="77"/>
        <v>35.077729762182443</v>
      </c>
      <c r="AK108" s="10">
        <f t="shared" si="75"/>
        <v>1</v>
      </c>
      <c r="AL108" s="10">
        <f t="shared" si="76"/>
        <v>0</v>
      </c>
      <c r="AN108" s="10">
        <f t="shared" si="50"/>
        <v>-1</v>
      </c>
      <c r="AO108" s="10">
        <f t="shared" si="51"/>
        <v>0</v>
      </c>
      <c r="AP108" s="10">
        <f t="shared" si="52"/>
        <v>0</v>
      </c>
    </row>
    <row r="109" spans="2:42" x14ac:dyDescent="0.25">
      <c r="B109" s="10">
        <f t="shared" si="53"/>
        <v>85</v>
      </c>
      <c r="C109">
        <v>0.53232497521094047</v>
      </c>
      <c r="D109">
        <v>-2.4837572709657252</v>
      </c>
      <c r="E109">
        <v>1.1970951163675636</v>
      </c>
      <c r="F109">
        <v>-0.87270336734945886</v>
      </c>
      <c r="G109">
        <v>-1.9770504877669737</v>
      </c>
      <c r="H109">
        <v>0.53367717520676294</v>
      </c>
      <c r="K109" s="10">
        <f>1</f>
        <v>1</v>
      </c>
      <c r="L109" s="10">
        <f t="shared" si="54"/>
        <v>7.456961072846811</v>
      </c>
      <c r="M109" s="10">
        <f t="shared" si="55"/>
        <v>5.2193592631335486</v>
      </c>
      <c r="N109" s="10">
        <f t="shared" si="56"/>
        <v>4.693834679316037</v>
      </c>
      <c r="O109" s="10">
        <f t="shared" si="57"/>
        <v>7.6232732253818529</v>
      </c>
      <c r="P109" s="10">
        <f t="shared" si="58"/>
        <v>-0.58568769291628309</v>
      </c>
      <c r="Q109" s="10">
        <f t="shared" si="59"/>
        <v>-1</v>
      </c>
      <c r="S109" s="10">
        <f t="shared" si="60"/>
        <v>-19.131269308080132</v>
      </c>
      <c r="T109" s="10">
        <f t="shared" si="61"/>
        <v>-1</v>
      </c>
      <c r="U109" s="10">
        <f t="shared" si="62"/>
        <v>0</v>
      </c>
      <c r="V109" s="10">
        <f t="shared" si="63"/>
        <v>0</v>
      </c>
      <c r="Y109" s="10">
        <f t="shared" si="64"/>
        <v>0</v>
      </c>
      <c r="Z109" s="10">
        <f t="shared" si="65"/>
        <v>0</v>
      </c>
      <c r="AA109" s="10">
        <f t="shared" si="66"/>
        <v>0</v>
      </c>
      <c r="AB109" s="10">
        <f t="shared" si="67"/>
        <v>0</v>
      </c>
      <c r="AC109" s="10">
        <f t="shared" si="68"/>
        <v>0</v>
      </c>
      <c r="AD109" s="10">
        <f t="shared" si="69"/>
        <v>0</v>
      </c>
      <c r="AE109" s="10">
        <f t="shared" si="70"/>
        <v>-17.240226236886009</v>
      </c>
      <c r="AF109" s="10">
        <f t="shared" si="71"/>
        <v>-18.140226236886008</v>
      </c>
      <c r="AG109" s="10">
        <f t="shared" si="72"/>
        <v>5.0327352963412517</v>
      </c>
      <c r="AH109" s="10">
        <f t="shared" si="73"/>
        <v>-4.6679619103164871</v>
      </c>
      <c r="AI109" s="10">
        <f t="shared" si="74"/>
        <v>19.619853038662768</v>
      </c>
      <c r="AJ109" s="10">
        <f t="shared" si="77"/>
        <v>35.077729762182443</v>
      </c>
      <c r="AK109" s="10">
        <f t="shared" si="75"/>
        <v>-1</v>
      </c>
      <c r="AL109" s="10">
        <f t="shared" si="76"/>
        <v>0</v>
      </c>
      <c r="AN109" s="10">
        <f t="shared" si="50"/>
        <v>1</v>
      </c>
      <c r="AO109" s="10">
        <f t="shared" si="51"/>
        <v>0</v>
      </c>
      <c r="AP109" s="10">
        <f t="shared" si="52"/>
        <v>0</v>
      </c>
    </row>
    <row r="110" spans="2:42" x14ac:dyDescent="0.25">
      <c r="B110" s="10">
        <f t="shared" si="53"/>
        <v>86</v>
      </c>
      <c r="C110">
        <v>-1.7770253180060536</v>
      </c>
      <c r="D110">
        <v>0.36622850529965945</v>
      </c>
      <c r="E110">
        <v>1.0153348739549983</v>
      </c>
      <c r="F110">
        <v>0.902766714716563</v>
      </c>
      <c r="G110">
        <v>0.76097990131529514</v>
      </c>
      <c r="H110">
        <v>0.20239875484481337</v>
      </c>
      <c r="K110" s="10">
        <f>1</f>
        <v>1</v>
      </c>
      <c r="L110" s="10">
        <f t="shared" si="54"/>
        <v>0.11030959510775329</v>
      </c>
      <c r="M110" s="10">
        <f t="shared" si="55"/>
        <v>11.915567466221146</v>
      </c>
      <c r="N110" s="10">
        <f t="shared" si="56"/>
        <v>4.0241036394473557</v>
      </c>
      <c r="O110" s="10">
        <f t="shared" si="57"/>
        <v>13.494727378273861</v>
      </c>
      <c r="P110" s="10">
        <f t="shared" si="58"/>
        <v>9.0982969325804586</v>
      </c>
      <c r="Q110" s="10">
        <f t="shared" si="59"/>
        <v>1</v>
      </c>
      <c r="S110" s="10">
        <f t="shared" si="60"/>
        <v>605.85443625854327</v>
      </c>
      <c r="T110" s="10">
        <f t="shared" si="61"/>
        <v>1</v>
      </c>
      <c r="U110" s="10">
        <f t="shared" si="62"/>
        <v>0</v>
      </c>
      <c r="V110" s="10">
        <f t="shared" si="63"/>
        <v>0</v>
      </c>
      <c r="Y110" s="10">
        <f t="shared" si="64"/>
        <v>0</v>
      </c>
      <c r="Z110" s="10">
        <f t="shared" si="65"/>
        <v>0</v>
      </c>
      <c r="AA110" s="10">
        <f t="shared" si="66"/>
        <v>0</v>
      </c>
      <c r="AB110" s="10">
        <f t="shared" si="67"/>
        <v>0</v>
      </c>
      <c r="AC110" s="10">
        <f t="shared" si="68"/>
        <v>0</v>
      </c>
      <c r="AD110" s="10">
        <f t="shared" si="69"/>
        <v>0</v>
      </c>
      <c r="AE110" s="10">
        <f t="shared" si="70"/>
        <v>-17.240226236886009</v>
      </c>
      <c r="AF110" s="10">
        <f t="shared" si="71"/>
        <v>-18.140226236886008</v>
      </c>
      <c r="AG110" s="10">
        <f t="shared" si="72"/>
        <v>5.0327352963412517</v>
      </c>
      <c r="AH110" s="10">
        <f t="shared" si="73"/>
        <v>-4.6679619103164871</v>
      </c>
      <c r="AI110" s="10">
        <f t="shared" si="74"/>
        <v>19.619853038662768</v>
      </c>
      <c r="AJ110" s="10">
        <f t="shared" si="77"/>
        <v>35.077729762182443</v>
      </c>
      <c r="AK110" s="10">
        <f t="shared" si="75"/>
        <v>1</v>
      </c>
      <c r="AL110" s="10">
        <f t="shared" si="76"/>
        <v>0</v>
      </c>
      <c r="AN110" s="10">
        <f t="shared" si="50"/>
        <v>-1</v>
      </c>
      <c r="AO110" s="10">
        <f t="shared" si="51"/>
        <v>0</v>
      </c>
      <c r="AP110" s="10">
        <f t="shared" si="52"/>
        <v>0</v>
      </c>
    </row>
    <row r="111" spans="2:42" x14ac:dyDescent="0.25">
      <c r="B111" s="10">
        <f t="shared" si="53"/>
        <v>87</v>
      </c>
      <c r="C111">
        <v>1.5985187928890809</v>
      </c>
      <c r="D111">
        <v>0.75496473073144443</v>
      </c>
      <c r="E111">
        <v>-0.410447000831482</v>
      </c>
      <c r="F111">
        <v>0.83048917076666839</v>
      </c>
      <c r="G111">
        <v>1.9164190234732814E-2</v>
      </c>
      <c r="H111">
        <v>0.60347300637836843</v>
      </c>
      <c r="K111" s="10">
        <f>1</f>
        <v>1</v>
      </c>
      <c r="L111" s="10">
        <f t="shared" si="54"/>
        <v>9.2303498254722065</v>
      </c>
      <c r="M111" s="10">
        <f t="shared" si="55"/>
        <v>10.60629086549255</v>
      </c>
      <c r="N111" s="10">
        <f t="shared" si="56"/>
        <v>2.0200271006709003</v>
      </c>
      <c r="O111" s="10">
        <f t="shared" si="57"/>
        <v>10.456175124239456</v>
      </c>
      <c r="P111" s="10">
        <f t="shared" si="58"/>
        <v>2.734594791466511</v>
      </c>
      <c r="Q111" s="10">
        <f t="shared" si="59"/>
        <v>-1</v>
      </c>
      <c r="S111" s="10">
        <f t="shared" si="60"/>
        <v>160.34038090996771</v>
      </c>
      <c r="T111" s="10">
        <f t="shared" si="61"/>
        <v>1</v>
      </c>
      <c r="U111" s="10">
        <f t="shared" si="62"/>
        <v>-1</v>
      </c>
      <c r="V111" s="10">
        <f t="shared" si="63"/>
        <v>1</v>
      </c>
      <c r="Y111" s="10">
        <f t="shared" si="64"/>
        <v>-0.8947752311777093</v>
      </c>
      <c r="Z111" s="10">
        <f t="shared" si="65"/>
        <v>-8.2590883989380224</v>
      </c>
      <c r="AA111" s="10">
        <f t="shared" si="66"/>
        <v>-9.4902463611091221</v>
      </c>
      <c r="AB111" s="10">
        <f t="shared" si="67"/>
        <v>-1.8074702159880427</v>
      </c>
      <c r="AC111" s="10">
        <f t="shared" si="68"/>
        <v>-9.3559265140259722</v>
      </c>
      <c r="AD111" s="10">
        <f t="shared" si="69"/>
        <v>-2.446847686711807</v>
      </c>
      <c r="AE111" s="10">
        <f t="shared" si="70"/>
        <v>-25.499314635824032</v>
      </c>
      <c r="AF111" s="10">
        <f t="shared" si="71"/>
        <v>-26.39931463582403</v>
      </c>
      <c r="AG111" s="10">
        <f t="shared" si="72"/>
        <v>-4.4575110647678704</v>
      </c>
      <c r="AH111" s="10">
        <f t="shared" si="73"/>
        <v>-6.47543212630453</v>
      </c>
      <c r="AI111" s="10">
        <f t="shared" si="74"/>
        <v>10.263926524636796</v>
      </c>
      <c r="AJ111" s="10">
        <f t="shared" si="77"/>
        <v>35.077729762182443</v>
      </c>
      <c r="AK111" s="10">
        <f t="shared" si="75"/>
        <v>-1</v>
      </c>
      <c r="AL111" s="10">
        <f t="shared" si="76"/>
        <v>0</v>
      </c>
      <c r="AN111" s="10">
        <f t="shared" si="50"/>
        <v>1</v>
      </c>
      <c r="AO111" s="10">
        <f t="shared" si="51"/>
        <v>-1</v>
      </c>
      <c r="AP111" s="10">
        <f t="shared" si="52"/>
        <v>1</v>
      </c>
    </row>
    <row r="112" spans="2:42" x14ac:dyDescent="0.25">
      <c r="B112" s="10">
        <f t="shared" si="53"/>
        <v>88</v>
      </c>
      <c r="C112">
        <v>-2.1385494619607925</v>
      </c>
      <c r="D112">
        <v>-0.17069055502361152</v>
      </c>
      <c r="E112">
        <v>-0.6288678378041368</v>
      </c>
      <c r="F112">
        <v>-0.49964000936597586</v>
      </c>
      <c r="G112">
        <v>0.53700205171480775</v>
      </c>
      <c r="H112">
        <v>0.99456770531327254</v>
      </c>
      <c r="K112" s="10">
        <f>1</f>
        <v>1</v>
      </c>
      <c r="L112" s="10">
        <f t="shared" si="54"/>
        <v>3.0145242400486718</v>
      </c>
      <c r="M112" s="10">
        <f t="shared" si="55"/>
        <v>9.0666583471376114</v>
      </c>
      <c r="N112" s="10">
        <f t="shared" si="56"/>
        <v>1.6567300629241837</v>
      </c>
      <c r="O112" s="10">
        <f t="shared" si="57"/>
        <v>8.2437855113237397</v>
      </c>
      <c r="P112" s="10">
        <f t="shared" si="58"/>
        <v>3.5959089578084269</v>
      </c>
      <c r="Q112" s="10">
        <f t="shared" si="59"/>
        <v>-1</v>
      </c>
      <c r="S112" s="10">
        <f t="shared" si="60"/>
        <v>54.52646994141044</v>
      </c>
      <c r="T112" s="10">
        <f t="shared" si="61"/>
        <v>1</v>
      </c>
      <c r="U112" s="10">
        <f t="shared" si="62"/>
        <v>-1</v>
      </c>
      <c r="V112" s="10">
        <f t="shared" si="63"/>
        <v>1</v>
      </c>
      <c r="Y112" s="10">
        <f t="shared" si="64"/>
        <v>-0.8947752311777093</v>
      </c>
      <c r="Z112" s="10">
        <f t="shared" si="65"/>
        <v>-2.6973216237803586</v>
      </c>
      <c r="AA112" s="10">
        <f t="shared" si="66"/>
        <v>-8.1126213185693636</v>
      </c>
      <c r="AB112" s="10">
        <f t="shared" si="67"/>
        <v>-1.4824010250520474</v>
      </c>
      <c r="AC112" s="10">
        <f t="shared" si="68"/>
        <v>-7.3763350866741497</v>
      </c>
      <c r="AD112" s="10">
        <f t="shared" si="69"/>
        <v>-3.2175302690170309</v>
      </c>
      <c r="AE112" s="10">
        <f t="shared" si="70"/>
        <v>-28.196636259604389</v>
      </c>
      <c r="AF112" s="10">
        <f t="shared" si="71"/>
        <v>-29.096636259604388</v>
      </c>
      <c r="AG112" s="10">
        <f t="shared" si="72"/>
        <v>-12.570132383337235</v>
      </c>
      <c r="AH112" s="10">
        <f t="shared" si="73"/>
        <v>-7.9578331513565779</v>
      </c>
      <c r="AI112" s="10">
        <f t="shared" si="74"/>
        <v>2.8875914379626462</v>
      </c>
      <c r="AJ112" s="10">
        <f t="shared" si="77"/>
        <v>32.630882075470637</v>
      </c>
      <c r="AK112" s="10">
        <f t="shared" si="75"/>
        <v>1</v>
      </c>
      <c r="AL112" s="10">
        <f t="shared" si="76"/>
        <v>1</v>
      </c>
      <c r="AN112" s="10">
        <f t="shared" si="50"/>
        <v>1</v>
      </c>
      <c r="AO112" s="10">
        <f t="shared" si="51"/>
        <v>0</v>
      </c>
      <c r="AP112" s="10">
        <f t="shared" si="52"/>
        <v>0</v>
      </c>
    </row>
    <row r="113" spans="2:42" x14ac:dyDescent="0.25">
      <c r="B113" s="10">
        <f t="shared" si="53"/>
        <v>89</v>
      </c>
      <c r="C113">
        <v>2.0372317521832883</v>
      </c>
      <c r="D113">
        <v>-1.0996313903888222</v>
      </c>
      <c r="E113">
        <v>-1.1613724382186774</v>
      </c>
      <c r="F113">
        <v>-1.3295675671542995</v>
      </c>
      <c r="G113">
        <v>2.4904875317588449</v>
      </c>
      <c r="H113">
        <v>9.060945463423567E-2</v>
      </c>
      <c r="K113" s="10">
        <f>1</f>
        <v>1</v>
      </c>
      <c r="L113" s="10">
        <f t="shared" si="54"/>
        <v>8.9218522276991603</v>
      </c>
      <c r="M113" s="10">
        <f t="shared" si="55"/>
        <v>8.5291971386375725</v>
      </c>
      <c r="N113" s="10">
        <f t="shared" si="56"/>
        <v>-1.0044376798559289</v>
      </c>
      <c r="O113" s="10">
        <f t="shared" si="57"/>
        <v>8.3376788802490598</v>
      </c>
      <c r="P113" s="10">
        <f t="shared" si="58"/>
        <v>13.093735608738953</v>
      </c>
      <c r="Q113" s="10">
        <f t="shared" si="59"/>
        <v>1</v>
      </c>
      <c r="S113" s="10">
        <f t="shared" si="60"/>
        <v>64.323437743306499</v>
      </c>
      <c r="T113" s="10">
        <f t="shared" si="61"/>
        <v>1</v>
      </c>
      <c r="U113" s="10">
        <f t="shared" si="62"/>
        <v>0</v>
      </c>
      <c r="V113" s="10">
        <f t="shared" si="63"/>
        <v>0</v>
      </c>
      <c r="Y113" s="10">
        <f t="shared" si="64"/>
        <v>0</v>
      </c>
      <c r="Z113" s="10">
        <f t="shared" si="65"/>
        <v>0</v>
      </c>
      <c r="AA113" s="10">
        <f t="shared" si="66"/>
        <v>0</v>
      </c>
      <c r="AB113" s="10">
        <f t="shared" si="67"/>
        <v>0</v>
      </c>
      <c r="AC113" s="10">
        <f t="shared" si="68"/>
        <v>0</v>
      </c>
      <c r="AD113" s="10">
        <f t="shared" si="69"/>
        <v>0</v>
      </c>
      <c r="AE113" s="10">
        <f t="shared" si="70"/>
        <v>-28.196636259604389</v>
      </c>
      <c r="AF113" s="10">
        <f t="shared" si="71"/>
        <v>-29.096636259604388</v>
      </c>
      <c r="AG113" s="10">
        <f t="shared" si="72"/>
        <v>-12.570132383337235</v>
      </c>
      <c r="AH113" s="10">
        <f t="shared" si="73"/>
        <v>-7.9578331513565779</v>
      </c>
      <c r="AI113" s="10">
        <f t="shared" si="74"/>
        <v>2.8875914379626462</v>
      </c>
      <c r="AJ113" s="10">
        <f t="shared" si="77"/>
        <v>29.413351806453605</v>
      </c>
      <c r="AK113" s="10">
        <f t="shared" si="75"/>
        <v>1</v>
      </c>
      <c r="AL113" s="10">
        <f t="shared" si="76"/>
        <v>0</v>
      </c>
      <c r="AN113" s="10">
        <f t="shared" si="50"/>
        <v>1</v>
      </c>
      <c r="AO113" s="10">
        <f t="shared" si="51"/>
        <v>0</v>
      </c>
      <c r="AP113" s="10">
        <f t="shared" si="52"/>
        <v>0</v>
      </c>
    </row>
    <row r="114" spans="2:42" x14ac:dyDescent="0.25">
      <c r="B114" s="10">
        <f t="shared" si="53"/>
        <v>90</v>
      </c>
      <c r="C114">
        <v>0.1607622834853828</v>
      </c>
      <c r="D114">
        <v>-0.20596644390025176</v>
      </c>
      <c r="E114">
        <v>-4.3655745685100555E-2</v>
      </c>
      <c r="F114">
        <v>1.5172054190770723</v>
      </c>
      <c r="G114">
        <v>0.13763383321929723</v>
      </c>
      <c r="H114">
        <v>0.33762627033295695</v>
      </c>
      <c r="K114" s="10">
        <f>1</f>
        <v>1</v>
      </c>
      <c r="L114" s="10">
        <f t="shared" si="54"/>
        <v>4.586908248328899</v>
      </c>
      <c r="M114" s="10">
        <f t="shared" si="55"/>
        <v>10.593705804500949</v>
      </c>
      <c r="N114" s="10">
        <f t="shared" si="56"/>
        <v>1.5776662806749151</v>
      </c>
      <c r="O114" s="10">
        <f t="shared" si="57"/>
        <v>14.914178857017033</v>
      </c>
      <c r="P114" s="10">
        <f t="shared" si="58"/>
        <v>7.6582680218879098</v>
      </c>
      <c r="Q114" s="10">
        <f t="shared" si="59"/>
        <v>1</v>
      </c>
      <c r="S114" s="10">
        <f t="shared" si="60"/>
        <v>-39.05793981257824</v>
      </c>
      <c r="T114" s="10">
        <f t="shared" si="61"/>
        <v>-1</v>
      </c>
      <c r="U114" s="10">
        <f t="shared" si="62"/>
        <v>1</v>
      </c>
      <c r="V114" s="10">
        <f t="shared" si="63"/>
        <v>1</v>
      </c>
      <c r="Y114" s="10">
        <f t="shared" si="64"/>
        <v>0.8947752311777093</v>
      </c>
      <c r="Z114" s="10">
        <f t="shared" si="65"/>
        <v>4.1042518882894319</v>
      </c>
      <c r="AA114" s="10">
        <f t="shared" si="66"/>
        <v>9.4789855602509778</v>
      </c>
      <c r="AB114" s="10">
        <f t="shared" si="67"/>
        <v>1.411656711012174</v>
      </c>
      <c r="AC114" s="10">
        <f t="shared" si="68"/>
        <v>13.34483783461312</v>
      </c>
      <c r="AD114" s="10">
        <f t="shared" si="69"/>
        <v>6.8524285397056133</v>
      </c>
      <c r="AE114" s="10">
        <f t="shared" si="70"/>
        <v>-24.092384371314957</v>
      </c>
      <c r="AF114" s="10">
        <f t="shared" si="71"/>
        <v>-24.992384371314955</v>
      </c>
      <c r="AG114" s="10">
        <f t="shared" si="72"/>
        <v>-3.0911468230862571</v>
      </c>
      <c r="AH114" s="10">
        <f t="shared" si="73"/>
        <v>-6.5461764403444036</v>
      </c>
      <c r="AI114" s="10">
        <f t="shared" si="74"/>
        <v>16.232429272575764</v>
      </c>
      <c r="AJ114" s="10">
        <f t="shared" si="77"/>
        <v>29.413351806453605</v>
      </c>
      <c r="AK114" s="10">
        <f t="shared" si="75"/>
        <v>1</v>
      </c>
      <c r="AL114" s="10">
        <f t="shared" si="76"/>
        <v>0</v>
      </c>
      <c r="AN114" s="10">
        <f t="shared" si="50"/>
        <v>1</v>
      </c>
      <c r="AO114" s="10">
        <f t="shared" si="51"/>
        <v>0</v>
      </c>
      <c r="AP114" s="10">
        <f t="shared" si="52"/>
        <v>0</v>
      </c>
    </row>
    <row r="115" spans="2:42" x14ac:dyDescent="0.25">
      <c r="B115" s="10">
        <f t="shared" si="53"/>
        <v>91</v>
      </c>
      <c r="C115">
        <v>5.6984390539582819E-2</v>
      </c>
      <c r="D115">
        <v>-0.35113657759211492</v>
      </c>
      <c r="E115">
        <v>-0.14041461326996796</v>
      </c>
      <c r="F115">
        <v>-0.26686279852583539</v>
      </c>
      <c r="G115">
        <v>-0.10111193660122808</v>
      </c>
      <c r="H115">
        <v>0.46122623371074556</v>
      </c>
      <c r="K115" s="10">
        <f>1</f>
        <v>1</v>
      </c>
      <c r="L115" s="10">
        <f t="shared" si="54"/>
        <v>4.3471647514473339</v>
      </c>
      <c r="M115" s="10">
        <f t="shared" si="55"/>
        <v>10.258339624805739</v>
      </c>
      <c r="N115" s="10">
        <f t="shared" si="56"/>
        <v>1.3541378526964092</v>
      </c>
      <c r="O115" s="10">
        <f t="shared" si="57"/>
        <v>10.792696516006647</v>
      </c>
      <c r="P115" s="10">
        <f t="shared" si="58"/>
        <v>7.1067271869593442</v>
      </c>
      <c r="Q115" s="10">
        <f t="shared" si="59"/>
        <v>1</v>
      </c>
      <c r="S115" s="10">
        <f t="shared" si="60"/>
        <v>210.91149378439985</v>
      </c>
      <c r="T115" s="10">
        <f t="shared" si="61"/>
        <v>1</v>
      </c>
      <c r="U115" s="10">
        <f t="shared" si="62"/>
        <v>0</v>
      </c>
      <c r="V115" s="10">
        <f t="shared" si="63"/>
        <v>0</v>
      </c>
      <c r="Y115" s="10">
        <f t="shared" si="64"/>
        <v>0</v>
      </c>
      <c r="Z115" s="10">
        <f t="shared" si="65"/>
        <v>0</v>
      </c>
      <c r="AA115" s="10">
        <f t="shared" si="66"/>
        <v>0</v>
      </c>
      <c r="AB115" s="10">
        <f t="shared" si="67"/>
        <v>0</v>
      </c>
      <c r="AC115" s="10">
        <f t="shared" si="68"/>
        <v>0</v>
      </c>
      <c r="AD115" s="10">
        <f t="shared" si="69"/>
        <v>0</v>
      </c>
      <c r="AE115" s="10">
        <f t="shared" si="70"/>
        <v>-24.092384371314957</v>
      </c>
      <c r="AF115" s="10">
        <f t="shared" si="71"/>
        <v>-24.992384371314955</v>
      </c>
      <c r="AG115" s="10">
        <f t="shared" si="72"/>
        <v>-3.0911468230862571</v>
      </c>
      <c r="AH115" s="10">
        <f t="shared" si="73"/>
        <v>-6.5461764403444036</v>
      </c>
      <c r="AI115" s="10">
        <f t="shared" si="74"/>
        <v>16.232429272575764</v>
      </c>
      <c r="AJ115" s="10">
        <f t="shared" si="77"/>
        <v>36.265780346159218</v>
      </c>
      <c r="AK115" s="10">
        <f t="shared" si="75"/>
        <v>1</v>
      </c>
      <c r="AL115" s="10">
        <f t="shared" si="76"/>
        <v>0</v>
      </c>
      <c r="AN115" s="10">
        <f t="shared" si="50"/>
        <v>-1</v>
      </c>
      <c r="AO115" s="10">
        <f t="shared" si="51"/>
        <v>0</v>
      </c>
      <c r="AP115" s="10">
        <f t="shared" si="52"/>
        <v>0</v>
      </c>
    </row>
    <row r="116" spans="2:42" x14ac:dyDescent="0.25">
      <c r="B116" s="10">
        <f t="shared" si="53"/>
        <v>92</v>
      </c>
      <c r="C116">
        <v>2.5590907171135768E-2</v>
      </c>
      <c r="D116">
        <v>-1.0979533726640511</v>
      </c>
      <c r="E116">
        <v>1.2087684808648191</v>
      </c>
      <c r="F116">
        <v>-0.3341813226143131</v>
      </c>
      <c r="G116">
        <v>-0.34829099604394287</v>
      </c>
      <c r="H116">
        <v>0.58595538193914609</v>
      </c>
      <c r="K116" s="10">
        <f>1</f>
        <v>1</v>
      </c>
      <c r="L116" s="10">
        <f t="shared" si="54"/>
        <v>6.6141157271564088</v>
      </c>
      <c r="M116" s="10">
        <f t="shared" si="55"/>
        <v>7.5243520382224958</v>
      </c>
      <c r="N116" s="10">
        <f t="shared" si="56"/>
        <v>4.7132508614036528</v>
      </c>
      <c r="O116" s="10">
        <f t="shared" si="57"/>
        <v>8.5189911720998985</v>
      </c>
      <c r="P116" s="10">
        <f t="shared" si="58"/>
        <v>2.1234105174293969</v>
      </c>
      <c r="Q116" s="10">
        <f t="shared" si="59"/>
        <v>-1</v>
      </c>
      <c r="S116" s="10">
        <f t="shared" si="60"/>
        <v>-28.216494461227157</v>
      </c>
      <c r="T116" s="10">
        <f t="shared" si="61"/>
        <v>-1</v>
      </c>
      <c r="U116" s="10">
        <f t="shared" si="62"/>
        <v>0</v>
      </c>
      <c r="V116" s="10">
        <f t="shared" si="63"/>
        <v>0</v>
      </c>
      <c r="Y116" s="10">
        <f t="shared" si="64"/>
        <v>0</v>
      </c>
      <c r="Z116" s="10">
        <f t="shared" si="65"/>
        <v>0</v>
      </c>
      <c r="AA116" s="10">
        <f t="shared" si="66"/>
        <v>0</v>
      </c>
      <c r="AB116" s="10">
        <f t="shared" si="67"/>
        <v>0</v>
      </c>
      <c r="AC116" s="10">
        <f t="shared" si="68"/>
        <v>0</v>
      </c>
      <c r="AD116" s="10">
        <f t="shared" si="69"/>
        <v>0</v>
      </c>
      <c r="AE116" s="10">
        <f t="shared" si="70"/>
        <v>-24.092384371314957</v>
      </c>
      <c r="AF116" s="10">
        <f t="shared" si="71"/>
        <v>-24.992384371314955</v>
      </c>
      <c r="AG116" s="10">
        <f t="shared" si="72"/>
        <v>-3.0911468230862571</v>
      </c>
      <c r="AH116" s="10">
        <f t="shared" si="73"/>
        <v>-6.5461764403444036</v>
      </c>
      <c r="AI116" s="10">
        <f t="shared" si="74"/>
        <v>16.232429272575764</v>
      </c>
      <c r="AJ116" s="10">
        <f t="shared" si="77"/>
        <v>36.265780346159218</v>
      </c>
      <c r="AK116" s="10">
        <f t="shared" si="75"/>
        <v>-1</v>
      </c>
      <c r="AL116" s="10">
        <f t="shared" si="76"/>
        <v>0</v>
      </c>
      <c r="AN116" s="10">
        <f t="shared" si="50"/>
        <v>-1</v>
      </c>
      <c r="AO116" s="10">
        <f t="shared" si="51"/>
        <v>0</v>
      </c>
      <c r="AP116" s="10">
        <f t="shared" si="52"/>
        <v>0</v>
      </c>
    </row>
    <row r="117" spans="2:42" x14ac:dyDescent="0.25">
      <c r="B117" s="10">
        <f t="shared" si="53"/>
        <v>93</v>
      </c>
      <c r="C117">
        <v>0.3080037913605338</v>
      </c>
      <c r="D117">
        <v>1.4205033949110657</v>
      </c>
      <c r="E117">
        <v>1.3477483662427403</v>
      </c>
      <c r="F117">
        <v>-0.16696503735147417</v>
      </c>
      <c r="G117">
        <v>-0.26353518478572369</v>
      </c>
      <c r="H117">
        <v>0.95733512375255592</v>
      </c>
      <c r="K117" s="10">
        <f>1</f>
        <v>1</v>
      </c>
      <c r="L117" s="10">
        <f t="shared" si="54"/>
        <v>7.0838500513608338</v>
      </c>
      <c r="M117" s="10">
        <f t="shared" si="55"/>
        <v>11.713274194343331</v>
      </c>
      <c r="N117" s="10">
        <f t="shared" si="56"/>
        <v>4.9444146155765125</v>
      </c>
      <c r="O117" s="10">
        <f t="shared" si="57"/>
        <v>8.7971202276469427</v>
      </c>
      <c r="P117" s="10">
        <f t="shared" si="58"/>
        <v>2.26438395013255</v>
      </c>
      <c r="Q117" s="10">
        <f t="shared" si="59"/>
        <v>-1</v>
      </c>
      <c r="S117" s="10">
        <f t="shared" si="60"/>
        <v>-44.79086561274822</v>
      </c>
      <c r="T117" s="10">
        <f t="shared" si="61"/>
        <v>-1</v>
      </c>
      <c r="U117" s="10">
        <f t="shared" si="62"/>
        <v>0</v>
      </c>
      <c r="V117" s="10">
        <f t="shared" si="63"/>
        <v>0</v>
      </c>
      <c r="Y117" s="10">
        <f t="shared" si="64"/>
        <v>0</v>
      </c>
      <c r="Z117" s="10">
        <f t="shared" si="65"/>
        <v>0</v>
      </c>
      <c r="AA117" s="10">
        <f t="shared" si="66"/>
        <v>0</v>
      </c>
      <c r="AB117" s="10">
        <f t="shared" si="67"/>
        <v>0</v>
      </c>
      <c r="AC117" s="10">
        <f t="shared" si="68"/>
        <v>0</v>
      </c>
      <c r="AD117" s="10">
        <f t="shared" si="69"/>
        <v>0</v>
      </c>
      <c r="AE117" s="10">
        <f t="shared" si="70"/>
        <v>-24.092384371314957</v>
      </c>
      <c r="AF117" s="10">
        <f t="shared" si="71"/>
        <v>-24.992384371314955</v>
      </c>
      <c r="AG117" s="10">
        <f t="shared" si="72"/>
        <v>-3.0911468230862571</v>
      </c>
      <c r="AH117" s="10">
        <f t="shared" si="73"/>
        <v>-6.5461764403444036</v>
      </c>
      <c r="AI117" s="10">
        <f t="shared" si="74"/>
        <v>16.232429272575764</v>
      </c>
      <c r="AJ117" s="10">
        <f t="shared" si="77"/>
        <v>36.265780346159218</v>
      </c>
      <c r="AK117" s="10">
        <f t="shared" si="75"/>
        <v>-1</v>
      </c>
      <c r="AL117" s="10">
        <f t="shared" si="76"/>
        <v>0</v>
      </c>
      <c r="AN117" s="10">
        <f t="shared" si="50"/>
        <v>1</v>
      </c>
      <c r="AO117" s="10">
        <f t="shared" si="51"/>
        <v>0</v>
      </c>
      <c r="AP117" s="10">
        <f t="shared" si="52"/>
        <v>0</v>
      </c>
    </row>
    <row r="118" spans="2:42" x14ac:dyDescent="0.25">
      <c r="B118" s="10">
        <f t="shared" si="53"/>
        <v>94</v>
      </c>
      <c r="C118">
        <v>-0.18701484805205837</v>
      </c>
      <c r="D118">
        <v>0.16084072740341071</v>
      </c>
      <c r="E118">
        <v>-1.8282844393979758</v>
      </c>
      <c r="F118">
        <v>0.75262732934788801</v>
      </c>
      <c r="G118">
        <v>-0.85492956714006141</v>
      </c>
      <c r="H118">
        <v>0.41084017456587418</v>
      </c>
      <c r="K118" s="10">
        <f>1</f>
        <v>1</v>
      </c>
      <c r="L118" s="10">
        <f t="shared" si="54"/>
        <v>3.7834875651418605</v>
      </c>
      <c r="M118" s="10">
        <f t="shared" si="55"/>
        <v>11.441088916966947</v>
      </c>
      <c r="N118" s="10">
        <f t="shared" si="56"/>
        <v>-2.5451108496080987</v>
      </c>
      <c r="O118" s="10">
        <f t="shared" si="57"/>
        <v>13.147881434053989</v>
      </c>
      <c r="P118" s="10">
        <f t="shared" si="58"/>
        <v>5.3652881422223206</v>
      </c>
      <c r="Q118" s="10">
        <f t="shared" si="59"/>
        <v>1</v>
      </c>
      <c r="S118" s="10">
        <f t="shared" si="60"/>
        <v>270.64231588218956</v>
      </c>
      <c r="T118" s="10">
        <f t="shared" si="61"/>
        <v>1</v>
      </c>
      <c r="U118" s="10">
        <f t="shared" si="62"/>
        <v>0</v>
      </c>
      <c r="V118" s="10">
        <f t="shared" si="63"/>
        <v>0</v>
      </c>
      <c r="Y118" s="10">
        <f t="shared" si="64"/>
        <v>0</v>
      </c>
      <c r="Z118" s="10">
        <f t="shared" si="65"/>
        <v>0</v>
      </c>
      <c r="AA118" s="10">
        <f t="shared" si="66"/>
        <v>0</v>
      </c>
      <c r="AB118" s="10">
        <f t="shared" si="67"/>
        <v>0</v>
      </c>
      <c r="AC118" s="10">
        <f t="shared" si="68"/>
        <v>0</v>
      </c>
      <c r="AD118" s="10">
        <f t="shared" si="69"/>
        <v>0</v>
      </c>
      <c r="AE118" s="10">
        <f t="shared" si="70"/>
        <v>-24.092384371314957</v>
      </c>
      <c r="AF118" s="10">
        <f t="shared" si="71"/>
        <v>-24.992384371314955</v>
      </c>
      <c r="AG118" s="10">
        <f t="shared" si="72"/>
        <v>-3.0911468230862571</v>
      </c>
      <c r="AH118" s="10">
        <f t="shared" si="73"/>
        <v>-6.5461764403444036</v>
      </c>
      <c r="AI118" s="10">
        <f t="shared" si="74"/>
        <v>16.232429272575764</v>
      </c>
      <c r="AJ118" s="10">
        <f t="shared" si="77"/>
        <v>36.265780346159218</v>
      </c>
      <c r="AK118" s="10">
        <f t="shared" si="75"/>
        <v>1</v>
      </c>
      <c r="AL118" s="10">
        <f t="shared" si="76"/>
        <v>0</v>
      </c>
      <c r="AN118" s="10">
        <f t="shared" si="50"/>
        <v>1</v>
      </c>
      <c r="AO118" s="10">
        <f t="shared" si="51"/>
        <v>0</v>
      </c>
      <c r="AP118" s="10">
        <f t="shared" si="52"/>
        <v>0</v>
      </c>
    </row>
    <row r="119" spans="2:42" x14ac:dyDescent="0.25">
      <c r="B119" s="10">
        <f t="shared" si="53"/>
        <v>95</v>
      </c>
      <c r="C119">
        <v>-0.77227014116942883</v>
      </c>
      <c r="D119">
        <v>-1.1860493032145314</v>
      </c>
      <c r="E119">
        <v>-7.2645889304112643E-4</v>
      </c>
      <c r="F119">
        <v>0.47388994062202983</v>
      </c>
      <c r="G119">
        <v>2.2457425075117499</v>
      </c>
      <c r="H119">
        <v>0.43464461195715204</v>
      </c>
      <c r="K119" s="10">
        <f>1</f>
        <v>1</v>
      </c>
      <c r="L119" s="10">
        <f t="shared" si="54"/>
        <v>2.4314544243872724</v>
      </c>
      <c r="M119" s="10">
        <f t="shared" si="55"/>
        <v>8.329557966691171</v>
      </c>
      <c r="N119" s="10">
        <f t="shared" si="56"/>
        <v>1.6768397851855057</v>
      </c>
      <c r="O119" s="10">
        <f t="shared" si="57"/>
        <v>12.503953576319644</v>
      </c>
      <c r="P119" s="10">
        <f t="shared" si="58"/>
        <v>12.528335538533188</v>
      </c>
      <c r="Q119" s="10">
        <f t="shared" si="59"/>
        <v>1</v>
      </c>
      <c r="S119" s="10">
        <f t="shared" si="60"/>
        <v>535.73440312920457</v>
      </c>
      <c r="T119" s="10">
        <f t="shared" si="61"/>
        <v>1</v>
      </c>
      <c r="U119" s="10">
        <f t="shared" si="62"/>
        <v>0</v>
      </c>
      <c r="V119" s="10">
        <f t="shared" si="63"/>
        <v>0</v>
      </c>
      <c r="Y119" s="10">
        <f t="shared" si="64"/>
        <v>0</v>
      </c>
      <c r="Z119" s="10">
        <f t="shared" si="65"/>
        <v>0</v>
      </c>
      <c r="AA119" s="10">
        <f t="shared" si="66"/>
        <v>0</v>
      </c>
      <c r="AB119" s="10">
        <f t="shared" si="67"/>
        <v>0</v>
      </c>
      <c r="AC119" s="10">
        <f t="shared" si="68"/>
        <v>0</v>
      </c>
      <c r="AD119" s="10">
        <f t="shared" si="69"/>
        <v>0</v>
      </c>
      <c r="AE119" s="10">
        <f t="shared" si="70"/>
        <v>-24.092384371314957</v>
      </c>
      <c r="AF119" s="10">
        <f t="shared" si="71"/>
        <v>-24.992384371314955</v>
      </c>
      <c r="AG119" s="10">
        <f t="shared" si="72"/>
        <v>-3.0911468230862571</v>
      </c>
      <c r="AH119" s="10">
        <f t="shared" si="73"/>
        <v>-6.5461764403444036</v>
      </c>
      <c r="AI119" s="10">
        <f t="shared" si="74"/>
        <v>16.232429272575764</v>
      </c>
      <c r="AJ119" s="10">
        <f t="shared" si="77"/>
        <v>36.265780346159218</v>
      </c>
      <c r="AK119" s="10">
        <f t="shared" si="75"/>
        <v>1</v>
      </c>
      <c r="AL119" s="10">
        <f t="shared" si="76"/>
        <v>0</v>
      </c>
      <c r="AN119" s="10">
        <f t="shared" si="50"/>
        <v>1</v>
      </c>
      <c r="AO119" s="10">
        <f t="shared" si="51"/>
        <v>0</v>
      </c>
      <c r="AP119" s="10">
        <f t="shared" si="52"/>
        <v>0</v>
      </c>
    </row>
    <row r="120" spans="2:42" x14ac:dyDescent="0.25">
      <c r="B120" s="10">
        <f t="shared" si="53"/>
        <v>96</v>
      </c>
      <c r="C120">
        <v>8.7993612396530807E-4</v>
      </c>
      <c r="D120">
        <v>-0.80040763350552879</v>
      </c>
      <c r="E120">
        <v>-0.77619233707082458</v>
      </c>
      <c r="F120">
        <v>0.26226757654512767</v>
      </c>
      <c r="G120">
        <v>-0.69535644797724672</v>
      </c>
      <c r="H120">
        <v>0.44776757103183079</v>
      </c>
      <c r="K120" s="10">
        <f>1</f>
        <v>1</v>
      </c>
      <c r="L120" s="10">
        <f t="shared" si="54"/>
        <v>4.2175545068140448</v>
      </c>
      <c r="M120" s="10">
        <f t="shared" si="55"/>
        <v>9.2204517766817826</v>
      </c>
      <c r="N120" s="10">
        <f t="shared" si="56"/>
        <v>-0.11461016691336434</v>
      </c>
      <c r="O120" s="10">
        <f t="shared" si="57"/>
        <v>12.015072137874585</v>
      </c>
      <c r="P120" s="10">
        <f t="shared" si="58"/>
        <v>5.7339275172419306</v>
      </c>
      <c r="Q120" s="10">
        <f t="shared" si="59"/>
        <v>1</v>
      </c>
      <c r="S120" s="10">
        <f t="shared" si="60"/>
        <v>245.72852498901784</v>
      </c>
      <c r="T120" s="10">
        <f t="shared" si="61"/>
        <v>1</v>
      </c>
      <c r="U120" s="10">
        <f t="shared" si="62"/>
        <v>0</v>
      </c>
      <c r="V120" s="10">
        <f t="shared" si="63"/>
        <v>0</v>
      </c>
      <c r="Y120" s="10">
        <f t="shared" si="64"/>
        <v>0</v>
      </c>
      <c r="Z120" s="10">
        <f t="shared" si="65"/>
        <v>0</v>
      </c>
      <c r="AA120" s="10">
        <f t="shared" si="66"/>
        <v>0</v>
      </c>
      <c r="AB120" s="10">
        <f t="shared" si="67"/>
        <v>0</v>
      </c>
      <c r="AC120" s="10">
        <f t="shared" si="68"/>
        <v>0</v>
      </c>
      <c r="AD120" s="10">
        <f t="shared" si="69"/>
        <v>0</v>
      </c>
      <c r="AE120" s="10">
        <f t="shared" si="70"/>
        <v>-24.092384371314957</v>
      </c>
      <c r="AF120" s="10">
        <f t="shared" si="71"/>
        <v>-24.992384371314955</v>
      </c>
      <c r="AG120" s="10">
        <f t="shared" si="72"/>
        <v>-3.0911468230862571</v>
      </c>
      <c r="AH120" s="10">
        <f t="shared" si="73"/>
        <v>-6.5461764403444036</v>
      </c>
      <c r="AI120" s="10">
        <f t="shared" si="74"/>
        <v>16.232429272575764</v>
      </c>
      <c r="AJ120" s="10">
        <f t="shared" si="77"/>
        <v>36.265780346159218</v>
      </c>
      <c r="AK120" s="10">
        <f t="shared" si="75"/>
        <v>1</v>
      </c>
      <c r="AL120" s="10">
        <f t="shared" si="76"/>
        <v>0</v>
      </c>
      <c r="AN120" s="10">
        <f t="shared" si="50"/>
        <v>-1</v>
      </c>
      <c r="AO120" s="10">
        <f t="shared" si="51"/>
        <v>0</v>
      </c>
      <c r="AP120" s="10">
        <f t="shared" si="52"/>
        <v>0</v>
      </c>
    </row>
    <row r="121" spans="2:42" x14ac:dyDescent="0.25">
      <c r="B121" s="10">
        <f t="shared" si="53"/>
        <v>97</v>
      </c>
      <c r="C121">
        <v>-0.23190182218968403</v>
      </c>
      <c r="D121">
        <v>0.70631017479172442</v>
      </c>
      <c r="E121">
        <v>-0.35105585993733257</v>
      </c>
      <c r="F121">
        <v>-2.3295569917536341E-2</v>
      </c>
      <c r="G121">
        <v>-1.4832630768069066</v>
      </c>
      <c r="H121">
        <v>0.94149601733451338</v>
      </c>
      <c r="K121" s="10">
        <f>1</f>
        <v>1</v>
      </c>
      <c r="L121" s="10">
        <f t="shared" si="54"/>
        <v>6.1858308294576867</v>
      </c>
      <c r="M121" s="10">
        <f t="shared" si="55"/>
        <v>10.52536426393395</v>
      </c>
      <c r="N121" s="10">
        <f t="shared" si="56"/>
        <v>2.1188117489411731</v>
      </c>
      <c r="O121" s="10">
        <f t="shared" si="57"/>
        <v>9.036084113404474</v>
      </c>
      <c r="P121" s="10">
        <f t="shared" si="58"/>
        <v>0.23562361677745214</v>
      </c>
      <c r="Q121" s="10">
        <f t="shared" si="59"/>
        <v>-1</v>
      </c>
      <c r="S121" s="10">
        <f t="shared" si="60"/>
        <v>-69.873937373477858</v>
      </c>
      <c r="T121" s="10">
        <f t="shared" si="61"/>
        <v>-1</v>
      </c>
      <c r="U121" s="10">
        <f t="shared" si="62"/>
        <v>0</v>
      </c>
      <c r="V121" s="10">
        <f t="shared" si="63"/>
        <v>0</v>
      </c>
      <c r="Y121" s="10">
        <f t="shared" si="64"/>
        <v>0</v>
      </c>
      <c r="Z121" s="10">
        <f t="shared" si="65"/>
        <v>0</v>
      </c>
      <c r="AA121" s="10">
        <f t="shared" si="66"/>
        <v>0</v>
      </c>
      <c r="AB121" s="10">
        <f t="shared" si="67"/>
        <v>0</v>
      </c>
      <c r="AC121" s="10">
        <f t="shared" si="68"/>
        <v>0</v>
      </c>
      <c r="AD121" s="10">
        <f t="shared" si="69"/>
        <v>0</v>
      </c>
      <c r="AE121" s="10">
        <f t="shared" si="70"/>
        <v>-24.092384371314957</v>
      </c>
      <c r="AF121" s="10">
        <f t="shared" si="71"/>
        <v>-24.992384371314955</v>
      </c>
      <c r="AG121" s="10">
        <f t="shared" si="72"/>
        <v>-3.0911468230862571</v>
      </c>
      <c r="AH121" s="10">
        <f t="shared" si="73"/>
        <v>-6.5461764403444036</v>
      </c>
      <c r="AI121" s="10">
        <f t="shared" si="74"/>
        <v>16.232429272575764</v>
      </c>
      <c r="AJ121" s="10">
        <f t="shared" si="77"/>
        <v>36.265780346159218</v>
      </c>
      <c r="AK121" s="10">
        <f t="shared" si="75"/>
        <v>-1</v>
      </c>
      <c r="AL121" s="10">
        <f t="shared" si="76"/>
        <v>0</v>
      </c>
      <c r="AN121" s="10">
        <f t="shared" si="50"/>
        <v>1</v>
      </c>
      <c r="AO121" s="10">
        <f t="shared" si="51"/>
        <v>0</v>
      </c>
      <c r="AP121" s="10">
        <f t="shared" si="52"/>
        <v>0</v>
      </c>
    </row>
    <row r="122" spans="2:42" x14ac:dyDescent="0.25">
      <c r="B122" s="10">
        <f t="shared" si="53"/>
        <v>98</v>
      </c>
      <c r="C122">
        <v>0.34479739952075761</v>
      </c>
      <c r="D122">
        <v>1.94209860637784</v>
      </c>
      <c r="E122">
        <v>7.5538082455750555E-2</v>
      </c>
      <c r="F122">
        <v>0.23331722331931815</v>
      </c>
      <c r="G122">
        <v>-0.35398556974541862</v>
      </c>
      <c r="H122">
        <v>1.2817773979918821E-3</v>
      </c>
      <c r="K122" s="10">
        <f>1</f>
        <v>1</v>
      </c>
      <c r="L122" s="10">
        <f t="shared" si="54"/>
        <v>5.0120587405475874</v>
      </c>
      <c r="M122" s="10">
        <f t="shared" si="55"/>
        <v>15.556078927182329</v>
      </c>
      <c r="N122" s="10">
        <f t="shared" si="56"/>
        <v>1.8530230484222832</v>
      </c>
      <c r="O122" s="10">
        <f t="shared" si="57"/>
        <v>11.948192201104844</v>
      </c>
      <c r="P122" s="10">
        <f t="shared" si="58"/>
        <v>6.5225487327793523</v>
      </c>
      <c r="Q122" s="10">
        <f t="shared" si="59"/>
        <v>1</v>
      </c>
      <c r="S122" s="10">
        <f t="shared" si="60"/>
        <v>220.92148179454605</v>
      </c>
      <c r="T122" s="10">
        <f t="shared" si="61"/>
        <v>1</v>
      </c>
      <c r="U122" s="10">
        <f t="shared" si="62"/>
        <v>0</v>
      </c>
      <c r="V122" s="10">
        <f t="shared" si="63"/>
        <v>0</v>
      </c>
      <c r="Y122" s="10">
        <f t="shared" si="64"/>
        <v>0</v>
      </c>
      <c r="Z122" s="10">
        <f t="shared" si="65"/>
        <v>0</v>
      </c>
      <c r="AA122" s="10">
        <f t="shared" si="66"/>
        <v>0</v>
      </c>
      <c r="AB122" s="10">
        <f t="shared" si="67"/>
        <v>0</v>
      </c>
      <c r="AC122" s="10">
        <f t="shared" si="68"/>
        <v>0</v>
      </c>
      <c r="AD122" s="10">
        <f t="shared" si="69"/>
        <v>0</v>
      </c>
      <c r="AE122" s="10">
        <f t="shared" si="70"/>
        <v>-24.092384371314957</v>
      </c>
      <c r="AF122" s="10">
        <f t="shared" si="71"/>
        <v>-24.992384371314955</v>
      </c>
      <c r="AG122" s="10">
        <f t="shared" si="72"/>
        <v>-3.0911468230862571</v>
      </c>
      <c r="AH122" s="10">
        <f t="shared" si="73"/>
        <v>-6.5461764403444036</v>
      </c>
      <c r="AI122" s="10">
        <f t="shared" si="74"/>
        <v>16.232429272575764</v>
      </c>
      <c r="AJ122" s="10">
        <f t="shared" si="77"/>
        <v>36.265780346159218</v>
      </c>
      <c r="AK122" s="10">
        <f t="shared" si="75"/>
        <v>1</v>
      </c>
      <c r="AL122" s="10">
        <f t="shared" si="76"/>
        <v>0</v>
      </c>
      <c r="AN122" s="10">
        <f t="shared" si="50"/>
        <v>1</v>
      </c>
      <c r="AO122" s="10">
        <f t="shared" si="51"/>
        <v>0</v>
      </c>
      <c r="AP122" s="10">
        <f t="shared" si="52"/>
        <v>0</v>
      </c>
    </row>
    <row r="123" spans="2:42" x14ac:dyDescent="0.25">
      <c r="B123" s="10">
        <f t="shared" si="53"/>
        <v>99</v>
      </c>
      <c r="C123">
        <v>-0.69964926296961494</v>
      </c>
      <c r="D123">
        <v>-0.34187678465968929</v>
      </c>
      <c r="E123">
        <v>-0.83113718574168161</v>
      </c>
      <c r="F123">
        <v>-1.6542026060051285</v>
      </c>
      <c r="G123">
        <v>2.3328902898356318</v>
      </c>
      <c r="H123">
        <v>0.27869502853480638</v>
      </c>
      <c r="K123" s="10">
        <f>1</f>
        <v>1</v>
      </c>
      <c r="L123" s="10">
        <f t="shared" si="54"/>
        <v>2.5992202441782606</v>
      </c>
      <c r="M123" s="10">
        <f t="shared" si="55"/>
        <v>10.279731224451902</v>
      </c>
      <c r="N123" s="10">
        <f t="shared" si="56"/>
        <v>-0.24154153718949156</v>
      </c>
      <c r="O123" s="10">
        <f t="shared" si="57"/>
        <v>7.5877201249192705</v>
      </c>
      <c r="P123" s="10">
        <f t="shared" si="58"/>
        <v>12.729660825516154</v>
      </c>
      <c r="Q123" s="10">
        <f t="shared" si="59"/>
        <v>1</v>
      </c>
      <c r="S123" s="10">
        <f t="shared" si="60"/>
        <v>465.57013287107662</v>
      </c>
      <c r="T123" s="10">
        <f t="shared" si="61"/>
        <v>1</v>
      </c>
      <c r="U123" s="10">
        <f t="shared" si="62"/>
        <v>0</v>
      </c>
      <c r="V123" s="10">
        <f t="shared" si="63"/>
        <v>0</v>
      </c>
      <c r="Y123" s="10">
        <f t="shared" si="64"/>
        <v>0</v>
      </c>
      <c r="Z123" s="10">
        <f t="shared" si="65"/>
        <v>0</v>
      </c>
      <c r="AA123" s="10">
        <f t="shared" si="66"/>
        <v>0</v>
      </c>
      <c r="AB123" s="10">
        <f t="shared" si="67"/>
        <v>0</v>
      </c>
      <c r="AC123" s="10">
        <f t="shared" si="68"/>
        <v>0</v>
      </c>
      <c r="AD123" s="10">
        <f t="shared" si="69"/>
        <v>0</v>
      </c>
      <c r="AE123" s="10">
        <f t="shared" si="70"/>
        <v>-24.092384371314957</v>
      </c>
      <c r="AF123" s="10">
        <f t="shared" si="71"/>
        <v>-24.992384371314955</v>
      </c>
      <c r="AG123" s="10">
        <f t="shared" si="72"/>
        <v>-3.0911468230862571</v>
      </c>
      <c r="AH123" s="10">
        <f t="shared" si="73"/>
        <v>-6.5461764403444036</v>
      </c>
      <c r="AI123" s="10">
        <f t="shared" si="74"/>
        <v>16.232429272575764</v>
      </c>
      <c r="AJ123" s="10">
        <f t="shared" si="77"/>
        <v>36.265780346159218</v>
      </c>
      <c r="AK123" s="10">
        <f t="shared" si="75"/>
        <v>1</v>
      </c>
      <c r="AL123" s="10">
        <f t="shared" si="76"/>
        <v>0</v>
      </c>
      <c r="AN123" s="10">
        <f t="shared" si="50"/>
        <v>1</v>
      </c>
      <c r="AO123" s="10">
        <f t="shared" si="51"/>
        <v>0</v>
      </c>
      <c r="AP123" s="10">
        <f t="shared" si="52"/>
        <v>0</v>
      </c>
    </row>
    <row r="124" spans="2:42" x14ac:dyDescent="0.25">
      <c r="B124" s="10">
        <f t="shared" si="53"/>
        <v>100</v>
      </c>
      <c r="C124">
        <v>0.21143932826817036</v>
      </c>
      <c r="D124">
        <v>-3.1025138014229015E-2</v>
      </c>
      <c r="E124">
        <v>-0.20987499738112092</v>
      </c>
      <c r="F124">
        <v>-1.1666429600154515</v>
      </c>
      <c r="G124">
        <v>0.7822018233127892</v>
      </c>
      <c r="H124">
        <v>0.337168492690817</v>
      </c>
      <c r="K124" s="10">
        <f>1</f>
        <v>1</v>
      </c>
      <c r="L124" s="10">
        <f t="shared" si="54"/>
        <v>4.7039803104317057</v>
      </c>
      <c r="M124" s="10">
        <f t="shared" si="55"/>
        <v>10.997848143795187</v>
      </c>
      <c r="N124" s="10">
        <f t="shared" si="56"/>
        <v>1.1936732787023923</v>
      </c>
      <c r="O124" s="10">
        <f t="shared" si="57"/>
        <v>8.7140607274303505</v>
      </c>
      <c r="P124" s="10">
        <f t="shared" si="58"/>
        <v>9.1473229596639367</v>
      </c>
      <c r="Q124" s="10">
        <f t="shared" si="59"/>
        <v>1</v>
      </c>
      <c r="S124" s="10">
        <f t="shared" si="60"/>
        <v>289.71915203578521</v>
      </c>
      <c r="T124" s="10">
        <f t="shared" si="61"/>
        <v>1</v>
      </c>
      <c r="U124" s="10">
        <f t="shared" si="62"/>
        <v>0</v>
      </c>
      <c r="V124" s="10">
        <f t="shared" si="63"/>
        <v>0</v>
      </c>
      <c r="X124" s="10">
        <f>SUM(V106:V124)</f>
        <v>4</v>
      </c>
      <c r="Y124" s="10">
        <f t="shared" si="64"/>
        <v>0</v>
      </c>
      <c r="Z124" s="10">
        <f t="shared" si="65"/>
        <v>0</v>
      </c>
      <c r="AA124" s="10">
        <f t="shared" si="66"/>
        <v>0</v>
      </c>
      <c r="AB124" s="10">
        <f t="shared" si="67"/>
        <v>0</v>
      </c>
      <c r="AC124" s="10">
        <f t="shared" si="68"/>
        <v>0</v>
      </c>
      <c r="AD124" s="10">
        <f t="shared" si="69"/>
        <v>0</v>
      </c>
      <c r="AE124" s="10">
        <f t="shared" si="70"/>
        <v>-24.092384371314957</v>
      </c>
      <c r="AF124" s="10">
        <f t="shared" si="71"/>
        <v>-24.992384371314955</v>
      </c>
      <c r="AG124" s="10">
        <f t="shared" si="72"/>
        <v>-3.0911468230862571</v>
      </c>
      <c r="AH124" s="10">
        <f t="shared" si="73"/>
        <v>-6.5461764403444036</v>
      </c>
      <c r="AI124" s="10">
        <f t="shared" si="74"/>
        <v>16.232429272575764</v>
      </c>
      <c r="AJ124" s="10">
        <f t="shared" si="77"/>
        <v>36.265780346159218</v>
      </c>
      <c r="AK124" s="10">
        <f t="shared" si="75"/>
        <v>1</v>
      </c>
      <c r="AL124" s="10">
        <f t="shared" si="76"/>
        <v>0</v>
      </c>
      <c r="AN124" s="10">
        <f t="shared" si="50"/>
        <v>1</v>
      </c>
      <c r="AO124" s="10">
        <f t="shared" si="51"/>
        <v>0</v>
      </c>
      <c r="AP124" s="10">
        <f t="shared" si="52"/>
        <v>0</v>
      </c>
    </row>
    <row r="125" spans="2:42" x14ac:dyDescent="0.25">
      <c r="B125" s="10">
        <f t="shared" si="53"/>
        <v>101</v>
      </c>
      <c r="C125">
        <v>-0.7995640771696344</v>
      </c>
      <c r="D125">
        <v>1.8397986423224211</v>
      </c>
      <c r="E125">
        <v>-0.72947273110912647</v>
      </c>
      <c r="F125">
        <v>-0.33401988730474841</v>
      </c>
      <c r="G125">
        <v>-1.4140277926344424</v>
      </c>
      <c r="H125">
        <v>0.20590838343455306</v>
      </c>
      <c r="K125" s="10">
        <f>1</f>
        <v>1</v>
      </c>
      <c r="L125" s="10">
        <f t="shared" si="54"/>
        <v>2.368401075792419</v>
      </c>
      <c r="M125" s="10">
        <f t="shared" si="55"/>
        <v>15.319749681932441</v>
      </c>
      <c r="N125" s="10">
        <f t="shared" si="56"/>
        <v>-6.6804201412258291E-3</v>
      </c>
      <c r="O125" s="10">
        <f t="shared" si="57"/>
        <v>10.637552921863229</v>
      </c>
      <c r="P125" s="10">
        <f t="shared" si="58"/>
        <v>4.0736820026536034</v>
      </c>
      <c r="Q125" s="10">
        <f t="shared" si="59"/>
        <v>1</v>
      </c>
      <c r="S125" s="10">
        <f t="shared" si="60"/>
        <v>189.81234339196712</v>
      </c>
      <c r="T125" s="12">
        <f t="shared" si="61"/>
        <v>1</v>
      </c>
      <c r="U125" s="10">
        <f t="shared" si="62"/>
        <v>0</v>
      </c>
      <c r="V125" s="12">
        <f t="shared" si="63"/>
        <v>0</v>
      </c>
      <c r="W125" s="12"/>
      <c r="X125" s="12"/>
      <c r="Y125" s="10">
        <f t="shared" si="64"/>
        <v>0</v>
      </c>
      <c r="Z125" s="10">
        <f t="shared" si="65"/>
        <v>0</v>
      </c>
      <c r="AA125" s="10">
        <f t="shared" si="66"/>
        <v>0</v>
      </c>
      <c r="AB125" s="10">
        <f t="shared" si="67"/>
        <v>0</v>
      </c>
      <c r="AC125" s="10">
        <f t="shared" si="68"/>
        <v>0</v>
      </c>
      <c r="AD125" s="10">
        <f t="shared" si="69"/>
        <v>0</v>
      </c>
      <c r="AE125" s="10">
        <f t="shared" si="70"/>
        <v>-24.092384371314957</v>
      </c>
      <c r="AF125" s="10">
        <f t="shared" si="71"/>
        <v>-24.992384371314955</v>
      </c>
      <c r="AG125" s="10">
        <f t="shared" si="72"/>
        <v>-3.0911468230862571</v>
      </c>
      <c r="AH125" s="10">
        <f t="shared" si="73"/>
        <v>-6.5461764403444036</v>
      </c>
      <c r="AI125" s="10">
        <f t="shared" si="74"/>
        <v>16.232429272575764</v>
      </c>
      <c r="AJ125" s="10">
        <f t="shared" si="77"/>
        <v>36.265780346159218</v>
      </c>
      <c r="AK125" s="10">
        <f t="shared" si="75"/>
        <v>1</v>
      </c>
      <c r="AL125" s="10">
        <f t="shared" si="76"/>
        <v>0</v>
      </c>
      <c r="AN125" s="10">
        <f t="shared" si="50"/>
        <v>-1</v>
      </c>
      <c r="AO125" s="10">
        <f t="shared" si="51"/>
        <v>0</v>
      </c>
      <c r="AP125" s="10">
        <f t="shared" si="52"/>
        <v>0</v>
      </c>
    </row>
    <row r="126" spans="2:42" x14ac:dyDescent="0.25">
      <c r="B126" s="10">
        <f t="shared" si="53"/>
        <v>102</v>
      </c>
      <c r="C126">
        <v>-0.42229316932207439</v>
      </c>
      <c r="D126">
        <v>0.46637069317512214</v>
      </c>
      <c r="E126">
        <v>1.9879644241882488</v>
      </c>
      <c r="F126">
        <v>0.20276274881325662</v>
      </c>
      <c r="G126">
        <v>-0.35317157198733184</v>
      </c>
      <c r="H126">
        <v>0.81835383159886466</v>
      </c>
      <c r="K126" s="10">
        <f>1</f>
        <v>1</v>
      </c>
      <c r="L126" s="10">
        <f t="shared" si="54"/>
        <v>5.8691549418249345</v>
      </c>
      <c r="M126" s="10">
        <f t="shared" si="55"/>
        <v>10.126275495124281</v>
      </c>
      <c r="N126" s="10">
        <f t="shared" si="56"/>
        <v>6.0092791248110515</v>
      </c>
      <c r="O126" s="10">
        <f t="shared" si="57"/>
        <v>9.4120844927235137</v>
      </c>
      <c r="P126" s="10">
        <f t="shared" si="58"/>
        <v>2.1152927077583672</v>
      </c>
      <c r="Q126" s="10">
        <f t="shared" si="59"/>
        <v>-1</v>
      </c>
      <c r="S126" s="10">
        <f t="shared" si="60"/>
        <v>-11.922429825908637</v>
      </c>
      <c r="T126" s="10">
        <f t="shared" si="61"/>
        <v>-1</v>
      </c>
      <c r="U126" s="10">
        <f t="shared" si="62"/>
        <v>0</v>
      </c>
      <c r="V126" s="10">
        <f t="shared" si="63"/>
        <v>0</v>
      </c>
      <c r="Y126" s="10">
        <f t="shared" si="64"/>
        <v>0</v>
      </c>
      <c r="Z126" s="10">
        <f t="shared" si="65"/>
        <v>0</v>
      </c>
      <c r="AA126" s="10">
        <f t="shared" si="66"/>
        <v>0</v>
      </c>
      <c r="AB126" s="10">
        <f t="shared" si="67"/>
        <v>0</v>
      </c>
      <c r="AC126" s="10">
        <f t="shared" si="68"/>
        <v>0</v>
      </c>
      <c r="AD126" s="10">
        <f t="shared" si="69"/>
        <v>0</v>
      </c>
      <c r="AE126" s="10">
        <f t="shared" si="70"/>
        <v>-24.092384371314957</v>
      </c>
      <c r="AF126" s="10">
        <f t="shared" si="71"/>
        <v>-24.992384371314955</v>
      </c>
      <c r="AG126" s="10">
        <f t="shared" si="72"/>
        <v>-3.0911468230862571</v>
      </c>
      <c r="AH126" s="10">
        <f t="shared" si="73"/>
        <v>-6.5461764403444036</v>
      </c>
      <c r="AI126" s="10">
        <f t="shared" si="74"/>
        <v>16.232429272575764</v>
      </c>
      <c r="AJ126" s="10">
        <f t="shared" si="77"/>
        <v>36.265780346159218</v>
      </c>
      <c r="AK126" s="10">
        <f t="shared" si="75"/>
        <v>-1</v>
      </c>
      <c r="AL126" s="10">
        <f t="shared" si="76"/>
        <v>0</v>
      </c>
      <c r="AN126" s="10">
        <f t="shared" si="50"/>
        <v>-1</v>
      </c>
      <c r="AO126" s="10">
        <f t="shared" si="51"/>
        <v>0</v>
      </c>
      <c r="AP126" s="10">
        <f t="shared" si="52"/>
        <v>0</v>
      </c>
    </row>
    <row r="127" spans="2:42" x14ac:dyDescent="0.25">
      <c r="B127" s="10">
        <f t="shared" si="53"/>
        <v>103</v>
      </c>
      <c r="C127">
        <v>1.3808403309667483E-2</v>
      </c>
      <c r="D127">
        <v>-0.50128733164456207</v>
      </c>
      <c r="E127">
        <v>0.26527800400799606</v>
      </c>
      <c r="F127">
        <v>1.231635451404145</v>
      </c>
      <c r="G127">
        <v>-1.0867006494663656</v>
      </c>
      <c r="H127">
        <v>0.77190466017639703</v>
      </c>
      <c r="K127" s="10">
        <f>1</f>
        <v>1</v>
      </c>
      <c r="L127" s="10">
        <f t="shared" si="54"/>
        <v>6.5945180147337314</v>
      </c>
      <c r="M127" s="10">
        <f t="shared" si="55"/>
        <v>8.5167802709445386</v>
      </c>
      <c r="N127" s="10">
        <f t="shared" si="56"/>
        <v>3.1439532607940848</v>
      </c>
      <c r="O127" s="10">
        <f t="shared" si="57"/>
        <v>11.123397434521847</v>
      </c>
      <c r="P127" s="10">
        <f t="shared" si="58"/>
        <v>0.89522165298726142</v>
      </c>
      <c r="Q127" s="10">
        <f t="shared" si="59"/>
        <v>-1</v>
      </c>
      <c r="S127" s="10">
        <f t="shared" si="60"/>
        <v>-22.78693042692111</v>
      </c>
      <c r="T127" s="10">
        <f t="shared" si="61"/>
        <v>-1</v>
      </c>
      <c r="U127" s="10">
        <f t="shared" si="62"/>
        <v>0</v>
      </c>
      <c r="V127" s="10">
        <f t="shared" si="63"/>
        <v>0</v>
      </c>
      <c r="Y127" s="10">
        <f t="shared" si="64"/>
        <v>0</v>
      </c>
      <c r="Z127" s="10">
        <f t="shared" si="65"/>
        <v>0</v>
      </c>
      <c r="AA127" s="10">
        <f t="shared" si="66"/>
        <v>0</v>
      </c>
      <c r="AB127" s="10">
        <f t="shared" si="67"/>
        <v>0</v>
      </c>
      <c r="AC127" s="10">
        <f t="shared" si="68"/>
        <v>0</v>
      </c>
      <c r="AD127" s="10">
        <f t="shared" si="69"/>
        <v>0</v>
      </c>
      <c r="AE127" s="10">
        <f t="shared" si="70"/>
        <v>-24.092384371314957</v>
      </c>
      <c r="AF127" s="10">
        <f t="shared" si="71"/>
        <v>-24.992384371314955</v>
      </c>
      <c r="AG127" s="10">
        <f t="shared" si="72"/>
        <v>-3.0911468230862571</v>
      </c>
      <c r="AH127" s="10">
        <f t="shared" si="73"/>
        <v>-6.5461764403444036</v>
      </c>
      <c r="AI127" s="10">
        <f t="shared" si="74"/>
        <v>16.232429272575764</v>
      </c>
      <c r="AJ127" s="10">
        <f t="shared" si="77"/>
        <v>36.265780346159218</v>
      </c>
      <c r="AK127" s="10">
        <f t="shared" si="75"/>
        <v>-1</v>
      </c>
      <c r="AL127" s="10">
        <f t="shared" si="76"/>
        <v>0</v>
      </c>
      <c r="AN127" s="10">
        <f t="shared" si="50"/>
        <v>-1</v>
      </c>
      <c r="AO127" s="10">
        <f t="shared" si="51"/>
        <v>0</v>
      </c>
      <c r="AP127" s="10">
        <f t="shared" si="52"/>
        <v>0</v>
      </c>
    </row>
    <row r="128" spans="2:42" x14ac:dyDescent="0.25">
      <c r="B128" s="10">
        <f t="shared" si="53"/>
        <v>104</v>
      </c>
      <c r="C128">
        <v>0.44751914174412377</v>
      </c>
      <c r="D128">
        <v>1.6222975318669342</v>
      </c>
      <c r="E128">
        <v>1.1059546523028985</v>
      </c>
      <c r="F128">
        <v>-0.64281948652933352</v>
      </c>
      <c r="G128">
        <v>-3.0086084734648466</v>
      </c>
      <c r="H128">
        <v>0.69835505233924378</v>
      </c>
      <c r="K128" s="10">
        <f>1</f>
        <v>1</v>
      </c>
      <c r="L128" s="10">
        <f t="shared" si="54"/>
        <v>7.3159044387400884</v>
      </c>
      <c r="M128" s="10">
        <f t="shared" si="55"/>
        <v>12.048916220108028</v>
      </c>
      <c r="N128" s="10">
        <f t="shared" si="56"/>
        <v>4.5422417220117879</v>
      </c>
      <c r="O128" s="10">
        <f t="shared" si="57"/>
        <v>8.0056366211329948</v>
      </c>
      <c r="P128" s="10">
        <f t="shared" si="58"/>
        <v>-2.3014670373335253</v>
      </c>
      <c r="Q128" s="10">
        <f t="shared" si="59"/>
        <v>-1</v>
      </c>
      <c r="S128" s="10">
        <f t="shared" si="60"/>
        <v>-227.42713278589855</v>
      </c>
      <c r="T128" s="10">
        <f t="shared" si="61"/>
        <v>-1</v>
      </c>
      <c r="U128" s="10">
        <f t="shared" si="62"/>
        <v>0</v>
      </c>
      <c r="V128" s="10">
        <f t="shared" si="63"/>
        <v>0</v>
      </c>
      <c r="Y128" s="10">
        <f t="shared" si="64"/>
        <v>0</v>
      </c>
      <c r="Z128" s="10">
        <f t="shared" si="65"/>
        <v>0</v>
      </c>
      <c r="AA128" s="10">
        <f t="shared" si="66"/>
        <v>0</v>
      </c>
      <c r="AB128" s="10">
        <f t="shared" si="67"/>
        <v>0</v>
      </c>
      <c r="AC128" s="10">
        <f t="shared" si="68"/>
        <v>0</v>
      </c>
      <c r="AD128" s="10">
        <f t="shared" si="69"/>
        <v>0</v>
      </c>
      <c r="AE128" s="10">
        <f t="shared" si="70"/>
        <v>-24.092384371314957</v>
      </c>
      <c r="AF128" s="10">
        <f t="shared" si="71"/>
        <v>-24.992384371314955</v>
      </c>
      <c r="AG128" s="10">
        <f t="shared" si="72"/>
        <v>-3.0911468230862571</v>
      </c>
      <c r="AH128" s="10">
        <f t="shared" si="73"/>
        <v>-6.5461764403444036</v>
      </c>
      <c r="AI128" s="10">
        <f t="shared" si="74"/>
        <v>16.232429272575764</v>
      </c>
      <c r="AJ128" s="10">
        <f t="shared" si="77"/>
        <v>36.265780346159218</v>
      </c>
      <c r="AK128" s="10">
        <f t="shared" si="75"/>
        <v>-1</v>
      </c>
      <c r="AL128" s="10">
        <f t="shared" si="76"/>
        <v>0</v>
      </c>
      <c r="AN128" s="10">
        <f t="shared" si="50"/>
        <v>-1</v>
      </c>
      <c r="AO128" s="10">
        <f t="shared" si="51"/>
        <v>0</v>
      </c>
      <c r="AP128" s="10">
        <f t="shared" si="52"/>
        <v>0</v>
      </c>
    </row>
    <row r="129" spans="2:42" x14ac:dyDescent="0.25">
      <c r="B129" s="10">
        <f t="shared" si="53"/>
        <v>105</v>
      </c>
      <c r="C129">
        <v>-0.27519604373082984</v>
      </c>
      <c r="D129">
        <v>0.56846374718588777</v>
      </c>
      <c r="E129">
        <v>0.6909795047249645</v>
      </c>
      <c r="F129">
        <v>0.31073227546585258</v>
      </c>
      <c r="G129">
        <v>8.5299234342528507E-3</v>
      </c>
      <c r="H129">
        <v>0.57863093966490675</v>
      </c>
      <c r="K129" s="10">
        <f>1</f>
        <v>1</v>
      </c>
      <c r="L129" s="10">
        <f t="shared" si="54"/>
        <v>6.11382001466799</v>
      </c>
      <c r="M129" s="10">
        <f t="shared" si="55"/>
        <v>10.296085777928344</v>
      </c>
      <c r="N129" s="10">
        <f t="shared" si="56"/>
        <v>3.8520180055243163</v>
      </c>
      <c r="O129" s="10">
        <f t="shared" si="57"/>
        <v>9.5916690495060415</v>
      </c>
      <c r="P129" s="10">
        <f t="shared" si="58"/>
        <v>2.716906929443959</v>
      </c>
      <c r="Q129" s="10">
        <f t="shared" si="59"/>
        <v>-1</v>
      </c>
      <c r="S129" s="10">
        <f t="shared" si="60"/>
        <v>20.292812863085004</v>
      </c>
      <c r="T129" s="10">
        <f t="shared" si="61"/>
        <v>1</v>
      </c>
      <c r="U129" s="10">
        <f t="shared" si="62"/>
        <v>-1</v>
      </c>
      <c r="V129" s="10">
        <f t="shared" si="63"/>
        <v>1</v>
      </c>
      <c r="Y129" s="10">
        <f t="shared" si="64"/>
        <v>-0.8947752311777093</v>
      </c>
      <c r="Z129" s="10">
        <f t="shared" si="65"/>
        <v>-5.470494717003457</v>
      </c>
      <c r="AA129" s="10">
        <f t="shared" si="66"/>
        <v>-9.2126825321713586</v>
      </c>
      <c r="AB129" s="10">
        <f t="shared" si="67"/>
        <v>-3.4466903013937187</v>
      </c>
      <c r="AC129" s="10">
        <f t="shared" si="68"/>
        <v>-8.5823878911518481</v>
      </c>
      <c r="AD129" s="10">
        <f t="shared" si="69"/>
        <v>-2.4310210258815386</v>
      </c>
      <c r="AE129" s="10">
        <f t="shared" si="70"/>
        <v>-29.562879088318414</v>
      </c>
      <c r="AF129" s="10">
        <f t="shared" si="71"/>
        <v>-30.462879088318413</v>
      </c>
      <c r="AG129" s="10">
        <f t="shared" si="72"/>
        <v>-12.303829355257616</v>
      </c>
      <c r="AH129" s="10">
        <f t="shared" si="73"/>
        <v>-9.9928667417381227</v>
      </c>
      <c r="AI129" s="10">
        <f t="shared" si="74"/>
        <v>7.6500413814239163</v>
      </c>
      <c r="AJ129" s="10">
        <f t="shared" si="77"/>
        <v>36.265780346159218</v>
      </c>
      <c r="AK129" s="10">
        <f t="shared" si="75"/>
        <v>-1</v>
      </c>
      <c r="AL129" s="10">
        <f t="shared" si="76"/>
        <v>0</v>
      </c>
      <c r="AN129" s="10">
        <f t="shared" si="50"/>
        <v>1</v>
      </c>
      <c r="AO129" s="10">
        <f t="shared" si="51"/>
        <v>0</v>
      </c>
      <c r="AP129" s="10">
        <f t="shared" si="52"/>
        <v>0</v>
      </c>
    </row>
    <row r="130" spans="2:42" x14ac:dyDescent="0.25">
      <c r="B130" s="10">
        <f t="shared" si="53"/>
        <v>106</v>
      </c>
      <c r="C130">
        <v>0.21496020963240881</v>
      </c>
      <c r="D130">
        <v>-1.0441931408422533</v>
      </c>
      <c r="E130">
        <v>0.19363596948096529</v>
      </c>
      <c r="F130">
        <v>0.87775333668105304</v>
      </c>
      <c r="G130">
        <v>-0.1602211341378279</v>
      </c>
      <c r="H130">
        <v>0.39603869747001558</v>
      </c>
      <c r="K130" s="10">
        <f>1</f>
        <v>1</v>
      </c>
      <c r="L130" s="10">
        <f t="shared" si="54"/>
        <v>4.7121141083573246</v>
      </c>
      <c r="M130" s="10">
        <f t="shared" si="55"/>
        <v>8.6572683436891982</v>
      </c>
      <c r="N130" s="10">
        <f t="shared" si="56"/>
        <v>2.1258480172673919</v>
      </c>
      <c r="O130" s="10">
        <f t="shared" si="57"/>
        <v>13.436942482581427</v>
      </c>
      <c r="P130" s="10">
        <f t="shared" si="58"/>
        <v>6.9701755061241144</v>
      </c>
      <c r="Q130" s="10">
        <f t="shared" si="59"/>
        <v>1</v>
      </c>
      <c r="S130" s="10">
        <f t="shared" si="60"/>
        <v>54.703710156103369</v>
      </c>
      <c r="T130" s="10">
        <f t="shared" si="61"/>
        <v>1</v>
      </c>
      <c r="U130" s="10">
        <f t="shared" si="62"/>
        <v>0</v>
      </c>
      <c r="V130" s="10">
        <f t="shared" si="63"/>
        <v>0</v>
      </c>
      <c r="Y130" s="10">
        <f t="shared" si="64"/>
        <v>0</v>
      </c>
      <c r="Z130" s="10">
        <f t="shared" si="65"/>
        <v>0</v>
      </c>
      <c r="AA130" s="10">
        <f t="shared" si="66"/>
        <v>0</v>
      </c>
      <c r="AB130" s="10">
        <f t="shared" si="67"/>
        <v>0</v>
      </c>
      <c r="AC130" s="10">
        <f t="shared" si="68"/>
        <v>0</v>
      </c>
      <c r="AD130" s="10">
        <f t="shared" si="69"/>
        <v>0</v>
      </c>
      <c r="AE130" s="10">
        <f t="shared" si="70"/>
        <v>-29.562879088318414</v>
      </c>
      <c r="AF130" s="10">
        <f t="shared" si="71"/>
        <v>-30.462879088318413</v>
      </c>
      <c r="AG130" s="10">
        <f t="shared" si="72"/>
        <v>-12.303829355257616</v>
      </c>
      <c r="AH130" s="10">
        <f t="shared" si="73"/>
        <v>-9.9928667417381227</v>
      </c>
      <c r="AI130" s="10">
        <f t="shared" si="74"/>
        <v>7.6500413814239163</v>
      </c>
      <c r="AJ130" s="10">
        <f t="shared" si="77"/>
        <v>33.834759320277676</v>
      </c>
      <c r="AK130" s="10">
        <f t="shared" si="75"/>
        <v>1</v>
      </c>
      <c r="AL130" s="10">
        <f t="shared" si="76"/>
        <v>0</v>
      </c>
      <c r="AN130" s="10">
        <f t="shared" si="50"/>
        <v>-1</v>
      </c>
      <c r="AO130" s="10">
        <f t="shared" si="51"/>
        <v>0</v>
      </c>
      <c r="AP130" s="10">
        <f t="shared" si="52"/>
        <v>0</v>
      </c>
    </row>
    <row r="131" spans="2:42" x14ac:dyDescent="0.25">
      <c r="B131" s="10">
        <f t="shared" si="53"/>
        <v>107</v>
      </c>
      <c r="C131">
        <v>-0.17069055502361152</v>
      </c>
      <c r="D131">
        <v>0.70690020947949961</v>
      </c>
      <c r="E131">
        <v>1.6868852981133386E-2</v>
      </c>
      <c r="F131">
        <v>0.11080487638537306</v>
      </c>
      <c r="G131">
        <v>0.51338133744138759</v>
      </c>
      <c r="H131">
        <v>0.75798821985534226</v>
      </c>
      <c r="K131" s="10">
        <f>1</f>
        <v>1</v>
      </c>
      <c r="L131" s="10">
        <f t="shared" si="54"/>
        <v>6.2876428742533079</v>
      </c>
      <c r="M131" s="10">
        <f t="shared" si="55"/>
        <v>10.526345662307875</v>
      </c>
      <c r="N131" s="10">
        <f t="shared" si="56"/>
        <v>2.7307769816072494</v>
      </c>
      <c r="O131" s="10">
        <f t="shared" si="57"/>
        <v>9.2591319488472941</v>
      </c>
      <c r="P131" s="10">
        <f t="shared" si="58"/>
        <v>3.5566208768545504</v>
      </c>
      <c r="Q131" s="10">
        <f t="shared" si="59"/>
        <v>-1</v>
      </c>
      <c r="S131" s="10">
        <f t="shared" si="60"/>
        <v>-186.73508103272852</v>
      </c>
      <c r="T131" s="10">
        <f t="shared" si="61"/>
        <v>-1</v>
      </c>
      <c r="U131" s="10">
        <f t="shared" si="62"/>
        <v>0</v>
      </c>
      <c r="V131" s="10">
        <f t="shared" si="63"/>
        <v>0</v>
      </c>
      <c r="Y131" s="10">
        <f t="shared" si="64"/>
        <v>0</v>
      </c>
      <c r="Z131" s="10">
        <f t="shared" si="65"/>
        <v>0</v>
      </c>
      <c r="AA131" s="10">
        <f t="shared" si="66"/>
        <v>0</v>
      </c>
      <c r="AB131" s="10">
        <f t="shared" si="67"/>
        <v>0</v>
      </c>
      <c r="AC131" s="10">
        <f t="shared" si="68"/>
        <v>0</v>
      </c>
      <c r="AD131" s="10">
        <f t="shared" si="69"/>
        <v>0</v>
      </c>
      <c r="AE131" s="10">
        <f t="shared" si="70"/>
        <v>-29.562879088318414</v>
      </c>
      <c r="AF131" s="10">
        <f t="shared" si="71"/>
        <v>-30.462879088318413</v>
      </c>
      <c r="AG131" s="10">
        <f t="shared" si="72"/>
        <v>-12.303829355257616</v>
      </c>
      <c r="AH131" s="10">
        <f t="shared" si="73"/>
        <v>-9.9928667417381227</v>
      </c>
      <c r="AI131" s="10">
        <f t="shared" si="74"/>
        <v>7.6500413814239163</v>
      </c>
      <c r="AJ131" s="10">
        <f t="shared" si="77"/>
        <v>33.834759320277676</v>
      </c>
      <c r="AK131" s="10">
        <f t="shared" si="75"/>
        <v>-1</v>
      </c>
      <c r="AL131" s="10">
        <f t="shared" si="76"/>
        <v>0</v>
      </c>
      <c r="AN131" s="10">
        <f t="shared" si="50"/>
        <v>1</v>
      </c>
      <c r="AO131" s="10">
        <f t="shared" si="51"/>
        <v>0</v>
      </c>
      <c r="AP131" s="10">
        <f t="shared" si="52"/>
        <v>0</v>
      </c>
    </row>
    <row r="132" spans="2:42" x14ac:dyDescent="0.25">
      <c r="B132" s="10">
        <f t="shared" si="53"/>
        <v>108</v>
      </c>
      <c r="C132">
        <v>0.41761495594982989</v>
      </c>
      <c r="D132">
        <v>-0.36909341361024417</v>
      </c>
      <c r="E132">
        <v>-0.17962292986339889</v>
      </c>
      <c r="F132">
        <v>-0.1067269295162987</v>
      </c>
      <c r="G132">
        <v>2.4804103304632008</v>
      </c>
      <c r="H132">
        <v>0.16272469252601704</v>
      </c>
      <c r="K132" s="10">
        <f>1</f>
        <v>1</v>
      </c>
      <c r="L132" s="10">
        <f t="shared" si="54"/>
        <v>5.1802789184403295</v>
      </c>
      <c r="M132" s="10">
        <f t="shared" si="55"/>
        <v>10.216856467480859</v>
      </c>
      <c r="N132" s="10">
        <f t="shared" si="56"/>
        <v>1.2635603832554185</v>
      </c>
      <c r="O132" s="10">
        <f t="shared" si="57"/>
        <v>11.162635932993703</v>
      </c>
      <c r="P132" s="10">
        <f t="shared" si="58"/>
        <v>13.070455665305733</v>
      </c>
      <c r="Q132" s="10">
        <f t="shared" si="59"/>
        <v>1</v>
      </c>
      <c r="S132" s="10">
        <f t="shared" si="60"/>
        <v>201.92820997756405</v>
      </c>
      <c r="T132" s="10">
        <f t="shared" si="61"/>
        <v>1</v>
      </c>
      <c r="U132" s="10">
        <f t="shared" si="62"/>
        <v>0</v>
      </c>
      <c r="V132" s="10">
        <f t="shared" si="63"/>
        <v>0</v>
      </c>
      <c r="Y132" s="10">
        <f t="shared" si="64"/>
        <v>0</v>
      </c>
      <c r="Z132" s="10">
        <f t="shared" si="65"/>
        <v>0</v>
      </c>
      <c r="AA132" s="10">
        <f t="shared" si="66"/>
        <v>0</v>
      </c>
      <c r="AB132" s="10">
        <f t="shared" si="67"/>
        <v>0</v>
      </c>
      <c r="AC132" s="10">
        <f t="shared" si="68"/>
        <v>0</v>
      </c>
      <c r="AD132" s="10">
        <f t="shared" si="69"/>
        <v>0</v>
      </c>
      <c r="AE132" s="10">
        <f t="shared" si="70"/>
        <v>-29.562879088318414</v>
      </c>
      <c r="AF132" s="10">
        <f t="shared" si="71"/>
        <v>-30.462879088318413</v>
      </c>
      <c r="AG132" s="10">
        <f t="shared" si="72"/>
        <v>-12.303829355257616</v>
      </c>
      <c r="AH132" s="10">
        <f t="shared" si="73"/>
        <v>-9.9928667417381227</v>
      </c>
      <c r="AI132" s="10">
        <f t="shared" si="74"/>
        <v>7.6500413814239163</v>
      </c>
      <c r="AJ132" s="10">
        <f t="shared" si="77"/>
        <v>33.834759320277676</v>
      </c>
      <c r="AK132" s="10">
        <f t="shared" si="75"/>
        <v>1</v>
      </c>
      <c r="AL132" s="10">
        <f t="shared" si="76"/>
        <v>0</v>
      </c>
      <c r="AN132" s="10">
        <f t="shared" si="50"/>
        <v>1</v>
      </c>
      <c r="AO132" s="10">
        <f t="shared" si="51"/>
        <v>0</v>
      </c>
      <c r="AP132" s="10">
        <f t="shared" si="52"/>
        <v>0</v>
      </c>
    </row>
    <row r="133" spans="2:42" x14ac:dyDescent="0.25">
      <c r="B133" s="10">
        <f t="shared" si="53"/>
        <v>109</v>
      </c>
      <c r="C133">
        <v>1.4805118553340435</v>
      </c>
      <c r="D133">
        <v>0.67273731474415399</v>
      </c>
      <c r="E133">
        <v>-1.2459713616408408</v>
      </c>
      <c r="F133">
        <v>2.086562744807452</v>
      </c>
      <c r="G133">
        <v>1.0777694114949554</v>
      </c>
      <c r="H133">
        <v>0.17746513260292368</v>
      </c>
      <c r="K133" s="10">
        <f>1</f>
        <v>1</v>
      </c>
      <c r="L133" s="10">
        <f t="shared" si="54"/>
        <v>7.6357404069100347</v>
      </c>
      <c r="M133" s="10">
        <f t="shared" si="55"/>
        <v>12.623651738462119</v>
      </c>
      <c r="N133" s="10">
        <f t="shared" si="56"/>
        <v>-1.1998746959479576</v>
      </c>
      <c r="O133" s="10">
        <f t="shared" si="57"/>
        <v>16.229485155604408</v>
      </c>
      <c r="P133" s="10">
        <f t="shared" si="58"/>
        <v>9.8301312644408601</v>
      </c>
      <c r="Q133" s="10">
        <f t="shared" si="59"/>
        <v>1</v>
      </c>
      <c r="S133" s="10">
        <f t="shared" si="60"/>
        <v>51.257773718018711</v>
      </c>
      <c r="T133" s="10">
        <f t="shared" si="61"/>
        <v>1</v>
      </c>
      <c r="U133" s="10">
        <f t="shared" si="62"/>
        <v>0</v>
      </c>
      <c r="V133" s="10">
        <f t="shared" si="63"/>
        <v>0</v>
      </c>
      <c r="Y133" s="10">
        <f t="shared" si="64"/>
        <v>0</v>
      </c>
      <c r="Z133" s="10">
        <f t="shared" si="65"/>
        <v>0</v>
      </c>
      <c r="AA133" s="10">
        <f t="shared" si="66"/>
        <v>0</v>
      </c>
      <c r="AB133" s="10">
        <f t="shared" si="67"/>
        <v>0</v>
      </c>
      <c r="AC133" s="10">
        <f t="shared" si="68"/>
        <v>0</v>
      </c>
      <c r="AD133" s="10">
        <f t="shared" si="69"/>
        <v>0</v>
      </c>
      <c r="AE133" s="10">
        <f t="shared" si="70"/>
        <v>-29.562879088318414</v>
      </c>
      <c r="AF133" s="10">
        <f t="shared" si="71"/>
        <v>-30.462879088318413</v>
      </c>
      <c r="AG133" s="10">
        <f t="shared" si="72"/>
        <v>-12.303829355257616</v>
      </c>
      <c r="AH133" s="10">
        <f t="shared" si="73"/>
        <v>-9.9928667417381227</v>
      </c>
      <c r="AI133" s="10">
        <f t="shared" si="74"/>
        <v>7.6500413814239163</v>
      </c>
      <c r="AJ133" s="10">
        <f t="shared" si="77"/>
        <v>33.834759320277676</v>
      </c>
      <c r="AK133" s="10">
        <f t="shared" si="75"/>
        <v>1</v>
      </c>
      <c r="AL133" s="10">
        <f t="shared" si="76"/>
        <v>0</v>
      </c>
      <c r="AN133" s="10">
        <f t="shared" si="50"/>
        <v>-1</v>
      </c>
      <c r="AO133" s="10">
        <f t="shared" si="51"/>
        <v>0</v>
      </c>
      <c r="AP133" s="10">
        <f t="shared" si="52"/>
        <v>0</v>
      </c>
    </row>
    <row r="134" spans="2:42" x14ac:dyDescent="0.25">
      <c r="B134" s="10">
        <f t="shared" si="53"/>
        <v>110</v>
      </c>
      <c r="C134">
        <v>-0.87046828411985189</v>
      </c>
      <c r="D134">
        <v>-0.33984861147473566</v>
      </c>
      <c r="E134">
        <v>0.27495730137161445</v>
      </c>
      <c r="F134">
        <v>-0.73367118602618575</v>
      </c>
      <c r="G134">
        <v>1.1862039173138328</v>
      </c>
      <c r="H134">
        <v>0.84414197210608233</v>
      </c>
      <c r="K134" s="10">
        <f>1</f>
        <v>1</v>
      </c>
      <c r="L134" s="10">
        <f t="shared" si="54"/>
        <v>5.1237100755999618</v>
      </c>
      <c r="M134" s="10">
        <f t="shared" si="55"/>
        <v>8.7852995643792653</v>
      </c>
      <c r="N134" s="10">
        <f t="shared" si="56"/>
        <v>3.1600527323848491</v>
      </c>
      <c r="O134" s="10">
        <f t="shared" si="57"/>
        <v>7.854523962840263</v>
      </c>
      <c r="P134" s="10">
        <f t="shared" si="58"/>
        <v>4.6757194646296938</v>
      </c>
      <c r="Q134" s="10">
        <f t="shared" si="59"/>
        <v>-1</v>
      </c>
      <c r="S134" s="10">
        <f t="shared" si="60"/>
        <v>-107.02737604945057</v>
      </c>
      <c r="T134" s="10">
        <f t="shared" si="61"/>
        <v>-1</v>
      </c>
      <c r="U134" s="10">
        <f t="shared" si="62"/>
        <v>0</v>
      </c>
      <c r="V134" s="10">
        <f t="shared" si="63"/>
        <v>0</v>
      </c>
      <c r="Y134" s="10">
        <f t="shared" si="64"/>
        <v>0</v>
      </c>
      <c r="Z134" s="10">
        <f t="shared" si="65"/>
        <v>0</v>
      </c>
      <c r="AA134" s="10">
        <f t="shared" si="66"/>
        <v>0</v>
      </c>
      <c r="AB134" s="10">
        <f t="shared" si="67"/>
        <v>0</v>
      </c>
      <c r="AC134" s="10">
        <f t="shared" si="68"/>
        <v>0</v>
      </c>
      <c r="AD134" s="10">
        <f t="shared" si="69"/>
        <v>0</v>
      </c>
      <c r="AE134" s="10">
        <f t="shared" si="70"/>
        <v>-29.562879088318414</v>
      </c>
      <c r="AF134" s="10">
        <f t="shared" si="71"/>
        <v>-30.462879088318413</v>
      </c>
      <c r="AG134" s="10">
        <f t="shared" si="72"/>
        <v>-12.303829355257616</v>
      </c>
      <c r="AH134" s="10">
        <f t="shared" si="73"/>
        <v>-9.9928667417381227</v>
      </c>
      <c r="AI134" s="10">
        <f t="shared" si="74"/>
        <v>7.6500413814239163</v>
      </c>
      <c r="AJ134" s="10">
        <f t="shared" si="77"/>
        <v>33.834759320277676</v>
      </c>
      <c r="AK134" s="10">
        <f t="shared" si="75"/>
        <v>-1</v>
      </c>
      <c r="AL134" s="10">
        <f t="shared" si="76"/>
        <v>0</v>
      </c>
      <c r="AN134" s="10">
        <f t="shared" si="50"/>
        <v>1</v>
      </c>
      <c r="AO134" s="10">
        <f t="shared" si="51"/>
        <v>0</v>
      </c>
      <c r="AP134" s="10">
        <f t="shared" si="52"/>
        <v>0</v>
      </c>
    </row>
    <row r="135" spans="2:42" x14ac:dyDescent="0.25">
      <c r="B135" s="10">
        <f t="shared" si="53"/>
        <v>111</v>
      </c>
      <c r="C135">
        <v>-0.90391722551430576</v>
      </c>
      <c r="D135">
        <v>0.20284119273128454</v>
      </c>
      <c r="E135">
        <v>0.89554760052124038</v>
      </c>
      <c r="F135">
        <v>-0.37065092328703031</v>
      </c>
      <c r="G135">
        <v>1.4995475794421509</v>
      </c>
      <c r="H135">
        <v>1.751762443922239E-2</v>
      </c>
      <c r="K135" s="10">
        <f>1</f>
        <v>1</v>
      </c>
      <c r="L135" s="10">
        <f t="shared" si="54"/>
        <v>2.1273286471219093</v>
      </c>
      <c r="M135" s="10">
        <f t="shared" si="55"/>
        <v>11.538116695644399</v>
      </c>
      <c r="N135" s="10">
        <f t="shared" si="56"/>
        <v>3.7473759183524988</v>
      </c>
      <c r="O135" s="10">
        <f t="shared" si="57"/>
        <v>10.552929381998402</v>
      </c>
      <c r="P135" s="10">
        <f t="shared" si="58"/>
        <v>10.80450615317339</v>
      </c>
      <c r="Q135" s="10">
        <f t="shared" si="59"/>
        <v>1</v>
      </c>
      <c r="S135" s="10">
        <f t="shared" si="60"/>
        <v>172.52073020035127</v>
      </c>
      <c r="T135" s="10">
        <f t="shared" si="61"/>
        <v>1</v>
      </c>
      <c r="U135" s="10">
        <f t="shared" si="62"/>
        <v>0</v>
      </c>
      <c r="V135" s="10">
        <f t="shared" si="63"/>
        <v>0</v>
      </c>
      <c r="Y135" s="10">
        <f t="shared" si="64"/>
        <v>0</v>
      </c>
      <c r="Z135" s="10">
        <f t="shared" si="65"/>
        <v>0</v>
      </c>
      <c r="AA135" s="10">
        <f t="shared" si="66"/>
        <v>0</v>
      </c>
      <c r="AB135" s="10">
        <f t="shared" si="67"/>
        <v>0</v>
      </c>
      <c r="AC135" s="10">
        <f t="shared" si="68"/>
        <v>0</v>
      </c>
      <c r="AD135" s="10">
        <f t="shared" si="69"/>
        <v>0</v>
      </c>
      <c r="AE135" s="10">
        <f t="shared" si="70"/>
        <v>-29.562879088318414</v>
      </c>
      <c r="AF135" s="10">
        <f t="shared" si="71"/>
        <v>-30.462879088318413</v>
      </c>
      <c r="AG135" s="10">
        <f t="shared" si="72"/>
        <v>-12.303829355257616</v>
      </c>
      <c r="AH135" s="10">
        <f t="shared" si="73"/>
        <v>-9.9928667417381227</v>
      </c>
      <c r="AI135" s="10">
        <f t="shared" si="74"/>
        <v>7.6500413814239163</v>
      </c>
      <c r="AJ135" s="10">
        <f t="shared" si="77"/>
        <v>33.834759320277676</v>
      </c>
      <c r="AK135" s="10">
        <f t="shared" si="75"/>
        <v>1</v>
      </c>
      <c r="AL135" s="10">
        <f t="shared" si="76"/>
        <v>0</v>
      </c>
      <c r="AN135" s="10">
        <f t="shared" si="50"/>
        <v>-1</v>
      </c>
      <c r="AO135" s="10">
        <f t="shared" si="51"/>
        <v>0</v>
      </c>
      <c r="AP135" s="10">
        <f t="shared" si="52"/>
        <v>0</v>
      </c>
    </row>
    <row r="136" spans="2:42" x14ac:dyDescent="0.25">
      <c r="B136" s="10">
        <f t="shared" si="53"/>
        <v>112</v>
      </c>
      <c r="C136">
        <v>-0.5038918970967643</v>
      </c>
      <c r="D136">
        <v>-0.69292354965000413</v>
      </c>
      <c r="E136">
        <v>0.29120087674527895</v>
      </c>
      <c r="F136">
        <v>-0.29855186767235864</v>
      </c>
      <c r="G136">
        <v>0.44219859773875214</v>
      </c>
      <c r="H136">
        <v>0.55888546403393657</v>
      </c>
      <c r="K136" s="10">
        <f>1</f>
        <v>1</v>
      </c>
      <c r="L136" s="10">
        <f t="shared" si="54"/>
        <v>5.7334326522516328</v>
      </c>
      <c r="M136" s="10">
        <f t="shared" si="55"/>
        <v>8.1980338029274904</v>
      </c>
      <c r="N136" s="10">
        <f t="shared" si="56"/>
        <v>3.1870704972531643</v>
      </c>
      <c r="O136" s="10">
        <f t="shared" si="57"/>
        <v>8.578253262733508</v>
      </c>
      <c r="P136" s="10">
        <f t="shared" si="58"/>
        <v>3.4382233886336779</v>
      </c>
      <c r="Q136" s="10">
        <f t="shared" si="59"/>
        <v>-1</v>
      </c>
      <c r="S136" s="10">
        <f t="shared" si="60"/>
        <v>-154.97947118628994</v>
      </c>
      <c r="T136" s="10">
        <f t="shared" si="61"/>
        <v>-1</v>
      </c>
      <c r="U136" s="10">
        <f t="shared" si="62"/>
        <v>0</v>
      </c>
      <c r="V136" s="10">
        <f t="shared" si="63"/>
        <v>0</v>
      </c>
      <c r="Y136" s="10">
        <f t="shared" si="64"/>
        <v>0</v>
      </c>
      <c r="Z136" s="10">
        <f t="shared" si="65"/>
        <v>0</v>
      </c>
      <c r="AA136" s="10">
        <f t="shared" si="66"/>
        <v>0</v>
      </c>
      <c r="AB136" s="10">
        <f t="shared" si="67"/>
        <v>0</v>
      </c>
      <c r="AC136" s="10">
        <f t="shared" si="68"/>
        <v>0</v>
      </c>
      <c r="AD136" s="10">
        <f t="shared" si="69"/>
        <v>0</v>
      </c>
      <c r="AE136" s="10">
        <f t="shared" si="70"/>
        <v>-29.562879088318414</v>
      </c>
      <c r="AF136" s="10">
        <f t="shared" si="71"/>
        <v>-30.462879088318413</v>
      </c>
      <c r="AG136" s="10">
        <f t="shared" si="72"/>
        <v>-12.303829355257616</v>
      </c>
      <c r="AH136" s="10">
        <f t="shared" si="73"/>
        <v>-9.9928667417381227</v>
      </c>
      <c r="AI136" s="10">
        <f t="shared" si="74"/>
        <v>7.6500413814239163</v>
      </c>
      <c r="AJ136" s="10">
        <f t="shared" si="77"/>
        <v>33.834759320277676</v>
      </c>
      <c r="AK136" s="10">
        <f t="shared" si="75"/>
        <v>-1</v>
      </c>
      <c r="AL136" s="10">
        <f t="shared" si="76"/>
        <v>0</v>
      </c>
      <c r="AN136" s="10">
        <f t="shared" si="50"/>
        <v>-1</v>
      </c>
      <c r="AO136" s="10">
        <f t="shared" si="51"/>
        <v>0</v>
      </c>
      <c r="AP136" s="10">
        <f t="shared" si="52"/>
        <v>0</v>
      </c>
    </row>
    <row r="137" spans="2:42" x14ac:dyDescent="0.25">
      <c r="B137" s="10">
        <f t="shared" si="53"/>
        <v>113</v>
      </c>
      <c r="C137">
        <v>0.98979171525570564</v>
      </c>
      <c r="D137">
        <v>-0.50528115025372244</v>
      </c>
      <c r="E137">
        <v>-0.58872274166787975</v>
      </c>
      <c r="F137">
        <v>1.117307419917779</v>
      </c>
      <c r="G137">
        <v>-0.83937720773974434</v>
      </c>
      <c r="H137">
        <v>0.50556962797936944</v>
      </c>
      <c r="K137" s="10">
        <f>1</f>
        <v>1</v>
      </c>
      <c r="L137" s="10">
        <f t="shared" si="54"/>
        <v>8.2178605997848813</v>
      </c>
      <c r="M137" s="10">
        <f t="shared" si="55"/>
        <v>8.5101373952458825</v>
      </c>
      <c r="N137" s="10">
        <f t="shared" si="56"/>
        <v>1.7235029711709609</v>
      </c>
      <c r="O137" s="10">
        <f t="shared" si="57"/>
        <v>10.933236844780996</v>
      </c>
      <c r="P137" s="10">
        <f t="shared" si="58"/>
        <v>1.3065920835284335</v>
      </c>
      <c r="Q137" s="10">
        <f t="shared" si="59"/>
        <v>-1</v>
      </c>
      <c r="S137" s="10">
        <f t="shared" si="60"/>
        <v>-273.98464375357611</v>
      </c>
      <c r="T137" s="10">
        <f t="shared" si="61"/>
        <v>-1</v>
      </c>
      <c r="U137" s="10">
        <f t="shared" si="62"/>
        <v>0</v>
      </c>
      <c r="V137" s="10">
        <f t="shared" si="63"/>
        <v>0</v>
      </c>
      <c r="Y137" s="10">
        <f t="shared" si="64"/>
        <v>0</v>
      </c>
      <c r="Z137" s="10">
        <f t="shared" si="65"/>
        <v>0</v>
      </c>
      <c r="AA137" s="10">
        <f t="shared" si="66"/>
        <v>0</v>
      </c>
      <c r="AB137" s="10">
        <f t="shared" si="67"/>
        <v>0</v>
      </c>
      <c r="AC137" s="10">
        <f t="shared" si="68"/>
        <v>0</v>
      </c>
      <c r="AD137" s="10">
        <f t="shared" si="69"/>
        <v>0</v>
      </c>
      <c r="AE137" s="10">
        <f t="shared" si="70"/>
        <v>-29.562879088318414</v>
      </c>
      <c r="AF137" s="10">
        <f t="shared" si="71"/>
        <v>-30.462879088318413</v>
      </c>
      <c r="AG137" s="10">
        <f t="shared" si="72"/>
        <v>-12.303829355257616</v>
      </c>
      <c r="AH137" s="10">
        <f t="shared" si="73"/>
        <v>-9.9928667417381227</v>
      </c>
      <c r="AI137" s="10">
        <f t="shared" si="74"/>
        <v>7.6500413814239163</v>
      </c>
      <c r="AJ137" s="10">
        <f t="shared" si="77"/>
        <v>33.834759320277676</v>
      </c>
      <c r="AK137" s="10">
        <f t="shared" si="75"/>
        <v>-1</v>
      </c>
      <c r="AL137" s="10">
        <f t="shared" si="76"/>
        <v>0</v>
      </c>
      <c r="AN137" s="10">
        <f t="shared" si="50"/>
        <v>1</v>
      </c>
      <c r="AO137" s="10">
        <f t="shared" si="51"/>
        <v>0</v>
      </c>
      <c r="AP137" s="10">
        <f t="shared" si="52"/>
        <v>0</v>
      </c>
    </row>
    <row r="138" spans="2:42" x14ac:dyDescent="0.25">
      <c r="B138" s="10">
        <f t="shared" si="53"/>
        <v>114</v>
      </c>
      <c r="C138">
        <v>0.12729287846013904</v>
      </c>
      <c r="D138">
        <v>2.327105903532356</v>
      </c>
      <c r="E138">
        <v>-1.2509735825005919</v>
      </c>
      <c r="F138">
        <v>-0.66537040765979327</v>
      </c>
      <c r="G138">
        <v>-0.13647536434291396</v>
      </c>
      <c r="H138">
        <v>0.1870784630878628</v>
      </c>
      <c r="K138" s="10">
        <f>1</f>
        <v>1</v>
      </c>
      <c r="L138" s="10">
        <f t="shared" si="54"/>
        <v>4.5095885806084519</v>
      </c>
      <c r="M138" s="10">
        <f t="shared" si="55"/>
        <v>16.445507235318729</v>
      </c>
      <c r="N138" s="10">
        <f t="shared" si="56"/>
        <v>-1.2114306245474806</v>
      </c>
      <c r="O138" s="10">
        <f t="shared" si="57"/>
        <v>9.8720803323885793</v>
      </c>
      <c r="P138" s="10">
        <f t="shared" si="58"/>
        <v>7.0250320244555331</v>
      </c>
      <c r="Q138" s="10">
        <f t="shared" si="59"/>
        <v>1</v>
      </c>
      <c r="S138" s="10">
        <f t="shared" si="60"/>
        <v>-43.962889815297899</v>
      </c>
      <c r="T138" s="10">
        <f t="shared" si="61"/>
        <v>-1</v>
      </c>
      <c r="U138" s="10">
        <f t="shared" si="62"/>
        <v>1</v>
      </c>
      <c r="V138" s="10">
        <f t="shared" si="63"/>
        <v>1</v>
      </c>
      <c r="Y138" s="10">
        <f t="shared" si="64"/>
        <v>0.8947752311777093</v>
      </c>
      <c r="Z138" s="10">
        <f t="shared" si="65"/>
        <v>4.0350681647302853</v>
      </c>
      <c r="AA138" s="10">
        <f t="shared" si="66"/>
        <v>14.715032538317006</v>
      </c>
      <c r="AB138" s="10">
        <f t="shared" si="67"/>
        <v>-1.0839581171352288</v>
      </c>
      <c r="AC138" s="10">
        <f t="shared" si="68"/>
        <v>8.833292961617909</v>
      </c>
      <c r="AD138" s="10">
        <f t="shared" si="69"/>
        <v>6.2858246537130107</v>
      </c>
      <c r="AE138" s="10">
        <f t="shared" si="70"/>
        <v>-25.527810923588127</v>
      </c>
      <c r="AF138" s="10">
        <f t="shared" si="71"/>
        <v>-26.427810923588126</v>
      </c>
      <c r="AG138" s="10">
        <f t="shared" si="72"/>
        <v>2.4112031830593903</v>
      </c>
      <c r="AH138" s="10">
        <f t="shared" si="73"/>
        <v>-11.076824858873351</v>
      </c>
      <c r="AI138" s="10">
        <f t="shared" si="74"/>
        <v>16.483334343041825</v>
      </c>
      <c r="AJ138" s="10">
        <f t="shared" si="77"/>
        <v>33.834759320277676</v>
      </c>
      <c r="AK138" s="10">
        <f t="shared" si="75"/>
        <v>1</v>
      </c>
      <c r="AL138" s="10">
        <f t="shared" si="76"/>
        <v>0</v>
      </c>
      <c r="AN138" s="10">
        <f t="shared" si="50"/>
        <v>1</v>
      </c>
      <c r="AO138" s="10">
        <f t="shared" si="51"/>
        <v>0</v>
      </c>
      <c r="AP138" s="10">
        <f t="shared" si="52"/>
        <v>0</v>
      </c>
    </row>
    <row r="139" spans="2:42" x14ac:dyDescent="0.25">
      <c r="B139" s="10">
        <f t="shared" si="53"/>
        <v>115</v>
      </c>
      <c r="C139">
        <v>-1.2167470231361222</v>
      </c>
      <c r="D139">
        <v>-0.17636011762078851</v>
      </c>
      <c r="E139">
        <v>1.1512202036101371</v>
      </c>
      <c r="F139">
        <v>0.81866573964362033</v>
      </c>
      <c r="G139">
        <v>-0.20448169379960746</v>
      </c>
      <c r="H139">
        <v>0.37611011078218942</v>
      </c>
      <c r="K139" s="10">
        <f>1</f>
        <v>1</v>
      </c>
      <c r="L139" s="10">
        <f t="shared" si="54"/>
        <v>1.4046418832869949</v>
      </c>
      <c r="M139" s="10">
        <f t="shared" si="55"/>
        <v>10.662101143725675</v>
      </c>
      <c r="N139" s="10">
        <f t="shared" si="56"/>
        <v>4.3380204398534064</v>
      </c>
      <c r="O139" s="10">
        <f t="shared" si="57"/>
        <v>13.300440702346968</v>
      </c>
      <c r="P139" s="10">
        <f t="shared" si="58"/>
        <v>6.8679265487976044</v>
      </c>
      <c r="Q139" s="10">
        <f t="shared" si="59"/>
        <v>1</v>
      </c>
      <c r="S139" s="10">
        <f t="shared" si="60"/>
        <v>366.61783135343336</v>
      </c>
      <c r="T139" s="10">
        <f t="shared" si="61"/>
        <v>1</v>
      </c>
      <c r="U139" s="10">
        <f t="shared" si="62"/>
        <v>0</v>
      </c>
      <c r="V139" s="10">
        <f t="shared" si="63"/>
        <v>0</v>
      </c>
      <c r="Y139" s="10">
        <f t="shared" si="64"/>
        <v>0</v>
      </c>
      <c r="Z139" s="10">
        <f t="shared" si="65"/>
        <v>0</v>
      </c>
      <c r="AA139" s="10">
        <f t="shared" si="66"/>
        <v>0</v>
      </c>
      <c r="AB139" s="10">
        <f t="shared" si="67"/>
        <v>0</v>
      </c>
      <c r="AC139" s="10">
        <f t="shared" si="68"/>
        <v>0</v>
      </c>
      <c r="AD139" s="10">
        <f t="shared" si="69"/>
        <v>0</v>
      </c>
      <c r="AE139" s="10">
        <f t="shared" si="70"/>
        <v>-25.527810923588127</v>
      </c>
      <c r="AF139" s="10">
        <f t="shared" si="71"/>
        <v>-26.427810923588126</v>
      </c>
      <c r="AG139" s="10">
        <f t="shared" si="72"/>
        <v>2.4112031830593903</v>
      </c>
      <c r="AH139" s="10">
        <f t="shared" si="73"/>
        <v>-11.076824858873351</v>
      </c>
      <c r="AI139" s="10">
        <f t="shared" si="74"/>
        <v>16.483334343041825</v>
      </c>
      <c r="AJ139" s="10">
        <f t="shared" si="77"/>
        <v>40.120583973990691</v>
      </c>
      <c r="AK139" s="10">
        <f t="shared" si="75"/>
        <v>1</v>
      </c>
      <c r="AL139" s="10">
        <f t="shared" si="76"/>
        <v>0</v>
      </c>
      <c r="AN139" s="10">
        <f t="shared" si="50"/>
        <v>1</v>
      </c>
      <c r="AO139" s="10">
        <f t="shared" si="51"/>
        <v>0</v>
      </c>
      <c r="AP139" s="10">
        <f t="shared" si="52"/>
        <v>0</v>
      </c>
    </row>
    <row r="140" spans="2:42" x14ac:dyDescent="0.25">
      <c r="B140" s="10">
        <f t="shared" si="53"/>
        <v>116</v>
      </c>
      <c r="C140">
        <v>-6.3114384829532355E-2</v>
      </c>
      <c r="D140">
        <v>0.80378413258586079</v>
      </c>
      <c r="E140">
        <v>-1.5235218597808853</v>
      </c>
      <c r="F140">
        <v>-1.3042608770774677</v>
      </c>
      <c r="G140">
        <v>-0.24512473828508519</v>
      </c>
      <c r="H140">
        <v>0.21338541825617238</v>
      </c>
      <c r="K140" s="10">
        <f>1</f>
        <v>1</v>
      </c>
      <c r="L140" s="10">
        <f t="shared" si="54"/>
        <v>4.0697174111624159</v>
      </c>
      <c r="M140" s="10">
        <f t="shared" si="55"/>
        <v>12.926390804295538</v>
      </c>
      <c r="N140" s="10">
        <f t="shared" si="56"/>
        <v>-1.841060646987325</v>
      </c>
      <c r="O140" s="10">
        <f t="shared" si="57"/>
        <v>8.3961413735730126</v>
      </c>
      <c r="P140" s="10">
        <f t="shared" si="58"/>
        <v>6.7740346289264783</v>
      </c>
      <c r="Q140" s="10">
        <f t="shared" si="59"/>
        <v>1</v>
      </c>
      <c r="S140" s="10">
        <f t="shared" si="60"/>
        <v>328.65435844042275</v>
      </c>
      <c r="T140" s="10">
        <f t="shared" si="61"/>
        <v>1</v>
      </c>
      <c r="U140" s="10">
        <f t="shared" si="62"/>
        <v>0</v>
      </c>
      <c r="V140" s="10">
        <f t="shared" si="63"/>
        <v>0</v>
      </c>
      <c r="Y140" s="10">
        <f t="shared" si="64"/>
        <v>0</v>
      </c>
      <c r="Z140" s="10">
        <f t="shared" si="65"/>
        <v>0</v>
      </c>
      <c r="AA140" s="10">
        <f t="shared" si="66"/>
        <v>0</v>
      </c>
      <c r="AB140" s="10">
        <f t="shared" si="67"/>
        <v>0</v>
      </c>
      <c r="AC140" s="10">
        <f t="shared" si="68"/>
        <v>0</v>
      </c>
      <c r="AD140" s="10">
        <f t="shared" si="69"/>
        <v>0</v>
      </c>
      <c r="AE140" s="10">
        <f t="shared" si="70"/>
        <v>-25.527810923588127</v>
      </c>
      <c r="AF140" s="10">
        <f t="shared" si="71"/>
        <v>-26.427810923588126</v>
      </c>
      <c r="AG140" s="10">
        <f t="shared" si="72"/>
        <v>2.4112031830593903</v>
      </c>
      <c r="AH140" s="10">
        <f t="shared" si="73"/>
        <v>-11.076824858873351</v>
      </c>
      <c r="AI140" s="10">
        <f t="shared" si="74"/>
        <v>16.483334343041825</v>
      </c>
      <c r="AJ140" s="10">
        <f t="shared" si="77"/>
        <v>40.120583973990691</v>
      </c>
      <c r="AK140" s="10">
        <f t="shared" si="75"/>
        <v>1</v>
      </c>
      <c r="AL140" s="10">
        <f t="shared" si="76"/>
        <v>0</v>
      </c>
      <c r="AN140" s="10">
        <f t="shared" si="50"/>
        <v>-1</v>
      </c>
      <c r="AO140" s="10">
        <f t="shared" si="51"/>
        <v>0</v>
      </c>
      <c r="AP140" s="10">
        <f t="shared" si="52"/>
        <v>0</v>
      </c>
    </row>
    <row r="141" spans="2:42" x14ac:dyDescent="0.25">
      <c r="B141" s="10">
        <f t="shared" si="53"/>
        <v>117</v>
      </c>
      <c r="C141">
        <v>1.0526764526730403</v>
      </c>
      <c r="D141">
        <v>-1.0980920706060715</v>
      </c>
      <c r="E141">
        <v>0.35374114304431714</v>
      </c>
      <c r="F141">
        <v>0.95421228252234869</v>
      </c>
      <c r="G141">
        <v>-0.19316757970955223</v>
      </c>
      <c r="H141">
        <v>0.67348246711630599</v>
      </c>
      <c r="K141" s="10">
        <f>1</f>
        <v>1</v>
      </c>
      <c r="L141" s="10">
        <f t="shared" si="54"/>
        <v>8.3224561097181109</v>
      </c>
      <c r="M141" s="10">
        <f t="shared" si="55"/>
        <v>7.5241213434216885</v>
      </c>
      <c r="N141" s="10">
        <f t="shared" si="56"/>
        <v>3.2910930520663566</v>
      </c>
      <c r="O141" s="10">
        <f t="shared" si="57"/>
        <v>10.661962450323514</v>
      </c>
      <c r="P141" s="10">
        <f t="shared" si="58"/>
        <v>2.3814256336634321</v>
      </c>
      <c r="Q141" s="10">
        <f t="shared" si="59"/>
        <v>-1</v>
      </c>
      <c r="S141" s="10">
        <f t="shared" si="60"/>
        <v>7.5040955247579717</v>
      </c>
      <c r="T141" s="10">
        <f t="shared" si="61"/>
        <v>1</v>
      </c>
      <c r="U141" s="10">
        <f t="shared" si="62"/>
        <v>-1</v>
      </c>
      <c r="V141" s="10">
        <f t="shared" si="63"/>
        <v>1</v>
      </c>
      <c r="Y141" s="10">
        <f t="shared" si="64"/>
        <v>-0.8947752311777093</v>
      </c>
      <c r="Z141" s="10">
        <f t="shared" si="65"/>
        <v>-7.4467275895393614</v>
      </c>
      <c r="AA141" s="10">
        <f t="shared" si="66"/>
        <v>-6.7323974144692782</v>
      </c>
      <c r="AB141" s="10">
        <f t="shared" si="67"/>
        <v>-2.944788546490027</v>
      </c>
      <c r="AC141" s="10">
        <f t="shared" si="68"/>
        <v>-9.5400599162962791</v>
      </c>
      <c r="AD141" s="10">
        <f t="shared" si="69"/>
        <v>-2.1308406718937203</v>
      </c>
      <c r="AE141" s="10">
        <f t="shared" si="70"/>
        <v>-32.974538513127492</v>
      </c>
      <c r="AF141" s="10">
        <f t="shared" si="71"/>
        <v>-33.87453851312749</v>
      </c>
      <c r="AG141" s="10">
        <f t="shared" si="72"/>
        <v>-4.3211942314098879</v>
      </c>
      <c r="AH141" s="10">
        <f t="shared" si="73"/>
        <v>-14.021613405363379</v>
      </c>
      <c r="AI141" s="10">
        <f t="shared" si="74"/>
        <v>6.9432744267455462</v>
      </c>
      <c r="AJ141" s="10">
        <f t="shared" si="77"/>
        <v>40.120583973990691</v>
      </c>
      <c r="AK141" s="10">
        <f t="shared" si="75"/>
        <v>-1</v>
      </c>
      <c r="AL141" s="10">
        <f t="shared" si="76"/>
        <v>0</v>
      </c>
      <c r="AN141" s="10">
        <f t="shared" si="50"/>
        <v>1</v>
      </c>
      <c r="AO141" s="10">
        <f t="shared" si="51"/>
        <v>0</v>
      </c>
      <c r="AP141" s="10">
        <f t="shared" si="52"/>
        <v>0</v>
      </c>
    </row>
    <row r="142" spans="2:42" x14ac:dyDescent="0.25">
      <c r="B142" s="10">
        <f t="shared" si="53"/>
        <v>118</v>
      </c>
      <c r="C142">
        <v>1.0251187632093206</v>
      </c>
      <c r="D142">
        <v>-0.43503973756742198</v>
      </c>
      <c r="E142">
        <v>-2.6522320695221424</v>
      </c>
      <c r="F142">
        <v>1.464673005102668</v>
      </c>
      <c r="G142">
        <v>1.1646807251963764</v>
      </c>
      <c r="H142">
        <v>0.32218390453810236</v>
      </c>
      <c r="K142" s="10">
        <f>1</f>
        <v>1</v>
      </c>
      <c r="L142" s="10">
        <f t="shared" si="54"/>
        <v>6.5837096779887059</v>
      </c>
      <c r="M142" s="10">
        <f t="shared" si="55"/>
        <v>10.064509933328008</v>
      </c>
      <c r="N142" s="10">
        <f t="shared" si="56"/>
        <v>-4.4485613869630303</v>
      </c>
      <c r="O142" s="10">
        <f t="shared" si="57"/>
        <v>14.792820595942766</v>
      </c>
      <c r="P142" s="10">
        <f t="shared" si="58"/>
        <v>10.030910271162758</v>
      </c>
      <c r="Q142" s="10">
        <f t="shared" si="59"/>
        <v>1</v>
      </c>
      <c r="S142" s="10">
        <f t="shared" si="60"/>
        <v>268.04723096574753</v>
      </c>
      <c r="T142" s="10">
        <f t="shared" si="61"/>
        <v>1</v>
      </c>
      <c r="U142" s="10">
        <f t="shared" si="62"/>
        <v>0</v>
      </c>
      <c r="V142" s="10">
        <f t="shared" si="63"/>
        <v>0</v>
      </c>
      <c r="Y142" s="10">
        <f t="shared" si="64"/>
        <v>0</v>
      </c>
      <c r="Z142" s="10">
        <f t="shared" si="65"/>
        <v>0</v>
      </c>
      <c r="AA142" s="10">
        <f t="shared" si="66"/>
        <v>0</v>
      </c>
      <c r="AB142" s="10">
        <f t="shared" si="67"/>
        <v>0</v>
      </c>
      <c r="AC142" s="10">
        <f t="shared" si="68"/>
        <v>0</v>
      </c>
      <c r="AD142" s="10">
        <f t="shared" si="69"/>
        <v>0</v>
      </c>
      <c r="AE142" s="10">
        <f t="shared" si="70"/>
        <v>-32.974538513127492</v>
      </c>
      <c r="AF142" s="10">
        <f t="shared" si="71"/>
        <v>-33.87453851312749</v>
      </c>
      <c r="AG142" s="10">
        <f t="shared" si="72"/>
        <v>-4.3211942314098879</v>
      </c>
      <c r="AH142" s="10">
        <f t="shared" si="73"/>
        <v>-14.021613405363379</v>
      </c>
      <c r="AI142" s="10">
        <f t="shared" si="74"/>
        <v>6.9432744267455462</v>
      </c>
      <c r="AJ142" s="10">
        <f t="shared" si="77"/>
        <v>37.989743302096969</v>
      </c>
      <c r="AK142" s="10">
        <f t="shared" si="75"/>
        <v>1</v>
      </c>
      <c r="AL142" s="10">
        <f t="shared" si="76"/>
        <v>0</v>
      </c>
      <c r="AN142" s="10">
        <f t="shared" si="50"/>
        <v>-1</v>
      </c>
      <c r="AO142" s="10">
        <f t="shared" si="51"/>
        <v>0</v>
      </c>
      <c r="AP142" s="10">
        <f t="shared" si="52"/>
        <v>0</v>
      </c>
    </row>
    <row r="143" spans="2:42" x14ac:dyDescent="0.25">
      <c r="B143" s="10">
        <f t="shared" si="53"/>
        <v>119</v>
      </c>
      <c r="C143">
        <v>0.58863179219770245</v>
      </c>
      <c r="D143">
        <v>-1.8767786968965083</v>
      </c>
      <c r="E143">
        <v>-0.43588102016656194</v>
      </c>
      <c r="F143">
        <v>-2.4754626792855561</v>
      </c>
      <c r="G143">
        <v>1.9232811609981582</v>
      </c>
      <c r="H143">
        <v>0.95480208746604811</v>
      </c>
      <c r="K143" s="10">
        <f>1</f>
        <v>1</v>
      </c>
      <c r="L143" s="10">
        <f t="shared" si="54"/>
        <v>7.5506155982106078</v>
      </c>
      <c r="M143" s="10">
        <f t="shared" si="55"/>
        <v>6.2289402215779095</v>
      </c>
      <c r="N143" s="10">
        <f t="shared" si="56"/>
        <v>1.9777229688376168</v>
      </c>
      <c r="O143" s="10">
        <f t="shared" si="57"/>
        <v>4.9574208354825879</v>
      </c>
      <c r="P143" s="10">
        <f t="shared" si="58"/>
        <v>5.9016921462312872</v>
      </c>
      <c r="Q143" s="10">
        <f t="shared" si="59"/>
        <v>-1</v>
      </c>
      <c r="S143" s="10">
        <f t="shared" si="60"/>
        <v>-84.770981844811814</v>
      </c>
      <c r="T143" s="10">
        <f t="shared" si="61"/>
        <v>-1</v>
      </c>
      <c r="U143" s="10">
        <f t="shared" si="62"/>
        <v>0</v>
      </c>
      <c r="V143" s="10">
        <f t="shared" si="63"/>
        <v>0</v>
      </c>
      <c r="Y143" s="10">
        <f t="shared" si="64"/>
        <v>0</v>
      </c>
      <c r="Z143" s="10">
        <f t="shared" si="65"/>
        <v>0</v>
      </c>
      <c r="AA143" s="10">
        <f t="shared" si="66"/>
        <v>0</v>
      </c>
      <c r="AB143" s="10">
        <f t="shared" si="67"/>
        <v>0</v>
      </c>
      <c r="AC143" s="10">
        <f t="shared" si="68"/>
        <v>0</v>
      </c>
      <c r="AD143" s="10">
        <f t="shared" si="69"/>
        <v>0</v>
      </c>
      <c r="AE143" s="10">
        <f t="shared" si="70"/>
        <v>-32.974538513127492</v>
      </c>
      <c r="AF143" s="10">
        <f t="shared" si="71"/>
        <v>-33.87453851312749</v>
      </c>
      <c r="AG143" s="10">
        <f t="shared" si="72"/>
        <v>-4.3211942314098879</v>
      </c>
      <c r="AH143" s="10">
        <f t="shared" si="73"/>
        <v>-14.021613405363379</v>
      </c>
      <c r="AI143" s="10">
        <f t="shared" si="74"/>
        <v>6.9432744267455462</v>
      </c>
      <c r="AJ143" s="10">
        <f t="shared" si="77"/>
        <v>37.989743302096969</v>
      </c>
      <c r="AK143" s="10">
        <f t="shared" si="75"/>
        <v>-1</v>
      </c>
      <c r="AL143" s="10">
        <f t="shared" si="76"/>
        <v>0</v>
      </c>
      <c r="AN143" s="10">
        <f t="shared" si="50"/>
        <v>-1</v>
      </c>
      <c r="AO143" s="10">
        <f t="shared" si="51"/>
        <v>0</v>
      </c>
      <c r="AP143" s="10">
        <f t="shared" si="52"/>
        <v>0</v>
      </c>
    </row>
    <row r="144" spans="2:42" x14ac:dyDescent="0.25">
      <c r="B144" s="10">
        <f t="shared" si="53"/>
        <v>120</v>
      </c>
      <c r="C144">
        <v>-0.21370851754909381</v>
      </c>
      <c r="D144">
        <v>0.29799139156239107</v>
      </c>
      <c r="E144">
        <v>-0.62412027546088211</v>
      </c>
      <c r="F144">
        <v>6.4648020270396955E-2</v>
      </c>
      <c r="G144">
        <v>0.57062379710259847</v>
      </c>
      <c r="H144">
        <v>0.82409131138035219</v>
      </c>
      <c r="K144" s="10">
        <f>1</f>
        <v>1</v>
      </c>
      <c r="L144" s="10">
        <f t="shared" si="54"/>
        <v>6.2160915581242353</v>
      </c>
      <c r="M144" s="10">
        <f t="shared" si="55"/>
        <v>9.8462120069442385</v>
      </c>
      <c r="N144" s="10">
        <f t="shared" si="56"/>
        <v>1.6646266324993575</v>
      </c>
      <c r="O144" s="10">
        <f t="shared" si="57"/>
        <v>9.1823597446442129</v>
      </c>
      <c r="P144" s="10">
        <f t="shared" si="58"/>
        <v>3.6518316466533007</v>
      </c>
      <c r="Q144" s="10">
        <f t="shared" si="59"/>
        <v>-1</v>
      </c>
      <c r="S144" s="10">
        <f t="shared" si="60"/>
        <v>-106.94212659975875</v>
      </c>
      <c r="T144" s="10">
        <f t="shared" si="61"/>
        <v>-1</v>
      </c>
      <c r="U144" s="10">
        <f t="shared" si="62"/>
        <v>0</v>
      </c>
      <c r="V144" s="10">
        <f t="shared" si="63"/>
        <v>0</v>
      </c>
      <c r="X144" s="10">
        <f>SUM(V125:V144)</f>
        <v>3</v>
      </c>
      <c r="Y144" s="10">
        <f t="shared" si="64"/>
        <v>0</v>
      </c>
      <c r="Z144" s="10">
        <f t="shared" si="65"/>
        <v>0</v>
      </c>
      <c r="AA144" s="10">
        <f t="shared" si="66"/>
        <v>0</v>
      </c>
      <c r="AB144" s="10">
        <f t="shared" si="67"/>
        <v>0</v>
      </c>
      <c r="AC144" s="10">
        <f t="shared" si="68"/>
        <v>0</v>
      </c>
      <c r="AD144" s="10">
        <f t="shared" si="69"/>
        <v>0</v>
      </c>
      <c r="AE144" s="10">
        <f t="shared" si="70"/>
        <v>-32.974538513127492</v>
      </c>
      <c r="AF144" s="10">
        <f t="shared" si="71"/>
        <v>-33.87453851312749</v>
      </c>
      <c r="AG144" s="10">
        <f t="shared" si="72"/>
        <v>-4.3211942314098879</v>
      </c>
      <c r="AH144" s="10">
        <f t="shared" si="73"/>
        <v>-14.021613405363379</v>
      </c>
      <c r="AI144" s="10">
        <f t="shared" si="74"/>
        <v>6.9432744267455462</v>
      </c>
      <c r="AJ144" s="10">
        <f t="shared" si="77"/>
        <v>37.989743302096969</v>
      </c>
      <c r="AK144" s="10">
        <f t="shared" si="75"/>
        <v>-1</v>
      </c>
      <c r="AL144" s="10">
        <f t="shared" si="76"/>
        <v>0</v>
      </c>
      <c r="AN144" s="10">
        <f t="shared" si="50"/>
        <v>-1</v>
      </c>
      <c r="AO144" s="10">
        <f t="shared" si="51"/>
        <v>0</v>
      </c>
      <c r="AP144" s="10">
        <f t="shared" si="52"/>
        <v>0</v>
      </c>
    </row>
    <row r="145" spans="2:42" x14ac:dyDescent="0.25">
      <c r="B145" s="10">
        <f t="shared" si="53"/>
        <v>121</v>
      </c>
      <c r="C145">
        <v>1.9060553313465789</v>
      </c>
      <c r="D145">
        <v>-1.8776700017042458</v>
      </c>
      <c r="E145">
        <v>1.8005130186793394</v>
      </c>
      <c r="F145">
        <v>0.18078935681842268</v>
      </c>
      <c r="G145">
        <v>0.86990894487826154</v>
      </c>
      <c r="H145">
        <v>0.90472121341593681</v>
      </c>
      <c r="K145" s="10">
        <f>1</f>
        <v>1</v>
      </c>
      <c r="L145" s="10">
        <f t="shared" si="54"/>
        <v>9.7418720546195843</v>
      </c>
      <c r="M145" s="10">
        <f t="shared" si="55"/>
        <v>6.2274577238415745</v>
      </c>
      <c r="N145" s="10">
        <f t="shared" si="56"/>
        <v>5.697493210579017</v>
      </c>
      <c r="O145" s="10">
        <f t="shared" si="57"/>
        <v>9.3755363852644695</v>
      </c>
      <c r="P145" s="10">
        <f t="shared" si="58"/>
        <v>4.1496294260936342</v>
      </c>
      <c r="Q145" s="10">
        <f t="shared" si="59"/>
        <v>-1</v>
      </c>
      <c r="S145" s="10">
        <f t="shared" si="60"/>
        <v>-247.03378147137948</v>
      </c>
      <c r="T145" s="12">
        <f t="shared" si="61"/>
        <v>-1</v>
      </c>
      <c r="U145" s="10">
        <f t="shared" si="62"/>
        <v>0</v>
      </c>
      <c r="V145" s="12">
        <f t="shared" si="63"/>
        <v>0</v>
      </c>
      <c r="W145" s="12"/>
      <c r="X145" s="12"/>
      <c r="Y145" s="10">
        <f t="shared" si="64"/>
        <v>0</v>
      </c>
      <c r="Z145" s="10">
        <f t="shared" si="65"/>
        <v>0</v>
      </c>
      <c r="AA145" s="10">
        <f t="shared" si="66"/>
        <v>0</v>
      </c>
      <c r="AB145" s="10">
        <f t="shared" si="67"/>
        <v>0</v>
      </c>
      <c r="AC145" s="10">
        <f t="shared" si="68"/>
        <v>0</v>
      </c>
      <c r="AD145" s="10">
        <f t="shared" si="69"/>
        <v>0</v>
      </c>
      <c r="AE145" s="10">
        <f t="shared" si="70"/>
        <v>-32.974538513127492</v>
      </c>
      <c r="AF145" s="10">
        <f t="shared" si="71"/>
        <v>-33.87453851312749</v>
      </c>
      <c r="AG145" s="10">
        <f t="shared" si="72"/>
        <v>-4.3211942314098879</v>
      </c>
      <c r="AH145" s="10">
        <f t="shared" si="73"/>
        <v>-14.021613405363379</v>
      </c>
      <c r="AI145" s="10">
        <f t="shared" si="74"/>
        <v>6.9432744267455462</v>
      </c>
      <c r="AJ145" s="10">
        <f t="shared" si="77"/>
        <v>37.989743302096969</v>
      </c>
      <c r="AK145" s="10">
        <f t="shared" si="75"/>
        <v>-1</v>
      </c>
      <c r="AL145" s="10">
        <f t="shared" si="76"/>
        <v>0</v>
      </c>
      <c r="AN145" s="10">
        <f t="shared" si="50"/>
        <v>-1</v>
      </c>
      <c r="AO145" s="10">
        <f t="shared" si="51"/>
        <v>1</v>
      </c>
      <c r="AP145" s="10">
        <f t="shared" si="52"/>
        <v>1</v>
      </c>
    </row>
    <row r="146" spans="2:42" x14ac:dyDescent="0.25">
      <c r="B146" s="10">
        <f t="shared" si="53"/>
        <v>122</v>
      </c>
      <c r="C146">
        <v>0.15820660337340087</v>
      </c>
      <c r="D146">
        <v>-3.1407125788973644E-2</v>
      </c>
      <c r="E146">
        <v>1.3138105714460835</v>
      </c>
      <c r="F146">
        <v>-0.54843667385284789</v>
      </c>
      <c r="G146">
        <v>-1.5281784726539627</v>
      </c>
      <c r="H146">
        <v>0.12811670278023621</v>
      </c>
      <c r="K146" s="10">
        <f>1</f>
        <v>1</v>
      </c>
      <c r="L146" s="10">
        <f t="shared" si="54"/>
        <v>4.5810042193535061</v>
      </c>
      <c r="M146" s="10">
        <f t="shared" si="55"/>
        <v>10.996965691065769</v>
      </c>
      <c r="N146" s="10">
        <f t="shared" si="56"/>
        <v>4.7136301408964565</v>
      </c>
      <c r="O146" s="10">
        <f t="shared" si="57"/>
        <v>10.142215921486891</v>
      </c>
      <c r="P146" s="10">
        <f t="shared" si="58"/>
        <v>3.8099757120124815</v>
      </c>
      <c r="Q146" s="10">
        <f t="shared" si="59"/>
        <v>1</v>
      </c>
      <c r="S146" s="10">
        <f t="shared" si="60"/>
        <v>-86.606478924412102</v>
      </c>
      <c r="T146" s="10">
        <f t="shared" si="61"/>
        <v>-1</v>
      </c>
      <c r="U146" s="10">
        <f t="shared" si="62"/>
        <v>1</v>
      </c>
      <c r="V146" s="10">
        <f t="shared" si="63"/>
        <v>1</v>
      </c>
      <c r="Y146" s="10">
        <f t="shared" si="64"/>
        <v>0.8947752311777093</v>
      </c>
      <c r="Z146" s="10">
        <f t="shared" si="65"/>
        <v>4.0989691093980953</v>
      </c>
      <c r="AA146" s="10">
        <f t="shared" si="66"/>
        <v>9.8398125184767107</v>
      </c>
      <c r="AB146" s="10">
        <f t="shared" si="67"/>
        <v>4.2176394990068449</v>
      </c>
      <c r="AC146" s="10">
        <f t="shared" si="68"/>
        <v>9.0750035958026771</v>
      </c>
      <c r="AD146" s="10">
        <f t="shared" si="69"/>
        <v>3.4090718984974258</v>
      </c>
      <c r="AE146" s="10">
        <f t="shared" si="70"/>
        <v>-28.875569403729397</v>
      </c>
      <c r="AF146" s="10">
        <f t="shared" si="71"/>
        <v>-29.775569403729396</v>
      </c>
      <c r="AG146" s="10">
        <f t="shared" si="72"/>
        <v>5.5186182870668228</v>
      </c>
      <c r="AH146" s="10">
        <f t="shared" si="73"/>
        <v>-9.8039739063565339</v>
      </c>
      <c r="AI146" s="10">
        <f t="shared" si="74"/>
        <v>16.018278022548223</v>
      </c>
      <c r="AJ146" s="10">
        <f t="shared" si="77"/>
        <v>37.989743302096969</v>
      </c>
      <c r="AK146" s="10">
        <f t="shared" si="75"/>
        <v>-1</v>
      </c>
      <c r="AL146" s="10">
        <f t="shared" si="76"/>
        <v>1</v>
      </c>
      <c r="AN146" s="10">
        <f t="shared" si="50"/>
        <v>-1</v>
      </c>
      <c r="AO146" s="10">
        <f t="shared" si="51"/>
        <v>0</v>
      </c>
      <c r="AP146" s="10">
        <f t="shared" si="52"/>
        <v>0</v>
      </c>
    </row>
    <row r="147" spans="2:42" x14ac:dyDescent="0.25">
      <c r="B147" s="10">
        <f t="shared" si="53"/>
        <v>123</v>
      </c>
      <c r="C147">
        <v>1.3120006769895554</v>
      </c>
      <c r="D147">
        <v>0.1744172095641261</v>
      </c>
      <c r="E147">
        <v>7.0934902396402322E-2</v>
      </c>
      <c r="F147">
        <v>0.62775029618933331</v>
      </c>
      <c r="G147">
        <v>0.1326156962022651</v>
      </c>
      <c r="H147">
        <v>0.96966460158085876</v>
      </c>
      <c r="K147" s="10">
        <f>1</f>
        <v>1</v>
      </c>
      <c r="L147" s="10">
        <f t="shared" si="54"/>
        <v>8.7537873133520847</v>
      </c>
      <c r="M147" s="10">
        <f t="shared" si="55"/>
        <v>9.6406723941298988</v>
      </c>
      <c r="N147" s="10">
        <f t="shared" si="56"/>
        <v>2.8207044622793149</v>
      </c>
      <c r="O147" s="10">
        <f t="shared" si="57"/>
        <v>10.118961726511884</v>
      </c>
      <c r="P147" s="10">
        <f t="shared" si="58"/>
        <v>2.9232974657038984</v>
      </c>
      <c r="Q147" s="10">
        <f t="shared" si="59"/>
        <v>-1</v>
      </c>
      <c r="S147" s="10">
        <f t="shared" si="60"/>
        <v>9.1681694827591258</v>
      </c>
      <c r="T147" s="10">
        <f t="shared" si="61"/>
        <v>1</v>
      </c>
      <c r="U147" s="10">
        <f t="shared" si="62"/>
        <v>-1</v>
      </c>
      <c r="V147" s="10">
        <f t="shared" si="63"/>
        <v>1</v>
      </c>
      <c r="Y147" s="10">
        <f t="shared" si="64"/>
        <v>-0.8947752311777093</v>
      </c>
      <c r="Z147" s="10">
        <f t="shared" si="65"/>
        <v>-7.8326720669851104</v>
      </c>
      <c r="AA147" s="10">
        <f t="shared" si="66"/>
        <v>-8.6262348701661402</v>
      </c>
      <c r="AB147" s="10">
        <f t="shared" si="67"/>
        <v>-2.5238964873199703</v>
      </c>
      <c r="AC147" s="10">
        <f t="shared" si="68"/>
        <v>-9.0541963181180627</v>
      </c>
      <c r="AD147" s="10">
        <f t="shared" si="69"/>
        <v>-2.6156941656764174</v>
      </c>
      <c r="AE147" s="10">
        <f t="shared" si="70"/>
        <v>-36.708241470714505</v>
      </c>
      <c r="AF147" s="10">
        <f t="shared" si="71"/>
        <v>-37.608241470714503</v>
      </c>
      <c r="AG147" s="10">
        <f t="shared" si="72"/>
        <v>-3.1076165830993174</v>
      </c>
      <c r="AH147" s="10">
        <f t="shared" si="73"/>
        <v>-12.327870393676504</v>
      </c>
      <c r="AI147" s="10">
        <f t="shared" si="74"/>
        <v>6.9640817044301606</v>
      </c>
      <c r="AJ147" s="10">
        <f t="shared" si="77"/>
        <v>41.398815200594392</v>
      </c>
      <c r="AK147" s="10">
        <f t="shared" si="75"/>
        <v>-1</v>
      </c>
      <c r="AL147" s="10">
        <f t="shared" si="76"/>
        <v>0</v>
      </c>
      <c r="AN147" s="10">
        <f t="shared" si="50"/>
        <v>-1</v>
      </c>
      <c r="AO147" s="10">
        <f t="shared" si="51"/>
        <v>0</v>
      </c>
      <c r="AP147" s="10">
        <f t="shared" si="52"/>
        <v>0</v>
      </c>
    </row>
    <row r="148" spans="2:42" x14ac:dyDescent="0.25">
      <c r="B148" s="10">
        <f t="shared" si="53"/>
        <v>124</v>
      </c>
      <c r="C148">
        <v>-0.77495201367128175</v>
      </c>
      <c r="D148">
        <v>-1.549165062897373</v>
      </c>
      <c r="E148">
        <v>1.3513590602087788</v>
      </c>
      <c r="F148">
        <v>-1.7711226973915473</v>
      </c>
      <c r="G148">
        <v>0.52739551392733119</v>
      </c>
      <c r="H148">
        <v>0.68657490768150886</v>
      </c>
      <c r="K148" s="10">
        <f>1</f>
        <v>1</v>
      </c>
      <c r="L148" s="10">
        <f t="shared" si="54"/>
        <v>5.2825812647755814</v>
      </c>
      <c r="M148" s="10">
        <f t="shared" si="55"/>
        <v>6.7738564686126352</v>
      </c>
      <c r="N148" s="10">
        <f t="shared" si="56"/>
        <v>4.950420244161462</v>
      </c>
      <c r="O148" s="10">
        <f t="shared" si="57"/>
        <v>6.1289419803297012</v>
      </c>
      <c r="P148" s="10">
        <f t="shared" si="58"/>
        <v>3.5799305064410372</v>
      </c>
      <c r="Q148" s="10">
        <f t="shared" si="59"/>
        <v>-1</v>
      </c>
      <c r="S148" s="10">
        <f t="shared" si="60"/>
        <v>-126.56818694286625</v>
      </c>
      <c r="T148" s="10">
        <f t="shared" si="61"/>
        <v>-1</v>
      </c>
      <c r="U148" s="10">
        <f t="shared" si="62"/>
        <v>0</v>
      </c>
      <c r="V148" s="10">
        <f t="shared" si="63"/>
        <v>0</v>
      </c>
      <c r="Y148" s="10">
        <f t="shared" si="64"/>
        <v>0</v>
      </c>
      <c r="Z148" s="10">
        <f t="shared" si="65"/>
        <v>0</v>
      </c>
      <c r="AA148" s="10">
        <f t="shared" si="66"/>
        <v>0</v>
      </c>
      <c r="AB148" s="10">
        <f t="shared" si="67"/>
        <v>0</v>
      </c>
      <c r="AC148" s="10">
        <f t="shared" si="68"/>
        <v>0</v>
      </c>
      <c r="AD148" s="10">
        <f t="shared" si="69"/>
        <v>0</v>
      </c>
      <c r="AE148" s="10">
        <f t="shared" si="70"/>
        <v>-36.708241470714505</v>
      </c>
      <c r="AF148" s="10">
        <f t="shared" si="71"/>
        <v>-37.608241470714503</v>
      </c>
      <c r="AG148" s="10">
        <f t="shared" si="72"/>
        <v>-3.1076165830993174</v>
      </c>
      <c r="AH148" s="10">
        <f t="shared" si="73"/>
        <v>-12.327870393676504</v>
      </c>
      <c r="AI148" s="10">
        <f t="shared" si="74"/>
        <v>6.9640817044301606</v>
      </c>
      <c r="AJ148" s="10">
        <f t="shared" si="77"/>
        <v>38.783121034917976</v>
      </c>
      <c r="AK148" s="10">
        <f t="shared" si="75"/>
        <v>-1</v>
      </c>
      <c r="AL148" s="10">
        <f t="shared" si="76"/>
        <v>0</v>
      </c>
      <c r="AN148" s="10">
        <f t="shared" si="50"/>
        <v>-1</v>
      </c>
      <c r="AO148" s="10">
        <f t="shared" si="51"/>
        <v>0</v>
      </c>
      <c r="AP148" s="10">
        <f t="shared" si="52"/>
        <v>0</v>
      </c>
    </row>
    <row r="149" spans="2:42" x14ac:dyDescent="0.25">
      <c r="B149" s="10">
        <f t="shared" si="53"/>
        <v>125</v>
      </c>
      <c r="C149">
        <v>0.99743829196086153</v>
      </c>
      <c r="D149">
        <v>0.74523541115922853</v>
      </c>
      <c r="E149">
        <v>-0.7521202860516496</v>
      </c>
      <c r="F149">
        <v>0.59967533161398023</v>
      </c>
      <c r="G149">
        <v>-0.45073534238326829</v>
      </c>
      <c r="H149">
        <v>0.98080385753959776</v>
      </c>
      <c r="K149" s="10">
        <f>1</f>
        <v>1</v>
      </c>
      <c r="L149" s="10">
        <f t="shared" si="54"/>
        <v>8.2305790688851257</v>
      </c>
      <c r="M149" s="10">
        <f t="shared" si="55"/>
        <v>10.590108192498217</v>
      </c>
      <c r="N149" s="10">
        <f t="shared" si="56"/>
        <v>1.4517255864100782</v>
      </c>
      <c r="O149" s="10">
        <f t="shared" si="57"/>
        <v>10.072264938758311</v>
      </c>
      <c r="P149" s="10">
        <f t="shared" si="58"/>
        <v>1.9530159338593549</v>
      </c>
      <c r="Q149" s="10">
        <f t="shared" si="59"/>
        <v>-1</v>
      </c>
      <c r="S149" s="10">
        <f t="shared" si="60"/>
        <v>-251.16439792125482</v>
      </c>
      <c r="T149" s="10">
        <f t="shared" si="61"/>
        <v>-1</v>
      </c>
      <c r="U149" s="10">
        <f t="shared" si="62"/>
        <v>0</v>
      </c>
      <c r="V149" s="10">
        <f t="shared" si="63"/>
        <v>0</v>
      </c>
      <c r="Y149" s="10">
        <f t="shared" si="64"/>
        <v>0</v>
      </c>
      <c r="Z149" s="10">
        <f t="shared" si="65"/>
        <v>0</v>
      </c>
      <c r="AA149" s="10">
        <f t="shared" si="66"/>
        <v>0</v>
      </c>
      <c r="AB149" s="10">
        <f t="shared" si="67"/>
        <v>0</v>
      </c>
      <c r="AC149" s="10">
        <f t="shared" si="68"/>
        <v>0</v>
      </c>
      <c r="AD149" s="10">
        <f t="shared" si="69"/>
        <v>0</v>
      </c>
      <c r="AE149" s="10">
        <f t="shared" si="70"/>
        <v>-36.708241470714505</v>
      </c>
      <c r="AF149" s="10">
        <f t="shared" si="71"/>
        <v>-37.608241470714503</v>
      </c>
      <c r="AG149" s="10">
        <f t="shared" si="72"/>
        <v>-3.1076165830993174</v>
      </c>
      <c r="AH149" s="10">
        <f t="shared" si="73"/>
        <v>-12.327870393676504</v>
      </c>
      <c r="AI149" s="10">
        <f t="shared" si="74"/>
        <v>6.9640817044301606</v>
      </c>
      <c r="AJ149" s="10">
        <f t="shared" si="77"/>
        <v>38.783121034917976</v>
      </c>
      <c r="AK149" s="10">
        <f t="shared" si="75"/>
        <v>-1</v>
      </c>
      <c r="AL149" s="10">
        <f t="shared" si="76"/>
        <v>0</v>
      </c>
      <c r="AN149" s="10">
        <f t="shared" si="50"/>
        <v>-1</v>
      </c>
      <c r="AO149" s="10">
        <f t="shared" si="51"/>
        <v>0</v>
      </c>
      <c r="AP149" s="10">
        <f t="shared" si="52"/>
        <v>0</v>
      </c>
    </row>
    <row r="150" spans="2:42" x14ac:dyDescent="0.25">
      <c r="B150" s="10">
        <f t="shared" si="53"/>
        <v>126</v>
      </c>
      <c r="C150">
        <v>0.44354919737088494</v>
      </c>
      <c r="D150">
        <v>-0.35463699532556348</v>
      </c>
      <c r="E150">
        <v>-1.1888369044754654</v>
      </c>
      <c r="F150">
        <v>1.0849089449038729</v>
      </c>
      <c r="G150">
        <v>0.32328102861356456</v>
      </c>
      <c r="H150">
        <v>0.7550889614551225</v>
      </c>
      <c r="K150" s="10">
        <f>1</f>
        <v>1</v>
      </c>
      <c r="L150" s="10">
        <f t="shared" si="54"/>
        <v>7.3093012728022275</v>
      </c>
      <c r="M150" s="10">
        <f t="shared" si="55"/>
        <v>8.7607022039784361</v>
      </c>
      <c r="N150" s="10">
        <f t="shared" si="56"/>
        <v>0.72533951442556965</v>
      </c>
      <c r="O150" s="10">
        <f t="shared" si="57"/>
        <v>10.879348808441604</v>
      </c>
      <c r="P150" s="10">
        <f t="shared" si="58"/>
        <v>3.2404290701152947</v>
      </c>
      <c r="Q150" s="10">
        <f t="shared" si="59"/>
        <v>-1</v>
      </c>
      <c r="S150" s="10">
        <f t="shared" si="60"/>
        <v>-146.3263768700599</v>
      </c>
      <c r="T150" s="10">
        <f t="shared" si="61"/>
        <v>-1</v>
      </c>
      <c r="U150" s="10">
        <f t="shared" si="62"/>
        <v>0</v>
      </c>
      <c r="V150" s="10">
        <f t="shared" si="63"/>
        <v>0</v>
      </c>
      <c r="Y150" s="10">
        <f t="shared" si="64"/>
        <v>0</v>
      </c>
      <c r="Z150" s="10">
        <f t="shared" si="65"/>
        <v>0</v>
      </c>
      <c r="AA150" s="10">
        <f t="shared" si="66"/>
        <v>0</v>
      </c>
      <c r="AB150" s="10">
        <f t="shared" si="67"/>
        <v>0</v>
      </c>
      <c r="AC150" s="10">
        <f t="shared" si="68"/>
        <v>0</v>
      </c>
      <c r="AD150" s="10">
        <f t="shared" si="69"/>
        <v>0</v>
      </c>
      <c r="AE150" s="10">
        <f t="shared" si="70"/>
        <v>-36.708241470714505</v>
      </c>
      <c r="AF150" s="10">
        <f t="shared" si="71"/>
        <v>-37.608241470714503</v>
      </c>
      <c r="AG150" s="10">
        <f t="shared" si="72"/>
        <v>-3.1076165830993174</v>
      </c>
      <c r="AH150" s="10">
        <f t="shared" si="73"/>
        <v>-12.327870393676504</v>
      </c>
      <c r="AI150" s="10">
        <f t="shared" si="74"/>
        <v>6.9640817044301606</v>
      </c>
      <c r="AJ150" s="10">
        <f t="shared" si="77"/>
        <v>38.783121034917976</v>
      </c>
      <c r="AK150" s="10">
        <f t="shared" si="75"/>
        <v>-1</v>
      </c>
      <c r="AL150" s="10">
        <f t="shared" si="76"/>
        <v>0</v>
      </c>
      <c r="AN150" s="10">
        <f t="shared" si="50"/>
        <v>-1</v>
      </c>
      <c r="AO150" s="10">
        <f t="shared" si="51"/>
        <v>0</v>
      </c>
      <c r="AP150" s="10">
        <f t="shared" si="52"/>
        <v>0</v>
      </c>
    </row>
    <row r="151" spans="2:42" x14ac:dyDescent="0.25">
      <c r="B151" s="10">
        <f t="shared" si="53"/>
        <v>127</v>
      </c>
      <c r="C151">
        <v>0.6623190529353451</v>
      </c>
      <c r="D151">
        <v>-0.214256488106912</v>
      </c>
      <c r="E151">
        <v>2.6522320695221424</v>
      </c>
      <c r="F151">
        <v>2.0818697521463037</v>
      </c>
      <c r="G151">
        <v>1.1124643606308382</v>
      </c>
      <c r="H151">
        <v>0.98626667073580121</v>
      </c>
      <c r="K151" s="10">
        <f>1</f>
        <v>1</v>
      </c>
      <c r="L151" s="10">
        <f t="shared" si="54"/>
        <v>7.6731788294329428</v>
      </c>
      <c r="M151" s="10">
        <f t="shared" si="55"/>
        <v>8.9941955974512506</v>
      </c>
      <c r="N151" s="10">
        <f t="shared" si="56"/>
        <v>7.114148381634763</v>
      </c>
      <c r="O151" s="10">
        <f t="shared" si="57"/>
        <v>12.53758303664436</v>
      </c>
      <c r="P151" s="10">
        <f t="shared" si="58"/>
        <v>4.5530692501218084</v>
      </c>
      <c r="Q151" s="10">
        <f t="shared" si="59"/>
        <v>-1</v>
      </c>
      <c r="S151" s="10">
        <f t="shared" si="60"/>
        <v>-177.04082588535198</v>
      </c>
      <c r="T151" s="10">
        <f t="shared" si="61"/>
        <v>-1</v>
      </c>
      <c r="U151" s="10">
        <f t="shared" si="62"/>
        <v>0</v>
      </c>
      <c r="V151" s="10">
        <f t="shared" si="63"/>
        <v>0</v>
      </c>
      <c r="Y151" s="10">
        <f t="shared" si="64"/>
        <v>0</v>
      </c>
      <c r="Z151" s="10">
        <f t="shared" si="65"/>
        <v>0</v>
      </c>
      <c r="AA151" s="10">
        <f t="shared" si="66"/>
        <v>0</v>
      </c>
      <c r="AB151" s="10">
        <f t="shared" si="67"/>
        <v>0</v>
      </c>
      <c r="AC151" s="10">
        <f t="shared" si="68"/>
        <v>0</v>
      </c>
      <c r="AD151" s="10">
        <f t="shared" si="69"/>
        <v>0</v>
      </c>
      <c r="AE151" s="10">
        <f t="shared" si="70"/>
        <v>-36.708241470714505</v>
      </c>
      <c r="AF151" s="10">
        <f t="shared" si="71"/>
        <v>-37.608241470714503</v>
      </c>
      <c r="AG151" s="10">
        <f t="shared" si="72"/>
        <v>-3.1076165830993174</v>
      </c>
      <c r="AH151" s="10">
        <f t="shared" si="73"/>
        <v>-12.327870393676504</v>
      </c>
      <c r="AI151" s="10">
        <f t="shared" si="74"/>
        <v>6.9640817044301606</v>
      </c>
      <c r="AJ151" s="10">
        <f t="shared" si="77"/>
        <v>38.783121034917976</v>
      </c>
      <c r="AK151" s="10">
        <f t="shared" si="75"/>
        <v>-1</v>
      </c>
      <c r="AL151" s="10">
        <f t="shared" si="76"/>
        <v>0</v>
      </c>
      <c r="AN151" s="10">
        <f t="shared" si="50"/>
        <v>-1</v>
      </c>
      <c r="AO151" s="10">
        <f t="shared" si="51"/>
        <v>0</v>
      </c>
      <c r="AP151" s="10">
        <f t="shared" si="52"/>
        <v>0</v>
      </c>
    </row>
    <row r="152" spans="2:42" x14ac:dyDescent="0.25">
      <c r="B152" s="10">
        <f t="shared" si="53"/>
        <v>128</v>
      </c>
      <c r="C152">
        <v>-1.2252894521225244</v>
      </c>
      <c r="D152">
        <v>1.3021144695812836</v>
      </c>
      <c r="E152">
        <v>0.77991899161133915</v>
      </c>
      <c r="F152">
        <v>-0.286336216959171</v>
      </c>
      <c r="G152">
        <v>-0.53232497521094047</v>
      </c>
      <c r="H152">
        <v>0.55583361308633683</v>
      </c>
      <c r="K152" s="10">
        <f>1</f>
        <v>1</v>
      </c>
      <c r="L152" s="10">
        <f t="shared" si="54"/>
        <v>4.5335398287872035</v>
      </c>
      <c r="M152" s="10">
        <f t="shared" si="55"/>
        <v>11.516359163385403</v>
      </c>
      <c r="N152" s="10">
        <f t="shared" si="56"/>
        <v>3.9999501010714922</v>
      </c>
      <c r="O152" s="10">
        <f t="shared" si="57"/>
        <v>8.5985714236734605</v>
      </c>
      <c r="P152" s="10">
        <f t="shared" si="58"/>
        <v>1.8173087718139751</v>
      </c>
      <c r="Q152" s="10">
        <f t="shared" si="59"/>
        <v>-1</v>
      </c>
      <c r="S152" s="10">
        <f t="shared" si="60"/>
        <v>-161.94393721817232</v>
      </c>
      <c r="T152" s="10">
        <f t="shared" si="61"/>
        <v>-1</v>
      </c>
      <c r="U152" s="10">
        <f t="shared" si="62"/>
        <v>0</v>
      </c>
      <c r="V152" s="10">
        <f t="shared" si="63"/>
        <v>0</v>
      </c>
      <c r="Y152" s="10">
        <f t="shared" si="64"/>
        <v>0</v>
      </c>
      <c r="Z152" s="10">
        <f t="shared" si="65"/>
        <v>0</v>
      </c>
      <c r="AA152" s="10">
        <f t="shared" si="66"/>
        <v>0</v>
      </c>
      <c r="AB152" s="10">
        <f t="shared" si="67"/>
        <v>0</v>
      </c>
      <c r="AC152" s="10">
        <f t="shared" si="68"/>
        <v>0</v>
      </c>
      <c r="AD152" s="10">
        <f t="shared" si="69"/>
        <v>0</v>
      </c>
      <c r="AE152" s="10">
        <f t="shared" si="70"/>
        <v>-36.708241470714505</v>
      </c>
      <c r="AF152" s="10">
        <f t="shared" si="71"/>
        <v>-37.608241470714503</v>
      </c>
      <c r="AG152" s="10">
        <f t="shared" si="72"/>
        <v>-3.1076165830993174</v>
      </c>
      <c r="AH152" s="10">
        <f t="shared" si="73"/>
        <v>-12.327870393676504</v>
      </c>
      <c r="AI152" s="10">
        <f t="shared" si="74"/>
        <v>6.9640817044301606</v>
      </c>
      <c r="AJ152" s="10">
        <f t="shared" si="77"/>
        <v>38.783121034917976</v>
      </c>
      <c r="AK152" s="10">
        <f t="shared" si="75"/>
        <v>-1</v>
      </c>
      <c r="AL152" s="10">
        <f t="shared" si="76"/>
        <v>0</v>
      </c>
      <c r="AN152" s="10">
        <f t="shared" si="50"/>
        <v>-1</v>
      </c>
      <c r="AO152" s="10">
        <f t="shared" si="51"/>
        <v>0</v>
      </c>
      <c r="AP152" s="10">
        <f t="shared" si="52"/>
        <v>0</v>
      </c>
    </row>
    <row r="153" spans="2:42" x14ac:dyDescent="0.25">
      <c r="B153" s="10">
        <f t="shared" si="53"/>
        <v>129</v>
      </c>
      <c r="C153">
        <v>0.11519318832142744</v>
      </c>
      <c r="D153">
        <v>1.3014005162403919</v>
      </c>
      <c r="E153">
        <v>1.3105545804137364</v>
      </c>
      <c r="F153">
        <v>-1.9642538973130286</v>
      </c>
      <c r="G153">
        <v>0.67609903453558218</v>
      </c>
      <c r="H153">
        <v>0.78176213873714406</v>
      </c>
      <c r="K153" s="10">
        <f>1</f>
        <v>1</v>
      </c>
      <c r="L153" s="10">
        <f t="shared" si="54"/>
        <v>6.7631502413008855</v>
      </c>
      <c r="M153" s="10">
        <f t="shared" si="55"/>
        <v>11.515171652443543</v>
      </c>
      <c r="N153" s="10">
        <f t="shared" si="56"/>
        <v>4.8825505901403563</v>
      </c>
      <c r="O153" s="10">
        <f t="shared" si="57"/>
        <v>5.8077089249105098</v>
      </c>
      <c r="P153" s="10">
        <f t="shared" si="58"/>
        <v>3.8272674789032792</v>
      </c>
      <c r="Q153" s="10">
        <f t="shared" si="59"/>
        <v>-1</v>
      </c>
      <c r="S153" s="10">
        <f t="shared" si="60"/>
        <v>-198.15588076253073</v>
      </c>
      <c r="T153" s="10">
        <f t="shared" si="61"/>
        <v>-1</v>
      </c>
      <c r="U153" s="10">
        <f t="shared" si="62"/>
        <v>0</v>
      </c>
      <c r="V153" s="10">
        <f t="shared" si="63"/>
        <v>0</v>
      </c>
      <c r="Y153" s="10">
        <f t="shared" si="64"/>
        <v>0</v>
      </c>
      <c r="Z153" s="10">
        <f t="shared" si="65"/>
        <v>0</v>
      </c>
      <c r="AA153" s="10">
        <f t="shared" si="66"/>
        <v>0</v>
      </c>
      <c r="AB153" s="10">
        <f t="shared" si="67"/>
        <v>0</v>
      </c>
      <c r="AC153" s="10">
        <f t="shared" si="68"/>
        <v>0</v>
      </c>
      <c r="AD153" s="10">
        <f t="shared" si="69"/>
        <v>0</v>
      </c>
      <c r="AE153" s="10">
        <f t="shared" si="70"/>
        <v>-36.708241470714505</v>
      </c>
      <c r="AF153" s="10">
        <f t="shared" si="71"/>
        <v>-37.608241470714503</v>
      </c>
      <c r="AG153" s="10">
        <f t="shared" si="72"/>
        <v>-3.1076165830993174</v>
      </c>
      <c r="AH153" s="10">
        <f t="shared" si="73"/>
        <v>-12.327870393676504</v>
      </c>
      <c r="AI153" s="10">
        <f t="shared" si="74"/>
        <v>6.9640817044301606</v>
      </c>
      <c r="AJ153" s="10">
        <f t="shared" si="77"/>
        <v>38.783121034917976</v>
      </c>
      <c r="AK153" s="10">
        <f t="shared" si="75"/>
        <v>-1</v>
      </c>
      <c r="AL153" s="10">
        <f t="shared" si="76"/>
        <v>0</v>
      </c>
      <c r="AN153" s="10">
        <f t="shared" ref="AN153:AN216" si="78">IF(SUMPRODUCT(K154:P154,$AN$18:$AS$18)&gt;=0,1,-1)</f>
        <v>-1</v>
      </c>
      <c r="AO153" s="10">
        <f t="shared" ref="AO153:AO216" si="79">(Q154-AN153)/2</f>
        <v>0</v>
      </c>
      <c r="AP153" s="10">
        <f t="shared" ref="AP153:AP216" si="80">IF(AO153&lt;&gt;0,1,0)</f>
        <v>0</v>
      </c>
    </row>
    <row r="154" spans="2:42" x14ac:dyDescent="0.25">
      <c r="B154" s="10">
        <f t="shared" ref="B154:B217" si="81">B153+1</f>
        <v>130</v>
      </c>
      <c r="C154">
        <v>-0.14443230611504987</v>
      </c>
      <c r="D154">
        <v>1.1997622095805127</v>
      </c>
      <c r="E154">
        <v>-1.159271505457582</v>
      </c>
      <c r="F154">
        <v>1.0397184269095305</v>
      </c>
      <c r="G154">
        <v>-0.18709215510170907</v>
      </c>
      <c r="H154">
        <v>0.62776573992126228</v>
      </c>
      <c r="K154" s="10">
        <f>1</f>
        <v>1</v>
      </c>
      <c r="L154" s="10">
        <f t="shared" ref="L154:L217" si="82">IF(Q154=1, C154*$C$7+$C$2,C154*$C$13+$C$8)</f>
        <v>6.3313179383045028</v>
      </c>
      <c r="M154" s="10">
        <f t="shared" ref="M154:M217" si="83">IF(Q154=1, D154*$C$7+$C$3,D154*$C$13+$C$10)</f>
        <v>11.346117746035569</v>
      </c>
      <c r="N154" s="10">
        <f t="shared" ref="N154:N217" si="84">IF(Q154=1, E154*$C$7+$C$4,E154*$C$13+$C$12)</f>
        <v>0.77451532581732563</v>
      </c>
      <c r="O154" s="10">
        <f t="shared" ref="O154:O217" si="85">IF(Q154=1, F154*$C$7+$C$5,F154*$C$13+$C$11)</f>
        <v>10.804183904080213</v>
      </c>
      <c r="P154" s="10">
        <f t="shared" ref="P154:P217" si="86">IF(Q154=1, G154*$C$7+$C$6,G154*$C$13+$C$12)</f>
        <v>2.391530822315187</v>
      </c>
      <c r="Q154" s="10">
        <f t="shared" ref="Q154:Q217" si="87">IF(H154&lt;$C$14,1,-1)</f>
        <v>-1</v>
      </c>
      <c r="S154" s="10">
        <f t="shared" ref="S154:S217" si="88">SUMPRODUCT(K154:P154,AE153:AJ153)</f>
        <v>-151.63323474001561</v>
      </c>
      <c r="T154" s="10">
        <f t="shared" ref="T154:T217" si="89">IF(S154&gt;=0,1,-1)</f>
        <v>-1</v>
      </c>
      <c r="U154" s="10">
        <f t="shared" ref="U154:U217" si="90">(Q154-T154)/2</f>
        <v>0</v>
      </c>
      <c r="V154" s="10">
        <f t="shared" ref="V154:V217" si="91">IF(U154&lt;&gt;0,1,0)</f>
        <v>0</v>
      </c>
      <c r="Y154" s="10">
        <f t="shared" ref="Y154:Y217" si="92">IF(U154=0,0,$C$15*(U154)*K154)</f>
        <v>0</v>
      </c>
      <c r="Z154" s="10">
        <f t="shared" ref="Z154:Z217" si="93">IF(U154=0,0,$C$15*(U154)*L154)</f>
        <v>0</v>
      </c>
      <c r="AA154" s="10">
        <f t="shared" ref="AA154:AA217" si="94">IF(U154=0,0,$C$15*(U154)*M154)</f>
        <v>0</v>
      </c>
      <c r="AB154" s="10">
        <f t="shared" ref="AB154:AB217" si="95">IF(U154=0,0,$C$15*(U154)*N154)</f>
        <v>0</v>
      </c>
      <c r="AC154" s="10">
        <f t="shared" ref="AC154:AC217" si="96">IF(U154=0,0,$C$15*(U154)*O154)</f>
        <v>0</v>
      </c>
      <c r="AD154" s="10">
        <f t="shared" ref="AD154:AD217" si="97">IF(U154=0,0,$C$15*(U154)*P154)</f>
        <v>0</v>
      </c>
      <c r="AE154" s="10">
        <f t="shared" ref="AE154:AE217" si="98">IF(U154=0,AE153,AE153+$C$15*(U154)*L154)</f>
        <v>-36.708241470714505</v>
      </c>
      <c r="AF154" s="10">
        <f t="shared" ref="AF154:AF217" si="99">IF(U154=0,AF153,AF153+$C$15*(U154)*L154)</f>
        <v>-37.608241470714503</v>
      </c>
      <c r="AG154" s="10">
        <f t="shared" ref="AG154:AG217" si="100">IF(U154=0,AG153,AG153+$C$15*(U154)*M154)</f>
        <v>-3.1076165830993174</v>
      </c>
      <c r="AH154" s="10">
        <f t="shared" ref="AH154:AH217" si="101">IF(U154=0,AH153,AH153+$C$15*(U154)*N154)</f>
        <v>-12.327870393676504</v>
      </c>
      <c r="AI154" s="10">
        <f t="shared" ref="AI154:AI217" si="102">IF(U154=0,AI153,AI153+$C$15*(U154)*O154)</f>
        <v>6.9640817044301606</v>
      </c>
      <c r="AJ154" s="10">
        <f t="shared" si="77"/>
        <v>38.783121034917976</v>
      </c>
      <c r="AK154" s="10">
        <f t="shared" ref="AK154:AK217" si="103">IF(SUMPRODUCT(K154:P154,$AW$33:$BB$33)&gt;=0,1,-1)</f>
        <v>-1</v>
      </c>
      <c r="AL154" s="10">
        <f t="shared" ref="AL154:AL217" si="104">IF(Q154=AK154,0,1)</f>
        <v>0</v>
      </c>
      <c r="AN154" s="10">
        <f t="shared" si="78"/>
        <v>1</v>
      </c>
      <c r="AO154" s="10">
        <f t="shared" si="79"/>
        <v>0</v>
      </c>
      <c r="AP154" s="10">
        <f t="shared" si="80"/>
        <v>0</v>
      </c>
    </row>
    <row r="155" spans="2:42" x14ac:dyDescent="0.25">
      <c r="B155" s="10">
        <f t="shared" si="81"/>
        <v>131</v>
      </c>
      <c r="C155">
        <v>0.44295802581473254</v>
      </c>
      <c r="D155">
        <v>0.81706275523174554</v>
      </c>
      <c r="E155">
        <v>-1.6793637769296765</v>
      </c>
      <c r="F155">
        <v>-0.38659436540910974</v>
      </c>
      <c r="G155">
        <v>2.1928099158685654</v>
      </c>
      <c r="H155">
        <v>3.5493026520584732E-2</v>
      </c>
      <c r="K155" s="10">
        <f>1</f>
        <v>1</v>
      </c>
      <c r="L155" s="10">
        <f t="shared" si="82"/>
        <v>5.2388254548813684</v>
      </c>
      <c r="M155" s="10">
        <f t="shared" si="83"/>
        <v>12.957066542032454</v>
      </c>
      <c r="N155" s="10">
        <f t="shared" si="84"/>
        <v>-2.2010803498106553</v>
      </c>
      <c r="O155" s="10">
        <f t="shared" si="85"/>
        <v>10.51609748593483</v>
      </c>
      <c r="P155" s="10">
        <f t="shared" si="86"/>
        <v>12.406052803170958</v>
      </c>
      <c r="Q155" s="10">
        <f t="shared" si="87"/>
        <v>1</v>
      </c>
      <c r="S155" s="10">
        <f t="shared" si="88"/>
        <v>307.5181937581392</v>
      </c>
      <c r="T155" s="10">
        <f t="shared" si="89"/>
        <v>1</v>
      </c>
      <c r="U155" s="10">
        <f t="shared" si="90"/>
        <v>0</v>
      </c>
      <c r="V155" s="10">
        <f t="shared" si="91"/>
        <v>0</v>
      </c>
      <c r="Y155" s="10">
        <f t="shared" si="92"/>
        <v>0</v>
      </c>
      <c r="Z155" s="10">
        <f t="shared" si="93"/>
        <v>0</v>
      </c>
      <c r="AA155" s="10">
        <f t="shared" si="94"/>
        <v>0</v>
      </c>
      <c r="AB155" s="10">
        <f t="shared" si="95"/>
        <v>0</v>
      </c>
      <c r="AC155" s="10">
        <f t="shared" si="96"/>
        <v>0</v>
      </c>
      <c r="AD155" s="10">
        <f t="shared" si="97"/>
        <v>0</v>
      </c>
      <c r="AE155" s="10">
        <f t="shared" si="98"/>
        <v>-36.708241470714505</v>
      </c>
      <c r="AF155" s="10">
        <f t="shared" si="99"/>
        <v>-37.608241470714503</v>
      </c>
      <c r="AG155" s="10">
        <f t="shared" si="100"/>
        <v>-3.1076165830993174</v>
      </c>
      <c r="AH155" s="10">
        <f t="shared" si="101"/>
        <v>-12.327870393676504</v>
      </c>
      <c r="AI155" s="10">
        <f t="shared" si="102"/>
        <v>6.9640817044301606</v>
      </c>
      <c r="AJ155" s="10">
        <f t="shared" ref="AJ155:AJ218" si="105">IF(U154=0,AJ154,AJ154+$C$15*(U154)*P154)</f>
        <v>38.783121034917976</v>
      </c>
      <c r="AK155" s="10">
        <f t="shared" si="103"/>
        <v>1</v>
      </c>
      <c r="AL155" s="10">
        <f t="shared" si="104"/>
        <v>0</v>
      </c>
      <c r="AN155" s="10">
        <f t="shared" si="78"/>
        <v>-1</v>
      </c>
      <c r="AO155" s="10">
        <f t="shared" si="79"/>
        <v>0</v>
      </c>
      <c r="AP155" s="10">
        <f t="shared" si="80"/>
        <v>0</v>
      </c>
    </row>
    <row r="156" spans="2:42" x14ac:dyDescent="0.25">
      <c r="B156" s="10">
        <f t="shared" si="81"/>
        <v>132</v>
      </c>
      <c r="C156">
        <v>0.62412027546088211</v>
      </c>
      <c r="D156">
        <v>-1.0700091479520779</v>
      </c>
      <c r="E156">
        <v>0.23237362256622873</v>
      </c>
      <c r="F156">
        <v>0.91630226961569861</v>
      </c>
      <c r="G156">
        <v>-1.3105545804137364</v>
      </c>
      <c r="H156">
        <v>0.92370372631000697</v>
      </c>
      <c r="K156" s="10">
        <f>1</f>
        <v>1</v>
      </c>
      <c r="L156" s="10">
        <f t="shared" si="82"/>
        <v>7.6096432121614281</v>
      </c>
      <c r="M156" s="10">
        <f t="shared" si="83"/>
        <v>7.5708313677621923</v>
      </c>
      <c r="N156" s="10">
        <f t="shared" si="84"/>
        <v>3.0892237557140421</v>
      </c>
      <c r="O156" s="10">
        <f t="shared" si="85"/>
        <v>10.598907132063516</v>
      </c>
      <c r="P156" s="10">
        <f t="shared" si="86"/>
        <v>0.52288780824826597</v>
      </c>
      <c r="Q156" s="10">
        <f t="shared" si="87"/>
        <v>-1</v>
      </c>
      <c r="S156" s="10">
        <f t="shared" si="88"/>
        <v>-290.41345568314722</v>
      </c>
      <c r="T156" s="10">
        <f t="shared" si="89"/>
        <v>-1</v>
      </c>
      <c r="U156" s="10">
        <f t="shared" si="90"/>
        <v>0</v>
      </c>
      <c r="V156" s="10">
        <f t="shared" si="91"/>
        <v>0</v>
      </c>
      <c r="Y156" s="10">
        <f t="shared" si="92"/>
        <v>0</v>
      </c>
      <c r="Z156" s="10">
        <f t="shared" si="93"/>
        <v>0</v>
      </c>
      <c r="AA156" s="10">
        <f t="shared" si="94"/>
        <v>0</v>
      </c>
      <c r="AB156" s="10">
        <f t="shared" si="95"/>
        <v>0</v>
      </c>
      <c r="AC156" s="10">
        <f t="shared" si="96"/>
        <v>0</v>
      </c>
      <c r="AD156" s="10">
        <f t="shared" si="97"/>
        <v>0</v>
      </c>
      <c r="AE156" s="10">
        <f t="shared" si="98"/>
        <v>-36.708241470714505</v>
      </c>
      <c r="AF156" s="10">
        <f t="shared" si="99"/>
        <v>-37.608241470714503</v>
      </c>
      <c r="AG156" s="10">
        <f t="shared" si="100"/>
        <v>-3.1076165830993174</v>
      </c>
      <c r="AH156" s="10">
        <f t="shared" si="101"/>
        <v>-12.327870393676504</v>
      </c>
      <c r="AI156" s="10">
        <f t="shared" si="102"/>
        <v>6.9640817044301606</v>
      </c>
      <c r="AJ156" s="10">
        <f t="shared" si="105"/>
        <v>38.783121034917976</v>
      </c>
      <c r="AK156" s="10">
        <f t="shared" si="103"/>
        <v>-1</v>
      </c>
      <c r="AL156" s="10">
        <f t="shared" si="104"/>
        <v>0</v>
      </c>
      <c r="AN156" s="10">
        <f t="shared" si="78"/>
        <v>-1</v>
      </c>
      <c r="AO156" s="10">
        <f t="shared" si="79"/>
        <v>0</v>
      </c>
      <c r="AP156" s="10">
        <f t="shared" si="80"/>
        <v>0</v>
      </c>
    </row>
    <row r="157" spans="2:42" x14ac:dyDescent="0.25">
      <c r="B157" s="10">
        <f t="shared" si="81"/>
        <v>133</v>
      </c>
      <c r="C157">
        <v>0.90876255853800103</v>
      </c>
      <c r="D157">
        <v>-0.7583253136544954</v>
      </c>
      <c r="E157">
        <v>-1.1509246178320609</v>
      </c>
      <c r="F157">
        <v>-1.8558239389676601</v>
      </c>
      <c r="G157">
        <v>-1.3362659956328571</v>
      </c>
      <c r="H157">
        <v>0.57884456923123873</v>
      </c>
      <c r="K157" s="10">
        <f>1</f>
        <v>1</v>
      </c>
      <c r="L157" s="10">
        <f t="shared" si="82"/>
        <v>8.083085671647682</v>
      </c>
      <c r="M157" s="10">
        <f t="shared" si="83"/>
        <v>8.089251749641905</v>
      </c>
      <c r="N157" s="10">
        <f t="shared" si="84"/>
        <v>0.78839861456754767</v>
      </c>
      <c r="O157" s="10">
        <f t="shared" si="85"/>
        <v>5.9880593127940793</v>
      </c>
      <c r="P157" s="10">
        <f t="shared" si="86"/>
        <v>0.48012228681336833</v>
      </c>
      <c r="Q157" s="10">
        <f t="shared" si="87"/>
        <v>-1</v>
      </c>
      <c r="S157" s="10">
        <f t="shared" si="88"/>
        <v>-315.2344729931919</v>
      </c>
      <c r="T157" s="10">
        <f t="shared" si="89"/>
        <v>-1</v>
      </c>
      <c r="U157" s="10">
        <f t="shared" si="90"/>
        <v>0</v>
      </c>
      <c r="V157" s="10">
        <f t="shared" si="91"/>
        <v>0</v>
      </c>
      <c r="Y157" s="10">
        <f t="shared" si="92"/>
        <v>0</v>
      </c>
      <c r="Z157" s="10">
        <f t="shared" si="93"/>
        <v>0</v>
      </c>
      <c r="AA157" s="10">
        <f t="shared" si="94"/>
        <v>0</v>
      </c>
      <c r="AB157" s="10">
        <f t="shared" si="95"/>
        <v>0</v>
      </c>
      <c r="AC157" s="10">
        <f t="shared" si="96"/>
        <v>0</v>
      </c>
      <c r="AD157" s="10">
        <f t="shared" si="97"/>
        <v>0</v>
      </c>
      <c r="AE157" s="10">
        <f t="shared" si="98"/>
        <v>-36.708241470714505</v>
      </c>
      <c r="AF157" s="10">
        <f t="shared" si="99"/>
        <v>-37.608241470714503</v>
      </c>
      <c r="AG157" s="10">
        <f t="shared" si="100"/>
        <v>-3.1076165830993174</v>
      </c>
      <c r="AH157" s="10">
        <f t="shared" si="101"/>
        <v>-12.327870393676504</v>
      </c>
      <c r="AI157" s="10">
        <f t="shared" si="102"/>
        <v>6.9640817044301606</v>
      </c>
      <c r="AJ157" s="10">
        <f t="shared" si="105"/>
        <v>38.783121034917976</v>
      </c>
      <c r="AK157" s="10">
        <f t="shared" si="103"/>
        <v>-1</v>
      </c>
      <c r="AL157" s="10">
        <f t="shared" si="104"/>
        <v>0</v>
      </c>
      <c r="AN157" s="10">
        <f t="shared" si="78"/>
        <v>1</v>
      </c>
      <c r="AO157" s="10">
        <f t="shared" si="79"/>
        <v>0</v>
      </c>
      <c r="AP157" s="10">
        <f t="shared" si="80"/>
        <v>0</v>
      </c>
    </row>
    <row r="158" spans="2:42" x14ac:dyDescent="0.25">
      <c r="B158" s="10">
        <f t="shared" si="81"/>
        <v>134</v>
      </c>
      <c r="C158">
        <v>-0.66117536334786564</v>
      </c>
      <c r="D158">
        <v>-0.82520728028612211</v>
      </c>
      <c r="E158">
        <v>-1.0648682291503064</v>
      </c>
      <c r="F158">
        <v>-1.1814245226560161</v>
      </c>
      <c r="G158">
        <v>0.96573330665705726</v>
      </c>
      <c r="H158">
        <v>0.19275490585039826</v>
      </c>
      <c r="K158" s="10">
        <f>1</f>
        <v>1</v>
      </c>
      <c r="L158" s="10">
        <f t="shared" si="82"/>
        <v>2.6881010931930485</v>
      </c>
      <c r="M158" s="10">
        <f t="shared" si="83"/>
        <v>9.1631606343022369</v>
      </c>
      <c r="N158" s="10">
        <f t="shared" si="84"/>
        <v>-0.781497553697035</v>
      </c>
      <c r="O158" s="10">
        <f t="shared" si="85"/>
        <v>8.6799129584187611</v>
      </c>
      <c r="P158" s="10">
        <f t="shared" si="86"/>
        <v>9.5713099799804464</v>
      </c>
      <c r="Q158" s="10">
        <f t="shared" si="87"/>
        <v>1</v>
      </c>
      <c r="S158" s="10">
        <f t="shared" si="88"/>
        <v>275.00851057905186</v>
      </c>
      <c r="T158" s="10">
        <f t="shared" si="89"/>
        <v>1</v>
      </c>
      <c r="U158" s="10">
        <f t="shared" si="90"/>
        <v>0</v>
      </c>
      <c r="V158" s="10">
        <f t="shared" si="91"/>
        <v>0</v>
      </c>
      <c r="Y158" s="10">
        <f t="shared" si="92"/>
        <v>0</v>
      </c>
      <c r="Z158" s="10">
        <f t="shared" si="93"/>
        <v>0</v>
      </c>
      <c r="AA158" s="10">
        <f t="shared" si="94"/>
        <v>0</v>
      </c>
      <c r="AB158" s="10">
        <f t="shared" si="95"/>
        <v>0</v>
      </c>
      <c r="AC158" s="10">
        <f t="shared" si="96"/>
        <v>0</v>
      </c>
      <c r="AD158" s="10">
        <f t="shared" si="97"/>
        <v>0</v>
      </c>
      <c r="AE158" s="10">
        <f t="shared" si="98"/>
        <v>-36.708241470714505</v>
      </c>
      <c r="AF158" s="10">
        <f t="shared" si="99"/>
        <v>-37.608241470714503</v>
      </c>
      <c r="AG158" s="10">
        <f t="shared" si="100"/>
        <v>-3.1076165830993174</v>
      </c>
      <c r="AH158" s="10">
        <f t="shared" si="101"/>
        <v>-12.327870393676504</v>
      </c>
      <c r="AI158" s="10">
        <f t="shared" si="102"/>
        <v>6.9640817044301606</v>
      </c>
      <c r="AJ158" s="10">
        <f t="shared" si="105"/>
        <v>38.783121034917976</v>
      </c>
      <c r="AK158" s="10">
        <f t="shared" si="103"/>
        <v>1</v>
      </c>
      <c r="AL158" s="10">
        <f t="shared" si="104"/>
        <v>0</v>
      </c>
      <c r="AN158" s="10">
        <f t="shared" si="78"/>
        <v>1</v>
      </c>
      <c r="AO158" s="10">
        <f t="shared" si="79"/>
        <v>0</v>
      </c>
      <c r="AP158" s="10">
        <f t="shared" si="80"/>
        <v>0</v>
      </c>
    </row>
    <row r="159" spans="2:42" x14ac:dyDescent="0.25">
      <c r="B159" s="10">
        <f t="shared" si="81"/>
        <v>135</v>
      </c>
      <c r="C159">
        <v>-0.75476123129192274</v>
      </c>
      <c r="D159">
        <v>0.20182596927043051</v>
      </c>
      <c r="E159">
        <v>-2.2622407414019108</v>
      </c>
      <c r="F159">
        <v>-0.11627207641140558</v>
      </c>
      <c r="G159">
        <v>0.63484549173153937</v>
      </c>
      <c r="H159">
        <v>0.49702444532609025</v>
      </c>
      <c r="K159" s="10">
        <f>1</f>
        <v>1</v>
      </c>
      <c r="L159" s="10">
        <f t="shared" si="82"/>
        <v>2.4719028008330124</v>
      </c>
      <c r="M159" s="10">
        <f t="shared" si="83"/>
        <v>11.535771367408177</v>
      </c>
      <c r="N159" s="10">
        <f t="shared" si="84"/>
        <v>-3.5476191717856516</v>
      </c>
      <c r="O159" s="10">
        <f t="shared" si="85"/>
        <v>11.140585120147886</v>
      </c>
      <c r="P159" s="10">
        <f t="shared" si="86"/>
        <v>8.8069063139012531</v>
      </c>
      <c r="Q159" s="10">
        <f t="shared" si="87"/>
        <v>1</v>
      </c>
      <c r="S159" s="10">
        <f t="shared" si="88"/>
        <v>297.35693458620204</v>
      </c>
      <c r="T159" s="10">
        <f t="shared" si="89"/>
        <v>1</v>
      </c>
      <c r="U159" s="10">
        <f t="shared" si="90"/>
        <v>0</v>
      </c>
      <c r="V159" s="10">
        <f t="shared" si="91"/>
        <v>0</v>
      </c>
      <c r="Y159" s="10">
        <f t="shared" si="92"/>
        <v>0</v>
      </c>
      <c r="Z159" s="10">
        <f t="shared" si="93"/>
        <v>0</v>
      </c>
      <c r="AA159" s="10">
        <f t="shared" si="94"/>
        <v>0</v>
      </c>
      <c r="AB159" s="10">
        <f t="shared" si="95"/>
        <v>0</v>
      </c>
      <c r="AC159" s="10">
        <f t="shared" si="96"/>
        <v>0</v>
      </c>
      <c r="AD159" s="10">
        <f t="shared" si="97"/>
        <v>0</v>
      </c>
      <c r="AE159" s="10">
        <f t="shared" si="98"/>
        <v>-36.708241470714505</v>
      </c>
      <c r="AF159" s="10">
        <f t="shared" si="99"/>
        <v>-37.608241470714503</v>
      </c>
      <c r="AG159" s="10">
        <f t="shared" si="100"/>
        <v>-3.1076165830993174</v>
      </c>
      <c r="AH159" s="10">
        <f t="shared" si="101"/>
        <v>-12.327870393676504</v>
      </c>
      <c r="AI159" s="10">
        <f t="shared" si="102"/>
        <v>6.9640817044301606</v>
      </c>
      <c r="AJ159" s="10">
        <f t="shared" si="105"/>
        <v>38.783121034917976</v>
      </c>
      <c r="AK159" s="10">
        <f t="shared" si="103"/>
        <v>1</v>
      </c>
      <c r="AL159" s="10">
        <f t="shared" si="104"/>
        <v>0</v>
      </c>
      <c r="AN159" s="10">
        <f t="shared" si="78"/>
        <v>1</v>
      </c>
      <c r="AO159" s="10">
        <f t="shared" si="79"/>
        <v>-1</v>
      </c>
      <c r="AP159" s="10">
        <f t="shared" si="80"/>
        <v>1</v>
      </c>
    </row>
    <row r="160" spans="2:42" x14ac:dyDescent="0.25">
      <c r="B160" s="10">
        <f t="shared" si="81"/>
        <v>136</v>
      </c>
      <c r="C160">
        <v>-1.3156272871128749</v>
      </c>
      <c r="D160">
        <v>0.83113718574168161</v>
      </c>
      <c r="E160">
        <v>0.46560444388887845</v>
      </c>
      <c r="F160">
        <v>0.31619606488675345</v>
      </c>
      <c r="G160">
        <v>0.92883055913262069</v>
      </c>
      <c r="H160">
        <v>0.99340800195318457</v>
      </c>
      <c r="K160" s="10">
        <f>1</f>
        <v>1</v>
      </c>
      <c r="L160" s="10">
        <f t="shared" si="82"/>
        <v>4.3832818758220524</v>
      </c>
      <c r="M160" s="10">
        <f t="shared" si="83"/>
        <v>10.732987693719515</v>
      </c>
      <c r="N160" s="10">
        <f t="shared" si="84"/>
        <v>3.4771540817404021</v>
      </c>
      <c r="O160" s="10">
        <f t="shared" si="85"/>
        <v>9.6007569119050569</v>
      </c>
      <c r="P160" s="10">
        <f t="shared" si="86"/>
        <v>4.2476331157349456</v>
      </c>
      <c r="Q160" s="10">
        <f t="shared" si="87"/>
        <v>-1</v>
      </c>
      <c r="S160" s="10">
        <f t="shared" si="88"/>
        <v>-46.178755294225681</v>
      </c>
      <c r="T160" s="10">
        <f t="shared" si="89"/>
        <v>-1</v>
      </c>
      <c r="U160" s="10">
        <f t="shared" si="90"/>
        <v>0</v>
      </c>
      <c r="V160" s="10">
        <f t="shared" si="91"/>
        <v>0</v>
      </c>
      <c r="Y160" s="10">
        <f t="shared" si="92"/>
        <v>0</v>
      </c>
      <c r="Z160" s="10">
        <f t="shared" si="93"/>
        <v>0</v>
      </c>
      <c r="AA160" s="10">
        <f t="shared" si="94"/>
        <v>0</v>
      </c>
      <c r="AB160" s="10">
        <f t="shared" si="95"/>
        <v>0</v>
      </c>
      <c r="AC160" s="10">
        <f t="shared" si="96"/>
        <v>0</v>
      </c>
      <c r="AD160" s="10">
        <f t="shared" si="97"/>
        <v>0</v>
      </c>
      <c r="AE160" s="10">
        <f t="shared" si="98"/>
        <v>-36.708241470714505</v>
      </c>
      <c r="AF160" s="10">
        <f t="shared" si="99"/>
        <v>-37.608241470714503</v>
      </c>
      <c r="AG160" s="10">
        <f t="shared" si="100"/>
        <v>-3.1076165830993174</v>
      </c>
      <c r="AH160" s="10">
        <f t="shared" si="101"/>
        <v>-12.327870393676504</v>
      </c>
      <c r="AI160" s="10">
        <f t="shared" si="102"/>
        <v>6.9640817044301606</v>
      </c>
      <c r="AJ160" s="10">
        <f t="shared" si="105"/>
        <v>38.783121034917976</v>
      </c>
      <c r="AK160" s="10">
        <f t="shared" si="103"/>
        <v>-1</v>
      </c>
      <c r="AL160" s="10">
        <f t="shared" si="104"/>
        <v>0</v>
      </c>
      <c r="AN160" s="10">
        <f t="shared" si="78"/>
        <v>1</v>
      </c>
      <c r="AO160" s="10">
        <f t="shared" si="79"/>
        <v>0</v>
      </c>
      <c r="AP160" s="10">
        <f t="shared" si="80"/>
        <v>0</v>
      </c>
    </row>
    <row r="161" spans="2:42" x14ac:dyDescent="0.25">
      <c r="B161" s="10">
        <f t="shared" si="81"/>
        <v>137</v>
      </c>
      <c r="C161">
        <v>-0.84450221038423479</v>
      </c>
      <c r="D161">
        <v>-0.19418166630202904</v>
      </c>
      <c r="E161">
        <v>-0.30583805710193701</v>
      </c>
      <c r="F161">
        <v>-1.3984026736579835</v>
      </c>
      <c r="G161">
        <v>-0.27170131033926737</v>
      </c>
      <c r="H161">
        <v>0.23529770805993835</v>
      </c>
      <c r="K161" s="10">
        <f>1</f>
        <v>1</v>
      </c>
      <c r="L161" s="10">
        <f t="shared" si="82"/>
        <v>2.2645868154101558</v>
      </c>
      <c r="M161" s="10">
        <f t="shared" si="83"/>
        <v>10.620930521742464</v>
      </c>
      <c r="N161" s="10">
        <f t="shared" si="84"/>
        <v>0.97198329391017413</v>
      </c>
      <c r="O161" s="10">
        <f t="shared" si="85"/>
        <v>8.1786587973299838</v>
      </c>
      <c r="P161" s="10">
        <f t="shared" si="86"/>
        <v>6.7126385055466926</v>
      </c>
      <c r="Q161" s="10">
        <f t="shared" si="87"/>
        <v>1</v>
      </c>
      <c r="S161" s="10">
        <f t="shared" si="88"/>
        <v>150.43028657601883</v>
      </c>
      <c r="T161" s="10">
        <f t="shared" si="89"/>
        <v>1</v>
      </c>
      <c r="U161" s="10">
        <f t="shared" si="90"/>
        <v>0</v>
      </c>
      <c r="V161" s="10">
        <f t="shared" si="91"/>
        <v>0</v>
      </c>
      <c r="Y161" s="10">
        <f t="shared" si="92"/>
        <v>0</v>
      </c>
      <c r="Z161" s="10">
        <f t="shared" si="93"/>
        <v>0</v>
      </c>
      <c r="AA161" s="10">
        <f t="shared" si="94"/>
        <v>0</v>
      </c>
      <c r="AB161" s="10">
        <f t="shared" si="95"/>
        <v>0</v>
      </c>
      <c r="AC161" s="10">
        <f t="shared" si="96"/>
        <v>0</v>
      </c>
      <c r="AD161" s="10">
        <f t="shared" si="97"/>
        <v>0</v>
      </c>
      <c r="AE161" s="10">
        <f t="shared" si="98"/>
        <v>-36.708241470714505</v>
      </c>
      <c r="AF161" s="10">
        <f t="shared" si="99"/>
        <v>-37.608241470714503</v>
      </c>
      <c r="AG161" s="10">
        <f t="shared" si="100"/>
        <v>-3.1076165830993174</v>
      </c>
      <c r="AH161" s="10">
        <f t="shared" si="101"/>
        <v>-12.327870393676504</v>
      </c>
      <c r="AI161" s="10">
        <f t="shared" si="102"/>
        <v>6.9640817044301606</v>
      </c>
      <c r="AJ161" s="10">
        <f t="shared" si="105"/>
        <v>38.783121034917976</v>
      </c>
      <c r="AK161" s="10">
        <f t="shared" si="103"/>
        <v>1</v>
      </c>
      <c r="AL161" s="10">
        <f t="shared" si="104"/>
        <v>0</v>
      </c>
      <c r="AN161" s="10">
        <f t="shared" si="78"/>
        <v>-1</v>
      </c>
      <c r="AO161" s="10">
        <f t="shared" si="79"/>
        <v>0</v>
      </c>
      <c r="AP161" s="10">
        <f t="shared" si="80"/>
        <v>0</v>
      </c>
    </row>
    <row r="162" spans="2:42" x14ac:dyDescent="0.25">
      <c r="B162" s="10">
        <f t="shared" si="81"/>
        <v>138</v>
      </c>
      <c r="C162">
        <v>-0.46773720896453597</v>
      </c>
      <c r="D162">
        <v>-1.1565794011403341</v>
      </c>
      <c r="E162">
        <v>1.5348496162914671</v>
      </c>
      <c r="F162">
        <v>-0.30295382202893961</v>
      </c>
      <c r="G162">
        <v>-0.78636503531015478</v>
      </c>
      <c r="H162">
        <v>0.94094668416394545</v>
      </c>
      <c r="K162" s="10">
        <f>1</f>
        <v>1</v>
      </c>
      <c r="L162" s="10">
        <f t="shared" si="82"/>
        <v>5.7935683576227248</v>
      </c>
      <c r="M162" s="10">
        <f t="shared" si="83"/>
        <v>7.4268399932386426</v>
      </c>
      <c r="N162" s="10">
        <f t="shared" si="84"/>
        <v>5.2556181199835574</v>
      </c>
      <c r="O162" s="10">
        <f t="shared" si="85"/>
        <v>8.5709315392193606</v>
      </c>
      <c r="P162" s="10">
        <f t="shared" si="86"/>
        <v>1.3947666619025616</v>
      </c>
      <c r="Q162" s="10">
        <f t="shared" si="87"/>
        <v>-1</v>
      </c>
      <c r="S162" s="10">
        <f t="shared" si="88"/>
        <v>-228.68243759987288</v>
      </c>
      <c r="T162" s="10">
        <f t="shared" si="89"/>
        <v>-1</v>
      </c>
      <c r="U162" s="10">
        <f t="shared" si="90"/>
        <v>0</v>
      </c>
      <c r="V162" s="10">
        <f t="shared" si="91"/>
        <v>0</v>
      </c>
      <c r="Y162" s="10">
        <f t="shared" si="92"/>
        <v>0</v>
      </c>
      <c r="Z162" s="10">
        <f t="shared" si="93"/>
        <v>0</v>
      </c>
      <c r="AA162" s="10">
        <f t="shared" si="94"/>
        <v>0</v>
      </c>
      <c r="AB162" s="10">
        <f t="shared" si="95"/>
        <v>0</v>
      </c>
      <c r="AC162" s="10">
        <f t="shared" si="96"/>
        <v>0</v>
      </c>
      <c r="AD162" s="10">
        <f t="shared" si="97"/>
        <v>0</v>
      </c>
      <c r="AE162" s="10">
        <f t="shared" si="98"/>
        <v>-36.708241470714505</v>
      </c>
      <c r="AF162" s="10">
        <f t="shared" si="99"/>
        <v>-37.608241470714503</v>
      </c>
      <c r="AG162" s="10">
        <f t="shared" si="100"/>
        <v>-3.1076165830993174</v>
      </c>
      <c r="AH162" s="10">
        <f t="shared" si="101"/>
        <v>-12.327870393676504</v>
      </c>
      <c r="AI162" s="10">
        <f t="shared" si="102"/>
        <v>6.9640817044301606</v>
      </c>
      <c r="AJ162" s="10">
        <f t="shared" si="105"/>
        <v>38.783121034917976</v>
      </c>
      <c r="AK162" s="10">
        <f t="shared" si="103"/>
        <v>-1</v>
      </c>
      <c r="AL162" s="10">
        <f t="shared" si="104"/>
        <v>0</v>
      </c>
      <c r="AN162" s="10">
        <f t="shared" si="78"/>
        <v>1</v>
      </c>
      <c r="AO162" s="10">
        <f t="shared" si="79"/>
        <v>0</v>
      </c>
      <c r="AP162" s="10">
        <f t="shared" si="80"/>
        <v>0</v>
      </c>
    </row>
    <row r="163" spans="2:42" x14ac:dyDescent="0.25">
      <c r="B163" s="10">
        <f t="shared" si="81"/>
        <v>139</v>
      </c>
      <c r="C163">
        <v>-0.65367430579499342</v>
      </c>
      <c r="D163">
        <v>1.1565794011403341</v>
      </c>
      <c r="E163">
        <v>-1.01086243375903</v>
      </c>
      <c r="F163">
        <v>-0.50519474825705402</v>
      </c>
      <c r="G163">
        <v>-0.96524672699160874</v>
      </c>
      <c r="H163">
        <v>0.1564989165929136</v>
      </c>
      <c r="K163" s="10">
        <f>1</f>
        <v>1</v>
      </c>
      <c r="L163" s="10">
        <f t="shared" si="82"/>
        <v>2.7054297333975152</v>
      </c>
      <c r="M163" s="10">
        <f t="shared" si="83"/>
        <v>13.741404184945825</v>
      </c>
      <c r="N163" s="10">
        <f t="shared" si="84"/>
        <v>-0.6567355463807274</v>
      </c>
      <c r="O163" s="10">
        <f t="shared" si="85"/>
        <v>10.242111671534952</v>
      </c>
      <c r="P163" s="10">
        <f t="shared" si="86"/>
        <v>5.1104378950442886</v>
      </c>
      <c r="Q163" s="10">
        <f t="shared" si="87"/>
        <v>1</v>
      </c>
      <c r="S163" s="10">
        <f t="shared" si="88"/>
        <v>96.464072943516172</v>
      </c>
      <c r="T163" s="10">
        <f t="shared" si="89"/>
        <v>1</v>
      </c>
      <c r="U163" s="10">
        <f t="shared" si="90"/>
        <v>0</v>
      </c>
      <c r="V163" s="10">
        <f t="shared" si="91"/>
        <v>0</v>
      </c>
      <c r="Y163" s="10">
        <f t="shared" si="92"/>
        <v>0</v>
      </c>
      <c r="Z163" s="10">
        <f t="shared" si="93"/>
        <v>0</v>
      </c>
      <c r="AA163" s="10">
        <f t="shared" si="94"/>
        <v>0</v>
      </c>
      <c r="AB163" s="10">
        <f t="shared" si="95"/>
        <v>0</v>
      </c>
      <c r="AC163" s="10">
        <f t="shared" si="96"/>
        <v>0</v>
      </c>
      <c r="AD163" s="10">
        <f t="shared" si="97"/>
        <v>0</v>
      </c>
      <c r="AE163" s="10">
        <f t="shared" si="98"/>
        <v>-36.708241470714505</v>
      </c>
      <c r="AF163" s="10">
        <f t="shared" si="99"/>
        <v>-37.608241470714503</v>
      </c>
      <c r="AG163" s="10">
        <f t="shared" si="100"/>
        <v>-3.1076165830993174</v>
      </c>
      <c r="AH163" s="10">
        <f t="shared" si="101"/>
        <v>-12.327870393676504</v>
      </c>
      <c r="AI163" s="10">
        <f t="shared" si="102"/>
        <v>6.9640817044301606</v>
      </c>
      <c r="AJ163" s="10">
        <f t="shared" si="105"/>
        <v>38.783121034917976</v>
      </c>
      <c r="AK163" s="10">
        <f t="shared" si="103"/>
        <v>1</v>
      </c>
      <c r="AL163" s="10">
        <f t="shared" si="104"/>
        <v>0</v>
      </c>
      <c r="AN163" s="10">
        <f t="shared" si="78"/>
        <v>1</v>
      </c>
      <c r="AO163" s="10">
        <f t="shared" si="79"/>
        <v>0</v>
      </c>
      <c r="AP163" s="10">
        <f t="shared" si="80"/>
        <v>0</v>
      </c>
    </row>
    <row r="164" spans="2:42" x14ac:dyDescent="0.25">
      <c r="B164" s="10">
        <f t="shared" si="81"/>
        <v>140</v>
      </c>
      <c r="C164">
        <v>-0.52379505177668761</v>
      </c>
      <c r="D164">
        <v>-0.51845063353539445</v>
      </c>
      <c r="E164">
        <v>1.7587717593414709</v>
      </c>
      <c r="F164">
        <v>1.2386908565531485</v>
      </c>
      <c r="G164">
        <v>-0.93248672783374786</v>
      </c>
      <c r="H164">
        <v>0.13306070131534775</v>
      </c>
      <c r="K164" s="10">
        <f>1</f>
        <v>1</v>
      </c>
      <c r="L164" s="10">
        <f t="shared" si="82"/>
        <v>3.0054715404419103</v>
      </c>
      <c r="M164" s="10">
        <f t="shared" si="83"/>
        <v>9.8718174502783675</v>
      </c>
      <c r="N164" s="10">
        <f t="shared" si="84"/>
        <v>5.7415615059929603</v>
      </c>
      <c r="O164" s="10">
        <f t="shared" si="85"/>
        <v>14.270765763374849</v>
      </c>
      <c r="P164" s="10">
        <f t="shared" si="86"/>
        <v>5.1861187219815292</v>
      </c>
      <c r="Q164" s="10">
        <f t="shared" si="87"/>
        <v>1</v>
      </c>
      <c r="S164" s="10">
        <f t="shared" si="88"/>
        <v>49.318858242959152</v>
      </c>
      <c r="T164" s="10">
        <f t="shared" si="89"/>
        <v>1</v>
      </c>
      <c r="U164" s="10">
        <f t="shared" si="90"/>
        <v>0</v>
      </c>
      <c r="V164" s="10">
        <f t="shared" si="91"/>
        <v>0</v>
      </c>
      <c r="X164" s="10">
        <f>SUM(V145:V164)</f>
        <v>2</v>
      </c>
      <c r="Y164" s="10">
        <f t="shared" si="92"/>
        <v>0</v>
      </c>
      <c r="Z164" s="10">
        <f t="shared" si="93"/>
        <v>0</v>
      </c>
      <c r="AA164" s="10">
        <f t="shared" si="94"/>
        <v>0</v>
      </c>
      <c r="AB164" s="10">
        <f t="shared" si="95"/>
        <v>0</v>
      </c>
      <c r="AC164" s="10">
        <f t="shared" si="96"/>
        <v>0</v>
      </c>
      <c r="AD164" s="10">
        <f t="shared" si="97"/>
        <v>0</v>
      </c>
      <c r="AE164" s="10">
        <f t="shared" si="98"/>
        <v>-36.708241470714505</v>
      </c>
      <c r="AF164" s="10">
        <f t="shared" si="99"/>
        <v>-37.608241470714503</v>
      </c>
      <c r="AG164" s="10">
        <f t="shared" si="100"/>
        <v>-3.1076165830993174</v>
      </c>
      <c r="AH164" s="10">
        <f t="shared" si="101"/>
        <v>-12.327870393676504</v>
      </c>
      <c r="AI164" s="10">
        <f t="shared" si="102"/>
        <v>6.9640817044301606</v>
      </c>
      <c r="AJ164" s="10">
        <f t="shared" si="105"/>
        <v>38.783121034917976</v>
      </c>
      <c r="AK164" s="10">
        <f t="shared" si="103"/>
        <v>-1</v>
      </c>
      <c r="AL164" s="10">
        <f t="shared" si="104"/>
        <v>1</v>
      </c>
      <c r="AN164" s="10">
        <f t="shared" si="78"/>
        <v>-1</v>
      </c>
      <c r="AO164" s="10">
        <f t="shared" si="79"/>
        <v>0</v>
      </c>
      <c r="AP164" s="10">
        <f t="shared" si="80"/>
        <v>0</v>
      </c>
    </row>
    <row r="165" spans="2:42" x14ac:dyDescent="0.25">
      <c r="B165" s="10">
        <f t="shared" si="81"/>
        <v>141</v>
      </c>
      <c r="C165">
        <v>-0.87483385868836194</v>
      </c>
      <c r="D165">
        <v>0.68101030592515599</v>
      </c>
      <c r="E165">
        <v>-1.0846315490198322</v>
      </c>
      <c r="F165">
        <v>0.22711105884809513</v>
      </c>
      <c r="G165">
        <v>-0.17340767044515815</v>
      </c>
      <c r="H165">
        <v>0.97161778618732264</v>
      </c>
      <c r="K165" s="10">
        <f>1</f>
        <v>1</v>
      </c>
      <c r="L165" s="10">
        <f t="shared" si="82"/>
        <v>5.1164488621975028</v>
      </c>
      <c r="M165" s="10">
        <f t="shared" si="83"/>
        <v>10.483283263137514</v>
      </c>
      <c r="N165" s="10">
        <f t="shared" si="84"/>
        <v>0.89866316558946835</v>
      </c>
      <c r="O165" s="10">
        <f t="shared" si="85"/>
        <v>9.4525827759111323</v>
      </c>
      <c r="P165" s="10">
        <f t="shared" si="86"/>
        <v>2.4142920790145093</v>
      </c>
      <c r="Q165" s="10">
        <f t="shared" si="87"/>
        <v>-1</v>
      </c>
      <c r="S165" s="10">
        <f t="shared" si="88"/>
        <v>-113.3231730162145</v>
      </c>
      <c r="T165" s="12">
        <f t="shared" si="89"/>
        <v>-1</v>
      </c>
      <c r="U165" s="10">
        <f t="shared" si="90"/>
        <v>0</v>
      </c>
      <c r="V165" s="12">
        <f t="shared" si="91"/>
        <v>0</v>
      </c>
      <c r="W165" s="12"/>
      <c r="X165" s="12"/>
      <c r="Y165" s="10">
        <f t="shared" si="92"/>
        <v>0</v>
      </c>
      <c r="Z165" s="10">
        <f t="shared" si="93"/>
        <v>0</v>
      </c>
      <c r="AA165" s="10">
        <f t="shared" si="94"/>
        <v>0</v>
      </c>
      <c r="AB165" s="10">
        <f t="shared" si="95"/>
        <v>0</v>
      </c>
      <c r="AC165" s="10">
        <f t="shared" si="96"/>
        <v>0</v>
      </c>
      <c r="AD165" s="10">
        <f t="shared" si="97"/>
        <v>0</v>
      </c>
      <c r="AE165" s="10">
        <f t="shared" si="98"/>
        <v>-36.708241470714505</v>
      </c>
      <c r="AF165" s="10">
        <f t="shared" si="99"/>
        <v>-37.608241470714503</v>
      </c>
      <c r="AG165" s="10">
        <f t="shared" si="100"/>
        <v>-3.1076165830993174</v>
      </c>
      <c r="AH165" s="10">
        <f t="shared" si="101"/>
        <v>-12.327870393676504</v>
      </c>
      <c r="AI165" s="10">
        <f t="shared" si="102"/>
        <v>6.9640817044301606</v>
      </c>
      <c r="AJ165" s="10">
        <f t="shared" si="105"/>
        <v>38.783121034917976</v>
      </c>
      <c r="AK165" s="10">
        <f t="shared" si="103"/>
        <v>-1</v>
      </c>
      <c r="AL165" s="10">
        <f t="shared" si="104"/>
        <v>0</v>
      </c>
      <c r="AN165" s="10">
        <f t="shared" si="78"/>
        <v>-1</v>
      </c>
      <c r="AO165" s="10">
        <f t="shared" si="79"/>
        <v>0</v>
      </c>
      <c r="AP165" s="10">
        <f t="shared" si="80"/>
        <v>0</v>
      </c>
    </row>
    <row r="166" spans="2:42" x14ac:dyDescent="0.25">
      <c r="B166" s="10">
        <f t="shared" si="81"/>
        <v>142</v>
      </c>
      <c r="C166">
        <v>0.64281948652933352</v>
      </c>
      <c r="D166">
        <v>0.18919422473118175</v>
      </c>
      <c r="E166">
        <v>2.0540937839541584E-2</v>
      </c>
      <c r="F166">
        <v>0.60004140323144384</v>
      </c>
      <c r="G166">
        <v>5.3536268751486205E-2</v>
      </c>
      <c r="H166">
        <v>0.73671681875057227</v>
      </c>
      <c r="K166" s="10">
        <f>1</f>
        <v>1</v>
      </c>
      <c r="L166" s="10">
        <f t="shared" si="82"/>
        <v>7.6407454095686269</v>
      </c>
      <c r="M166" s="10">
        <f t="shared" si="83"/>
        <v>9.6652508451208252</v>
      </c>
      <c r="N166" s="10">
        <f t="shared" si="84"/>
        <v>2.7368847210056715</v>
      </c>
      <c r="O166" s="10">
        <f t="shared" si="85"/>
        <v>10.072873821757163</v>
      </c>
      <c r="P166" s="10">
        <f t="shared" si="86"/>
        <v>2.7917655013649321</v>
      </c>
      <c r="Q166" s="10">
        <f t="shared" si="87"/>
        <v>-1</v>
      </c>
      <c r="S166" s="10">
        <f t="shared" si="88"/>
        <v>-209.41739814545116</v>
      </c>
      <c r="T166" s="10">
        <f t="shared" si="89"/>
        <v>-1</v>
      </c>
      <c r="U166" s="10">
        <f t="shared" si="90"/>
        <v>0</v>
      </c>
      <c r="V166" s="10">
        <f t="shared" si="91"/>
        <v>0</v>
      </c>
      <c r="Y166" s="10">
        <f t="shared" si="92"/>
        <v>0</v>
      </c>
      <c r="Z166" s="10">
        <f t="shared" si="93"/>
        <v>0</v>
      </c>
      <c r="AA166" s="10">
        <f t="shared" si="94"/>
        <v>0</v>
      </c>
      <c r="AB166" s="10">
        <f t="shared" si="95"/>
        <v>0</v>
      </c>
      <c r="AC166" s="10">
        <f t="shared" si="96"/>
        <v>0</v>
      </c>
      <c r="AD166" s="10">
        <f t="shared" si="97"/>
        <v>0</v>
      </c>
      <c r="AE166" s="10">
        <f t="shared" si="98"/>
        <v>-36.708241470714505</v>
      </c>
      <c r="AF166" s="10">
        <f t="shared" si="99"/>
        <v>-37.608241470714503</v>
      </c>
      <c r="AG166" s="10">
        <f t="shared" si="100"/>
        <v>-3.1076165830993174</v>
      </c>
      <c r="AH166" s="10">
        <f t="shared" si="101"/>
        <v>-12.327870393676504</v>
      </c>
      <c r="AI166" s="10">
        <f t="shared" si="102"/>
        <v>6.9640817044301606</v>
      </c>
      <c r="AJ166" s="10">
        <f t="shared" si="105"/>
        <v>38.783121034917976</v>
      </c>
      <c r="AK166" s="10">
        <f t="shared" si="103"/>
        <v>-1</v>
      </c>
      <c r="AL166" s="10">
        <f t="shared" si="104"/>
        <v>0</v>
      </c>
      <c r="AN166" s="10">
        <f t="shared" si="78"/>
        <v>1</v>
      </c>
      <c r="AO166" s="10">
        <f t="shared" si="79"/>
        <v>0</v>
      </c>
      <c r="AP166" s="10">
        <f t="shared" si="80"/>
        <v>0</v>
      </c>
    </row>
    <row r="167" spans="2:42" x14ac:dyDescent="0.25">
      <c r="B167" s="10">
        <f t="shared" si="81"/>
        <v>143</v>
      </c>
      <c r="C167">
        <v>0.81035295806941576</v>
      </c>
      <c r="D167">
        <v>1.9699655240401626E-2</v>
      </c>
      <c r="E167">
        <v>0.8161032383213751</v>
      </c>
      <c r="F167">
        <v>-1.3220164873928297</v>
      </c>
      <c r="G167">
        <v>1.0172584552492481</v>
      </c>
      <c r="H167">
        <v>0.34296700949125647</v>
      </c>
      <c r="K167" s="10">
        <f>1</f>
        <v>1</v>
      </c>
      <c r="L167" s="10">
        <f t="shared" si="82"/>
        <v>6.0875663889578107</v>
      </c>
      <c r="M167" s="10">
        <f t="shared" si="83"/>
        <v>11.115030512489172</v>
      </c>
      <c r="N167" s="10">
        <f t="shared" si="84"/>
        <v>3.5638467614127975</v>
      </c>
      <c r="O167" s="10">
        <f t="shared" si="85"/>
        <v>8.3551230797395224</v>
      </c>
      <c r="P167" s="10">
        <f t="shared" si="86"/>
        <v>9.6903412972503542</v>
      </c>
      <c r="Q167" s="10">
        <f t="shared" si="87"/>
        <v>1</v>
      </c>
      <c r="S167" s="10">
        <f t="shared" si="88"/>
        <v>89.880636863268364</v>
      </c>
      <c r="T167" s="10">
        <f t="shared" si="89"/>
        <v>1</v>
      </c>
      <c r="U167" s="10">
        <f t="shared" si="90"/>
        <v>0</v>
      </c>
      <c r="V167" s="10">
        <f t="shared" si="91"/>
        <v>0</v>
      </c>
      <c r="Y167" s="10">
        <f t="shared" si="92"/>
        <v>0</v>
      </c>
      <c r="Z167" s="10">
        <f t="shared" si="93"/>
        <v>0</v>
      </c>
      <c r="AA167" s="10">
        <f t="shared" si="94"/>
        <v>0</v>
      </c>
      <c r="AB167" s="10">
        <f t="shared" si="95"/>
        <v>0</v>
      </c>
      <c r="AC167" s="10">
        <f t="shared" si="96"/>
        <v>0</v>
      </c>
      <c r="AD167" s="10">
        <f t="shared" si="97"/>
        <v>0</v>
      </c>
      <c r="AE167" s="10">
        <f t="shared" si="98"/>
        <v>-36.708241470714505</v>
      </c>
      <c r="AF167" s="10">
        <f t="shared" si="99"/>
        <v>-37.608241470714503</v>
      </c>
      <c r="AG167" s="10">
        <f t="shared" si="100"/>
        <v>-3.1076165830993174</v>
      </c>
      <c r="AH167" s="10">
        <f t="shared" si="101"/>
        <v>-12.327870393676504</v>
      </c>
      <c r="AI167" s="10">
        <f t="shared" si="102"/>
        <v>6.9640817044301606</v>
      </c>
      <c r="AJ167" s="10">
        <f t="shared" si="105"/>
        <v>38.783121034917976</v>
      </c>
      <c r="AK167" s="10">
        <f t="shared" si="103"/>
        <v>1</v>
      </c>
      <c r="AL167" s="10">
        <f t="shared" si="104"/>
        <v>0</v>
      </c>
      <c r="AN167" s="10">
        <f t="shared" si="78"/>
        <v>1</v>
      </c>
      <c r="AO167" s="10">
        <f t="shared" si="79"/>
        <v>0</v>
      </c>
      <c r="AP167" s="10">
        <f t="shared" si="80"/>
        <v>0</v>
      </c>
    </row>
    <row r="168" spans="2:42" x14ac:dyDescent="0.25">
      <c r="B168" s="10">
        <f t="shared" si="81"/>
        <v>144</v>
      </c>
      <c r="C168">
        <v>0.74644731284934096</v>
      </c>
      <c r="D168">
        <v>2.0081643015146255E-2</v>
      </c>
      <c r="E168">
        <v>-1.6566082194913179</v>
      </c>
      <c r="F168">
        <v>0.81802454587887041</v>
      </c>
      <c r="G168">
        <v>-1.1429506230342668</v>
      </c>
      <c r="H168">
        <v>8.8564714499343847E-2</v>
      </c>
      <c r="K168" s="10">
        <f>1</f>
        <v>1</v>
      </c>
      <c r="L168" s="10">
        <f t="shared" si="82"/>
        <v>5.9399341484040828</v>
      </c>
      <c r="M168" s="10">
        <f t="shared" si="83"/>
        <v>11.115912965218589</v>
      </c>
      <c r="N168" s="10">
        <f t="shared" si="84"/>
        <v>-2.1485113800724598</v>
      </c>
      <c r="O168" s="10">
        <f t="shared" si="85"/>
        <v>13.298959442408302</v>
      </c>
      <c r="P168" s="10">
        <f t="shared" si="86"/>
        <v>4.6999135315462235</v>
      </c>
      <c r="Q168" s="10">
        <f t="shared" si="87"/>
        <v>1</v>
      </c>
      <c r="S168" s="10">
        <f t="shared" si="88"/>
        <v>6.7362106102725079</v>
      </c>
      <c r="T168" s="10">
        <f t="shared" si="89"/>
        <v>1</v>
      </c>
      <c r="U168" s="10">
        <f t="shared" si="90"/>
        <v>0</v>
      </c>
      <c r="V168" s="10">
        <f t="shared" si="91"/>
        <v>0</v>
      </c>
      <c r="Y168" s="10">
        <f t="shared" si="92"/>
        <v>0</v>
      </c>
      <c r="Z168" s="10">
        <f t="shared" si="93"/>
        <v>0</v>
      </c>
      <c r="AA168" s="10">
        <f t="shared" si="94"/>
        <v>0</v>
      </c>
      <c r="AB168" s="10">
        <f t="shared" si="95"/>
        <v>0</v>
      </c>
      <c r="AC168" s="10">
        <f t="shared" si="96"/>
        <v>0</v>
      </c>
      <c r="AD168" s="10">
        <f t="shared" si="97"/>
        <v>0</v>
      </c>
      <c r="AE168" s="10">
        <f t="shared" si="98"/>
        <v>-36.708241470714505</v>
      </c>
      <c r="AF168" s="10">
        <f t="shared" si="99"/>
        <v>-37.608241470714503</v>
      </c>
      <c r="AG168" s="10">
        <f t="shared" si="100"/>
        <v>-3.1076165830993174</v>
      </c>
      <c r="AH168" s="10">
        <f t="shared" si="101"/>
        <v>-12.327870393676504</v>
      </c>
      <c r="AI168" s="10">
        <f t="shared" si="102"/>
        <v>6.9640817044301606</v>
      </c>
      <c r="AJ168" s="10">
        <f t="shared" si="105"/>
        <v>38.783121034917976</v>
      </c>
      <c r="AK168" s="10">
        <f t="shared" si="103"/>
        <v>1</v>
      </c>
      <c r="AL168" s="10">
        <f t="shared" si="104"/>
        <v>0</v>
      </c>
      <c r="AN168" s="10">
        <f t="shared" si="78"/>
        <v>-1</v>
      </c>
      <c r="AO168" s="10">
        <f t="shared" si="79"/>
        <v>0</v>
      </c>
      <c r="AP168" s="10">
        <f t="shared" si="80"/>
        <v>0</v>
      </c>
    </row>
    <row r="169" spans="2:42" x14ac:dyDescent="0.25">
      <c r="B169" s="10">
        <f t="shared" si="81"/>
        <v>145</v>
      </c>
      <c r="C169">
        <v>1.4334182196762413</v>
      </c>
      <c r="D169">
        <v>-1.0493545232748147</v>
      </c>
      <c r="E169">
        <v>-1.2295140550122596</v>
      </c>
      <c r="F169">
        <v>-0.26686279852583539</v>
      </c>
      <c r="G169">
        <v>-0.45947444959892891</v>
      </c>
      <c r="H169">
        <v>0.85146641438032167</v>
      </c>
      <c r="K169" s="10">
        <f>1</f>
        <v>1</v>
      </c>
      <c r="L169" s="10">
        <f t="shared" si="82"/>
        <v>8.9557398111079696</v>
      </c>
      <c r="M169" s="10">
        <f t="shared" si="83"/>
        <v>7.6051859836725759</v>
      </c>
      <c r="N169" s="10">
        <f t="shared" si="84"/>
        <v>0.65768164579536803</v>
      </c>
      <c r="O169" s="10">
        <f t="shared" si="85"/>
        <v>8.6309613518950012</v>
      </c>
      <c r="P169" s="10">
        <f t="shared" si="86"/>
        <v>1.9384802704675057</v>
      </c>
      <c r="Q169" s="10">
        <f t="shared" si="87"/>
        <v>-1</v>
      </c>
      <c r="S169" s="10">
        <f t="shared" si="88"/>
        <v>-269.97264801011704</v>
      </c>
      <c r="T169" s="10">
        <f t="shared" si="89"/>
        <v>-1</v>
      </c>
      <c r="U169" s="10">
        <f t="shared" si="90"/>
        <v>0</v>
      </c>
      <c r="V169" s="10">
        <f t="shared" si="91"/>
        <v>0</v>
      </c>
      <c r="Y169" s="10">
        <f t="shared" si="92"/>
        <v>0</v>
      </c>
      <c r="Z169" s="10">
        <f t="shared" si="93"/>
        <v>0</v>
      </c>
      <c r="AA169" s="10">
        <f t="shared" si="94"/>
        <v>0</v>
      </c>
      <c r="AB169" s="10">
        <f t="shared" si="95"/>
        <v>0</v>
      </c>
      <c r="AC169" s="10">
        <f t="shared" si="96"/>
        <v>0</v>
      </c>
      <c r="AD169" s="10">
        <f t="shared" si="97"/>
        <v>0</v>
      </c>
      <c r="AE169" s="10">
        <f t="shared" si="98"/>
        <v>-36.708241470714505</v>
      </c>
      <c r="AF169" s="10">
        <f t="shared" si="99"/>
        <v>-37.608241470714503</v>
      </c>
      <c r="AG169" s="10">
        <f t="shared" si="100"/>
        <v>-3.1076165830993174</v>
      </c>
      <c r="AH169" s="10">
        <f t="shared" si="101"/>
        <v>-12.327870393676504</v>
      </c>
      <c r="AI169" s="10">
        <f t="shared" si="102"/>
        <v>6.9640817044301606</v>
      </c>
      <c r="AJ169" s="10">
        <f t="shared" si="105"/>
        <v>38.783121034917976</v>
      </c>
      <c r="AK169" s="10">
        <f t="shared" si="103"/>
        <v>-1</v>
      </c>
      <c r="AL169" s="10">
        <f t="shared" si="104"/>
        <v>0</v>
      </c>
      <c r="AN169" s="10">
        <f t="shared" si="78"/>
        <v>-1</v>
      </c>
      <c r="AO169" s="10">
        <f t="shared" si="79"/>
        <v>0</v>
      </c>
      <c r="AP169" s="10">
        <f t="shared" si="80"/>
        <v>0</v>
      </c>
    </row>
    <row r="170" spans="2:42" x14ac:dyDescent="0.25">
      <c r="B170" s="10">
        <f t="shared" si="81"/>
        <v>146</v>
      </c>
      <c r="C170">
        <v>0.76887317845830694</v>
      </c>
      <c r="D170">
        <v>-0.22883796191308647</v>
      </c>
      <c r="E170">
        <v>1.0869780453504063</v>
      </c>
      <c r="F170">
        <v>1.7209003999596462</v>
      </c>
      <c r="G170">
        <v>-0.33612423067097552</v>
      </c>
      <c r="H170">
        <v>0.98525955992309333</v>
      </c>
      <c r="K170" s="10">
        <f>1</f>
        <v>1</v>
      </c>
      <c r="L170" s="10">
        <f t="shared" si="82"/>
        <v>7.8504091646826435</v>
      </c>
      <c r="M170" s="10">
        <f t="shared" si="83"/>
        <v>8.9699423883106437</v>
      </c>
      <c r="N170" s="10">
        <f t="shared" si="84"/>
        <v>4.5106781350029745</v>
      </c>
      <c r="O170" s="10">
        <f t="shared" si="85"/>
        <v>11.937186580956473</v>
      </c>
      <c r="P170" s="10">
        <f t="shared" si="86"/>
        <v>2.1436473679067705</v>
      </c>
      <c r="Q170" s="10">
        <f t="shared" si="87"/>
        <v>-1</v>
      </c>
      <c r="S170" s="10">
        <f t="shared" si="88"/>
        <v>-249.16164413475644</v>
      </c>
      <c r="T170" s="10">
        <f t="shared" si="89"/>
        <v>-1</v>
      </c>
      <c r="U170" s="10">
        <f t="shared" si="90"/>
        <v>0</v>
      </c>
      <c r="V170" s="10">
        <f t="shared" si="91"/>
        <v>0</v>
      </c>
      <c r="Y170" s="10">
        <f t="shared" si="92"/>
        <v>0</v>
      </c>
      <c r="Z170" s="10">
        <f t="shared" si="93"/>
        <v>0</v>
      </c>
      <c r="AA170" s="10">
        <f t="shared" si="94"/>
        <v>0</v>
      </c>
      <c r="AB170" s="10">
        <f t="shared" si="95"/>
        <v>0</v>
      </c>
      <c r="AC170" s="10">
        <f t="shared" si="96"/>
        <v>0</v>
      </c>
      <c r="AD170" s="10">
        <f t="shared" si="97"/>
        <v>0</v>
      </c>
      <c r="AE170" s="10">
        <f t="shared" si="98"/>
        <v>-36.708241470714505</v>
      </c>
      <c r="AF170" s="10">
        <f t="shared" si="99"/>
        <v>-37.608241470714503</v>
      </c>
      <c r="AG170" s="10">
        <f t="shared" si="100"/>
        <v>-3.1076165830993174</v>
      </c>
      <c r="AH170" s="10">
        <f t="shared" si="101"/>
        <v>-12.327870393676504</v>
      </c>
      <c r="AI170" s="10">
        <f t="shared" si="102"/>
        <v>6.9640817044301606</v>
      </c>
      <c r="AJ170" s="10">
        <f t="shared" si="105"/>
        <v>38.783121034917976</v>
      </c>
      <c r="AK170" s="10">
        <f t="shared" si="103"/>
        <v>-1</v>
      </c>
      <c r="AL170" s="10">
        <f t="shared" si="104"/>
        <v>0</v>
      </c>
      <c r="AN170" s="10">
        <f t="shared" si="78"/>
        <v>-1</v>
      </c>
      <c r="AO170" s="10">
        <f t="shared" si="79"/>
        <v>0</v>
      </c>
      <c r="AP170" s="10">
        <f t="shared" si="80"/>
        <v>0</v>
      </c>
    </row>
    <row r="171" spans="2:42" x14ac:dyDescent="0.25">
      <c r="B171" s="10">
        <f t="shared" si="81"/>
        <v>147</v>
      </c>
      <c r="C171">
        <v>-0.3149898475385271</v>
      </c>
      <c r="D171">
        <v>-1.1908559827134013</v>
      </c>
      <c r="E171">
        <v>0.35512584872776642</v>
      </c>
      <c r="F171">
        <v>-0.72767761594150215</v>
      </c>
      <c r="G171">
        <v>-0.52994664656580426</v>
      </c>
      <c r="H171">
        <v>0.55244605853450113</v>
      </c>
      <c r="K171" s="10">
        <f>1</f>
        <v>1</v>
      </c>
      <c r="L171" s="10">
        <f t="shared" si="82"/>
        <v>6.0476314071871924</v>
      </c>
      <c r="M171" s="10">
        <f t="shared" si="83"/>
        <v>7.3698281223834003</v>
      </c>
      <c r="N171" s="10">
        <f t="shared" si="84"/>
        <v>3.2933962181924494</v>
      </c>
      <c r="O171" s="10">
        <f t="shared" si="85"/>
        <v>7.8644930037407219</v>
      </c>
      <c r="P171" s="10">
        <f t="shared" si="86"/>
        <v>1.8212646203655227</v>
      </c>
      <c r="Q171" s="10">
        <f t="shared" si="87"/>
        <v>-1</v>
      </c>
      <c r="S171" s="10">
        <f t="shared" si="88"/>
        <v>-202.24888752847886</v>
      </c>
      <c r="T171" s="10">
        <f t="shared" si="89"/>
        <v>-1</v>
      </c>
      <c r="U171" s="10">
        <f t="shared" si="90"/>
        <v>0</v>
      </c>
      <c r="V171" s="10">
        <f t="shared" si="91"/>
        <v>0</v>
      </c>
      <c r="Y171" s="10">
        <f t="shared" si="92"/>
        <v>0</v>
      </c>
      <c r="Z171" s="10">
        <f t="shared" si="93"/>
        <v>0</v>
      </c>
      <c r="AA171" s="10">
        <f t="shared" si="94"/>
        <v>0</v>
      </c>
      <c r="AB171" s="10">
        <f t="shared" si="95"/>
        <v>0</v>
      </c>
      <c r="AC171" s="10">
        <f t="shared" si="96"/>
        <v>0</v>
      </c>
      <c r="AD171" s="10">
        <f t="shared" si="97"/>
        <v>0</v>
      </c>
      <c r="AE171" s="10">
        <f t="shared" si="98"/>
        <v>-36.708241470714505</v>
      </c>
      <c r="AF171" s="10">
        <f t="shared" si="99"/>
        <v>-37.608241470714503</v>
      </c>
      <c r="AG171" s="10">
        <f t="shared" si="100"/>
        <v>-3.1076165830993174</v>
      </c>
      <c r="AH171" s="10">
        <f t="shared" si="101"/>
        <v>-12.327870393676504</v>
      </c>
      <c r="AI171" s="10">
        <f t="shared" si="102"/>
        <v>6.9640817044301606</v>
      </c>
      <c r="AJ171" s="10">
        <f t="shared" si="105"/>
        <v>38.783121034917976</v>
      </c>
      <c r="AK171" s="10">
        <f t="shared" si="103"/>
        <v>-1</v>
      </c>
      <c r="AL171" s="10">
        <f t="shared" si="104"/>
        <v>0</v>
      </c>
      <c r="AN171" s="10">
        <f t="shared" si="78"/>
        <v>-1</v>
      </c>
      <c r="AO171" s="10">
        <f t="shared" si="79"/>
        <v>0</v>
      </c>
      <c r="AP171" s="10">
        <f t="shared" si="80"/>
        <v>0</v>
      </c>
    </row>
    <row r="172" spans="2:42" x14ac:dyDescent="0.25">
      <c r="B172" s="10">
        <f t="shared" si="81"/>
        <v>148</v>
      </c>
      <c r="C172">
        <v>-1.4814258975093253</v>
      </c>
      <c r="D172">
        <v>0.94043343779048882</v>
      </c>
      <c r="E172">
        <v>1.585481186339166</v>
      </c>
      <c r="F172">
        <v>-1.1613724382186774</v>
      </c>
      <c r="G172">
        <v>-0.24354903871426359</v>
      </c>
      <c r="H172">
        <v>0.73757133701590016</v>
      </c>
      <c r="K172" s="10">
        <f>1</f>
        <v>1</v>
      </c>
      <c r="L172" s="10">
        <f t="shared" si="82"/>
        <v>4.1075108236898181</v>
      </c>
      <c r="M172" s="10">
        <f t="shared" si="83"/>
        <v>10.914778978637635</v>
      </c>
      <c r="N172" s="10">
        <f t="shared" si="84"/>
        <v>5.3398330679241575</v>
      </c>
      <c r="O172" s="10">
        <f t="shared" si="85"/>
        <v>7.1431330529082278</v>
      </c>
      <c r="P172" s="10">
        <f t="shared" si="86"/>
        <v>2.2976266927406814</v>
      </c>
      <c r="Q172" s="10">
        <f t="shared" si="87"/>
        <v>-1</v>
      </c>
      <c r="S172" s="10">
        <f t="shared" si="88"/>
        <v>-152.07772218804109</v>
      </c>
      <c r="T172" s="10">
        <f t="shared" si="89"/>
        <v>-1</v>
      </c>
      <c r="U172" s="10">
        <f t="shared" si="90"/>
        <v>0</v>
      </c>
      <c r="V172" s="10">
        <f t="shared" si="91"/>
        <v>0</v>
      </c>
      <c r="Y172" s="10">
        <f t="shared" si="92"/>
        <v>0</v>
      </c>
      <c r="Z172" s="10">
        <f t="shared" si="93"/>
        <v>0</v>
      </c>
      <c r="AA172" s="10">
        <f t="shared" si="94"/>
        <v>0</v>
      </c>
      <c r="AB172" s="10">
        <f t="shared" si="95"/>
        <v>0</v>
      </c>
      <c r="AC172" s="10">
        <f t="shared" si="96"/>
        <v>0</v>
      </c>
      <c r="AD172" s="10">
        <f t="shared" si="97"/>
        <v>0</v>
      </c>
      <c r="AE172" s="10">
        <f t="shared" si="98"/>
        <v>-36.708241470714505</v>
      </c>
      <c r="AF172" s="10">
        <f t="shared" si="99"/>
        <v>-37.608241470714503</v>
      </c>
      <c r="AG172" s="10">
        <f t="shared" si="100"/>
        <v>-3.1076165830993174</v>
      </c>
      <c r="AH172" s="10">
        <f t="shared" si="101"/>
        <v>-12.327870393676504</v>
      </c>
      <c r="AI172" s="10">
        <f t="shared" si="102"/>
        <v>6.9640817044301606</v>
      </c>
      <c r="AJ172" s="10">
        <f t="shared" si="105"/>
        <v>38.783121034917976</v>
      </c>
      <c r="AK172" s="10">
        <f t="shared" si="103"/>
        <v>-1</v>
      </c>
      <c r="AL172" s="10">
        <f t="shared" si="104"/>
        <v>0</v>
      </c>
      <c r="AN172" s="10">
        <f t="shared" si="78"/>
        <v>-1</v>
      </c>
      <c r="AO172" s="10">
        <f t="shared" si="79"/>
        <v>0</v>
      </c>
      <c r="AP172" s="10">
        <f t="shared" si="80"/>
        <v>0</v>
      </c>
    </row>
    <row r="173" spans="2:42" x14ac:dyDescent="0.25">
      <c r="B173" s="10">
        <f t="shared" si="81"/>
        <v>149</v>
      </c>
      <c r="C173">
        <v>-0.31659737942391075</v>
      </c>
      <c r="D173">
        <v>0.52889163271174766</v>
      </c>
      <c r="E173">
        <v>-0.15603745850967243</v>
      </c>
      <c r="F173">
        <v>-0.61208311308291741</v>
      </c>
      <c r="G173">
        <v>0.25198914954671636</v>
      </c>
      <c r="H173">
        <v>0.64461195715201269</v>
      </c>
      <c r="K173" s="10">
        <f>1</f>
        <v>1</v>
      </c>
      <c r="L173" s="10">
        <f t="shared" si="82"/>
        <v>6.0449576166270163</v>
      </c>
      <c r="M173" s="10">
        <f t="shared" si="83"/>
        <v>10.230265903940639</v>
      </c>
      <c r="N173" s="10">
        <f t="shared" si="84"/>
        <v>2.443183766404136</v>
      </c>
      <c r="O173" s="10">
        <f t="shared" si="85"/>
        <v>8.0567601017446808</v>
      </c>
      <c r="P173" s="10">
        <f t="shared" si="86"/>
        <v>3.1218500515593606</v>
      </c>
      <c r="Q173" s="10">
        <f t="shared" si="87"/>
        <v>-1</v>
      </c>
      <c r="S173" s="10">
        <f t="shared" si="88"/>
        <v>-148.77643996578962</v>
      </c>
      <c r="T173" s="10">
        <f t="shared" si="89"/>
        <v>-1</v>
      </c>
      <c r="U173" s="10">
        <f t="shared" si="90"/>
        <v>0</v>
      </c>
      <c r="V173" s="10">
        <f t="shared" si="91"/>
        <v>0</v>
      </c>
      <c r="Y173" s="10">
        <f t="shared" si="92"/>
        <v>0</v>
      </c>
      <c r="Z173" s="10">
        <f t="shared" si="93"/>
        <v>0</v>
      </c>
      <c r="AA173" s="10">
        <f t="shared" si="94"/>
        <v>0</v>
      </c>
      <c r="AB173" s="10">
        <f t="shared" si="95"/>
        <v>0</v>
      </c>
      <c r="AC173" s="10">
        <f t="shared" si="96"/>
        <v>0</v>
      </c>
      <c r="AD173" s="10">
        <f t="shared" si="97"/>
        <v>0</v>
      </c>
      <c r="AE173" s="10">
        <f t="shared" si="98"/>
        <v>-36.708241470714505</v>
      </c>
      <c r="AF173" s="10">
        <f t="shared" si="99"/>
        <v>-37.608241470714503</v>
      </c>
      <c r="AG173" s="10">
        <f t="shared" si="100"/>
        <v>-3.1076165830993174</v>
      </c>
      <c r="AH173" s="10">
        <f t="shared" si="101"/>
        <v>-12.327870393676504</v>
      </c>
      <c r="AI173" s="10">
        <f t="shared" si="102"/>
        <v>6.9640817044301606</v>
      </c>
      <c r="AJ173" s="10">
        <f t="shared" si="105"/>
        <v>38.783121034917976</v>
      </c>
      <c r="AK173" s="10">
        <f t="shared" si="103"/>
        <v>-1</v>
      </c>
      <c r="AL173" s="10">
        <f t="shared" si="104"/>
        <v>0</v>
      </c>
      <c r="AN173" s="10">
        <f t="shared" si="78"/>
        <v>-1</v>
      </c>
      <c r="AO173" s="10">
        <f t="shared" si="79"/>
        <v>0</v>
      </c>
      <c r="AP173" s="10">
        <f t="shared" si="80"/>
        <v>0</v>
      </c>
    </row>
    <row r="174" spans="2:42" x14ac:dyDescent="0.25">
      <c r="B174" s="10">
        <f t="shared" si="81"/>
        <v>150</v>
      </c>
      <c r="C174">
        <v>0.77888216765131801</v>
      </c>
      <c r="D174">
        <v>-0.58254727264284156</v>
      </c>
      <c r="E174">
        <v>-4.9323034545523115E-2</v>
      </c>
      <c r="F174">
        <v>0.84603243521996774</v>
      </c>
      <c r="G174">
        <v>0.14505076251225546</v>
      </c>
      <c r="H174">
        <v>0.66859950560014647</v>
      </c>
      <c r="K174" s="10">
        <f>1</f>
        <v>1</v>
      </c>
      <c r="L174" s="10">
        <f t="shared" si="82"/>
        <v>7.8670570091605727</v>
      </c>
      <c r="M174" s="10">
        <f t="shared" si="83"/>
        <v>8.3816214817863237</v>
      </c>
      <c r="N174" s="10">
        <f t="shared" si="84"/>
        <v>2.6206807243334582</v>
      </c>
      <c r="O174" s="10">
        <f t="shared" si="85"/>
        <v>10.482028069457794</v>
      </c>
      <c r="P174" s="10">
        <f t="shared" si="86"/>
        <v>2.9439805782549646</v>
      </c>
      <c r="Q174" s="10">
        <f t="shared" si="87"/>
        <v>-1</v>
      </c>
      <c r="S174" s="10">
        <f t="shared" si="88"/>
        <v>-203.75424436320765</v>
      </c>
      <c r="T174" s="10">
        <f t="shared" si="89"/>
        <v>-1</v>
      </c>
      <c r="U174" s="10">
        <f t="shared" si="90"/>
        <v>0</v>
      </c>
      <c r="V174" s="10">
        <f t="shared" si="91"/>
        <v>0</v>
      </c>
      <c r="Y174" s="10">
        <f t="shared" si="92"/>
        <v>0</v>
      </c>
      <c r="Z174" s="10">
        <f t="shared" si="93"/>
        <v>0</v>
      </c>
      <c r="AA174" s="10">
        <f t="shared" si="94"/>
        <v>0</v>
      </c>
      <c r="AB174" s="10">
        <f t="shared" si="95"/>
        <v>0</v>
      </c>
      <c r="AC174" s="10">
        <f t="shared" si="96"/>
        <v>0</v>
      </c>
      <c r="AD174" s="10">
        <f t="shared" si="97"/>
        <v>0</v>
      </c>
      <c r="AE174" s="10">
        <f t="shared" si="98"/>
        <v>-36.708241470714505</v>
      </c>
      <c r="AF174" s="10">
        <f t="shared" si="99"/>
        <v>-37.608241470714503</v>
      </c>
      <c r="AG174" s="10">
        <f t="shared" si="100"/>
        <v>-3.1076165830993174</v>
      </c>
      <c r="AH174" s="10">
        <f t="shared" si="101"/>
        <v>-12.327870393676504</v>
      </c>
      <c r="AI174" s="10">
        <f t="shared" si="102"/>
        <v>6.9640817044301606</v>
      </c>
      <c r="AJ174" s="10">
        <f t="shared" si="105"/>
        <v>38.783121034917976</v>
      </c>
      <c r="AK174" s="10">
        <f t="shared" si="103"/>
        <v>-1</v>
      </c>
      <c r="AL174" s="10">
        <f t="shared" si="104"/>
        <v>0</v>
      </c>
      <c r="AN174" s="10">
        <f t="shared" si="78"/>
        <v>1</v>
      </c>
      <c r="AO174" s="10">
        <f t="shared" si="79"/>
        <v>0</v>
      </c>
      <c r="AP174" s="10">
        <f t="shared" si="80"/>
        <v>0</v>
      </c>
    </row>
    <row r="175" spans="2:42" x14ac:dyDescent="0.25">
      <c r="B175" s="10">
        <f t="shared" si="81"/>
        <v>151</v>
      </c>
      <c r="C175">
        <v>-0.91770061771967448</v>
      </c>
      <c r="D175">
        <v>2.6653651730157435</v>
      </c>
      <c r="E175">
        <v>1.515031726739835</v>
      </c>
      <c r="F175">
        <v>-1.0565463526290841</v>
      </c>
      <c r="G175">
        <v>-0.38931602830416523</v>
      </c>
      <c r="H175">
        <v>0.46415601062044132</v>
      </c>
      <c r="K175" s="10">
        <f>1</f>
        <v>1</v>
      </c>
      <c r="L175" s="10">
        <f t="shared" si="82"/>
        <v>2.0954868111354044</v>
      </c>
      <c r="M175" s="10">
        <f t="shared" si="83"/>
        <v>17.226940137997765</v>
      </c>
      <c r="N175" s="10">
        <f t="shared" si="84"/>
        <v>5.178483126896734</v>
      </c>
      <c r="O175" s="10">
        <f t="shared" si="85"/>
        <v>8.9684014632110411</v>
      </c>
      <c r="P175" s="10">
        <f t="shared" si="86"/>
        <v>6.4409297343504015</v>
      </c>
      <c r="Q175" s="10">
        <f t="shared" si="87"/>
        <v>1</v>
      </c>
      <c r="S175" s="10">
        <f t="shared" si="88"/>
        <v>79.365828876929413</v>
      </c>
      <c r="T175" s="10">
        <f t="shared" si="89"/>
        <v>1</v>
      </c>
      <c r="U175" s="10">
        <f t="shared" si="90"/>
        <v>0</v>
      </c>
      <c r="V175" s="10">
        <f t="shared" si="91"/>
        <v>0</v>
      </c>
      <c r="Y175" s="10">
        <f t="shared" si="92"/>
        <v>0</v>
      </c>
      <c r="Z175" s="10">
        <f t="shared" si="93"/>
        <v>0</v>
      </c>
      <c r="AA175" s="10">
        <f t="shared" si="94"/>
        <v>0</v>
      </c>
      <c r="AB175" s="10">
        <f t="shared" si="95"/>
        <v>0</v>
      </c>
      <c r="AC175" s="10">
        <f t="shared" si="96"/>
        <v>0</v>
      </c>
      <c r="AD175" s="10">
        <f t="shared" si="97"/>
        <v>0</v>
      </c>
      <c r="AE175" s="10">
        <f t="shared" si="98"/>
        <v>-36.708241470714505</v>
      </c>
      <c r="AF175" s="10">
        <f t="shared" si="99"/>
        <v>-37.608241470714503</v>
      </c>
      <c r="AG175" s="10">
        <f t="shared" si="100"/>
        <v>-3.1076165830993174</v>
      </c>
      <c r="AH175" s="10">
        <f t="shared" si="101"/>
        <v>-12.327870393676504</v>
      </c>
      <c r="AI175" s="10">
        <f t="shared" si="102"/>
        <v>6.9640817044301606</v>
      </c>
      <c r="AJ175" s="10">
        <f t="shared" si="105"/>
        <v>38.783121034917976</v>
      </c>
      <c r="AK175" s="10">
        <f t="shared" si="103"/>
        <v>1</v>
      </c>
      <c r="AL175" s="10">
        <f t="shared" si="104"/>
        <v>0</v>
      </c>
      <c r="AN175" s="10">
        <f t="shared" si="78"/>
        <v>-1</v>
      </c>
      <c r="AO175" s="10">
        <f t="shared" si="79"/>
        <v>0</v>
      </c>
      <c r="AP175" s="10">
        <f t="shared" si="80"/>
        <v>0</v>
      </c>
    </row>
    <row r="176" spans="2:42" x14ac:dyDescent="0.25">
      <c r="B176" s="10">
        <f t="shared" si="81"/>
        <v>152</v>
      </c>
      <c r="C176">
        <v>2.3567918105982244</v>
      </c>
      <c r="D176">
        <v>0.1222815626533702</v>
      </c>
      <c r="E176">
        <v>-0.8350343705387786</v>
      </c>
      <c r="F176">
        <v>-0.20362222130643204</v>
      </c>
      <c r="G176">
        <v>-0.63540710470988415</v>
      </c>
      <c r="H176">
        <v>0.66582232123783069</v>
      </c>
      <c r="K176" s="10">
        <f>1</f>
        <v>1</v>
      </c>
      <c r="L176" s="10">
        <f t="shared" si="82"/>
        <v>10.49157721089553</v>
      </c>
      <c r="M176" s="10">
        <f t="shared" si="83"/>
        <v>9.5539557312592329</v>
      </c>
      <c r="N176" s="10">
        <f t="shared" si="84"/>
        <v>1.3138154781110878</v>
      </c>
      <c r="O176" s="10">
        <f t="shared" si="85"/>
        <v>8.7361487263581719</v>
      </c>
      <c r="P176" s="10">
        <f t="shared" si="86"/>
        <v>1.6458533703484173</v>
      </c>
      <c r="Q176" s="10">
        <f t="shared" si="87"/>
        <v>-1</v>
      </c>
      <c r="S176" s="10">
        <f t="shared" si="88"/>
        <v>-352.49400484637437</v>
      </c>
      <c r="T176" s="10">
        <f t="shared" si="89"/>
        <v>-1</v>
      </c>
      <c r="U176" s="10">
        <f t="shared" si="90"/>
        <v>0</v>
      </c>
      <c r="V176" s="10">
        <f t="shared" si="91"/>
        <v>0</v>
      </c>
      <c r="Y176" s="10">
        <f t="shared" si="92"/>
        <v>0</v>
      </c>
      <c r="Z176" s="10">
        <f t="shared" si="93"/>
        <v>0</v>
      </c>
      <c r="AA176" s="10">
        <f t="shared" si="94"/>
        <v>0</v>
      </c>
      <c r="AB176" s="10">
        <f t="shared" si="95"/>
        <v>0</v>
      </c>
      <c r="AC176" s="10">
        <f t="shared" si="96"/>
        <v>0</v>
      </c>
      <c r="AD176" s="10">
        <f t="shared" si="97"/>
        <v>0</v>
      </c>
      <c r="AE176" s="10">
        <f t="shared" si="98"/>
        <v>-36.708241470714505</v>
      </c>
      <c r="AF176" s="10">
        <f t="shared" si="99"/>
        <v>-37.608241470714503</v>
      </c>
      <c r="AG176" s="10">
        <f t="shared" si="100"/>
        <v>-3.1076165830993174</v>
      </c>
      <c r="AH176" s="10">
        <f t="shared" si="101"/>
        <v>-12.327870393676504</v>
      </c>
      <c r="AI176" s="10">
        <f t="shared" si="102"/>
        <v>6.9640817044301606</v>
      </c>
      <c r="AJ176" s="10">
        <f t="shared" si="105"/>
        <v>38.783121034917976</v>
      </c>
      <c r="AK176" s="10">
        <f t="shared" si="103"/>
        <v>-1</v>
      </c>
      <c r="AL176" s="10">
        <f t="shared" si="104"/>
        <v>0</v>
      </c>
      <c r="AN176" s="10">
        <f t="shared" si="78"/>
        <v>1</v>
      </c>
      <c r="AO176" s="10">
        <f t="shared" si="79"/>
        <v>0</v>
      </c>
      <c r="AP176" s="10">
        <f t="shared" si="80"/>
        <v>0</v>
      </c>
    </row>
    <row r="177" spans="2:42" x14ac:dyDescent="0.25">
      <c r="B177" s="10">
        <f t="shared" si="81"/>
        <v>153</v>
      </c>
      <c r="C177">
        <v>0.42689748624979984</v>
      </c>
      <c r="D177">
        <v>1.2900682122563012</v>
      </c>
      <c r="E177">
        <v>0.34471668186597526</v>
      </c>
      <c r="F177">
        <v>-0.57071360970439855</v>
      </c>
      <c r="G177">
        <v>0.71428530645789579</v>
      </c>
      <c r="H177">
        <v>0.22315134128849148</v>
      </c>
      <c r="K177" s="10">
        <f>1</f>
        <v>1</v>
      </c>
      <c r="L177" s="10">
        <f t="shared" si="82"/>
        <v>5.2017230450346723</v>
      </c>
      <c r="M177" s="10">
        <f t="shared" si="83"/>
        <v>14.049784645013741</v>
      </c>
      <c r="N177" s="10">
        <f t="shared" si="84"/>
        <v>2.474868577141903</v>
      </c>
      <c r="O177" s="10">
        <f t="shared" si="85"/>
        <v>10.090752644007877</v>
      </c>
      <c r="P177" s="10">
        <f t="shared" si="86"/>
        <v>8.990424965451318</v>
      </c>
      <c r="Q177" s="10">
        <f t="shared" si="87"/>
        <v>1</v>
      </c>
      <c r="S177" s="10">
        <f t="shared" si="88"/>
        <v>112.44246483814669</v>
      </c>
      <c r="T177" s="10">
        <f t="shared" si="89"/>
        <v>1</v>
      </c>
      <c r="U177" s="10">
        <f t="shared" si="90"/>
        <v>0</v>
      </c>
      <c r="V177" s="10">
        <f t="shared" si="91"/>
        <v>0</v>
      </c>
      <c r="Y177" s="10">
        <f t="shared" si="92"/>
        <v>0</v>
      </c>
      <c r="Z177" s="10">
        <f t="shared" si="93"/>
        <v>0</v>
      </c>
      <c r="AA177" s="10">
        <f t="shared" si="94"/>
        <v>0</v>
      </c>
      <c r="AB177" s="10">
        <f t="shared" si="95"/>
        <v>0</v>
      </c>
      <c r="AC177" s="10">
        <f t="shared" si="96"/>
        <v>0</v>
      </c>
      <c r="AD177" s="10">
        <f t="shared" si="97"/>
        <v>0</v>
      </c>
      <c r="AE177" s="10">
        <f t="shared" si="98"/>
        <v>-36.708241470714505</v>
      </c>
      <c r="AF177" s="10">
        <f t="shared" si="99"/>
        <v>-37.608241470714503</v>
      </c>
      <c r="AG177" s="10">
        <f t="shared" si="100"/>
        <v>-3.1076165830993174</v>
      </c>
      <c r="AH177" s="10">
        <f t="shared" si="101"/>
        <v>-12.327870393676504</v>
      </c>
      <c r="AI177" s="10">
        <f t="shared" si="102"/>
        <v>6.9640817044301606</v>
      </c>
      <c r="AJ177" s="10">
        <f t="shared" si="105"/>
        <v>38.783121034917976</v>
      </c>
      <c r="AK177" s="10">
        <f t="shared" si="103"/>
        <v>1</v>
      </c>
      <c r="AL177" s="10">
        <f t="shared" si="104"/>
        <v>0</v>
      </c>
      <c r="AN177" s="10">
        <f t="shared" si="78"/>
        <v>-1</v>
      </c>
      <c r="AO177" s="10">
        <f t="shared" si="79"/>
        <v>0</v>
      </c>
      <c r="AP177" s="10">
        <f t="shared" si="80"/>
        <v>0</v>
      </c>
    </row>
    <row r="178" spans="2:42" x14ac:dyDescent="0.25">
      <c r="B178" s="10">
        <f t="shared" si="81"/>
        <v>154</v>
      </c>
      <c r="C178">
        <v>0.32328102861356456</v>
      </c>
      <c r="D178">
        <v>1.297130438615568</v>
      </c>
      <c r="E178">
        <v>0.43151089812454302</v>
      </c>
      <c r="F178">
        <v>4.5520209823735058E-3</v>
      </c>
      <c r="G178">
        <v>-0.24536120690754615</v>
      </c>
      <c r="H178">
        <v>0.78246406445509198</v>
      </c>
      <c r="K178" s="10">
        <f>1</f>
        <v>1</v>
      </c>
      <c r="L178" s="10">
        <f t="shared" si="82"/>
        <v>7.1092605163874589</v>
      </c>
      <c r="M178" s="10">
        <f t="shared" si="83"/>
        <v>11.508069278084262</v>
      </c>
      <c r="N178" s="10">
        <f t="shared" si="84"/>
        <v>3.4204466523845851</v>
      </c>
      <c r="O178" s="10">
        <f t="shared" si="85"/>
        <v>9.0824027129600022</v>
      </c>
      <c r="P178" s="10">
        <f t="shared" si="86"/>
        <v>2.2946125328022648</v>
      </c>
      <c r="Q178" s="10">
        <f t="shared" si="87"/>
        <v>-1</v>
      </c>
      <c r="S178" s="10">
        <f t="shared" si="88"/>
        <v>-229.76168744284132</v>
      </c>
      <c r="T178" s="10">
        <f t="shared" si="89"/>
        <v>-1</v>
      </c>
      <c r="U178" s="10">
        <f t="shared" si="90"/>
        <v>0</v>
      </c>
      <c r="V178" s="10">
        <f t="shared" si="91"/>
        <v>0</v>
      </c>
      <c r="Y178" s="10">
        <f t="shared" si="92"/>
        <v>0</v>
      </c>
      <c r="Z178" s="10">
        <f t="shared" si="93"/>
        <v>0</v>
      </c>
      <c r="AA178" s="10">
        <f t="shared" si="94"/>
        <v>0</v>
      </c>
      <c r="AB178" s="10">
        <f t="shared" si="95"/>
        <v>0</v>
      </c>
      <c r="AC178" s="10">
        <f t="shared" si="96"/>
        <v>0</v>
      </c>
      <c r="AD178" s="10">
        <f t="shared" si="97"/>
        <v>0</v>
      </c>
      <c r="AE178" s="10">
        <f t="shared" si="98"/>
        <v>-36.708241470714505</v>
      </c>
      <c r="AF178" s="10">
        <f t="shared" si="99"/>
        <v>-37.608241470714503</v>
      </c>
      <c r="AG178" s="10">
        <f t="shared" si="100"/>
        <v>-3.1076165830993174</v>
      </c>
      <c r="AH178" s="10">
        <f t="shared" si="101"/>
        <v>-12.327870393676504</v>
      </c>
      <c r="AI178" s="10">
        <f t="shared" si="102"/>
        <v>6.9640817044301606</v>
      </c>
      <c r="AJ178" s="10">
        <f t="shared" si="105"/>
        <v>38.783121034917976</v>
      </c>
      <c r="AK178" s="10">
        <f t="shared" si="103"/>
        <v>-1</v>
      </c>
      <c r="AL178" s="10">
        <f t="shared" si="104"/>
        <v>0</v>
      </c>
      <c r="AN178" s="10">
        <f t="shared" si="78"/>
        <v>-1</v>
      </c>
      <c r="AO178" s="10">
        <f t="shared" si="79"/>
        <v>0</v>
      </c>
      <c r="AP178" s="10">
        <f t="shared" si="80"/>
        <v>0</v>
      </c>
    </row>
    <row r="179" spans="2:42" x14ac:dyDescent="0.25">
      <c r="B179" s="10">
        <f t="shared" si="81"/>
        <v>155</v>
      </c>
      <c r="C179">
        <v>0.29495367925846949</v>
      </c>
      <c r="D179">
        <v>-0.45607635001942981</v>
      </c>
      <c r="E179">
        <v>-0.33871515370265115</v>
      </c>
      <c r="F179">
        <v>0.2761498762993142</v>
      </c>
      <c r="G179">
        <v>0.37992549550835975</v>
      </c>
      <c r="H179">
        <v>0.75566881313516643</v>
      </c>
      <c r="K179" s="10">
        <f>1</f>
        <v>1</v>
      </c>
      <c r="L179" s="10">
        <f t="shared" si="82"/>
        <v>7.0621439397340566</v>
      </c>
      <c r="M179" s="10">
        <f t="shared" si="83"/>
        <v>8.5919792122437517</v>
      </c>
      <c r="N179" s="10">
        <f t="shared" si="84"/>
        <v>2.139337913390051</v>
      </c>
      <c r="O179" s="10">
        <f t="shared" si="85"/>
        <v>9.5341485155244285</v>
      </c>
      <c r="P179" s="10">
        <f t="shared" si="86"/>
        <v>3.3346452049531878</v>
      </c>
      <c r="Q179" s="10">
        <f t="shared" si="87"/>
        <v>-1</v>
      </c>
      <c r="S179" s="10">
        <f t="shared" si="88"/>
        <v>-159.65257582684811</v>
      </c>
      <c r="T179" s="10">
        <f t="shared" si="89"/>
        <v>-1</v>
      </c>
      <c r="U179" s="10">
        <f t="shared" si="90"/>
        <v>0</v>
      </c>
      <c r="V179" s="10">
        <f t="shared" si="91"/>
        <v>0</v>
      </c>
      <c r="Y179" s="10">
        <f t="shared" si="92"/>
        <v>0</v>
      </c>
      <c r="Z179" s="10">
        <f t="shared" si="93"/>
        <v>0</v>
      </c>
      <c r="AA179" s="10">
        <f t="shared" si="94"/>
        <v>0</v>
      </c>
      <c r="AB179" s="10">
        <f t="shared" si="95"/>
        <v>0</v>
      </c>
      <c r="AC179" s="10">
        <f t="shared" si="96"/>
        <v>0</v>
      </c>
      <c r="AD179" s="10">
        <f t="shared" si="97"/>
        <v>0</v>
      </c>
      <c r="AE179" s="10">
        <f t="shared" si="98"/>
        <v>-36.708241470714505</v>
      </c>
      <c r="AF179" s="10">
        <f t="shared" si="99"/>
        <v>-37.608241470714503</v>
      </c>
      <c r="AG179" s="10">
        <f t="shared" si="100"/>
        <v>-3.1076165830993174</v>
      </c>
      <c r="AH179" s="10">
        <f t="shared" si="101"/>
        <v>-12.327870393676504</v>
      </c>
      <c r="AI179" s="10">
        <f t="shared" si="102"/>
        <v>6.9640817044301606</v>
      </c>
      <c r="AJ179" s="10">
        <f t="shared" si="105"/>
        <v>38.783121034917976</v>
      </c>
      <c r="AK179" s="10">
        <f t="shared" si="103"/>
        <v>-1</v>
      </c>
      <c r="AL179" s="10">
        <f t="shared" si="104"/>
        <v>0</v>
      </c>
      <c r="AN179" s="10">
        <f t="shared" si="78"/>
        <v>1</v>
      </c>
      <c r="AO179" s="10">
        <f t="shared" si="79"/>
        <v>0</v>
      </c>
      <c r="AP179" s="10">
        <f t="shared" si="80"/>
        <v>0</v>
      </c>
    </row>
    <row r="180" spans="2:42" x14ac:dyDescent="0.25">
      <c r="B180" s="10">
        <f t="shared" si="81"/>
        <v>156</v>
      </c>
      <c r="C180">
        <v>-1.2215718925290275</v>
      </c>
      <c r="D180">
        <v>1.1197380445082672</v>
      </c>
      <c r="E180">
        <v>2.402193786110729</v>
      </c>
      <c r="F180">
        <v>-0.18366790754953399</v>
      </c>
      <c r="G180">
        <v>-0.7555740921816323</v>
      </c>
      <c r="H180">
        <v>0.34702597125156409</v>
      </c>
      <c r="K180" s="10">
        <f>1</f>
        <v>1</v>
      </c>
      <c r="L180" s="10">
        <f t="shared" si="82"/>
        <v>1.393495664883273</v>
      </c>
      <c r="M180" s="10">
        <f t="shared" si="83"/>
        <v>13.656294770810337</v>
      </c>
      <c r="N180" s="10">
        <f t="shared" si="84"/>
        <v>7.2279690855807326</v>
      </c>
      <c r="O180" s="10">
        <f t="shared" si="85"/>
        <v>10.984889993048583</v>
      </c>
      <c r="P180" s="10">
        <f t="shared" si="86"/>
        <v>5.5948151476829429</v>
      </c>
      <c r="Q180" s="10">
        <f t="shared" si="87"/>
        <v>1</v>
      </c>
      <c r="S180" s="10">
        <f t="shared" si="88"/>
        <v>72.824907352306724</v>
      </c>
      <c r="T180" s="10">
        <f t="shared" si="89"/>
        <v>1</v>
      </c>
      <c r="U180" s="10">
        <f t="shared" si="90"/>
        <v>0</v>
      </c>
      <c r="V180" s="10">
        <f t="shared" si="91"/>
        <v>0</v>
      </c>
      <c r="Y180" s="10">
        <f t="shared" si="92"/>
        <v>0</v>
      </c>
      <c r="Z180" s="10">
        <f t="shared" si="93"/>
        <v>0</v>
      </c>
      <c r="AA180" s="10">
        <f t="shared" si="94"/>
        <v>0</v>
      </c>
      <c r="AB180" s="10">
        <f t="shared" si="95"/>
        <v>0</v>
      </c>
      <c r="AC180" s="10">
        <f t="shared" si="96"/>
        <v>0</v>
      </c>
      <c r="AD180" s="10">
        <f t="shared" si="97"/>
        <v>0</v>
      </c>
      <c r="AE180" s="10">
        <f t="shared" si="98"/>
        <v>-36.708241470714505</v>
      </c>
      <c r="AF180" s="10">
        <f t="shared" si="99"/>
        <v>-37.608241470714503</v>
      </c>
      <c r="AG180" s="10">
        <f t="shared" si="100"/>
        <v>-3.1076165830993174</v>
      </c>
      <c r="AH180" s="10">
        <f t="shared" si="101"/>
        <v>-12.327870393676504</v>
      </c>
      <c r="AI180" s="10">
        <f t="shared" si="102"/>
        <v>6.9640817044301606</v>
      </c>
      <c r="AJ180" s="10">
        <f t="shared" si="105"/>
        <v>38.783121034917976</v>
      </c>
      <c r="AK180" s="10">
        <f t="shared" si="103"/>
        <v>1</v>
      </c>
      <c r="AL180" s="10">
        <f t="shared" si="104"/>
        <v>0</v>
      </c>
      <c r="AN180" s="10">
        <f t="shared" si="78"/>
        <v>1</v>
      </c>
      <c r="AO180" s="10">
        <f t="shared" si="79"/>
        <v>0</v>
      </c>
      <c r="AP180" s="10">
        <f t="shared" si="80"/>
        <v>0</v>
      </c>
    </row>
    <row r="181" spans="2:42" x14ac:dyDescent="0.25">
      <c r="B181" s="10">
        <f t="shared" si="81"/>
        <v>157</v>
      </c>
      <c r="C181">
        <v>-9.2272784968372434E-2</v>
      </c>
      <c r="D181">
        <v>6.1504579207394272E-2</v>
      </c>
      <c r="E181">
        <v>-5.0113158067688346E-3</v>
      </c>
      <c r="F181">
        <v>-1.0443250175740104</v>
      </c>
      <c r="G181">
        <v>1.0736766853369772</v>
      </c>
      <c r="H181">
        <v>0.14694662312692647</v>
      </c>
      <c r="K181" s="10">
        <f>1</f>
        <v>1</v>
      </c>
      <c r="L181" s="10">
        <f t="shared" si="82"/>
        <v>4.0023568528168312</v>
      </c>
      <c r="M181" s="10">
        <f t="shared" si="83"/>
        <v>11.211606559412278</v>
      </c>
      <c r="N181" s="10">
        <f t="shared" si="84"/>
        <v>1.6669410818010504</v>
      </c>
      <c r="O181" s="10">
        <f t="shared" si="85"/>
        <v>8.9966346978576031</v>
      </c>
      <c r="P181" s="10">
        <f t="shared" si="86"/>
        <v>9.8206764137685223</v>
      </c>
      <c r="Q181" s="10">
        <f t="shared" si="87"/>
        <v>1</v>
      </c>
      <c r="S181" s="10">
        <f t="shared" si="88"/>
        <v>200.90872857976871</v>
      </c>
      <c r="T181" s="10">
        <f t="shared" si="89"/>
        <v>1</v>
      </c>
      <c r="U181" s="10">
        <f t="shared" si="90"/>
        <v>0</v>
      </c>
      <c r="V181" s="10">
        <f t="shared" si="91"/>
        <v>0</v>
      </c>
      <c r="Y181" s="10">
        <f t="shared" si="92"/>
        <v>0</v>
      </c>
      <c r="Z181" s="10">
        <f t="shared" si="93"/>
        <v>0</v>
      </c>
      <c r="AA181" s="10">
        <f t="shared" si="94"/>
        <v>0</v>
      </c>
      <c r="AB181" s="10">
        <f t="shared" si="95"/>
        <v>0</v>
      </c>
      <c r="AC181" s="10">
        <f t="shared" si="96"/>
        <v>0</v>
      </c>
      <c r="AD181" s="10">
        <f t="shared" si="97"/>
        <v>0</v>
      </c>
      <c r="AE181" s="10">
        <f t="shared" si="98"/>
        <v>-36.708241470714505</v>
      </c>
      <c r="AF181" s="10">
        <f t="shared" si="99"/>
        <v>-37.608241470714503</v>
      </c>
      <c r="AG181" s="10">
        <f t="shared" si="100"/>
        <v>-3.1076165830993174</v>
      </c>
      <c r="AH181" s="10">
        <f t="shared" si="101"/>
        <v>-12.327870393676504</v>
      </c>
      <c r="AI181" s="10">
        <f t="shared" si="102"/>
        <v>6.9640817044301606</v>
      </c>
      <c r="AJ181" s="10">
        <f t="shared" si="105"/>
        <v>38.783121034917976</v>
      </c>
      <c r="AK181" s="10">
        <f t="shared" si="103"/>
        <v>1</v>
      </c>
      <c r="AL181" s="10">
        <f t="shared" si="104"/>
        <v>0</v>
      </c>
      <c r="AN181" s="10">
        <f t="shared" si="78"/>
        <v>1</v>
      </c>
      <c r="AO181" s="10">
        <f t="shared" si="79"/>
        <v>0</v>
      </c>
      <c r="AP181" s="10">
        <f t="shared" si="80"/>
        <v>0</v>
      </c>
    </row>
    <row r="182" spans="2:42" x14ac:dyDescent="0.25">
      <c r="B182" s="10">
        <f t="shared" si="81"/>
        <v>158</v>
      </c>
      <c r="C182">
        <v>-1.139869709732011</v>
      </c>
      <c r="D182">
        <v>-6.2425442592939362E-2</v>
      </c>
      <c r="E182">
        <v>-0.22640506358584389</v>
      </c>
      <c r="F182">
        <v>1.0117560123035219</v>
      </c>
      <c r="G182">
        <v>0.81428879639133811</v>
      </c>
      <c r="H182">
        <v>0.20435193945127719</v>
      </c>
      <c r="K182" s="10">
        <f>1</f>
        <v>1</v>
      </c>
      <c r="L182" s="10">
        <f t="shared" si="82"/>
        <v>1.582240747777214</v>
      </c>
      <c r="M182" s="10">
        <f t="shared" si="83"/>
        <v>10.925308428359088</v>
      </c>
      <c r="N182" s="10">
        <f t="shared" si="84"/>
        <v>1.1554861873757858</v>
      </c>
      <c r="O182" s="10">
        <f t="shared" si="85"/>
        <v>13.746510051678202</v>
      </c>
      <c r="P182" s="10">
        <f t="shared" si="86"/>
        <v>9.2214489889350606</v>
      </c>
      <c r="Q182" s="10">
        <f t="shared" si="87"/>
        <v>1</v>
      </c>
      <c r="S182" s="10">
        <f t="shared" si="88"/>
        <v>308.95850422082856</v>
      </c>
      <c r="T182" s="10">
        <f t="shared" si="89"/>
        <v>1</v>
      </c>
      <c r="U182" s="10">
        <f t="shared" si="90"/>
        <v>0</v>
      </c>
      <c r="V182" s="10">
        <f t="shared" si="91"/>
        <v>0</v>
      </c>
      <c r="Y182" s="10">
        <f t="shared" si="92"/>
        <v>0</v>
      </c>
      <c r="Z182" s="10">
        <f t="shared" si="93"/>
        <v>0</v>
      </c>
      <c r="AA182" s="10">
        <f t="shared" si="94"/>
        <v>0</v>
      </c>
      <c r="AB182" s="10">
        <f t="shared" si="95"/>
        <v>0</v>
      </c>
      <c r="AC182" s="10">
        <f t="shared" si="96"/>
        <v>0</v>
      </c>
      <c r="AD182" s="10">
        <f t="shared" si="97"/>
        <v>0</v>
      </c>
      <c r="AE182" s="10">
        <f t="shared" si="98"/>
        <v>-36.708241470714505</v>
      </c>
      <c r="AF182" s="10">
        <f t="shared" si="99"/>
        <v>-37.608241470714503</v>
      </c>
      <c r="AG182" s="10">
        <f t="shared" si="100"/>
        <v>-3.1076165830993174</v>
      </c>
      <c r="AH182" s="10">
        <f t="shared" si="101"/>
        <v>-12.327870393676504</v>
      </c>
      <c r="AI182" s="10">
        <f t="shared" si="102"/>
        <v>6.9640817044301606</v>
      </c>
      <c r="AJ182" s="10">
        <f t="shared" si="105"/>
        <v>38.783121034917976</v>
      </c>
      <c r="AK182" s="10">
        <f t="shared" si="103"/>
        <v>1</v>
      </c>
      <c r="AL182" s="10">
        <f t="shared" si="104"/>
        <v>0</v>
      </c>
      <c r="AN182" s="10">
        <f t="shared" si="78"/>
        <v>-1</v>
      </c>
      <c r="AO182" s="10">
        <f t="shared" si="79"/>
        <v>0</v>
      </c>
      <c r="AP182" s="10">
        <f t="shared" si="80"/>
        <v>0</v>
      </c>
    </row>
    <row r="183" spans="2:42" x14ac:dyDescent="0.25">
      <c r="B183" s="10">
        <f t="shared" si="81"/>
        <v>159</v>
      </c>
      <c r="C183">
        <v>0.82606902651605196</v>
      </c>
      <c r="D183">
        <v>1.7165439203381538</v>
      </c>
      <c r="E183">
        <v>-0.47980392992030829</v>
      </c>
      <c r="F183">
        <v>-1.0792746252263896</v>
      </c>
      <c r="G183">
        <v>-0.92824166131322272</v>
      </c>
      <c r="H183">
        <v>0.62297433393353063</v>
      </c>
      <c r="K183" s="10">
        <f>1</f>
        <v>1</v>
      </c>
      <c r="L183" s="10">
        <f t="shared" si="82"/>
        <v>7.9455424059007944</v>
      </c>
      <c r="M183" s="10">
        <f t="shared" si="83"/>
        <v>12.205675228197567</v>
      </c>
      <c r="N183" s="10">
        <f t="shared" si="84"/>
        <v>1.9046664636803268</v>
      </c>
      <c r="O183" s="10">
        <f t="shared" si="85"/>
        <v>7.2796854655762377</v>
      </c>
      <c r="P183" s="10">
        <f t="shared" si="86"/>
        <v>1.1587847900866126</v>
      </c>
      <c r="Q183" s="10">
        <f t="shared" si="87"/>
        <v>-1</v>
      </c>
      <c r="S183" s="10">
        <f t="shared" si="88"/>
        <v>-301.29954380996116</v>
      </c>
      <c r="T183" s="10">
        <f t="shared" si="89"/>
        <v>-1</v>
      </c>
      <c r="U183" s="10">
        <f t="shared" si="90"/>
        <v>0</v>
      </c>
      <c r="V183" s="10">
        <f t="shared" si="91"/>
        <v>0</v>
      </c>
      <c r="Y183" s="10">
        <f t="shared" si="92"/>
        <v>0</v>
      </c>
      <c r="Z183" s="10">
        <f t="shared" si="93"/>
        <v>0</v>
      </c>
      <c r="AA183" s="10">
        <f t="shared" si="94"/>
        <v>0</v>
      </c>
      <c r="AB183" s="10">
        <f t="shared" si="95"/>
        <v>0</v>
      </c>
      <c r="AC183" s="10">
        <f t="shared" si="96"/>
        <v>0</v>
      </c>
      <c r="AD183" s="10">
        <f t="shared" si="97"/>
        <v>0</v>
      </c>
      <c r="AE183" s="10">
        <f t="shared" si="98"/>
        <v>-36.708241470714505</v>
      </c>
      <c r="AF183" s="10">
        <f t="shared" si="99"/>
        <v>-37.608241470714503</v>
      </c>
      <c r="AG183" s="10">
        <f t="shared" si="100"/>
        <v>-3.1076165830993174</v>
      </c>
      <c r="AH183" s="10">
        <f t="shared" si="101"/>
        <v>-12.327870393676504</v>
      </c>
      <c r="AI183" s="10">
        <f t="shared" si="102"/>
        <v>6.9640817044301606</v>
      </c>
      <c r="AJ183" s="10">
        <f t="shared" si="105"/>
        <v>38.783121034917976</v>
      </c>
      <c r="AK183" s="10">
        <f t="shared" si="103"/>
        <v>-1</v>
      </c>
      <c r="AL183" s="10">
        <f t="shared" si="104"/>
        <v>0</v>
      </c>
      <c r="AN183" s="10">
        <f t="shared" si="78"/>
        <v>1</v>
      </c>
      <c r="AO183" s="10">
        <f t="shared" si="79"/>
        <v>0</v>
      </c>
      <c r="AP183" s="10">
        <f t="shared" si="80"/>
        <v>0</v>
      </c>
    </row>
    <row r="184" spans="2:42" x14ac:dyDescent="0.25">
      <c r="B184" s="10">
        <f t="shared" si="81"/>
        <v>160</v>
      </c>
      <c r="C184">
        <v>-0.25309418560937047</v>
      </c>
      <c r="D184">
        <v>0.36721075957757421</v>
      </c>
      <c r="E184">
        <v>1.5403384168166667</v>
      </c>
      <c r="F184">
        <v>-0.89794866653392091</v>
      </c>
      <c r="G184">
        <v>1.5370915207313374</v>
      </c>
      <c r="H184">
        <v>0.20740379039887691</v>
      </c>
      <c r="K184" s="10">
        <f>1</f>
        <v>1</v>
      </c>
      <c r="L184" s="10">
        <f t="shared" si="82"/>
        <v>3.630833748342158</v>
      </c>
      <c r="M184" s="10">
        <f t="shared" si="83"/>
        <v>11.917836630382508</v>
      </c>
      <c r="N184" s="10">
        <f t="shared" si="84"/>
        <v>5.2369456202206859</v>
      </c>
      <c r="O184" s="10">
        <f t="shared" si="85"/>
        <v>9.3347874321537443</v>
      </c>
      <c r="P184" s="10">
        <f t="shared" si="86"/>
        <v>10.891238650007631</v>
      </c>
      <c r="Q184" s="10">
        <f t="shared" si="87"/>
        <v>1</v>
      </c>
      <c r="S184" s="10">
        <f t="shared" si="88"/>
        <v>212.55048172398565</v>
      </c>
      <c r="T184" s="10">
        <f t="shared" si="89"/>
        <v>1</v>
      </c>
      <c r="U184" s="10">
        <f t="shared" si="90"/>
        <v>0</v>
      </c>
      <c r="V184" s="10">
        <f t="shared" si="91"/>
        <v>0</v>
      </c>
      <c r="X184" s="10">
        <f>SUM(V165:V184)</f>
        <v>0</v>
      </c>
      <c r="Y184" s="10">
        <f t="shared" si="92"/>
        <v>0</v>
      </c>
      <c r="Z184" s="10">
        <f t="shared" si="93"/>
        <v>0</v>
      </c>
      <c r="AA184" s="10">
        <f t="shared" si="94"/>
        <v>0</v>
      </c>
      <c r="AB184" s="10">
        <f t="shared" si="95"/>
        <v>0</v>
      </c>
      <c r="AC184" s="10">
        <f t="shared" si="96"/>
        <v>0</v>
      </c>
      <c r="AD184" s="10">
        <f t="shared" si="97"/>
        <v>0</v>
      </c>
      <c r="AE184" s="10">
        <f t="shared" si="98"/>
        <v>-36.708241470714505</v>
      </c>
      <c r="AF184" s="10">
        <f t="shared" si="99"/>
        <v>-37.608241470714503</v>
      </c>
      <c r="AG184" s="10">
        <f t="shared" si="100"/>
        <v>-3.1076165830993174</v>
      </c>
      <c r="AH184" s="10">
        <f t="shared" si="101"/>
        <v>-12.327870393676504</v>
      </c>
      <c r="AI184" s="10">
        <f t="shared" si="102"/>
        <v>6.9640817044301606</v>
      </c>
      <c r="AJ184" s="10">
        <f t="shared" si="105"/>
        <v>38.783121034917976</v>
      </c>
      <c r="AK184" s="10">
        <f t="shared" si="103"/>
        <v>1</v>
      </c>
      <c r="AL184" s="10">
        <f t="shared" si="104"/>
        <v>0</v>
      </c>
      <c r="AN184" s="10">
        <f t="shared" si="78"/>
        <v>-1</v>
      </c>
      <c r="AO184" s="10">
        <f t="shared" si="79"/>
        <v>0</v>
      </c>
      <c r="AP184" s="10">
        <f t="shared" si="80"/>
        <v>0</v>
      </c>
    </row>
    <row r="185" spans="2:42" x14ac:dyDescent="0.25">
      <c r="B185" s="10">
        <f t="shared" si="81"/>
        <v>161</v>
      </c>
      <c r="C185">
        <v>-1.7249476513825357</v>
      </c>
      <c r="D185">
        <v>0.28665454010479152</v>
      </c>
      <c r="E185">
        <v>0.92143636720720679</v>
      </c>
      <c r="F185">
        <v>-0.77619233707082458</v>
      </c>
      <c r="G185">
        <v>-1.2685654837696347</v>
      </c>
      <c r="H185">
        <v>0.59495834223456523</v>
      </c>
      <c r="K185" s="10">
        <f>1</f>
        <v>1</v>
      </c>
      <c r="L185" s="10">
        <f t="shared" si="82"/>
        <v>3.7024636998199534</v>
      </c>
      <c r="M185" s="10">
        <f t="shared" si="83"/>
        <v>9.8273555433897286</v>
      </c>
      <c r="N185" s="10">
        <f t="shared" si="84"/>
        <v>4.235334435534531</v>
      </c>
      <c r="O185" s="10">
        <f t="shared" si="85"/>
        <v>7.7837989879239187</v>
      </c>
      <c r="P185" s="10">
        <f t="shared" si="86"/>
        <v>0.59272782278118585</v>
      </c>
      <c r="Q185" s="10">
        <f t="shared" si="87"/>
        <v>-1</v>
      </c>
      <c r="S185" s="10">
        <f t="shared" si="88"/>
        <v>-181.50885036544494</v>
      </c>
      <c r="T185" s="12">
        <f t="shared" si="89"/>
        <v>-1</v>
      </c>
      <c r="U185" s="10">
        <f t="shared" si="90"/>
        <v>0</v>
      </c>
      <c r="V185" s="12">
        <f t="shared" si="91"/>
        <v>0</v>
      </c>
      <c r="W185" s="12"/>
      <c r="X185" s="12"/>
      <c r="Y185" s="10">
        <f t="shared" si="92"/>
        <v>0</v>
      </c>
      <c r="Z185" s="10">
        <f t="shared" si="93"/>
        <v>0</v>
      </c>
      <c r="AA185" s="10">
        <f t="shared" si="94"/>
        <v>0</v>
      </c>
      <c r="AB185" s="10">
        <f t="shared" si="95"/>
        <v>0</v>
      </c>
      <c r="AC185" s="10">
        <f t="shared" si="96"/>
        <v>0</v>
      </c>
      <c r="AD185" s="10">
        <f t="shared" si="97"/>
        <v>0</v>
      </c>
      <c r="AE185" s="10">
        <f t="shared" si="98"/>
        <v>-36.708241470714505</v>
      </c>
      <c r="AF185" s="10">
        <f t="shared" si="99"/>
        <v>-37.608241470714503</v>
      </c>
      <c r="AG185" s="10">
        <f t="shared" si="100"/>
        <v>-3.1076165830993174</v>
      </c>
      <c r="AH185" s="10">
        <f t="shared" si="101"/>
        <v>-12.327870393676504</v>
      </c>
      <c r="AI185" s="10">
        <f t="shared" si="102"/>
        <v>6.9640817044301606</v>
      </c>
      <c r="AJ185" s="10">
        <f t="shared" si="105"/>
        <v>38.783121034917976</v>
      </c>
      <c r="AK185" s="10">
        <f t="shared" si="103"/>
        <v>-1</v>
      </c>
      <c r="AL185" s="10">
        <f t="shared" si="104"/>
        <v>0</v>
      </c>
      <c r="AN185" s="10">
        <f t="shared" si="78"/>
        <v>-1</v>
      </c>
      <c r="AO185" s="10">
        <f t="shared" si="79"/>
        <v>0</v>
      </c>
      <c r="AP185" s="10">
        <f t="shared" si="80"/>
        <v>0</v>
      </c>
    </row>
    <row r="186" spans="2:42" x14ac:dyDescent="0.25">
      <c r="B186" s="10">
        <f t="shared" si="81"/>
        <v>162</v>
      </c>
      <c r="C186">
        <v>-0.55869122661533765</v>
      </c>
      <c r="D186">
        <v>8.9354443844058551E-2</v>
      </c>
      <c r="E186">
        <v>1.5252317098202184</v>
      </c>
      <c r="F186">
        <v>-1.1236124919378199</v>
      </c>
      <c r="G186">
        <v>-0.30247292670537718</v>
      </c>
      <c r="H186">
        <v>0.52491836298715167</v>
      </c>
      <c r="K186" s="10">
        <f>1</f>
        <v>1</v>
      </c>
      <c r="L186" s="10">
        <f t="shared" si="82"/>
        <v>5.6422855146408724</v>
      </c>
      <c r="M186" s="10">
        <f t="shared" si="83"/>
        <v>9.4991884073593855</v>
      </c>
      <c r="N186" s="10">
        <f t="shared" si="84"/>
        <v>5.2396207592062662</v>
      </c>
      <c r="O186" s="10">
        <f t="shared" si="85"/>
        <v>7.2059387669575159</v>
      </c>
      <c r="P186" s="10">
        <f t="shared" si="86"/>
        <v>2.1996192212173904</v>
      </c>
      <c r="Q186" s="10">
        <f t="shared" si="87"/>
        <v>-1</v>
      </c>
      <c r="S186" s="10">
        <f t="shared" si="88"/>
        <v>-207.52703378683077</v>
      </c>
      <c r="T186" s="10">
        <f t="shared" si="89"/>
        <v>-1</v>
      </c>
      <c r="U186" s="10">
        <f t="shared" si="90"/>
        <v>0</v>
      </c>
      <c r="V186" s="10">
        <f t="shared" si="91"/>
        <v>0</v>
      </c>
      <c r="Y186" s="10">
        <f t="shared" si="92"/>
        <v>0</v>
      </c>
      <c r="Z186" s="10">
        <f t="shared" si="93"/>
        <v>0</v>
      </c>
      <c r="AA186" s="10">
        <f t="shared" si="94"/>
        <v>0</v>
      </c>
      <c r="AB186" s="10">
        <f t="shared" si="95"/>
        <v>0</v>
      </c>
      <c r="AC186" s="10">
        <f t="shared" si="96"/>
        <v>0</v>
      </c>
      <c r="AD186" s="10">
        <f t="shared" si="97"/>
        <v>0</v>
      </c>
      <c r="AE186" s="10">
        <f t="shared" si="98"/>
        <v>-36.708241470714505</v>
      </c>
      <c r="AF186" s="10">
        <f t="shared" si="99"/>
        <v>-37.608241470714503</v>
      </c>
      <c r="AG186" s="10">
        <f t="shared" si="100"/>
        <v>-3.1076165830993174</v>
      </c>
      <c r="AH186" s="10">
        <f t="shared" si="101"/>
        <v>-12.327870393676504</v>
      </c>
      <c r="AI186" s="10">
        <f t="shared" si="102"/>
        <v>6.9640817044301606</v>
      </c>
      <c r="AJ186" s="10">
        <f t="shared" si="105"/>
        <v>38.783121034917976</v>
      </c>
      <c r="AK186" s="10">
        <f t="shared" si="103"/>
        <v>-1</v>
      </c>
      <c r="AL186" s="10">
        <f t="shared" si="104"/>
        <v>0</v>
      </c>
      <c r="AN186" s="10">
        <f t="shared" si="78"/>
        <v>1</v>
      </c>
      <c r="AO186" s="10">
        <f t="shared" si="79"/>
        <v>0</v>
      </c>
      <c r="AP186" s="10">
        <f t="shared" si="80"/>
        <v>0</v>
      </c>
    </row>
    <row r="187" spans="2:42" x14ac:dyDescent="0.25">
      <c r="B187" s="10">
        <f t="shared" si="81"/>
        <v>163</v>
      </c>
      <c r="C187">
        <v>0.15417981558130123</v>
      </c>
      <c r="D187">
        <v>-0.17084516912291292</v>
      </c>
      <c r="E187">
        <v>-8.5284455053624697E-2</v>
      </c>
      <c r="F187">
        <v>-0.57197439673473127</v>
      </c>
      <c r="G187">
        <v>2.6930501917377114</v>
      </c>
      <c r="H187">
        <v>0.4119693594164861</v>
      </c>
      <c r="K187" s="10">
        <f>1</f>
        <v>1</v>
      </c>
      <c r="L187" s="10">
        <f t="shared" si="82"/>
        <v>4.5717016968308899</v>
      </c>
      <c r="M187" s="10">
        <f t="shared" si="83"/>
        <v>10.674841555006649</v>
      </c>
      <c r="N187" s="10">
        <f t="shared" si="84"/>
        <v>1.4814973176002006</v>
      </c>
      <c r="O187" s="10">
        <f t="shared" si="85"/>
        <v>10.087840024731316</v>
      </c>
      <c r="P187" s="10">
        <f t="shared" si="86"/>
        <v>13.561687684681832</v>
      </c>
      <c r="Q187" s="10">
        <f t="shared" si="87"/>
        <v>1</v>
      </c>
      <c r="S187" s="10">
        <f t="shared" si="88"/>
        <v>336.13819269076481</v>
      </c>
      <c r="T187" s="10">
        <f t="shared" si="89"/>
        <v>1</v>
      </c>
      <c r="U187" s="10">
        <f t="shared" si="90"/>
        <v>0</v>
      </c>
      <c r="V187" s="10">
        <f t="shared" si="91"/>
        <v>0</v>
      </c>
      <c r="Y187" s="10">
        <f t="shared" si="92"/>
        <v>0</v>
      </c>
      <c r="Z187" s="10">
        <f t="shared" si="93"/>
        <v>0</v>
      </c>
      <c r="AA187" s="10">
        <f t="shared" si="94"/>
        <v>0</v>
      </c>
      <c r="AB187" s="10">
        <f t="shared" si="95"/>
        <v>0</v>
      </c>
      <c r="AC187" s="10">
        <f t="shared" si="96"/>
        <v>0</v>
      </c>
      <c r="AD187" s="10">
        <f t="shared" si="97"/>
        <v>0</v>
      </c>
      <c r="AE187" s="10">
        <f t="shared" si="98"/>
        <v>-36.708241470714505</v>
      </c>
      <c r="AF187" s="10">
        <f t="shared" si="99"/>
        <v>-37.608241470714503</v>
      </c>
      <c r="AG187" s="10">
        <f t="shared" si="100"/>
        <v>-3.1076165830993174</v>
      </c>
      <c r="AH187" s="10">
        <f t="shared" si="101"/>
        <v>-12.327870393676504</v>
      </c>
      <c r="AI187" s="10">
        <f t="shared" si="102"/>
        <v>6.9640817044301606</v>
      </c>
      <c r="AJ187" s="10">
        <f t="shared" si="105"/>
        <v>38.783121034917976</v>
      </c>
      <c r="AK187" s="10">
        <f t="shared" si="103"/>
        <v>1</v>
      </c>
      <c r="AL187" s="10">
        <f t="shared" si="104"/>
        <v>0</v>
      </c>
      <c r="AN187" s="10">
        <f t="shared" si="78"/>
        <v>1</v>
      </c>
      <c r="AO187" s="10">
        <f t="shared" si="79"/>
        <v>0</v>
      </c>
      <c r="AP187" s="10">
        <f t="shared" si="80"/>
        <v>0</v>
      </c>
    </row>
    <row r="188" spans="2:42" x14ac:dyDescent="0.25">
      <c r="B188" s="10">
        <f t="shared" si="81"/>
        <v>164</v>
      </c>
      <c r="C188">
        <v>-1.3364524420467205</v>
      </c>
      <c r="D188">
        <v>-0.20143602341704536</v>
      </c>
      <c r="E188">
        <v>-0.97442807600600645</v>
      </c>
      <c r="F188">
        <v>5.4532165449927561E-2</v>
      </c>
      <c r="G188">
        <v>0.86500449469895102</v>
      </c>
      <c r="H188">
        <v>0.3562425611133152</v>
      </c>
      <c r="K188" s="10">
        <f>1</f>
        <v>1</v>
      </c>
      <c r="L188" s="10">
        <f t="shared" si="82"/>
        <v>1.1281032592055849</v>
      </c>
      <c r="M188" s="10">
        <f t="shared" si="83"/>
        <v>10.604171798925746</v>
      </c>
      <c r="N188" s="10">
        <f t="shared" si="84"/>
        <v>-0.5725663646176542</v>
      </c>
      <c r="O188" s="10">
        <f t="shared" si="85"/>
        <v>11.535170181220836</v>
      </c>
      <c r="P188" s="10">
        <f t="shared" si="86"/>
        <v>9.338610346849773</v>
      </c>
      <c r="Q188" s="10">
        <f t="shared" si="87"/>
        <v>1</v>
      </c>
      <c r="S188" s="10">
        <f t="shared" si="88"/>
        <v>337.48292555193149</v>
      </c>
      <c r="T188" s="10">
        <f t="shared" si="89"/>
        <v>1</v>
      </c>
      <c r="U188" s="10">
        <f t="shared" si="90"/>
        <v>0</v>
      </c>
      <c r="V188" s="10">
        <f t="shared" si="91"/>
        <v>0</v>
      </c>
      <c r="Y188" s="10">
        <f t="shared" si="92"/>
        <v>0</v>
      </c>
      <c r="Z188" s="10">
        <f t="shared" si="93"/>
        <v>0</v>
      </c>
      <c r="AA188" s="10">
        <f t="shared" si="94"/>
        <v>0</v>
      </c>
      <c r="AB188" s="10">
        <f t="shared" si="95"/>
        <v>0</v>
      </c>
      <c r="AC188" s="10">
        <f t="shared" si="96"/>
        <v>0</v>
      </c>
      <c r="AD188" s="10">
        <f t="shared" si="97"/>
        <v>0</v>
      </c>
      <c r="AE188" s="10">
        <f t="shared" si="98"/>
        <v>-36.708241470714505</v>
      </c>
      <c r="AF188" s="10">
        <f t="shared" si="99"/>
        <v>-37.608241470714503</v>
      </c>
      <c r="AG188" s="10">
        <f t="shared" si="100"/>
        <v>-3.1076165830993174</v>
      </c>
      <c r="AH188" s="10">
        <f t="shared" si="101"/>
        <v>-12.327870393676504</v>
      </c>
      <c r="AI188" s="10">
        <f t="shared" si="102"/>
        <v>6.9640817044301606</v>
      </c>
      <c r="AJ188" s="10">
        <f t="shared" si="105"/>
        <v>38.783121034917976</v>
      </c>
      <c r="AK188" s="10">
        <f t="shared" si="103"/>
        <v>1</v>
      </c>
      <c r="AL188" s="10">
        <f t="shared" si="104"/>
        <v>0</v>
      </c>
      <c r="AN188" s="10">
        <f t="shared" si="78"/>
        <v>1</v>
      </c>
      <c r="AO188" s="10">
        <f t="shared" si="79"/>
        <v>0</v>
      </c>
      <c r="AP188" s="10">
        <f t="shared" si="80"/>
        <v>0</v>
      </c>
    </row>
    <row r="189" spans="2:42" x14ac:dyDescent="0.25">
      <c r="B189" s="10">
        <f t="shared" si="81"/>
        <v>165</v>
      </c>
      <c r="C189">
        <v>-2.9387592803686857</v>
      </c>
      <c r="D189">
        <v>-0.1929333848238457</v>
      </c>
      <c r="E189">
        <v>-0.96038093033712357</v>
      </c>
      <c r="F189">
        <v>-0.51242182053101715</v>
      </c>
      <c r="G189">
        <v>-1.4067882148083299</v>
      </c>
      <c r="H189">
        <v>0.29840998565630056</v>
      </c>
      <c r="K189" s="10">
        <f>1</f>
        <v>1</v>
      </c>
      <c r="L189" s="10">
        <f t="shared" si="82"/>
        <v>-2.5734812844040773</v>
      </c>
      <c r="M189" s="10">
        <f t="shared" si="83"/>
        <v>10.623814251197526</v>
      </c>
      <c r="N189" s="10">
        <f t="shared" si="84"/>
        <v>-0.54011521603226531</v>
      </c>
      <c r="O189" s="10">
        <f t="shared" si="85"/>
        <v>10.225415981056049</v>
      </c>
      <c r="P189" s="10">
        <f t="shared" si="86"/>
        <v>4.0904065829540039</v>
      </c>
      <c r="Q189" s="10">
        <f t="shared" si="87"/>
        <v>1</v>
      </c>
      <c r="S189" s="10">
        <f t="shared" si="88"/>
        <v>263.56895907421921</v>
      </c>
      <c r="T189" s="10">
        <f t="shared" si="89"/>
        <v>1</v>
      </c>
      <c r="U189" s="10">
        <f t="shared" si="90"/>
        <v>0</v>
      </c>
      <c r="V189" s="10">
        <f t="shared" si="91"/>
        <v>0</v>
      </c>
      <c r="Y189" s="10">
        <f t="shared" si="92"/>
        <v>0</v>
      </c>
      <c r="Z189" s="10">
        <f t="shared" si="93"/>
        <v>0</v>
      </c>
      <c r="AA189" s="10">
        <f t="shared" si="94"/>
        <v>0</v>
      </c>
      <c r="AB189" s="10">
        <f t="shared" si="95"/>
        <v>0</v>
      </c>
      <c r="AC189" s="10">
        <f t="shared" si="96"/>
        <v>0</v>
      </c>
      <c r="AD189" s="10">
        <f t="shared" si="97"/>
        <v>0</v>
      </c>
      <c r="AE189" s="10">
        <f t="shared" si="98"/>
        <v>-36.708241470714505</v>
      </c>
      <c r="AF189" s="10">
        <f t="shared" si="99"/>
        <v>-37.608241470714503</v>
      </c>
      <c r="AG189" s="10">
        <f t="shared" si="100"/>
        <v>-3.1076165830993174</v>
      </c>
      <c r="AH189" s="10">
        <f t="shared" si="101"/>
        <v>-12.327870393676504</v>
      </c>
      <c r="AI189" s="10">
        <f t="shared" si="102"/>
        <v>6.9640817044301606</v>
      </c>
      <c r="AJ189" s="10">
        <f t="shared" si="105"/>
        <v>38.783121034917976</v>
      </c>
      <c r="AK189" s="10">
        <f t="shared" si="103"/>
        <v>1</v>
      </c>
      <c r="AL189" s="10">
        <f t="shared" si="104"/>
        <v>0</v>
      </c>
      <c r="AN189" s="10">
        <f t="shared" si="78"/>
        <v>-1</v>
      </c>
      <c r="AO189" s="10">
        <f t="shared" si="79"/>
        <v>0</v>
      </c>
      <c r="AP189" s="10">
        <f t="shared" si="80"/>
        <v>0</v>
      </c>
    </row>
    <row r="190" spans="2:42" x14ac:dyDescent="0.25">
      <c r="B190" s="10">
        <f t="shared" si="81"/>
        <v>166</v>
      </c>
      <c r="C190">
        <v>0.92015170594095252</v>
      </c>
      <c r="D190">
        <v>-1.7273259800276719</v>
      </c>
      <c r="E190">
        <v>0.23811480787117034</v>
      </c>
      <c r="F190">
        <v>-1.063656327460194</v>
      </c>
      <c r="G190">
        <v>0.95493533081025817</v>
      </c>
      <c r="H190">
        <v>0.87304300057985162</v>
      </c>
      <c r="K190" s="10">
        <f>1</f>
        <v>1</v>
      </c>
      <c r="L190" s="10">
        <f t="shared" si="82"/>
        <v>8.1020291184877422</v>
      </c>
      <c r="M190" s="10">
        <f t="shared" si="83"/>
        <v>6.4775233241527088</v>
      </c>
      <c r="N190" s="10">
        <f t="shared" si="84"/>
        <v>3.0987730077146716</v>
      </c>
      <c r="O190" s="10">
        <f t="shared" si="85"/>
        <v>7.3056632128999297</v>
      </c>
      <c r="P190" s="10">
        <f t="shared" si="86"/>
        <v>4.29105290275246</v>
      </c>
      <c r="Q190" s="10">
        <f t="shared" si="87"/>
        <v>-1</v>
      </c>
      <c r="S190" s="10">
        <f t="shared" si="88"/>
        <v>-182.44458026527118</v>
      </c>
      <c r="T190" s="10">
        <f t="shared" si="89"/>
        <v>-1</v>
      </c>
      <c r="U190" s="10">
        <f t="shared" si="90"/>
        <v>0</v>
      </c>
      <c r="V190" s="10">
        <f t="shared" si="91"/>
        <v>0</v>
      </c>
      <c r="Y190" s="10">
        <f t="shared" si="92"/>
        <v>0</v>
      </c>
      <c r="Z190" s="10">
        <f t="shared" si="93"/>
        <v>0</v>
      </c>
      <c r="AA190" s="10">
        <f t="shared" si="94"/>
        <v>0</v>
      </c>
      <c r="AB190" s="10">
        <f t="shared" si="95"/>
        <v>0</v>
      </c>
      <c r="AC190" s="10">
        <f t="shared" si="96"/>
        <v>0</v>
      </c>
      <c r="AD190" s="10">
        <f t="shared" si="97"/>
        <v>0</v>
      </c>
      <c r="AE190" s="10">
        <f t="shared" si="98"/>
        <v>-36.708241470714505</v>
      </c>
      <c r="AF190" s="10">
        <f t="shared" si="99"/>
        <v>-37.608241470714503</v>
      </c>
      <c r="AG190" s="10">
        <f t="shared" si="100"/>
        <v>-3.1076165830993174</v>
      </c>
      <c r="AH190" s="10">
        <f t="shared" si="101"/>
        <v>-12.327870393676504</v>
      </c>
      <c r="AI190" s="10">
        <f t="shared" si="102"/>
        <v>6.9640817044301606</v>
      </c>
      <c r="AJ190" s="10">
        <f t="shared" si="105"/>
        <v>38.783121034917976</v>
      </c>
      <c r="AK190" s="10">
        <f t="shared" si="103"/>
        <v>-1</v>
      </c>
      <c r="AL190" s="10">
        <f t="shared" si="104"/>
        <v>0</v>
      </c>
      <c r="AN190" s="10">
        <f t="shared" si="78"/>
        <v>1</v>
      </c>
      <c r="AO190" s="10">
        <f t="shared" si="79"/>
        <v>0</v>
      </c>
      <c r="AP190" s="10">
        <f t="shared" si="80"/>
        <v>0</v>
      </c>
    </row>
    <row r="191" spans="2:42" x14ac:dyDescent="0.25">
      <c r="B191" s="10">
        <f t="shared" si="81"/>
        <v>167</v>
      </c>
      <c r="C191">
        <v>-0.23583311303809751</v>
      </c>
      <c r="D191">
        <v>-0.40396344047621824</v>
      </c>
      <c r="E191">
        <v>-0.4834976152778836</v>
      </c>
      <c r="F191">
        <v>-0.76097990131529514</v>
      </c>
      <c r="G191">
        <v>-1.7788806871976703</v>
      </c>
      <c r="H191">
        <v>0.26749473555711539</v>
      </c>
      <c r="K191" s="10">
        <f>1</f>
        <v>1</v>
      </c>
      <c r="L191" s="10">
        <f t="shared" si="82"/>
        <v>3.6707095810527401</v>
      </c>
      <c r="M191" s="10">
        <f t="shared" si="83"/>
        <v>10.136301139752547</v>
      </c>
      <c r="N191" s="10">
        <f t="shared" si="84"/>
        <v>0.56156135796105966</v>
      </c>
      <c r="O191" s="10">
        <f t="shared" si="85"/>
        <v>9.6512071416405547</v>
      </c>
      <c r="P191" s="10">
        <f t="shared" si="86"/>
        <v>3.2308135813836465</v>
      </c>
      <c r="Q191" s="10">
        <f t="shared" si="87"/>
        <v>1</v>
      </c>
      <c r="S191" s="10">
        <f t="shared" si="88"/>
        <v>-20.666937667212238</v>
      </c>
      <c r="T191" s="10">
        <f t="shared" si="89"/>
        <v>-1</v>
      </c>
      <c r="U191" s="10">
        <f t="shared" si="90"/>
        <v>1</v>
      </c>
      <c r="V191" s="10">
        <f t="shared" si="91"/>
        <v>1</v>
      </c>
      <c r="Y191" s="10">
        <f t="shared" si="92"/>
        <v>0.8947752311777093</v>
      </c>
      <c r="Z191" s="10">
        <f t="shared" si="93"/>
        <v>3.2844600139726978</v>
      </c>
      <c r="AA191" s="10">
        <f t="shared" si="94"/>
        <v>9.0697111956089635</v>
      </c>
      <c r="AB191" s="10">
        <f t="shared" si="95"/>
        <v>0.50247119389007555</v>
      </c>
      <c r="AC191" s="10">
        <f t="shared" si="96"/>
        <v>8.6356611013053861</v>
      </c>
      <c r="AD191" s="10">
        <f t="shared" si="97"/>
        <v>2.8908519691746353</v>
      </c>
      <c r="AE191" s="10">
        <f t="shared" si="98"/>
        <v>-33.423781456741807</v>
      </c>
      <c r="AF191" s="10">
        <f t="shared" si="99"/>
        <v>-34.323781456741806</v>
      </c>
      <c r="AG191" s="10">
        <f t="shared" si="100"/>
        <v>5.9620946125096461</v>
      </c>
      <c r="AH191" s="10">
        <f t="shared" si="101"/>
        <v>-11.825399199786428</v>
      </c>
      <c r="AI191" s="10">
        <f t="shared" si="102"/>
        <v>15.599742805735547</v>
      </c>
      <c r="AJ191" s="10">
        <f t="shared" si="105"/>
        <v>38.783121034917976</v>
      </c>
      <c r="AK191" s="10">
        <f t="shared" si="103"/>
        <v>-1</v>
      </c>
      <c r="AL191" s="10">
        <f t="shared" si="104"/>
        <v>1</v>
      </c>
      <c r="AN191" s="10">
        <f t="shared" si="78"/>
        <v>1</v>
      </c>
      <c r="AO191" s="10">
        <f t="shared" si="79"/>
        <v>0</v>
      </c>
      <c r="AP191" s="10">
        <f t="shared" si="80"/>
        <v>0</v>
      </c>
    </row>
    <row r="192" spans="2:42" x14ac:dyDescent="0.25">
      <c r="B192" s="10">
        <f t="shared" si="81"/>
        <v>168</v>
      </c>
      <c r="C192">
        <v>-0.14226884559320752</v>
      </c>
      <c r="D192">
        <v>0.71705244408803992</v>
      </c>
      <c r="E192">
        <v>-0.14798956726735923</v>
      </c>
      <c r="F192">
        <v>-0.68545432441169396</v>
      </c>
      <c r="G192">
        <v>0.14945953807909973</v>
      </c>
      <c r="H192">
        <v>0.26367992187261574</v>
      </c>
      <c r="K192" s="10">
        <f>1</f>
        <v>1</v>
      </c>
      <c r="L192" s="10">
        <f t="shared" si="82"/>
        <v>3.8868579728120052</v>
      </c>
      <c r="M192" s="10">
        <f t="shared" si="83"/>
        <v>12.726026760464258</v>
      </c>
      <c r="N192" s="10">
        <f t="shared" si="84"/>
        <v>1.3366384999103582</v>
      </c>
      <c r="O192" s="10">
        <f t="shared" si="85"/>
        <v>9.8256832790614936</v>
      </c>
      <c r="P192" s="10">
        <f t="shared" si="86"/>
        <v>7.6855872876361468</v>
      </c>
      <c r="Q192" s="10">
        <f t="shared" si="87"/>
        <v>1</v>
      </c>
      <c r="S192" s="10">
        <f t="shared" si="88"/>
        <v>344.58124071583353</v>
      </c>
      <c r="T192" s="10">
        <f t="shared" si="89"/>
        <v>1</v>
      </c>
      <c r="U192" s="10">
        <f t="shared" si="90"/>
        <v>0</v>
      </c>
      <c r="V192" s="10">
        <f t="shared" si="91"/>
        <v>0</v>
      </c>
      <c r="Y192" s="10">
        <f t="shared" si="92"/>
        <v>0</v>
      </c>
      <c r="Z192" s="10">
        <f t="shared" si="93"/>
        <v>0</v>
      </c>
      <c r="AA192" s="10">
        <f t="shared" si="94"/>
        <v>0</v>
      </c>
      <c r="AB192" s="10">
        <f t="shared" si="95"/>
        <v>0</v>
      </c>
      <c r="AC192" s="10">
        <f t="shared" si="96"/>
        <v>0</v>
      </c>
      <c r="AD192" s="10">
        <f t="shared" si="97"/>
        <v>0</v>
      </c>
      <c r="AE192" s="10">
        <f t="shared" si="98"/>
        <v>-33.423781456741807</v>
      </c>
      <c r="AF192" s="10">
        <f t="shared" si="99"/>
        <v>-34.323781456741806</v>
      </c>
      <c r="AG192" s="10">
        <f t="shared" si="100"/>
        <v>5.9620946125096461</v>
      </c>
      <c r="AH192" s="10">
        <f t="shared" si="101"/>
        <v>-11.825399199786428</v>
      </c>
      <c r="AI192" s="10">
        <f t="shared" si="102"/>
        <v>15.599742805735547</v>
      </c>
      <c r="AJ192" s="10">
        <f t="shared" si="105"/>
        <v>41.673973004092609</v>
      </c>
      <c r="AK192" s="10">
        <f t="shared" si="103"/>
        <v>1</v>
      </c>
      <c r="AL192" s="10">
        <f t="shared" si="104"/>
        <v>0</v>
      </c>
      <c r="AN192" s="10">
        <f t="shared" si="78"/>
        <v>-1</v>
      </c>
      <c r="AO192" s="10">
        <f t="shared" si="79"/>
        <v>0</v>
      </c>
      <c r="AP192" s="10">
        <f t="shared" si="80"/>
        <v>0</v>
      </c>
    </row>
    <row r="193" spans="2:42" x14ac:dyDescent="0.25">
      <c r="B193" s="10">
        <f t="shared" si="81"/>
        <v>169</v>
      </c>
      <c r="C193">
        <v>-0.85129613580647856</v>
      </c>
      <c r="D193">
        <v>0.72111333793145604</v>
      </c>
      <c r="E193">
        <v>-2.9187958716647699E-2</v>
      </c>
      <c r="F193">
        <v>1.5083151083672419</v>
      </c>
      <c r="G193">
        <v>0.15774162420711946</v>
      </c>
      <c r="H193">
        <v>0.63234351634266184</v>
      </c>
      <c r="K193" s="10">
        <f>1</f>
        <v>1</v>
      </c>
      <c r="L193" s="10">
        <f t="shared" si="82"/>
        <v>5.1555989044590929</v>
      </c>
      <c r="M193" s="10">
        <f t="shared" si="83"/>
        <v>10.549986206567652</v>
      </c>
      <c r="N193" s="10">
        <f t="shared" si="84"/>
        <v>2.6541711802113093</v>
      </c>
      <c r="O193" s="10">
        <f t="shared" si="85"/>
        <v>11.583595743312573</v>
      </c>
      <c r="P193" s="10">
        <f t="shared" si="86"/>
        <v>2.9650891525288308</v>
      </c>
      <c r="Q193" s="10">
        <f t="shared" si="87"/>
        <v>-1</v>
      </c>
      <c r="S193" s="10">
        <f t="shared" si="88"/>
        <v>125.39811030015142</v>
      </c>
      <c r="T193" s="10">
        <f t="shared" si="89"/>
        <v>1</v>
      </c>
      <c r="U193" s="10">
        <f t="shared" si="90"/>
        <v>-1</v>
      </c>
      <c r="V193" s="10">
        <f t="shared" si="91"/>
        <v>1</v>
      </c>
      <c r="Y193" s="10">
        <f t="shared" si="92"/>
        <v>-0.8947752311777093</v>
      </c>
      <c r="Z193" s="10">
        <f t="shared" si="93"/>
        <v>-4.6131022015969299</v>
      </c>
      <c r="AA193" s="10">
        <f t="shared" si="94"/>
        <v>-9.4398663469032158</v>
      </c>
      <c r="AB193" s="10">
        <f t="shared" si="95"/>
        <v>-2.374886631358788</v>
      </c>
      <c r="AC193" s="10">
        <f t="shared" si="96"/>
        <v>-10.364714559091636</v>
      </c>
      <c r="AD193" s="10">
        <f t="shared" si="97"/>
        <v>-2.6530883319165026</v>
      </c>
      <c r="AE193" s="10">
        <f t="shared" si="98"/>
        <v>-38.036883658338738</v>
      </c>
      <c r="AF193" s="10">
        <f t="shared" si="99"/>
        <v>-38.936883658338736</v>
      </c>
      <c r="AG193" s="10">
        <f t="shared" si="100"/>
        <v>-3.4777717343935697</v>
      </c>
      <c r="AH193" s="10">
        <f t="shared" si="101"/>
        <v>-14.200285831145216</v>
      </c>
      <c r="AI193" s="10">
        <f t="shared" si="102"/>
        <v>5.2350282466439104</v>
      </c>
      <c r="AJ193" s="10">
        <f t="shared" si="105"/>
        <v>41.673973004092609</v>
      </c>
      <c r="AK193" s="10">
        <f t="shared" si="103"/>
        <v>-1</v>
      </c>
      <c r="AL193" s="10">
        <f t="shared" si="104"/>
        <v>0</v>
      </c>
      <c r="AN193" s="10">
        <f t="shared" si="78"/>
        <v>1</v>
      </c>
      <c r="AO193" s="10">
        <f t="shared" si="79"/>
        <v>0</v>
      </c>
      <c r="AP193" s="10">
        <f t="shared" si="80"/>
        <v>0</v>
      </c>
    </row>
    <row r="194" spans="2:42" x14ac:dyDescent="0.25">
      <c r="B194" s="10">
        <f t="shared" si="81"/>
        <v>170</v>
      </c>
      <c r="C194">
        <v>0.93674998424830846</v>
      </c>
      <c r="D194">
        <v>1.6784224499133416</v>
      </c>
      <c r="E194">
        <v>-0.71250838118430693</v>
      </c>
      <c r="F194">
        <v>0.32432808438898064</v>
      </c>
      <c r="G194">
        <v>-3.1484432838624343E-2</v>
      </c>
      <c r="H194">
        <v>0.26679280983916748</v>
      </c>
      <c r="K194" s="10">
        <f>1</f>
        <v>1</v>
      </c>
      <c r="L194" s="10">
        <f t="shared" si="82"/>
        <v>6.3795636938884916</v>
      </c>
      <c r="M194" s="10">
        <f t="shared" si="83"/>
        <v>14.946944919922185</v>
      </c>
      <c r="N194" s="10">
        <f t="shared" si="84"/>
        <v>3.2509935895612019E-2</v>
      </c>
      <c r="O194" s="10">
        <f t="shared" si="85"/>
        <v>12.158441816583533</v>
      </c>
      <c r="P194" s="10">
        <f t="shared" si="86"/>
        <v>7.2675778340224815</v>
      </c>
      <c r="Q194" s="10">
        <f t="shared" si="87"/>
        <v>1</v>
      </c>
      <c r="S194" s="10">
        <f t="shared" si="88"/>
        <v>27.637702866836605</v>
      </c>
      <c r="T194" s="10">
        <f t="shared" si="89"/>
        <v>1</v>
      </c>
      <c r="U194" s="10">
        <f t="shared" si="90"/>
        <v>0</v>
      </c>
      <c r="V194" s="10">
        <f t="shared" si="91"/>
        <v>0</v>
      </c>
      <c r="Y194" s="10">
        <f t="shared" si="92"/>
        <v>0</v>
      </c>
      <c r="Z194" s="10">
        <f t="shared" si="93"/>
        <v>0</v>
      </c>
      <c r="AA194" s="10">
        <f t="shared" si="94"/>
        <v>0</v>
      </c>
      <c r="AB194" s="10">
        <f t="shared" si="95"/>
        <v>0</v>
      </c>
      <c r="AC194" s="10">
        <f t="shared" si="96"/>
        <v>0</v>
      </c>
      <c r="AD194" s="10">
        <f t="shared" si="97"/>
        <v>0</v>
      </c>
      <c r="AE194" s="10">
        <f t="shared" si="98"/>
        <v>-38.036883658338738</v>
      </c>
      <c r="AF194" s="10">
        <f t="shared" si="99"/>
        <v>-38.936883658338736</v>
      </c>
      <c r="AG194" s="10">
        <f t="shared" si="100"/>
        <v>-3.4777717343935697</v>
      </c>
      <c r="AH194" s="10">
        <f t="shared" si="101"/>
        <v>-14.200285831145216</v>
      </c>
      <c r="AI194" s="10">
        <f t="shared" si="102"/>
        <v>5.2350282466439104</v>
      </c>
      <c r="AJ194" s="10">
        <f t="shared" si="105"/>
        <v>39.020884672176109</v>
      </c>
      <c r="AK194" s="10">
        <f t="shared" si="103"/>
        <v>1</v>
      </c>
      <c r="AL194" s="10">
        <f t="shared" si="104"/>
        <v>0</v>
      </c>
      <c r="AN194" s="10">
        <f t="shared" si="78"/>
        <v>1</v>
      </c>
      <c r="AO194" s="10">
        <f t="shared" si="79"/>
        <v>0</v>
      </c>
      <c r="AP194" s="10">
        <f t="shared" si="80"/>
        <v>0</v>
      </c>
    </row>
    <row r="195" spans="2:42" x14ac:dyDescent="0.25">
      <c r="B195" s="10">
        <f t="shared" si="81"/>
        <v>171</v>
      </c>
      <c r="C195">
        <v>-1.6254443835350685</v>
      </c>
      <c r="D195">
        <v>0.63615743783884682</v>
      </c>
      <c r="E195">
        <v>0.23968823370523751</v>
      </c>
      <c r="F195">
        <v>0.31909166864352301</v>
      </c>
      <c r="G195">
        <v>-0.84439307102002203</v>
      </c>
      <c r="H195">
        <v>0.20627460554826502</v>
      </c>
      <c r="K195" s="10">
        <f>1</f>
        <v>1</v>
      </c>
      <c r="L195" s="10">
        <f t="shared" si="82"/>
        <v>0.46048574784221685</v>
      </c>
      <c r="M195" s="10">
        <f t="shared" si="83"/>
        <v>12.539146384230694</v>
      </c>
      <c r="N195" s="10">
        <f t="shared" si="84"/>
        <v>2.2322360981104579</v>
      </c>
      <c r="O195" s="10">
        <f t="shared" si="85"/>
        <v>12.146344860417759</v>
      </c>
      <c r="P195" s="10">
        <f t="shared" si="86"/>
        <v>5.3896291300087711</v>
      </c>
      <c r="Q195" s="10">
        <f t="shared" si="87"/>
        <v>1</v>
      </c>
      <c r="S195" s="10">
        <f t="shared" si="88"/>
        <v>142.62111199297428</v>
      </c>
      <c r="T195" s="10">
        <f t="shared" si="89"/>
        <v>1</v>
      </c>
      <c r="U195" s="10">
        <f t="shared" si="90"/>
        <v>0</v>
      </c>
      <c r="V195" s="10">
        <f t="shared" si="91"/>
        <v>0</v>
      </c>
      <c r="Y195" s="10">
        <f t="shared" si="92"/>
        <v>0</v>
      </c>
      <c r="Z195" s="10">
        <f t="shared" si="93"/>
        <v>0</v>
      </c>
      <c r="AA195" s="10">
        <f t="shared" si="94"/>
        <v>0</v>
      </c>
      <c r="AB195" s="10">
        <f t="shared" si="95"/>
        <v>0</v>
      </c>
      <c r="AC195" s="10">
        <f t="shared" si="96"/>
        <v>0</v>
      </c>
      <c r="AD195" s="10">
        <f t="shared" si="97"/>
        <v>0</v>
      </c>
      <c r="AE195" s="10">
        <f t="shared" si="98"/>
        <v>-38.036883658338738</v>
      </c>
      <c r="AF195" s="10">
        <f t="shared" si="99"/>
        <v>-38.936883658338736</v>
      </c>
      <c r="AG195" s="10">
        <f t="shared" si="100"/>
        <v>-3.4777717343935697</v>
      </c>
      <c r="AH195" s="10">
        <f t="shared" si="101"/>
        <v>-14.200285831145216</v>
      </c>
      <c r="AI195" s="10">
        <f t="shared" si="102"/>
        <v>5.2350282466439104</v>
      </c>
      <c r="AJ195" s="10">
        <f t="shared" si="105"/>
        <v>39.020884672176109</v>
      </c>
      <c r="AK195" s="10">
        <f t="shared" si="103"/>
        <v>1</v>
      </c>
      <c r="AL195" s="10">
        <f t="shared" si="104"/>
        <v>0</v>
      </c>
      <c r="AN195" s="10">
        <f t="shared" si="78"/>
        <v>1</v>
      </c>
      <c r="AO195" s="10">
        <f t="shared" si="79"/>
        <v>0</v>
      </c>
      <c r="AP195" s="10">
        <f t="shared" si="80"/>
        <v>0</v>
      </c>
    </row>
    <row r="196" spans="2:42" x14ac:dyDescent="0.25">
      <c r="B196" s="10">
        <f t="shared" si="81"/>
        <v>172</v>
      </c>
      <c r="C196">
        <v>0.17682623365544714</v>
      </c>
      <c r="D196">
        <v>-0.22789663489675149</v>
      </c>
      <c r="E196">
        <v>0.98369355328031816</v>
      </c>
      <c r="F196">
        <v>0.85118699644226581</v>
      </c>
      <c r="G196">
        <v>-0.24969949663500302</v>
      </c>
      <c r="H196">
        <v>0.1673024689474166</v>
      </c>
      <c r="K196" s="10">
        <f>1</f>
        <v>1</v>
      </c>
      <c r="L196" s="10">
        <f t="shared" si="82"/>
        <v>4.6240185372178226</v>
      </c>
      <c r="M196" s="10">
        <f t="shared" si="83"/>
        <v>10.543043562981676</v>
      </c>
      <c r="N196" s="10">
        <f t="shared" si="84"/>
        <v>3.951007138360553</v>
      </c>
      <c r="O196" s="10">
        <f t="shared" si="85"/>
        <v>13.375569996328323</v>
      </c>
      <c r="P196" s="10">
        <f t="shared" si="86"/>
        <v>6.7634662069527325</v>
      </c>
      <c r="Q196" s="10">
        <f t="shared" si="87"/>
        <v>1</v>
      </c>
      <c r="S196" s="10">
        <f t="shared" si="88"/>
        <v>23.084436531981083</v>
      </c>
      <c r="T196" s="10">
        <f t="shared" si="89"/>
        <v>1</v>
      </c>
      <c r="U196" s="10">
        <f t="shared" si="90"/>
        <v>0</v>
      </c>
      <c r="V196" s="10">
        <f t="shared" si="91"/>
        <v>0</v>
      </c>
      <c r="Y196" s="10">
        <f t="shared" si="92"/>
        <v>0</v>
      </c>
      <c r="Z196" s="10">
        <f t="shared" si="93"/>
        <v>0</v>
      </c>
      <c r="AA196" s="10">
        <f t="shared" si="94"/>
        <v>0</v>
      </c>
      <c r="AB196" s="10">
        <f t="shared" si="95"/>
        <v>0</v>
      </c>
      <c r="AC196" s="10">
        <f t="shared" si="96"/>
        <v>0</v>
      </c>
      <c r="AD196" s="10">
        <f t="shared" si="97"/>
        <v>0</v>
      </c>
      <c r="AE196" s="10">
        <f t="shared" si="98"/>
        <v>-38.036883658338738</v>
      </c>
      <c r="AF196" s="10">
        <f t="shared" si="99"/>
        <v>-38.936883658338736</v>
      </c>
      <c r="AG196" s="10">
        <f t="shared" si="100"/>
        <v>-3.4777717343935697</v>
      </c>
      <c r="AH196" s="10">
        <f t="shared" si="101"/>
        <v>-14.200285831145216</v>
      </c>
      <c r="AI196" s="10">
        <f t="shared" si="102"/>
        <v>5.2350282466439104</v>
      </c>
      <c r="AJ196" s="10">
        <f t="shared" si="105"/>
        <v>39.020884672176109</v>
      </c>
      <c r="AK196" s="10">
        <f t="shared" si="103"/>
        <v>1</v>
      </c>
      <c r="AL196" s="10">
        <f t="shared" si="104"/>
        <v>0</v>
      </c>
      <c r="AN196" s="10">
        <f t="shared" si="78"/>
        <v>-1</v>
      </c>
      <c r="AO196" s="10">
        <f t="shared" si="79"/>
        <v>0</v>
      </c>
      <c r="AP196" s="10">
        <f t="shared" si="80"/>
        <v>0</v>
      </c>
    </row>
    <row r="197" spans="2:42" x14ac:dyDescent="0.25">
      <c r="B197" s="10">
        <f t="shared" si="81"/>
        <v>173</v>
      </c>
      <c r="C197">
        <v>1.3267981557874009</v>
      </c>
      <c r="D197">
        <v>0.30856540433887858</v>
      </c>
      <c r="E197">
        <v>1.0955795914924238</v>
      </c>
      <c r="F197">
        <v>-0.67389009927865118</v>
      </c>
      <c r="G197">
        <v>-8.5822193796047941E-2</v>
      </c>
      <c r="H197">
        <v>0.52137821588793598</v>
      </c>
      <c r="K197" s="10">
        <f>1</f>
        <v>1</v>
      </c>
      <c r="L197" s="10">
        <f t="shared" si="82"/>
        <v>8.7783998012808357</v>
      </c>
      <c r="M197" s="10">
        <f t="shared" si="83"/>
        <v>9.8637996490943074</v>
      </c>
      <c r="N197" s="10">
        <f t="shared" si="84"/>
        <v>4.5249849945350071</v>
      </c>
      <c r="O197" s="10">
        <f t="shared" si="85"/>
        <v>7.9539572038701829</v>
      </c>
      <c r="P197" s="10">
        <f t="shared" si="86"/>
        <v>2.5599720638423284</v>
      </c>
      <c r="Q197" s="10">
        <f t="shared" si="87"/>
        <v>-1</v>
      </c>
      <c r="S197" s="10">
        <f t="shared" si="88"/>
        <v>-336.86897404253466</v>
      </c>
      <c r="T197" s="10">
        <f t="shared" si="89"/>
        <v>-1</v>
      </c>
      <c r="U197" s="10">
        <f t="shared" si="90"/>
        <v>0</v>
      </c>
      <c r="V197" s="10">
        <f t="shared" si="91"/>
        <v>0</v>
      </c>
      <c r="Y197" s="10">
        <f t="shared" si="92"/>
        <v>0</v>
      </c>
      <c r="Z197" s="10">
        <f t="shared" si="93"/>
        <v>0</v>
      </c>
      <c r="AA197" s="10">
        <f t="shared" si="94"/>
        <v>0</v>
      </c>
      <c r="AB197" s="10">
        <f t="shared" si="95"/>
        <v>0</v>
      </c>
      <c r="AC197" s="10">
        <f t="shared" si="96"/>
        <v>0</v>
      </c>
      <c r="AD197" s="10">
        <f t="shared" si="97"/>
        <v>0</v>
      </c>
      <c r="AE197" s="10">
        <f t="shared" si="98"/>
        <v>-38.036883658338738</v>
      </c>
      <c r="AF197" s="10">
        <f t="shared" si="99"/>
        <v>-38.936883658338736</v>
      </c>
      <c r="AG197" s="10">
        <f t="shared" si="100"/>
        <v>-3.4777717343935697</v>
      </c>
      <c r="AH197" s="10">
        <f t="shared" si="101"/>
        <v>-14.200285831145216</v>
      </c>
      <c r="AI197" s="10">
        <f t="shared" si="102"/>
        <v>5.2350282466439104</v>
      </c>
      <c r="AJ197" s="10">
        <f t="shared" si="105"/>
        <v>39.020884672176109</v>
      </c>
      <c r="AK197" s="10">
        <f t="shared" si="103"/>
        <v>-1</v>
      </c>
      <c r="AL197" s="10">
        <f t="shared" si="104"/>
        <v>0</v>
      </c>
      <c r="AN197" s="10">
        <f t="shared" si="78"/>
        <v>-1</v>
      </c>
      <c r="AO197" s="10">
        <f t="shared" si="79"/>
        <v>0</v>
      </c>
      <c r="AP197" s="10">
        <f t="shared" si="80"/>
        <v>0</v>
      </c>
    </row>
    <row r="198" spans="2:42" x14ac:dyDescent="0.25">
      <c r="B198" s="10">
        <f t="shared" si="81"/>
        <v>174</v>
      </c>
      <c r="C198">
        <v>-1.7331331036984921</v>
      </c>
      <c r="D198">
        <v>-1.3196358850109391</v>
      </c>
      <c r="E198">
        <v>0.70631017479172442</v>
      </c>
      <c r="F198">
        <v>-0.48289621190633625</v>
      </c>
      <c r="G198">
        <v>-0.18794821698975284</v>
      </c>
      <c r="H198">
        <v>0.52064577166051207</v>
      </c>
      <c r="K198" s="10">
        <f>1</f>
        <v>1</v>
      </c>
      <c r="L198" s="10">
        <f t="shared" si="82"/>
        <v>3.6888489246903431</v>
      </c>
      <c r="M198" s="10">
        <f t="shared" si="83"/>
        <v>7.1556298907748275</v>
      </c>
      <c r="N198" s="10">
        <f t="shared" si="84"/>
        <v>3.8775173447774822</v>
      </c>
      <c r="O198" s="10">
        <f t="shared" si="85"/>
        <v>8.2716352902277546</v>
      </c>
      <c r="P198" s="10">
        <f t="shared" si="86"/>
        <v>2.390106943749549</v>
      </c>
      <c r="Q198" s="10">
        <f t="shared" si="87"/>
        <v>-1</v>
      </c>
      <c r="S198" s="10">
        <f t="shared" si="88"/>
        <v>-125.05033526267914</v>
      </c>
      <c r="T198" s="10">
        <f t="shared" si="89"/>
        <v>-1</v>
      </c>
      <c r="U198" s="10">
        <f t="shared" si="90"/>
        <v>0</v>
      </c>
      <c r="V198" s="10">
        <f t="shared" si="91"/>
        <v>0</v>
      </c>
      <c r="Y198" s="10">
        <f t="shared" si="92"/>
        <v>0</v>
      </c>
      <c r="Z198" s="10">
        <f t="shared" si="93"/>
        <v>0</v>
      </c>
      <c r="AA198" s="10">
        <f t="shared" si="94"/>
        <v>0</v>
      </c>
      <c r="AB198" s="10">
        <f t="shared" si="95"/>
        <v>0</v>
      </c>
      <c r="AC198" s="10">
        <f t="shared" si="96"/>
        <v>0</v>
      </c>
      <c r="AD198" s="10">
        <f t="shared" si="97"/>
        <v>0</v>
      </c>
      <c r="AE198" s="10">
        <f t="shared" si="98"/>
        <v>-38.036883658338738</v>
      </c>
      <c r="AF198" s="10">
        <f t="shared" si="99"/>
        <v>-38.936883658338736</v>
      </c>
      <c r="AG198" s="10">
        <f t="shared" si="100"/>
        <v>-3.4777717343935697</v>
      </c>
      <c r="AH198" s="10">
        <f t="shared" si="101"/>
        <v>-14.200285831145216</v>
      </c>
      <c r="AI198" s="10">
        <f t="shared" si="102"/>
        <v>5.2350282466439104</v>
      </c>
      <c r="AJ198" s="10">
        <f t="shared" si="105"/>
        <v>39.020884672176109</v>
      </c>
      <c r="AK198" s="10">
        <f t="shared" si="103"/>
        <v>-1</v>
      </c>
      <c r="AL198" s="10">
        <f t="shared" si="104"/>
        <v>0</v>
      </c>
      <c r="AN198" s="10">
        <f t="shared" si="78"/>
        <v>-1</v>
      </c>
      <c r="AO198" s="10">
        <f t="shared" si="79"/>
        <v>0</v>
      </c>
      <c r="AP198" s="10">
        <f t="shared" si="80"/>
        <v>0</v>
      </c>
    </row>
    <row r="199" spans="2:42" x14ac:dyDescent="0.25">
      <c r="B199" s="10">
        <f t="shared" si="81"/>
        <v>175</v>
      </c>
      <c r="C199">
        <v>1.7263073459616862</v>
      </c>
      <c r="D199">
        <v>0.52125187721685506</v>
      </c>
      <c r="E199">
        <v>-0.98742248155758716</v>
      </c>
      <c r="F199">
        <v>-1.2103555491194129</v>
      </c>
      <c r="G199">
        <v>0.11457700566097628</v>
      </c>
      <c r="H199">
        <v>0.51976073488570818</v>
      </c>
      <c r="K199" s="10">
        <f>1</f>
        <v>1</v>
      </c>
      <c r="L199" s="10">
        <f t="shared" si="82"/>
        <v>9.4428991565373046</v>
      </c>
      <c r="M199" s="10">
        <f t="shared" si="83"/>
        <v>10.217558780486335</v>
      </c>
      <c r="N199" s="10">
        <f t="shared" si="84"/>
        <v>1.0603499658995308</v>
      </c>
      <c r="O199" s="10">
        <f t="shared" si="85"/>
        <v>7.0616599694034523</v>
      </c>
      <c r="P199" s="10">
        <f t="shared" si="86"/>
        <v>2.8932939050120199</v>
      </c>
      <c r="Q199" s="10">
        <f t="shared" si="87"/>
        <v>-1</v>
      </c>
      <c r="S199" s="10">
        <f t="shared" si="88"/>
        <v>-306.43868203374961</v>
      </c>
      <c r="T199" s="10">
        <f t="shared" si="89"/>
        <v>-1</v>
      </c>
      <c r="U199" s="10">
        <f t="shared" si="90"/>
        <v>0</v>
      </c>
      <c r="V199" s="10">
        <f t="shared" si="91"/>
        <v>0</v>
      </c>
      <c r="Y199" s="10">
        <f t="shared" si="92"/>
        <v>0</v>
      </c>
      <c r="Z199" s="10">
        <f t="shared" si="93"/>
        <v>0</v>
      </c>
      <c r="AA199" s="10">
        <f t="shared" si="94"/>
        <v>0</v>
      </c>
      <c r="AB199" s="10">
        <f t="shared" si="95"/>
        <v>0</v>
      </c>
      <c r="AC199" s="10">
        <f t="shared" si="96"/>
        <v>0</v>
      </c>
      <c r="AD199" s="10">
        <f t="shared" si="97"/>
        <v>0</v>
      </c>
      <c r="AE199" s="10">
        <f t="shared" si="98"/>
        <v>-38.036883658338738</v>
      </c>
      <c r="AF199" s="10">
        <f t="shared" si="99"/>
        <v>-38.936883658338736</v>
      </c>
      <c r="AG199" s="10">
        <f t="shared" si="100"/>
        <v>-3.4777717343935697</v>
      </c>
      <c r="AH199" s="10">
        <f t="shared" si="101"/>
        <v>-14.200285831145216</v>
      </c>
      <c r="AI199" s="10">
        <f t="shared" si="102"/>
        <v>5.2350282466439104</v>
      </c>
      <c r="AJ199" s="10">
        <f t="shared" si="105"/>
        <v>39.020884672176109</v>
      </c>
      <c r="AK199" s="10">
        <f t="shared" si="103"/>
        <v>-1</v>
      </c>
      <c r="AL199" s="10">
        <f t="shared" si="104"/>
        <v>0</v>
      </c>
      <c r="AN199" s="10">
        <f t="shared" si="78"/>
        <v>1</v>
      </c>
      <c r="AO199" s="10">
        <f t="shared" si="79"/>
        <v>0</v>
      </c>
      <c r="AP199" s="10">
        <f t="shared" si="80"/>
        <v>0</v>
      </c>
    </row>
    <row r="200" spans="2:42" x14ac:dyDescent="0.25">
      <c r="B200" s="10">
        <f t="shared" si="81"/>
        <v>176</v>
      </c>
      <c r="C200">
        <v>1.8772243493003771</v>
      </c>
      <c r="D200">
        <v>-0.56030103223747574</v>
      </c>
      <c r="E200">
        <v>0.83070517575833946</v>
      </c>
      <c r="F200">
        <v>0.46347395254997537</v>
      </c>
      <c r="G200">
        <v>1.3458520697895437</v>
      </c>
      <c r="H200">
        <v>0.4880825220496231</v>
      </c>
      <c r="K200" s="10">
        <f>1</f>
        <v>1</v>
      </c>
      <c r="L200" s="10">
        <f t="shared" si="82"/>
        <v>8.552209587969319</v>
      </c>
      <c r="M200" s="10">
        <f t="shared" si="83"/>
        <v>9.7751363494589008</v>
      </c>
      <c r="N200" s="10">
        <f t="shared" si="84"/>
        <v>3.5975795675337694</v>
      </c>
      <c r="O200" s="10">
        <f t="shared" si="85"/>
        <v>12.479890981358546</v>
      </c>
      <c r="P200" s="10">
        <f t="shared" si="86"/>
        <v>10.44944499425822</v>
      </c>
      <c r="Q200" s="10">
        <f t="shared" si="87"/>
        <v>1</v>
      </c>
      <c r="S200" s="10">
        <f t="shared" si="88"/>
        <v>16.963545349558729</v>
      </c>
      <c r="T200" s="10">
        <f t="shared" si="89"/>
        <v>1</v>
      </c>
      <c r="U200" s="10">
        <f t="shared" si="90"/>
        <v>0</v>
      </c>
      <c r="V200" s="10">
        <f t="shared" si="91"/>
        <v>0</v>
      </c>
      <c r="Y200" s="10">
        <f t="shared" si="92"/>
        <v>0</v>
      </c>
      <c r="Z200" s="10">
        <f t="shared" si="93"/>
        <v>0</v>
      </c>
      <c r="AA200" s="10">
        <f t="shared" si="94"/>
        <v>0</v>
      </c>
      <c r="AB200" s="10">
        <f t="shared" si="95"/>
        <v>0</v>
      </c>
      <c r="AC200" s="10">
        <f t="shared" si="96"/>
        <v>0</v>
      </c>
      <c r="AD200" s="10">
        <f t="shared" si="97"/>
        <v>0</v>
      </c>
      <c r="AE200" s="10">
        <f t="shared" si="98"/>
        <v>-38.036883658338738</v>
      </c>
      <c r="AF200" s="10">
        <f t="shared" si="99"/>
        <v>-38.936883658338736</v>
      </c>
      <c r="AG200" s="10">
        <f t="shared" si="100"/>
        <v>-3.4777717343935697</v>
      </c>
      <c r="AH200" s="10">
        <f t="shared" si="101"/>
        <v>-14.200285831145216</v>
      </c>
      <c r="AI200" s="10">
        <f t="shared" si="102"/>
        <v>5.2350282466439104</v>
      </c>
      <c r="AJ200" s="10">
        <f t="shared" si="105"/>
        <v>39.020884672176109</v>
      </c>
      <c r="AK200" s="10">
        <f t="shared" si="103"/>
        <v>1</v>
      </c>
      <c r="AL200" s="10">
        <f t="shared" si="104"/>
        <v>0</v>
      </c>
      <c r="AN200" s="10">
        <f t="shared" si="78"/>
        <v>1</v>
      </c>
      <c r="AO200" s="10">
        <f t="shared" si="79"/>
        <v>0</v>
      </c>
      <c r="AP200" s="10">
        <f t="shared" si="80"/>
        <v>0</v>
      </c>
    </row>
    <row r="201" spans="2:42" x14ac:dyDescent="0.25">
      <c r="B201" s="10">
        <f t="shared" si="81"/>
        <v>177</v>
      </c>
      <c r="C201">
        <v>0.73157025326509029</v>
      </c>
      <c r="D201">
        <v>-5.1007873480557464E-2</v>
      </c>
      <c r="E201">
        <v>-0.99004182629869319</v>
      </c>
      <c r="F201">
        <v>-0.95771611086092889</v>
      </c>
      <c r="G201">
        <v>2.0146035240031779</v>
      </c>
      <c r="H201">
        <v>0.3163548692281869</v>
      </c>
      <c r="K201" s="10">
        <f>1</f>
        <v>1</v>
      </c>
      <c r="L201" s="10">
        <f t="shared" si="82"/>
        <v>5.9055657662101364</v>
      </c>
      <c r="M201" s="10">
        <f t="shared" si="83"/>
        <v>10.9516848353875</v>
      </c>
      <c r="N201" s="10">
        <f t="shared" si="84"/>
        <v>-0.60863661993262075</v>
      </c>
      <c r="O201" s="10">
        <f t="shared" si="85"/>
        <v>9.1967150961687132</v>
      </c>
      <c r="P201" s="10">
        <f t="shared" si="86"/>
        <v>11.994367594118124</v>
      </c>
      <c r="Q201" s="10">
        <f t="shared" si="87"/>
        <v>1</v>
      </c>
      <c r="S201" s="10">
        <f t="shared" si="88"/>
        <v>218.75004108246651</v>
      </c>
      <c r="T201" s="10">
        <f t="shared" si="89"/>
        <v>1</v>
      </c>
      <c r="U201" s="10">
        <f t="shared" si="90"/>
        <v>0</v>
      </c>
      <c r="V201" s="10">
        <f t="shared" si="91"/>
        <v>0</v>
      </c>
      <c r="Y201" s="10">
        <f t="shared" si="92"/>
        <v>0</v>
      </c>
      <c r="Z201" s="10">
        <f t="shared" si="93"/>
        <v>0</v>
      </c>
      <c r="AA201" s="10">
        <f t="shared" si="94"/>
        <v>0</v>
      </c>
      <c r="AB201" s="10">
        <f t="shared" si="95"/>
        <v>0</v>
      </c>
      <c r="AC201" s="10">
        <f t="shared" si="96"/>
        <v>0</v>
      </c>
      <c r="AD201" s="10">
        <f t="shared" si="97"/>
        <v>0</v>
      </c>
      <c r="AE201" s="10">
        <f t="shared" si="98"/>
        <v>-38.036883658338738</v>
      </c>
      <c r="AF201" s="10">
        <f t="shared" si="99"/>
        <v>-38.936883658338736</v>
      </c>
      <c r="AG201" s="10">
        <f t="shared" si="100"/>
        <v>-3.4777717343935697</v>
      </c>
      <c r="AH201" s="10">
        <f t="shared" si="101"/>
        <v>-14.200285831145216</v>
      </c>
      <c r="AI201" s="10">
        <f t="shared" si="102"/>
        <v>5.2350282466439104</v>
      </c>
      <c r="AJ201" s="10">
        <f t="shared" si="105"/>
        <v>39.020884672176109</v>
      </c>
      <c r="AK201" s="10">
        <f t="shared" si="103"/>
        <v>1</v>
      </c>
      <c r="AL201" s="10">
        <f t="shared" si="104"/>
        <v>0</v>
      </c>
      <c r="AN201" s="10">
        <f t="shared" si="78"/>
        <v>1</v>
      </c>
      <c r="AO201" s="10">
        <f t="shared" si="79"/>
        <v>0</v>
      </c>
      <c r="AP201" s="10">
        <f t="shared" si="80"/>
        <v>0</v>
      </c>
    </row>
    <row r="202" spans="2:42" x14ac:dyDescent="0.25">
      <c r="B202" s="10">
        <f t="shared" si="81"/>
        <v>178</v>
      </c>
      <c r="C202">
        <v>0.20963966562703717</v>
      </c>
      <c r="D202">
        <v>0.20338802642072551</v>
      </c>
      <c r="E202">
        <v>1.454022822144907</v>
      </c>
      <c r="F202">
        <v>-1.7548336472827941</v>
      </c>
      <c r="G202">
        <v>-0.71408749136026017</v>
      </c>
      <c r="H202">
        <v>0.24069948423718984</v>
      </c>
      <c r="K202" s="10">
        <f>1</f>
        <v>1</v>
      </c>
      <c r="L202" s="10">
        <f t="shared" si="82"/>
        <v>4.6998228024832862</v>
      </c>
      <c r="M202" s="10">
        <f t="shared" si="83"/>
        <v>11.53937996874812</v>
      </c>
      <c r="N202" s="10">
        <f t="shared" si="84"/>
        <v>5.0375428195410938</v>
      </c>
      <c r="O202" s="10">
        <f t="shared" si="85"/>
        <v>7.3552463576657701</v>
      </c>
      <c r="P202" s="10">
        <f t="shared" si="86"/>
        <v>5.6906558173315345</v>
      </c>
      <c r="Q202" s="10">
        <f t="shared" si="87"/>
        <v>1</v>
      </c>
      <c r="S202" s="10">
        <f t="shared" si="88"/>
        <v>-72.139867944747294</v>
      </c>
      <c r="T202" s="10">
        <f t="shared" si="89"/>
        <v>-1</v>
      </c>
      <c r="U202" s="10">
        <f t="shared" si="90"/>
        <v>1</v>
      </c>
      <c r="V202" s="10">
        <f t="shared" si="91"/>
        <v>1</v>
      </c>
      <c r="Y202" s="10">
        <f t="shared" si="92"/>
        <v>0.8947752311777093</v>
      </c>
      <c r="Z202" s="10">
        <f t="shared" si="93"/>
        <v>4.205285034586252</v>
      </c>
      <c r="AA202" s="10">
        <f t="shared" si="94"/>
        <v>10.325151379184026</v>
      </c>
      <c r="AB202" s="10">
        <f t="shared" si="95"/>
        <v>4.5074685409224919</v>
      </c>
      <c r="AC202" s="10">
        <f t="shared" si="96"/>
        <v>6.5812922600493939</v>
      </c>
      <c r="AD202" s="10">
        <f t="shared" si="97"/>
        <v>5.0918578745055996</v>
      </c>
      <c r="AE202" s="10">
        <f t="shared" si="98"/>
        <v>-33.831598623752484</v>
      </c>
      <c r="AF202" s="10">
        <f t="shared" si="99"/>
        <v>-34.731598623752483</v>
      </c>
      <c r="AG202" s="10">
        <f t="shared" si="100"/>
        <v>6.8473796447904567</v>
      </c>
      <c r="AH202" s="10">
        <f t="shared" si="101"/>
        <v>-9.6928172902227239</v>
      </c>
      <c r="AI202" s="10">
        <f t="shared" si="102"/>
        <v>11.816320506693305</v>
      </c>
      <c r="AJ202" s="10">
        <f t="shared" si="105"/>
        <v>39.020884672176109</v>
      </c>
      <c r="AK202" s="10">
        <f t="shared" si="103"/>
        <v>-1</v>
      </c>
      <c r="AL202" s="10">
        <f t="shared" si="104"/>
        <v>1</v>
      </c>
      <c r="AN202" s="10">
        <f t="shared" si="78"/>
        <v>-1</v>
      </c>
      <c r="AO202" s="10">
        <f t="shared" si="79"/>
        <v>0</v>
      </c>
      <c r="AP202" s="10">
        <f t="shared" si="80"/>
        <v>0</v>
      </c>
    </row>
    <row r="203" spans="2:42" x14ac:dyDescent="0.25">
      <c r="B203" s="10">
        <f t="shared" si="81"/>
        <v>179</v>
      </c>
      <c r="C203">
        <v>0.15394789443234913</v>
      </c>
      <c r="D203">
        <v>0.7184371497714892</v>
      </c>
      <c r="E203">
        <v>-0.35806124287773855</v>
      </c>
      <c r="F203">
        <v>-0.56478256738046184</v>
      </c>
      <c r="G203">
        <v>1.1740780792024452</v>
      </c>
      <c r="H203">
        <v>0.91354106265449997</v>
      </c>
      <c r="K203" s="10">
        <f>1</f>
        <v>1</v>
      </c>
      <c r="L203" s="10">
        <f t="shared" si="82"/>
        <v>6.8276105287166189</v>
      </c>
      <c r="M203" s="10">
        <f t="shared" si="83"/>
        <v>10.545534931476666</v>
      </c>
      <c r="N203" s="10">
        <f t="shared" si="84"/>
        <v>2.1071597705594152</v>
      </c>
      <c r="O203" s="10">
        <f t="shared" si="85"/>
        <v>8.1354345925839251</v>
      </c>
      <c r="P203" s="10">
        <f t="shared" si="86"/>
        <v>4.6555506880279687</v>
      </c>
      <c r="Q203" s="10">
        <f t="shared" si="87"/>
        <v>-1</v>
      </c>
      <c r="S203" s="10">
        <f t="shared" si="88"/>
        <v>58.614148599656417</v>
      </c>
      <c r="T203" s="10">
        <f t="shared" si="89"/>
        <v>1</v>
      </c>
      <c r="U203" s="10">
        <f t="shared" si="90"/>
        <v>-1</v>
      </c>
      <c r="V203" s="10">
        <f t="shared" si="91"/>
        <v>1</v>
      </c>
      <c r="Y203" s="10">
        <f t="shared" si="92"/>
        <v>-0.8947752311777093</v>
      </c>
      <c r="Z203" s="10">
        <f t="shared" si="93"/>
        <v>-6.1091767892237749</v>
      </c>
      <c r="AA203" s="10">
        <f t="shared" si="94"/>
        <v>-9.4358834562046425</v>
      </c>
      <c r="AB203" s="10">
        <f t="shared" si="95"/>
        <v>-1.8854343708306696</v>
      </c>
      <c r="AC203" s="10">
        <f t="shared" si="96"/>
        <v>-7.2793853683104146</v>
      </c>
      <c r="AD203" s="10">
        <f t="shared" si="97"/>
        <v>-4.165671443139769</v>
      </c>
      <c r="AE203" s="10">
        <f t="shared" si="98"/>
        <v>-39.940775412976258</v>
      </c>
      <c r="AF203" s="10">
        <f t="shared" si="99"/>
        <v>-40.840775412976257</v>
      </c>
      <c r="AG203" s="10">
        <f t="shared" si="100"/>
        <v>-2.5885038114141858</v>
      </c>
      <c r="AH203" s="10">
        <f t="shared" si="101"/>
        <v>-11.578251661053393</v>
      </c>
      <c r="AI203" s="10">
        <f t="shared" si="102"/>
        <v>4.5369351383828906</v>
      </c>
      <c r="AJ203" s="10">
        <f t="shared" si="105"/>
        <v>44.112742546681709</v>
      </c>
      <c r="AK203" s="10">
        <f t="shared" si="103"/>
        <v>-1</v>
      </c>
      <c r="AL203" s="10">
        <f t="shared" si="104"/>
        <v>0</v>
      </c>
      <c r="AN203" s="10">
        <f t="shared" si="78"/>
        <v>1</v>
      </c>
      <c r="AO203" s="10">
        <f t="shared" si="79"/>
        <v>0</v>
      </c>
      <c r="AP203" s="10">
        <f t="shared" si="80"/>
        <v>0</v>
      </c>
    </row>
    <row r="204" spans="2:42" x14ac:dyDescent="0.25">
      <c r="B204" s="10">
        <f t="shared" si="81"/>
        <v>180</v>
      </c>
      <c r="C204">
        <v>1.4969600670156069</v>
      </c>
      <c r="D204">
        <v>1.4435363482334651</v>
      </c>
      <c r="E204">
        <v>-1.8723403627518564</v>
      </c>
      <c r="F204">
        <v>-0.3860986907966435</v>
      </c>
      <c r="G204">
        <v>-0.42162355384789407</v>
      </c>
      <c r="H204">
        <v>3.7537766655476548E-2</v>
      </c>
      <c r="K204" s="10">
        <f>1</f>
        <v>1</v>
      </c>
      <c r="L204" s="10">
        <f t="shared" si="82"/>
        <v>7.6737384012231935</v>
      </c>
      <c r="M204" s="10">
        <f t="shared" si="83"/>
        <v>14.404320534447114</v>
      </c>
      <c r="N204" s="10">
        <f t="shared" si="84"/>
        <v>-2.6468870644009908</v>
      </c>
      <c r="O204" s="10">
        <f t="shared" si="85"/>
        <v>10.517242573405147</v>
      </c>
      <c r="P204" s="10">
        <f t="shared" si="86"/>
        <v>6.3662941936819353</v>
      </c>
      <c r="Q204" s="10">
        <f t="shared" si="87"/>
        <v>1</v>
      </c>
      <c r="S204" s="10">
        <f t="shared" si="88"/>
        <v>-31.430771956986575</v>
      </c>
      <c r="T204" s="10">
        <f t="shared" si="89"/>
        <v>-1</v>
      </c>
      <c r="U204" s="10">
        <f t="shared" si="90"/>
        <v>1</v>
      </c>
      <c r="V204" s="10">
        <f t="shared" si="91"/>
        <v>1</v>
      </c>
      <c r="X204" s="10">
        <f>SUM(V185:V204)</f>
        <v>5</v>
      </c>
      <c r="Y204" s="10">
        <f t="shared" si="92"/>
        <v>0.8947752311777093</v>
      </c>
      <c r="Z204" s="10">
        <f t="shared" si="93"/>
        <v>6.866271051951748</v>
      </c>
      <c r="AA204" s="10">
        <f t="shared" si="94"/>
        <v>12.888629236167741</v>
      </c>
      <c r="AB204" s="10">
        <f t="shared" si="95"/>
        <v>-2.3683689849506848</v>
      </c>
      <c r="AC204" s="10">
        <f t="shared" si="96"/>
        <v>9.4105681549706368</v>
      </c>
      <c r="AD204" s="10">
        <f t="shared" si="97"/>
        <v>5.6964023588970623</v>
      </c>
      <c r="AE204" s="10">
        <f t="shared" si="98"/>
        <v>-33.074504361024509</v>
      </c>
      <c r="AF204" s="10">
        <f t="shared" si="99"/>
        <v>-33.974504361024508</v>
      </c>
      <c r="AG204" s="10">
        <f t="shared" si="100"/>
        <v>10.300125424753556</v>
      </c>
      <c r="AH204" s="10">
        <f t="shared" si="101"/>
        <v>-13.946620646004078</v>
      </c>
      <c r="AI204" s="10">
        <f t="shared" si="102"/>
        <v>13.947503293353527</v>
      </c>
      <c r="AJ204" s="10">
        <f t="shared" si="105"/>
        <v>39.947071103541937</v>
      </c>
      <c r="AK204" s="10">
        <f t="shared" si="103"/>
        <v>1</v>
      </c>
      <c r="AL204" s="10">
        <f t="shared" si="104"/>
        <v>0</v>
      </c>
      <c r="AN204" s="10">
        <f t="shared" si="78"/>
        <v>1</v>
      </c>
      <c r="AO204" s="10">
        <f t="shared" si="79"/>
        <v>0</v>
      </c>
      <c r="AP204" s="10">
        <f t="shared" si="80"/>
        <v>0</v>
      </c>
    </row>
    <row r="205" spans="2:42" x14ac:dyDescent="0.25">
      <c r="B205" s="10">
        <f t="shared" si="81"/>
        <v>181</v>
      </c>
      <c r="C205">
        <v>3.5572611523093656E-3</v>
      </c>
      <c r="D205">
        <v>-0.65917902247747406</v>
      </c>
      <c r="E205">
        <v>1.1637780517048668</v>
      </c>
      <c r="F205">
        <v>2.0577590476023033</v>
      </c>
      <c r="G205">
        <v>-0.25823283067438751</v>
      </c>
      <c r="H205">
        <v>0.29795220801416061</v>
      </c>
      <c r="K205" s="10">
        <f>1</f>
        <v>1</v>
      </c>
      <c r="L205" s="10">
        <f t="shared" si="82"/>
        <v>4.223739554962199</v>
      </c>
      <c r="M205" s="10">
        <f t="shared" si="83"/>
        <v>9.5467124099100502</v>
      </c>
      <c r="N205" s="10">
        <f t="shared" si="84"/>
        <v>4.3670310733330275</v>
      </c>
      <c r="O205" s="10">
        <f t="shared" si="85"/>
        <v>16.162944017650425</v>
      </c>
      <c r="P205" s="10">
        <f t="shared" si="86"/>
        <v>6.7437528433009089</v>
      </c>
      <c r="Q205" s="10">
        <f t="shared" si="87"/>
        <v>1</v>
      </c>
      <c r="S205" s="10">
        <f t="shared" si="88"/>
        <v>355.67893644864012</v>
      </c>
      <c r="T205" s="12">
        <f t="shared" si="89"/>
        <v>1</v>
      </c>
      <c r="U205" s="10">
        <f t="shared" si="90"/>
        <v>0</v>
      </c>
      <c r="V205" s="12">
        <f t="shared" si="91"/>
        <v>0</v>
      </c>
      <c r="W205" s="12"/>
      <c r="X205" s="12"/>
      <c r="Y205" s="10">
        <f t="shared" si="92"/>
        <v>0</v>
      </c>
      <c r="Z205" s="10">
        <f t="shared" si="93"/>
        <v>0</v>
      </c>
      <c r="AA205" s="10">
        <f t="shared" si="94"/>
        <v>0</v>
      </c>
      <c r="AB205" s="10">
        <f t="shared" si="95"/>
        <v>0</v>
      </c>
      <c r="AC205" s="10">
        <f t="shared" si="96"/>
        <v>0</v>
      </c>
      <c r="AD205" s="10">
        <f t="shared" si="97"/>
        <v>0</v>
      </c>
      <c r="AE205" s="10">
        <f t="shared" si="98"/>
        <v>-33.074504361024509</v>
      </c>
      <c r="AF205" s="10">
        <f t="shared" si="99"/>
        <v>-33.974504361024508</v>
      </c>
      <c r="AG205" s="10">
        <f t="shared" si="100"/>
        <v>10.300125424753556</v>
      </c>
      <c r="AH205" s="10">
        <f t="shared" si="101"/>
        <v>-13.946620646004078</v>
      </c>
      <c r="AI205" s="10">
        <f t="shared" si="102"/>
        <v>13.947503293353527</v>
      </c>
      <c r="AJ205" s="10">
        <f t="shared" si="105"/>
        <v>45.643473462438998</v>
      </c>
      <c r="AK205" s="10">
        <f t="shared" si="103"/>
        <v>1</v>
      </c>
      <c r="AL205" s="10">
        <f t="shared" si="104"/>
        <v>0</v>
      </c>
      <c r="AN205" s="10">
        <f t="shared" si="78"/>
        <v>-1</v>
      </c>
      <c r="AO205" s="10">
        <f t="shared" si="79"/>
        <v>0</v>
      </c>
      <c r="AP205" s="10">
        <f t="shared" si="80"/>
        <v>0</v>
      </c>
    </row>
    <row r="206" spans="2:42" x14ac:dyDescent="0.25">
      <c r="B206" s="10">
        <f t="shared" si="81"/>
        <v>182</v>
      </c>
      <c r="C206">
        <v>0.13547150956583209</v>
      </c>
      <c r="D206">
        <v>0.25704594008857384</v>
      </c>
      <c r="E206">
        <v>-0.90253706730436534</v>
      </c>
      <c r="F206">
        <v>1.7132151697296649</v>
      </c>
      <c r="G206">
        <v>1.7973889043787494E-3</v>
      </c>
      <c r="H206">
        <v>0.93914609210486155</v>
      </c>
      <c r="K206" s="10">
        <f>1</f>
        <v>1</v>
      </c>
      <c r="L206" s="10">
        <f t="shared" si="82"/>
        <v>6.7968789557435043</v>
      </c>
      <c r="M206" s="10">
        <f t="shared" si="83"/>
        <v>9.7781078762403428</v>
      </c>
      <c r="N206" s="10">
        <f t="shared" si="84"/>
        <v>1.2015389658755691</v>
      </c>
      <c r="O206" s="10">
        <f t="shared" si="85"/>
        <v>11.92440381986256</v>
      </c>
      <c r="P206" s="10">
        <f t="shared" si="86"/>
        <v>2.7057087768998547</v>
      </c>
      <c r="Q206" s="10">
        <f t="shared" si="87"/>
        <v>-1</v>
      </c>
      <c r="S206" s="10">
        <f t="shared" si="88"/>
        <v>109.7768396136269</v>
      </c>
      <c r="T206" s="10">
        <f t="shared" si="89"/>
        <v>1</v>
      </c>
      <c r="U206" s="10">
        <f t="shared" si="90"/>
        <v>-1</v>
      </c>
      <c r="V206" s="10">
        <f t="shared" si="91"/>
        <v>1</v>
      </c>
      <c r="Y206" s="10">
        <f t="shared" si="92"/>
        <v>-0.8947752311777093</v>
      </c>
      <c r="Z206" s="10">
        <f t="shared" si="93"/>
        <v>-6.0816789389123018</v>
      </c>
      <c r="AA206" s="10">
        <f t="shared" si="94"/>
        <v>-8.7492087354435331</v>
      </c>
      <c r="AB206" s="10">
        <f t="shared" si="95"/>
        <v>-1.075107305960338</v>
      </c>
      <c r="AC206" s="10">
        <f t="shared" si="96"/>
        <v>-10.669661184573881</v>
      </c>
      <c r="AD206" s="10">
        <f t="shared" si="97"/>
        <v>-2.4210011963501246</v>
      </c>
      <c r="AE206" s="10">
        <f t="shared" si="98"/>
        <v>-39.156183299936814</v>
      </c>
      <c r="AF206" s="10">
        <f t="shared" si="99"/>
        <v>-40.056183299936812</v>
      </c>
      <c r="AG206" s="10">
        <f t="shared" si="100"/>
        <v>1.5509166893100232</v>
      </c>
      <c r="AH206" s="10">
        <f t="shared" si="101"/>
        <v>-15.021727951964415</v>
      </c>
      <c r="AI206" s="10">
        <f t="shared" si="102"/>
        <v>3.2778421087796463</v>
      </c>
      <c r="AJ206" s="10">
        <f t="shared" si="105"/>
        <v>45.643473462438998</v>
      </c>
      <c r="AK206" s="10">
        <f t="shared" si="103"/>
        <v>-1</v>
      </c>
      <c r="AL206" s="10">
        <f t="shared" si="104"/>
        <v>0</v>
      </c>
      <c r="AN206" s="10">
        <f t="shared" si="78"/>
        <v>1</v>
      </c>
      <c r="AO206" s="10">
        <f t="shared" si="79"/>
        <v>0</v>
      </c>
      <c r="AP206" s="10">
        <f t="shared" si="80"/>
        <v>0</v>
      </c>
    </row>
    <row r="207" spans="2:42" x14ac:dyDescent="0.25">
      <c r="B207" s="10">
        <f t="shared" si="81"/>
        <v>183</v>
      </c>
      <c r="C207">
        <v>3.2325715437764302E-2</v>
      </c>
      <c r="D207">
        <v>-0.42421788748470135</v>
      </c>
      <c r="E207">
        <v>-0.22326616999635007</v>
      </c>
      <c r="F207">
        <v>0.47585899665136822</v>
      </c>
      <c r="G207">
        <v>-6.2731260186410509E-2</v>
      </c>
      <c r="H207">
        <v>0.28904080324716941</v>
      </c>
      <c r="K207" s="10">
        <f>1</f>
        <v>1</v>
      </c>
      <c r="L207" s="10">
        <f t="shared" si="82"/>
        <v>4.2901992761465024</v>
      </c>
      <c r="M207" s="10">
        <f t="shared" si="83"/>
        <v>10.089510134314114</v>
      </c>
      <c r="N207" s="10">
        <f t="shared" si="84"/>
        <v>1.1627375325719869</v>
      </c>
      <c r="O207" s="10">
        <f t="shared" si="85"/>
        <v>12.508502410032001</v>
      </c>
      <c r="P207" s="10">
        <f t="shared" si="86"/>
        <v>7.1953926754865956</v>
      </c>
      <c r="Q207" s="10">
        <f t="shared" si="87"/>
        <v>1</v>
      </c>
      <c r="S207" s="10">
        <f t="shared" si="88"/>
        <v>156.60008141469322</v>
      </c>
      <c r="T207" s="10">
        <f t="shared" si="89"/>
        <v>1</v>
      </c>
      <c r="U207" s="10">
        <f t="shared" si="90"/>
        <v>0</v>
      </c>
      <c r="V207" s="10">
        <f t="shared" si="91"/>
        <v>0</v>
      </c>
      <c r="Y207" s="10">
        <f t="shared" si="92"/>
        <v>0</v>
      </c>
      <c r="Z207" s="10">
        <f t="shared" si="93"/>
        <v>0</v>
      </c>
      <c r="AA207" s="10">
        <f t="shared" si="94"/>
        <v>0</v>
      </c>
      <c r="AB207" s="10">
        <f t="shared" si="95"/>
        <v>0</v>
      </c>
      <c r="AC207" s="10">
        <f t="shared" si="96"/>
        <v>0</v>
      </c>
      <c r="AD207" s="10">
        <f t="shared" si="97"/>
        <v>0</v>
      </c>
      <c r="AE207" s="10">
        <f t="shared" si="98"/>
        <v>-39.156183299936814</v>
      </c>
      <c r="AF207" s="10">
        <f t="shared" si="99"/>
        <v>-40.056183299936812</v>
      </c>
      <c r="AG207" s="10">
        <f t="shared" si="100"/>
        <v>1.5509166893100232</v>
      </c>
      <c r="AH207" s="10">
        <f t="shared" si="101"/>
        <v>-15.021727951964415</v>
      </c>
      <c r="AI207" s="10">
        <f t="shared" si="102"/>
        <v>3.2778421087796463</v>
      </c>
      <c r="AJ207" s="10">
        <f t="shared" si="105"/>
        <v>43.222472266088872</v>
      </c>
      <c r="AK207" s="10">
        <f t="shared" si="103"/>
        <v>1</v>
      </c>
      <c r="AL207" s="10">
        <f t="shared" si="104"/>
        <v>0</v>
      </c>
      <c r="AN207" s="10">
        <f t="shared" si="78"/>
        <v>1</v>
      </c>
      <c r="AO207" s="10">
        <f t="shared" si="79"/>
        <v>0</v>
      </c>
      <c r="AP207" s="10">
        <f t="shared" si="80"/>
        <v>0</v>
      </c>
    </row>
    <row r="208" spans="2:42" x14ac:dyDescent="0.25">
      <c r="B208" s="10">
        <f t="shared" si="81"/>
        <v>184</v>
      </c>
      <c r="C208">
        <v>-6.9861698648310266E-2</v>
      </c>
      <c r="D208">
        <v>-0.56056933317449875</v>
      </c>
      <c r="E208">
        <v>-1.0844951248145662</v>
      </c>
      <c r="F208">
        <v>-1.7943602870218456</v>
      </c>
      <c r="G208">
        <v>-0.11781139619415626</v>
      </c>
      <c r="H208">
        <v>0.29734183782464063</v>
      </c>
      <c r="K208" s="10">
        <f>1</f>
        <v>1</v>
      </c>
      <c r="L208" s="10">
        <f t="shared" si="82"/>
        <v>4.0541300392901043</v>
      </c>
      <c r="M208" s="10">
        <f t="shared" si="83"/>
        <v>9.7745165314703808</v>
      </c>
      <c r="N208" s="10">
        <f t="shared" si="84"/>
        <v>-0.82683881536571024</v>
      </c>
      <c r="O208" s="10">
        <f t="shared" si="85"/>
        <v>7.263933510950265</v>
      </c>
      <c r="P208" s="10">
        <f t="shared" si="86"/>
        <v>7.0681487698687997</v>
      </c>
      <c r="Q208" s="10">
        <f t="shared" si="87"/>
        <v>1</v>
      </c>
      <c r="S208" s="10">
        <f t="shared" si="88"/>
        <v>155.34374060343382</v>
      </c>
      <c r="T208" s="10">
        <f t="shared" si="89"/>
        <v>1</v>
      </c>
      <c r="U208" s="10">
        <f t="shared" si="90"/>
        <v>0</v>
      </c>
      <c r="V208" s="10">
        <f t="shared" si="91"/>
        <v>0</v>
      </c>
      <c r="Y208" s="10">
        <f t="shared" si="92"/>
        <v>0</v>
      </c>
      <c r="Z208" s="10">
        <f t="shared" si="93"/>
        <v>0</v>
      </c>
      <c r="AA208" s="10">
        <f t="shared" si="94"/>
        <v>0</v>
      </c>
      <c r="AB208" s="10">
        <f t="shared" si="95"/>
        <v>0</v>
      </c>
      <c r="AC208" s="10">
        <f t="shared" si="96"/>
        <v>0</v>
      </c>
      <c r="AD208" s="10">
        <f t="shared" si="97"/>
        <v>0</v>
      </c>
      <c r="AE208" s="10">
        <f t="shared" si="98"/>
        <v>-39.156183299936814</v>
      </c>
      <c r="AF208" s="10">
        <f t="shared" si="99"/>
        <v>-40.056183299936812</v>
      </c>
      <c r="AG208" s="10">
        <f t="shared" si="100"/>
        <v>1.5509166893100232</v>
      </c>
      <c r="AH208" s="10">
        <f t="shared" si="101"/>
        <v>-15.021727951964415</v>
      </c>
      <c r="AI208" s="10">
        <f t="shared" si="102"/>
        <v>3.2778421087796463</v>
      </c>
      <c r="AJ208" s="10">
        <f t="shared" si="105"/>
        <v>43.222472266088872</v>
      </c>
      <c r="AK208" s="10">
        <f t="shared" si="103"/>
        <v>1</v>
      </c>
      <c r="AL208" s="10">
        <f t="shared" si="104"/>
        <v>0</v>
      </c>
      <c r="AN208" s="10">
        <f t="shared" si="78"/>
        <v>-1</v>
      </c>
      <c r="AO208" s="10">
        <f t="shared" si="79"/>
        <v>0</v>
      </c>
      <c r="AP208" s="10">
        <f t="shared" si="80"/>
        <v>0</v>
      </c>
    </row>
    <row r="209" spans="2:42" x14ac:dyDescent="0.25">
      <c r="B209" s="10">
        <f t="shared" si="81"/>
        <v>185</v>
      </c>
      <c r="C209">
        <v>2.1461437427205965</v>
      </c>
      <c r="D209">
        <v>-0.74776153269340284</v>
      </c>
      <c r="E209">
        <v>1.6614558262517676</v>
      </c>
      <c r="F209">
        <v>-1.8962691683555022</v>
      </c>
      <c r="G209">
        <v>0.54586053011007607</v>
      </c>
      <c r="H209">
        <v>0.96322519608142343</v>
      </c>
      <c r="K209" s="10">
        <f>1</f>
        <v>1</v>
      </c>
      <c r="L209" s="10">
        <f t="shared" si="82"/>
        <v>10.141208536698972</v>
      </c>
      <c r="M209" s="10">
        <f t="shared" si="83"/>
        <v>8.1068223733230624</v>
      </c>
      <c r="N209" s="10">
        <f t="shared" si="84"/>
        <v>5.4662008724188231</v>
      </c>
      <c r="O209" s="10">
        <f t="shared" si="85"/>
        <v>5.9207871961258833</v>
      </c>
      <c r="P209" s="10">
        <f t="shared" si="86"/>
        <v>3.6106431700042494</v>
      </c>
      <c r="Q209" s="10">
        <f t="shared" si="87"/>
        <v>-1</v>
      </c>
      <c r="S209" s="10">
        <f t="shared" si="88"/>
        <v>-339.44473778220566</v>
      </c>
      <c r="T209" s="10">
        <f t="shared" si="89"/>
        <v>-1</v>
      </c>
      <c r="U209" s="10">
        <f t="shared" si="90"/>
        <v>0</v>
      </c>
      <c r="V209" s="10">
        <f t="shared" si="91"/>
        <v>0</v>
      </c>
      <c r="Y209" s="10">
        <f t="shared" si="92"/>
        <v>0</v>
      </c>
      <c r="Z209" s="10">
        <f t="shared" si="93"/>
        <v>0</v>
      </c>
      <c r="AA209" s="10">
        <f t="shared" si="94"/>
        <v>0</v>
      </c>
      <c r="AB209" s="10">
        <f t="shared" si="95"/>
        <v>0</v>
      </c>
      <c r="AC209" s="10">
        <f t="shared" si="96"/>
        <v>0</v>
      </c>
      <c r="AD209" s="10">
        <f t="shared" si="97"/>
        <v>0</v>
      </c>
      <c r="AE209" s="10">
        <f t="shared" si="98"/>
        <v>-39.156183299936814</v>
      </c>
      <c r="AF209" s="10">
        <f t="shared" si="99"/>
        <v>-40.056183299936812</v>
      </c>
      <c r="AG209" s="10">
        <f t="shared" si="100"/>
        <v>1.5509166893100232</v>
      </c>
      <c r="AH209" s="10">
        <f t="shared" si="101"/>
        <v>-15.021727951964415</v>
      </c>
      <c r="AI209" s="10">
        <f t="shared" si="102"/>
        <v>3.2778421087796463</v>
      </c>
      <c r="AJ209" s="10">
        <f t="shared" si="105"/>
        <v>43.222472266088872</v>
      </c>
      <c r="AK209" s="10">
        <f t="shared" si="103"/>
        <v>-1</v>
      </c>
      <c r="AL209" s="10">
        <f t="shared" si="104"/>
        <v>0</v>
      </c>
      <c r="AN209" s="10">
        <f t="shared" si="78"/>
        <v>-1</v>
      </c>
      <c r="AO209" s="10">
        <f t="shared" si="79"/>
        <v>0</v>
      </c>
      <c r="AP209" s="10">
        <f t="shared" si="80"/>
        <v>0</v>
      </c>
    </row>
    <row r="210" spans="2:42" x14ac:dyDescent="0.25">
      <c r="B210" s="10">
        <f t="shared" si="81"/>
        <v>186</v>
      </c>
      <c r="C210">
        <v>-0.1103433078242233</v>
      </c>
      <c r="D210">
        <v>0.8882602742232848</v>
      </c>
      <c r="E210">
        <v>0.17837919585872442</v>
      </c>
      <c r="F210">
        <v>-0.24362634576391429</v>
      </c>
      <c r="G210">
        <v>-0.49626351028564386</v>
      </c>
      <c r="H210">
        <v>0.79897457808160655</v>
      </c>
      <c r="K210" s="10">
        <f>1</f>
        <v>1</v>
      </c>
      <c r="L210" s="10">
        <f t="shared" si="82"/>
        <v>6.3880178038963589</v>
      </c>
      <c r="M210" s="10">
        <f t="shared" si="83"/>
        <v>10.827999914714292</v>
      </c>
      <c r="N210" s="10">
        <f t="shared" si="84"/>
        <v>2.9994154043243606</v>
      </c>
      <c r="O210" s="10">
        <f t="shared" si="85"/>
        <v>8.6696102947941824</v>
      </c>
      <c r="P210" s="10">
        <f t="shared" si="86"/>
        <v>1.8772894200238688</v>
      </c>
      <c r="Q210" s="10">
        <f t="shared" si="87"/>
        <v>-1</v>
      </c>
      <c r="S210" s="10">
        <f t="shared" si="88"/>
        <v>-213.74016823179358</v>
      </c>
      <c r="T210" s="10">
        <f t="shared" si="89"/>
        <v>-1</v>
      </c>
      <c r="U210" s="10">
        <f t="shared" si="90"/>
        <v>0</v>
      </c>
      <c r="V210" s="10">
        <f t="shared" si="91"/>
        <v>0</v>
      </c>
      <c r="Y210" s="10">
        <f t="shared" si="92"/>
        <v>0</v>
      </c>
      <c r="Z210" s="10">
        <f t="shared" si="93"/>
        <v>0</v>
      </c>
      <c r="AA210" s="10">
        <f t="shared" si="94"/>
        <v>0</v>
      </c>
      <c r="AB210" s="10">
        <f t="shared" si="95"/>
        <v>0</v>
      </c>
      <c r="AC210" s="10">
        <f t="shared" si="96"/>
        <v>0</v>
      </c>
      <c r="AD210" s="10">
        <f t="shared" si="97"/>
        <v>0</v>
      </c>
      <c r="AE210" s="10">
        <f t="shared" si="98"/>
        <v>-39.156183299936814</v>
      </c>
      <c r="AF210" s="10">
        <f t="shared" si="99"/>
        <v>-40.056183299936812</v>
      </c>
      <c r="AG210" s="10">
        <f t="shared" si="100"/>
        <v>1.5509166893100232</v>
      </c>
      <c r="AH210" s="10">
        <f t="shared" si="101"/>
        <v>-15.021727951964415</v>
      </c>
      <c r="AI210" s="10">
        <f t="shared" si="102"/>
        <v>3.2778421087796463</v>
      </c>
      <c r="AJ210" s="10">
        <f t="shared" si="105"/>
        <v>43.222472266088872</v>
      </c>
      <c r="AK210" s="10">
        <f t="shared" si="103"/>
        <v>-1</v>
      </c>
      <c r="AL210" s="10">
        <f t="shared" si="104"/>
        <v>0</v>
      </c>
      <c r="AN210" s="10">
        <f t="shared" si="78"/>
        <v>-1</v>
      </c>
      <c r="AO210" s="10">
        <f t="shared" si="79"/>
        <v>0</v>
      </c>
      <c r="AP210" s="10">
        <f t="shared" si="80"/>
        <v>0</v>
      </c>
    </row>
    <row r="211" spans="2:42" x14ac:dyDescent="0.25">
      <c r="B211" s="10">
        <f t="shared" si="81"/>
        <v>187</v>
      </c>
      <c r="C211">
        <v>0.51923734645242803</v>
      </c>
      <c r="D211">
        <v>0.66804432208300568</v>
      </c>
      <c r="E211">
        <v>1.0385360837972257</v>
      </c>
      <c r="F211">
        <v>0.25246208679163828</v>
      </c>
      <c r="G211">
        <v>-0.68797135099885054</v>
      </c>
      <c r="H211">
        <v>0.57438886684774315</v>
      </c>
      <c r="K211" s="10">
        <f>1</f>
        <v>1</v>
      </c>
      <c r="L211" s="10">
        <f t="shared" si="82"/>
        <v>7.4351925601673567</v>
      </c>
      <c r="M211" s="10">
        <f t="shared" si="83"/>
        <v>10.461717081144013</v>
      </c>
      <c r="N211" s="10">
        <f t="shared" si="84"/>
        <v>4.4301051394095463</v>
      </c>
      <c r="O211" s="10">
        <f t="shared" si="85"/>
        <v>9.4947488690521293</v>
      </c>
      <c r="P211" s="10">
        <f t="shared" si="86"/>
        <v>1.5584238227244371</v>
      </c>
      <c r="Q211" s="10">
        <f t="shared" si="87"/>
        <v>-1</v>
      </c>
      <c r="S211" s="10">
        <f t="shared" si="88"/>
        <v>-288.82298383136435</v>
      </c>
      <c r="T211" s="10">
        <f t="shared" si="89"/>
        <v>-1</v>
      </c>
      <c r="U211" s="10">
        <f t="shared" si="90"/>
        <v>0</v>
      </c>
      <c r="V211" s="10">
        <f t="shared" si="91"/>
        <v>0</v>
      </c>
      <c r="Y211" s="10">
        <f t="shared" si="92"/>
        <v>0</v>
      </c>
      <c r="Z211" s="10">
        <f t="shared" si="93"/>
        <v>0</v>
      </c>
      <c r="AA211" s="10">
        <f t="shared" si="94"/>
        <v>0</v>
      </c>
      <c r="AB211" s="10">
        <f t="shared" si="95"/>
        <v>0</v>
      </c>
      <c r="AC211" s="10">
        <f t="shared" si="96"/>
        <v>0</v>
      </c>
      <c r="AD211" s="10">
        <f t="shared" si="97"/>
        <v>0</v>
      </c>
      <c r="AE211" s="10">
        <f t="shared" si="98"/>
        <v>-39.156183299936814</v>
      </c>
      <c r="AF211" s="10">
        <f t="shared" si="99"/>
        <v>-40.056183299936812</v>
      </c>
      <c r="AG211" s="10">
        <f t="shared" si="100"/>
        <v>1.5509166893100232</v>
      </c>
      <c r="AH211" s="10">
        <f t="shared" si="101"/>
        <v>-15.021727951964415</v>
      </c>
      <c r="AI211" s="10">
        <f t="shared" si="102"/>
        <v>3.2778421087796463</v>
      </c>
      <c r="AJ211" s="10">
        <f t="shared" si="105"/>
        <v>43.222472266088872</v>
      </c>
      <c r="AK211" s="10">
        <f t="shared" si="103"/>
        <v>-1</v>
      </c>
      <c r="AL211" s="10">
        <f t="shared" si="104"/>
        <v>0</v>
      </c>
      <c r="AN211" s="10">
        <f t="shared" si="78"/>
        <v>-1</v>
      </c>
      <c r="AO211" s="10">
        <f t="shared" si="79"/>
        <v>0</v>
      </c>
      <c r="AP211" s="10">
        <f t="shared" si="80"/>
        <v>0</v>
      </c>
    </row>
    <row r="212" spans="2:42" x14ac:dyDescent="0.25">
      <c r="B212" s="10">
        <f t="shared" si="81"/>
        <v>188</v>
      </c>
      <c r="C212">
        <v>1.5119030649657361</v>
      </c>
      <c r="D212">
        <v>0.15603745850967243</v>
      </c>
      <c r="E212">
        <v>-0.33078549677156843</v>
      </c>
      <c r="F212">
        <v>-1.594416971784085</v>
      </c>
      <c r="G212">
        <v>0.32191110221901909</v>
      </c>
      <c r="H212">
        <v>0.55198828089236118</v>
      </c>
      <c r="K212" s="10">
        <f>1</f>
        <v>1</v>
      </c>
      <c r="L212" s="10">
        <f t="shared" si="82"/>
        <v>9.0862828133090474</v>
      </c>
      <c r="M212" s="10">
        <f t="shared" si="83"/>
        <v>9.6101015511409535</v>
      </c>
      <c r="N212" s="10">
        <f t="shared" si="84"/>
        <v>2.1525272267968605</v>
      </c>
      <c r="O212" s="10">
        <f t="shared" si="85"/>
        <v>6.4228547203221424</v>
      </c>
      <c r="P212" s="10">
        <f t="shared" si="86"/>
        <v>3.2381504862220756</v>
      </c>
      <c r="Q212" s="10">
        <f t="shared" si="87"/>
        <v>-1</v>
      </c>
      <c r="S212" s="10">
        <f t="shared" si="88"/>
        <v>-259.53423146841783</v>
      </c>
      <c r="T212" s="10">
        <f t="shared" si="89"/>
        <v>-1</v>
      </c>
      <c r="U212" s="10">
        <f t="shared" si="90"/>
        <v>0</v>
      </c>
      <c r="V212" s="10">
        <f t="shared" si="91"/>
        <v>0</v>
      </c>
      <c r="Y212" s="10">
        <f t="shared" si="92"/>
        <v>0</v>
      </c>
      <c r="Z212" s="10">
        <f t="shared" si="93"/>
        <v>0</v>
      </c>
      <c r="AA212" s="10">
        <f t="shared" si="94"/>
        <v>0</v>
      </c>
      <c r="AB212" s="10">
        <f t="shared" si="95"/>
        <v>0</v>
      </c>
      <c r="AC212" s="10">
        <f t="shared" si="96"/>
        <v>0</v>
      </c>
      <c r="AD212" s="10">
        <f t="shared" si="97"/>
        <v>0</v>
      </c>
      <c r="AE212" s="10">
        <f t="shared" si="98"/>
        <v>-39.156183299936814</v>
      </c>
      <c r="AF212" s="10">
        <f t="shared" si="99"/>
        <v>-40.056183299936812</v>
      </c>
      <c r="AG212" s="10">
        <f t="shared" si="100"/>
        <v>1.5509166893100232</v>
      </c>
      <c r="AH212" s="10">
        <f t="shared" si="101"/>
        <v>-15.021727951964415</v>
      </c>
      <c r="AI212" s="10">
        <f t="shared" si="102"/>
        <v>3.2778421087796463</v>
      </c>
      <c r="AJ212" s="10">
        <f t="shared" si="105"/>
        <v>43.222472266088872</v>
      </c>
      <c r="AK212" s="10">
        <f t="shared" si="103"/>
        <v>-1</v>
      </c>
      <c r="AL212" s="10">
        <f t="shared" si="104"/>
        <v>0</v>
      </c>
      <c r="AN212" s="10">
        <f t="shared" si="78"/>
        <v>-1</v>
      </c>
      <c r="AO212" s="10">
        <f t="shared" si="79"/>
        <v>0</v>
      </c>
      <c r="AP212" s="10">
        <f t="shared" si="80"/>
        <v>0</v>
      </c>
    </row>
    <row r="213" spans="2:42" x14ac:dyDescent="0.25">
      <c r="B213" s="10">
        <f t="shared" si="81"/>
        <v>189</v>
      </c>
      <c r="C213">
        <v>0.4304195044824155</v>
      </c>
      <c r="D213">
        <v>1.2600594345713034</v>
      </c>
      <c r="E213">
        <v>0.9499990483163856</v>
      </c>
      <c r="F213">
        <v>0.37417521525640041</v>
      </c>
      <c r="G213">
        <v>-0.22860263015900273</v>
      </c>
      <c r="H213">
        <v>0.75197607348857087</v>
      </c>
      <c r="K213" s="10">
        <f>1</f>
        <v>1</v>
      </c>
      <c r="L213" s="10">
        <f t="shared" si="82"/>
        <v>7.2874627953061353</v>
      </c>
      <c r="M213" s="10">
        <f t="shared" si="83"/>
        <v>11.44640947427505</v>
      </c>
      <c r="N213" s="10">
        <f t="shared" si="84"/>
        <v>4.282842436972909</v>
      </c>
      <c r="O213" s="10">
        <f t="shared" si="85"/>
        <v>9.6971930114654725</v>
      </c>
      <c r="P213" s="10">
        <f t="shared" si="86"/>
        <v>2.3224868939391516</v>
      </c>
      <c r="Q213" s="10">
        <f t="shared" si="87"/>
        <v>-1</v>
      </c>
      <c r="S213" s="10">
        <f t="shared" si="88"/>
        <v>-245.47790233160993</v>
      </c>
      <c r="T213" s="10">
        <f t="shared" si="89"/>
        <v>-1</v>
      </c>
      <c r="U213" s="10">
        <f t="shared" si="90"/>
        <v>0</v>
      </c>
      <c r="V213" s="10">
        <f t="shared" si="91"/>
        <v>0</v>
      </c>
      <c r="Y213" s="10">
        <f t="shared" si="92"/>
        <v>0</v>
      </c>
      <c r="Z213" s="10">
        <f t="shared" si="93"/>
        <v>0</v>
      </c>
      <c r="AA213" s="10">
        <f t="shared" si="94"/>
        <v>0</v>
      </c>
      <c r="AB213" s="10">
        <f t="shared" si="95"/>
        <v>0</v>
      </c>
      <c r="AC213" s="10">
        <f t="shared" si="96"/>
        <v>0</v>
      </c>
      <c r="AD213" s="10">
        <f t="shared" si="97"/>
        <v>0</v>
      </c>
      <c r="AE213" s="10">
        <f t="shared" si="98"/>
        <v>-39.156183299936814</v>
      </c>
      <c r="AF213" s="10">
        <f t="shared" si="99"/>
        <v>-40.056183299936812</v>
      </c>
      <c r="AG213" s="10">
        <f t="shared" si="100"/>
        <v>1.5509166893100232</v>
      </c>
      <c r="AH213" s="10">
        <f t="shared" si="101"/>
        <v>-15.021727951964415</v>
      </c>
      <c r="AI213" s="10">
        <f t="shared" si="102"/>
        <v>3.2778421087796463</v>
      </c>
      <c r="AJ213" s="10">
        <f t="shared" si="105"/>
        <v>43.222472266088872</v>
      </c>
      <c r="AK213" s="10">
        <f t="shared" si="103"/>
        <v>-1</v>
      </c>
      <c r="AL213" s="10">
        <f t="shared" si="104"/>
        <v>0</v>
      </c>
      <c r="AN213" s="10">
        <f t="shared" si="78"/>
        <v>1</v>
      </c>
      <c r="AO213" s="10">
        <f t="shared" si="79"/>
        <v>0</v>
      </c>
      <c r="AP213" s="10">
        <f t="shared" si="80"/>
        <v>0</v>
      </c>
    </row>
    <row r="214" spans="2:42" x14ac:dyDescent="0.25">
      <c r="B214" s="10">
        <f t="shared" si="81"/>
        <v>190</v>
      </c>
      <c r="C214">
        <v>0.82263113654335029</v>
      </c>
      <c r="D214">
        <v>-1.0308281161997002</v>
      </c>
      <c r="E214">
        <v>-0.1907528712763451</v>
      </c>
      <c r="F214">
        <v>-0.14953684512875043</v>
      </c>
      <c r="G214">
        <v>0.81237203630735166</v>
      </c>
      <c r="H214">
        <v>0.12033448286385692</v>
      </c>
      <c r="K214" s="10">
        <f>1</f>
        <v>1</v>
      </c>
      <c r="L214" s="10">
        <f t="shared" si="82"/>
        <v>6.1159309409748221</v>
      </c>
      <c r="M214" s="10">
        <f t="shared" si="83"/>
        <v>8.6881436838291961</v>
      </c>
      <c r="N214" s="10">
        <f t="shared" si="84"/>
        <v>1.237848442121479</v>
      </c>
      <c r="O214" s="10">
        <f t="shared" si="85"/>
        <v>11.063738194961056</v>
      </c>
      <c r="P214" s="10">
        <f t="shared" si="86"/>
        <v>9.2170209672035153</v>
      </c>
      <c r="Q214" s="10">
        <f t="shared" si="87"/>
        <v>1</v>
      </c>
      <c r="S214" s="10">
        <f t="shared" si="88"/>
        <v>145.39055044055371</v>
      </c>
      <c r="T214" s="10">
        <f t="shared" si="89"/>
        <v>1</v>
      </c>
      <c r="U214" s="10">
        <f t="shared" si="90"/>
        <v>0</v>
      </c>
      <c r="V214" s="10">
        <f t="shared" si="91"/>
        <v>0</v>
      </c>
      <c r="Y214" s="10">
        <f t="shared" si="92"/>
        <v>0</v>
      </c>
      <c r="Z214" s="10">
        <f t="shared" si="93"/>
        <v>0</v>
      </c>
      <c r="AA214" s="10">
        <f t="shared" si="94"/>
        <v>0</v>
      </c>
      <c r="AB214" s="10">
        <f t="shared" si="95"/>
        <v>0</v>
      </c>
      <c r="AC214" s="10">
        <f t="shared" si="96"/>
        <v>0</v>
      </c>
      <c r="AD214" s="10">
        <f t="shared" si="97"/>
        <v>0</v>
      </c>
      <c r="AE214" s="10">
        <f t="shared" si="98"/>
        <v>-39.156183299936814</v>
      </c>
      <c r="AF214" s="10">
        <f t="shared" si="99"/>
        <v>-40.056183299936812</v>
      </c>
      <c r="AG214" s="10">
        <f t="shared" si="100"/>
        <v>1.5509166893100232</v>
      </c>
      <c r="AH214" s="10">
        <f t="shared" si="101"/>
        <v>-15.021727951964415</v>
      </c>
      <c r="AI214" s="10">
        <f t="shared" si="102"/>
        <v>3.2778421087796463</v>
      </c>
      <c r="AJ214" s="10">
        <f t="shared" si="105"/>
        <v>43.222472266088872</v>
      </c>
      <c r="AK214" s="10">
        <f t="shared" si="103"/>
        <v>1</v>
      </c>
      <c r="AL214" s="10">
        <f t="shared" si="104"/>
        <v>0</v>
      </c>
      <c r="AN214" s="10">
        <f t="shared" si="78"/>
        <v>-1</v>
      </c>
      <c r="AO214" s="10">
        <f t="shared" si="79"/>
        <v>0</v>
      </c>
      <c r="AP214" s="10">
        <f t="shared" si="80"/>
        <v>0</v>
      </c>
    </row>
    <row r="215" spans="2:42" x14ac:dyDescent="0.25">
      <c r="B215" s="10">
        <f t="shared" si="81"/>
        <v>191</v>
      </c>
      <c r="C215">
        <v>-0.46270770326373167</v>
      </c>
      <c r="D215">
        <v>-1.1123233889520634</v>
      </c>
      <c r="E215">
        <v>9.8267491921433248E-2</v>
      </c>
      <c r="F215">
        <v>-0.9619589036446996</v>
      </c>
      <c r="G215">
        <v>-1.0829808161361143</v>
      </c>
      <c r="H215">
        <v>0.51008636738181712</v>
      </c>
      <c r="K215" s="10">
        <f>1</f>
        <v>1</v>
      </c>
      <c r="L215" s="10">
        <f t="shared" si="82"/>
        <v>5.8019338805634737</v>
      </c>
      <c r="M215" s="10">
        <f t="shared" si="83"/>
        <v>7.5004505441060685</v>
      </c>
      <c r="N215" s="10">
        <f t="shared" si="84"/>
        <v>2.8661664655662715</v>
      </c>
      <c r="O215" s="10">
        <f t="shared" si="85"/>
        <v>7.4748154482393954</v>
      </c>
      <c r="P215" s="10">
        <f t="shared" si="86"/>
        <v>0.90140881190727318</v>
      </c>
      <c r="Q215" s="10">
        <f t="shared" si="87"/>
        <v>-1</v>
      </c>
      <c r="S215" s="10">
        <f t="shared" si="88"/>
        <v>-239.5193270938164</v>
      </c>
      <c r="T215" s="10">
        <f t="shared" si="89"/>
        <v>-1</v>
      </c>
      <c r="U215" s="10">
        <f t="shared" si="90"/>
        <v>0</v>
      </c>
      <c r="V215" s="10">
        <f t="shared" si="91"/>
        <v>0</v>
      </c>
      <c r="Y215" s="10">
        <f t="shared" si="92"/>
        <v>0</v>
      </c>
      <c r="Z215" s="10">
        <f t="shared" si="93"/>
        <v>0</v>
      </c>
      <c r="AA215" s="10">
        <f t="shared" si="94"/>
        <v>0</v>
      </c>
      <c r="AB215" s="10">
        <f t="shared" si="95"/>
        <v>0</v>
      </c>
      <c r="AC215" s="10">
        <f t="shared" si="96"/>
        <v>0</v>
      </c>
      <c r="AD215" s="10">
        <f t="shared" si="97"/>
        <v>0</v>
      </c>
      <c r="AE215" s="10">
        <f t="shared" si="98"/>
        <v>-39.156183299936814</v>
      </c>
      <c r="AF215" s="10">
        <f t="shared" si="99"/>
        <v>-40.056183299936812</v>
      </c>
      <c r="AG215" s="10">
        <f t="shared" si="100"/>
        <v>1.5509166893100232</v>
      </c>
      <c r="AH215" s="10">
        <f t="shared" si="101"/>
        <v>-15.021727951964415</v>
      </c>
      <c r="AI215" s="10">
        <f t="shared" si="102"/>
        <v>3.2778421087796463</v>
      </c>
      <c r="AJ215" s="10">
        <f t="shared" si="105"/>
        <v>43.222472266088872</v>
      </c>
      <c r="AK215" s="10">
        <f t="shared" si="103"/>
        <v>-1</v>
      </c>
      <c r="AL215" s="10">
        <f t="shared" si="104"/>
        <v>0</v>
      </c>
      <c r="AN215" s="10">
        <f t="shared" si="78"/>
        <v>-1</v>
      </c>
      <c r="AO215" s="10">
        <f t="shared" si="79"/>
        <v>1</v>
      </c>
      <c r="AP215" s="10">
        <f t="shared" si="80"/>
        <v>1</v>
      </c>
    </row>
    <row r="216" spans="2:42" x14ac:dyDescent="0.25">
      <c r="B216" s="10">
        <f t="shared" si="81"/>
        <v>192</v>
      </c>
      <c r="C216">
        <v>1.6575177141930908</v>
      </c>
      <c r="D216">
        <v>1.5303930922527798</v>
      </c>
      <c r="E216">
        <v>-0.20588799998222385</v>
      </c>
      <c r="F216">
        <v>-1.642592906136997</v>
      </c>
      <c r="G216">
        <v>-0.67331370701140258</v>
      </c>
      <c r="H216">
        <v>0.15668202764976957</v>
      </c>
      <c r="K216" s="10">
        <f>1</f>
        <v>1</v>
      </c>
      <c r="L216" s="10">
        <f t="shared" si="82"/>
        <v>8.0446521930989832</v>
      </c>
      <c r="M216" s="10">
        <f t="shared" si="83"/>
        <v>14.604973476493383</v>
      </c>
      <c r="N216" s="10">
        <f t="shared" si="84"/>
        <v>1.2028838790656942</v>
      </c>
      <c r="O216" s="10">
        <f t="shared" si="85"/>
        <v>7.6145403846598008</v>
      </c>
      <c r="P216" s="10">
        <f t="shared" si="86"/>
        <v>5.7848497671546939</v>
      </c>
      <c r="Q216" s="10">
        <f t="shared" si="87"/>
        <v>1</v>
      </c>
      <c r="S216" s="10">
        <f t="shared" si="88"/>
        <v>-81.817773672277582</v>
      </c>
      <c r="T216" s="10">
        <f t="shared" si="89"/>
        <v>-1</v>
      </c>
      <c r="U216" s="10">
        <f t="shared" si="90"/>
        <v>1</v>
      </c>
      <c r="V216" s="10">
        <f t="shared" si="91"/>
        <v>1</v>
      </c>
      <c r="Y216" s="10">
        <f t="shared" si="92"/>
        <v>0.8947752311777093</v>
      </c>
      <c r="Z216" s="10">
        <f t="shared" si="93"/>
        <v>7.1981555258244088</v>
      </c>
      <c r="AA216" s="10">
        <f t="shared" si="94"/>
        <v>13.06816851877368</v>
      </c>
      <c r="AB216" s="10">
        <f t="shared" si="95"/>
        <v>1.0763107009709463</v>
      </c>
      <c r="AC216" s="10">
        <f t="shared" si="96"/>
        <v>6.8133021329959771</v>
      </c>
      <c r="AD216" s="10">
        <f t="shared" si="97"/>
        <v>5.1761402877341594</v>
      </c>
      <c r="AE216" s="10">
        <f t="shared" si="98"/>
        <v>-31.958027774112406</v>
      </c>
      <c r="AF216" s="10">
        <f t="shared" si="99"/>
        <v>-32.858027774112401</v>
      </c>
      <c r="AG216" s="10">
        <f t="shared" si="100"/>
        <v>14.619085208083703</v>
      </c>
      <c r="AH216" s="10">
        <f t="shared" si="101"/>
        <v>-13.945417250993469</v>
      </c>
      <c r="AI216" s="10">
        <f t="shared" si="102"/>
        <v>10.091144241775623</v>
      </c>
      <c r="AJ216" s="10">
        <f t="shared" si="105"/>
        <v>43.222472266088872</v>
      </c>
      <c r="AK216" s="10">
        <f t="shared" si="103"/>
        <v>-1</v>
      </c>
      <c r="AL216" s="10">
        <f t="shared" si="104"/>
        <v>1</v>
      </c>
      <c r="AN216" s="10">
        <f t="shared" si="78"/>
        <v>1</v>
      </c>
      <c r="AO216" s="10">
        <f t="shared" si="79"/>
        <v>0</v>
      </c>
      <c r="AP216" s="10">
        <f t="shared" si="80"/>
        <v>0</v>
      </c>
    </row>
    <row r="217" spans="2:42" x14ac:dyDescent="0.25">
      <c r="B217" s="10">
        <f t="shared" si="81"/>
        <v>193</v>
      </c>
      <c r="C217">
        <v>1.2370446711429395</v>
      </c>
      <c r="D217">
        <v>-1.0153348739549983</v>
      </c>
      <c r="E217">
        <v>0.15611476555932313</v>
      </c>
      <c r="F217">
        <v>1.9527942640706897</v>
      </c>
      <c r="G217">
        <v>0.43874251787201501</v>
      </c>
      <c r="H217">
        <v>0.3686330759605701</v>
      </c>
      <c r="K217" s="10">
        <f>1</f>
        <v>1</v>
      </c>
      <c r="L217" s="10">
        <f t="shared" si="82"/>
        <v>7.0732923511919648</v>
      </c>
      <c r="M217" s="10">
        <f t="shared" si="83"/>
        <v>8.7239355463188115</v>
      </c>
      <c r="N217" s="10">
        <f t="shared" si="84"/>
        <v>2.0391680473813314</v>
      </c>
      <c r="O217" s="10">
        <f t="shared" si="85"/>
        <v>15.920458614073883</v>
      </c>
      <c r="P217" s="10">
        <f t="shared" si="86"/>
        <v>8.3538771439362147</v>
      </c>
      <c r="Q217" s="10">
        <f t="shared" si="87"/>
        <v>1</v>
      </c>
      <c r="S217" s="10">
        <f t="shared" si="88"/>
        <v>356.45731096977943</v>
      </c>
      <c r="T217" s="10">
        <f t="shared" si="89"/>
        <v>1</v>
      </c>
      <c r="U217" s="10">
        <f t="shared" si="90"/>
        <v>0</v>
      </c>
      <c r="V217" s="10">
        <f t="shared" si="91"/>
        <v>0</v>
      </c>
      <c r="Y217" s="10">
        <f t="shared" si="92"/>
        <v>0</v>
      </c>
      <c r="Z217" s="10">
        <f t="shared" si="93"/>
        <v>0</v>
      </c>
      <c r="AA217" s="10">
        <f t="shared" si="94"/>
        <v>0</v>
      </c>
      <c r="AB217" s="10">
        <f t="shared" si="95"/>
        <v>0</v>
      </c>
      <c r="AC217" s="10">
        <f t="shared" si="96"/>
        <v>0</v>
      </c>
      <c r="AD217" s="10">
        <f t="shared" si="97"/>
        <v>0</v>
      </c>
      <c r="AE217" s="10">
        <f t="shared" si="98"/>
        <v>-31.958027774112406</v>
      </c>
      <c r="AF217" s="10">
        <f t="shared" si="99"/>
        <v>-32.858027774112401</v>
      </c>
      <c r="AG217" s="10">
        <f t="shared" si="100"/>
        <v>14.619085208083703</v>
      </c>
      <c r="AH217" s="10">
        <f t="shared" si="101"/>
        <v>-13.945417250993469</v>
      </c>
      <c r="AI217" s="10">
        <f t="shared" si="102"/>
        <v>10.091144241775623</v>
      </c>
      <c r="AJ217" s="10">
        <f t="shared" si="105"/>
        <v>48.398612553823028</v>
      </c>
      <c r="AK217" s="10">
        <f t="shared" si="103"/>
        <v>1</v>
      </c>
      <c r="AL217" s="10">
        <f t="shared" si="104"/>
        <v>0</v>
      </c>
      <c r="AN217" s="10">
        <f t="shared" ref="AN217:AN223" si="106">IF(SUMPRODUCT(K218:P218,$AN$18:$AS$18)&gt;=0,1,-1)</f>
        <v>-1</v>
      </c>
      <c r="AO217" s="10">
        <f t="shared" ref="AO217:AO223" si="107">(Q218-AN217)/2</f>
        <v>0</v>
      </c>
      <c r="AP217" s="10">
        <f t="shared" ref="AP217:AP223" si="108">IF(AO217&lt;&gt;0,1,0)</f>
        <v>0</v>
      </c>
    </row>
    <row r="218" spans="2:42" x14ac:dyDescent="0.25">
      <c r="B218" s="10">
        <f t="shared" ref="B218:B224" si="109">B217+1</f>
        <v>194</v>
      </c>
      <c r="C218">
        <v>0.7933658707770519</v>
      </c>
      <c r="D218">
        <v>-0.43277054828649852</v>
      </c>
      <c r="E218">
        <v>-3.5227276384830475</v>
      </c>
      <c r="F218">
        <v>0.22797394194640219</v>
      </c>
      <c r="G218">
        <v>-2.8269278118386865</v>
      </c>
      <c r="H218">
        <v>0.98007141331217384</v>
      </c>
      <c r="K218" s="10">
        <f>1</f>
        <v>1</v>
      </c>
      <c r="L218" s="10">
        <f t="shared" ref="L218:L224" si="110">IF(Q218=1, C218*$C$7+$C$2,C218*$C$13+$C$8)</f>
        <v>7.8911475973760217</v>
      </c>
      <c r="M218" s="10">
        <f t="shared" ref="M218:M224" si="111">IF(Q218=1, D218*$C$7+$C$3,D218*$C$13+$C$10)</f>
        <v>8.6307435025433357</v>
      </c>
      <c r="N218" s="10">
        <f t="shared" ref="N218:N224" si="112">IF(Q218=1, E218*$C$7+$C$4,E218*$C$13+$C$12)</f>
        <v>-3.1565959356964202</v>
      </c>
      <c r="O218" s="10">
        <f t="shared" ref="O218:O224" si="113">IF(Q218=1, F218*$C$7+$C$5,F218*$C$13+$C$11)</f>
        <v>9.4540180001227121</v>
      </c>
      <c r="P218" s="10">
        <f t="shared" ref="P218:P224" si="114">IF(Q218=1, G218*$C$7+$C$6,G218*$C$13+$C$12)</f>
        <v>-1.9992795395678664</v>
      </c>
      <c r="Q218" s="10">
        <f t="shared" ref="Q218:Q224" si="115">IF(H218&lt;$C$14,1,-1)</f>
        <v>-1</v>
      </c>
      <c r="S218" s="10">
        <f t="shared" ref="S218:S224" si="116">SUMPRODUCT(K218:P218,AE217:AJ217)</f>
        <v>-122.41244912819097</v>
      </c>
      <c r="T218" s="10">
        <f t="shared" ref="T218:T224" si="117">IF(S218&gt;=0,1,-1)</f>
        <v>-1</v>
      </c>
      <c r="U218" s="10">
        <f t="shared" ref="U218:U224" si="118">(Q218-T218)/2</f>
        <v>0</v>
      </c>
      <c r="V218" s="10">
        <f t="shared" ref="V218:V224" si="119">IF(U218&lt;&gt;0,1,0)</f>
        <v>0</v>
      </c>
      <c r="Y218" s="10">
        <f t="shared" ref="Y218:Y224" si="120">IF(U218=0,0,$C$15*(U218)*K218)</f>
        <v>0</v>
      </c>
      <c r="Z218" s="10">
        <f t="shared" ref="Z218:Z224" si="121">IF(U218=0,0,$C$15*(U218)*L218)</f>
        <v>0</v>
      </c>
      <c r="AA218" s="10">
        <f t="shared" ref="AA218:AA224" si="122">IF(U218=0,0,$C$15*(U218)*M218)</f>
        <v>0</v>
      </c>
      <c r="AB218" s="10">
        <f t="shared" ref="AB218:AB224" si="123">IF(U218=0,0,$C$15*(U218)*N218)</f>
        <v>0</v>
      </c>
      <c r="AC218" s="10">
        <f t="shared" ref="AC218:AC223" si="124">IF(U218=0,0,$C$15*(U218)*O218)</f>
        <v>0</v>
      </c>
      <c r="AD218" s="10">
        <f t="shared" ref="AD218:AD224" si="125">IF(U218=0,0,$C$15*(U218)*P218)</f>
        <v>0</v>
      </c>
      <c r="AE218" s="10">
        <f t="shared" ref="AE218:AE224" si="126">IF(U218=0,AE217,AE217+$C$15*(U218)*L218)</f>
        <v>-31.958027774112406</v>
      </c>
      <c r="AF218" s="10">
        <f t="shared" ref="AF218:AF224" si="127">IF(U218=0,AF217,AF217+$C$15*(U218)*L218)</f>
        <v>-32.858027774112401</v>
      </c>
      <c r="AG218" s="10">
        <f t="shared" ref="AG218:AG224" si="128">IF(U218=0,AG217,AG217+$C$15*(U218)*M218)</f>
        <v>14.619085208083703</v>
      </c>
      <c r="AH218" s="10">
        <f t="shared" ref="AH218:AH224" si="129">IF(U218=0,AH217,AH217+$C$15*(U218)*N218)</f>
        <v>-13.945417250993469</v>
      </c>
      <c r="AI218" s="10">
        <f t="shared" ref="AI218:AI224" si="130">IF(U218=0,AI217,AI217+$C$15*(U218)*O218)</f>
        <v>10.091144241775623</v>
      </c>
      <c r="AJ218" s="10">
        <f t="shared" si="105"/>
        <v>48.398612553823028</v>
      </c>
      <c r="AK218" s="10">
        <f t="shared" ref="AK218:AK224" si="131">IF(SUMPRODUCT(K218:P218,$AW$33:$BB$33)&gt;=0,1,-1)</f>
        <v>-1</v>
      </c>
      <c r="AL218" s="10">
        <f t="shared" ref="AL218:AL224" si="132">IF(Q218=AK218,0,1)</f>
        <v>0</v>
      </c>
      <c r="AN218" s="10">
        <f t="shared" si="106"/>
        <v>-1</v>
      </c>
      <c r="AO218" s="10">
        <f t="shared" si="107"/>
        <v>0</v>
      </c>
      <c r="AP218" s="10">
        <f t="shared" si="108"/>
        <v>0</v>
      </c>
    </row>
    <row r="219" spans="2:42" x14ac:dyDescent="0.25">
      <c r="B219" s="10">
        <f t="shared" si="109"/>
        <v>195</v>
      </c>
      <c r="C219">
        <v>0.98854570751427673</v>
      </c>
      <c r="D219">
        <v>0.69214593167998828</v>
      </c>
      <c r="E219">
        <v>-0.53717940318165347</v>
      </c>
      <c r="F219">
        <v>0.25025201466633007</v>
      </c>
      <c r="G219">
        <v>-1.879006958915852</v>
      </c>
      <c r="H219">
        <v>0.79607531968138678</v>
      </c>
      <c r="K219" s="10">
        <f>1</f>
        <v>1</v>
      </c>
      <c r="L219" s="10">
        <f t="shared" si="110"/>
        <v>8.2157881284595966</v>
      </c>
      <c r="M219" s="10">
        <f t="shared" si="111"/>
        <v>10.501805030136754</v>
      </c>
      <c r="N219" s="10">
        <f t="shared" si="112"/>
        <v>1.8092344537857201</v>
      </c>
      <c r="O219" s="10">
        <f t="shared" si="113"/>
        <v>9.4910728797671347</v>
      </c>
      <c r="P219" s="10">
        <f t="shared" si="114"/>
        <v>-0.42261294191939669</v>
      </c>
      <c r="Q219" s="10">
        <f t="shared" si="115"/>
        <v>-1</v>
      </c>
      <c r="S219" s="10">
        <f t="shared" si="116"/>
        <v>-98.294463671177894</v>
      </c>
      <c r="T219" s="10">
        <f t="shared" si="117"/>
        <v>-1</v>
      </c>
      <c r="U219" s="10">
        <f t="shared" si="118"/>
        <v>0</v>
      </c>
      <c r="V219" s="10">
        <f t="shared" si="119"/>
        <v>0</v>
      </c>
      <c r="Y219" s="10">
        <f t="shared" si="120"/>
        <v>0</v>
      </c>
      <c r="Z219" s="10">
        <f t="shared" si="121"/>
        <v>0</v>
      </c>
      <c r="AA219" s="10">
        <f t="shared" si="122"/>
        <v>0</v>
      </c>
      <c r="AB219" s="10">
        <f t="shared" si="123"/>
        <v>0</v>
      </c>
      <c r="AC219" s="10">
        <f t="shared" si="124"/>
        <v>0</v>
      </c>
      <c r="AD219" s="10">
        <f t="shared" si="125"/>
        <v>0</v>
      </c>
      <c r="AE219" s="10">
        <f t="shared" si="126"/>
        <v>-31.958027774112406</v>
      </c>
      <c r="AF219" s="10">
        <f t="shared" si="127"/>
        <v>-32.858027774112401</v>
      </c>
      <c r="AG219" s="10">
        <f t="shared" si="128"/>
        <v>14.619085208083703</v>
      </c>
      <c r="AH219" s="10">
        <f t="shared" si="129"/>
        <v>-13.945417250993469</v>
      </c>
      <c r="AI219" s="10">
        <f t="shared" si="130"/>
        <v>10.091144241775623</v>
      </c>
      <c r="AJ219" s="10">
        <f t="shared" ref="AJ219:AJ224" si="133">IF(U218=0,AJ218,AJ218+$C$15*(U218)*P218)</f>
        <v>48.398612553823028</v>
      </c>
      <c r="AK219" s="10">
        <f t="shared" si="131"/>
        <v>-1</v>
      </c>
      <c r="AL219" s="10">
        <f t="shared" si="132"/>
        <v>0</v>
      </c>
      <c r="AN219" s="10">
        <f t="shared" si="106"/>
        <v>-1</v>
      </c>
      <c r="AO219" s="10">
        <f t="shared" si="107"/>
        <v>0</v>
      </c>
      <c r="AP219" s="10">
        <f t="shared" si="108"/>
        <v>0</v>
      </c>
    </row>
    <row r="220" spans="2:42" x14ac:dyDescent="0.25">
      <c r="B220" s="10">
        <f t="shared" si="109"/>
        <v>196</v>
      </c>
      <c r="C220">
        <v>1.1777433428505901</v>
      </c>
      <c r="D220">
        <v>1.2464715837268159</v>
      </c>
      <c r="E220">
        <v>0.43604927668638993</v>
      </c>
      <c r="F220">
        <v>1.168759808933828</v>
      </c>
      <c r="G220">
        <v>-0.80791096479515545</v>
      </c>
      <c r="H220">
        <v>0.72103030487990971</v>
      </c>
      <c r="K220" s="10">
        <f>1</f>
        <v>1</v>
      </c>
      <c r="L220" s="10">
        <f t="shared" si="110"/>
        <v>8.5304785280526136</v>
      </c>
      <c r="M220" s="10">
        <f t="shared" si="111"/>
        <v>11.423808947559898</v>
      </c>
      <c r="N220" s="10">
        <f t="shared" si="112"/>
        <v>3.427995288817558</v>
      </c>
      <c r="O220" s="10">
        <f t="shared" si="113"/>
        <v>11.018817052116539</v>
      </c>
      <c r="P220" s="10">
        <f t="shared" si="114"/>
        <v>1.3589295482558432</v>
      </c>
      <c r="Q220" s="10">
        <f t="shared" si="115"/>
        <v>-1</v>
      </c>
      <c r="S220" s="10">
        <f t="shared" si="116"/>
        <v>-16.089139466467017</v>
      </c>
      <c r="T220" s="10">
        <f t="shared" si="117"/>
        <v>-1</v>
      </c>
      <c r="U220" s="10">
        <f t="shared" si="118"/>
        <v>0</v>
      </c>
      <c r="V220" s="10">
        <f t="shared" si="119"/>
        <v>0</v>
      </c>
      <c r="Y220" s="10">
        <f t="shared" si="120"/>
        <v>0</v>
      </c>
      <c r="Z220" s="10">
        <f t="shared" si="121"/>
        <v>0</v>
      </c>
      <c r="AA220" s="10">
        <f t="shared" si="122"/>
        <v>0</v>
      </c>
      <c r="AB220" s="10">
        <f t="shared" si="123"/>
        <v>0</v>
      </c>
      <c r="AC220" s="10">
        <f t="shared" si="124"/>
        <v>0</v>
      </c>
      <c r="AD220" s="10">
        <f t="shared" si="125"/>
        <v>0</v>
      </c>
      <c r="AE220" s="10">
        <f t="shared" si="126"/>
        <v>-31.958027774112406</v>
      </c>
      <c r="AF220" s="10">
        <f t="shared" si="127"/>
        <v>-32.858027774112401</v>
      </c>
      <c r="AG220" s="10">
        <f t="shared" si="128"/>
        <v>14.619085208083703</v>
      </c>
      <c r="AH220" s="10">
        <f t="shared" si="129"/>
        <v>-13.945417250993469</v>
      </c>
      <c r="AI220" s="10">
        <f t="shared" si="130"/>
        <v>10.091144241775623</v>
      </c>
      <c r="AJ220" s="10">
        <f t="shared" si="133"/>
        <v>48.398612553823028</v>
      </c>
      <c r="AK220" s="10">
        <f t="shared" si="131"/>
        <v>-1</v>
      </c>
      <c r="AL220" s="10">
        <f t="shared" si="132"/>
        <v>0</v>
      </c>
      <c r="AN220" s="10">
        <f t="shared" si="106"/>
        <v>1</v>
      </c>
      <c r="AO220" s="10">
        <f t="shared" si="107"/>
        <v>0</v>
      </c>
      <c r="AP220" s="10">
        <f t="shared" si="108"/>
        <v>0</v>
      </c>
    </row>
    <row r="221" spans="2:42" x14ac:dyDescent="0.25">
      <c r="B221" s="10">
        <f t="shared" si="109"/>
        <v>197</v>
      </c>
      <c r="C221">
        <v>-1.1006113709299825</v>
      </c>
      <c r="D221">
        <v>0.51111328502884135</v>
      </c>
      <c r="E221">
        <v>-0.7616949915245641</v>
      </c>
      <c r="F221">
        <v>1.069872723746812</v>
      </c>
      <c r="G221">
        <v>-0.57594320423959289</v>
      </c>
      <c r="H221">
        <v>0.35602893154698323</v>
      </c>
      <c r="K221" s="10">
        <f>1</f>
        <v>1</v>
      </c>
      <c r="L221" s="10">
        <f t="shared" si="110"/>
        <v>1.6729337765041996</v>
      </c>
      <c r="M221" s="10">
        <f t="shared" si="111"/>
        <v>12.250274432716703</v>
      </c>
      <c r="N221" s="10">
        <f t="shared" si="112"/>
        <v>-8.1118984754018575E-2</v>
      </c>
      <c r="O221" s="10">
        <f t="shared" si="113"/>
        <v>13.880768931225392</v>
      </c>
      <c r="P221" s="10">
        <f t="shared" si="114"/>
        <v>6.0097911700392324</v>
      </c>
      <c r="Q221" s="10">
        <f t="shared" si="115"/>
        <v>1</v>
      </c>
      <c r="S221" s="10">
        <f t="shared" si="116"/>
        <v>524.23010741679695</v>
      </c>
      <c r="T221" s="10">
        <f t="shared" si="117"/>
        <v>1</v>
      </c>
      <c r="U221" s="10">
        <f t="shared" si="118"/>
        <v>0</v>
      </c>
      <c r="V221" s="10">
        <f t="shared" si="119"/>
        <v>0</v>
      </c>
      <c r="Y221" s="10">
        <f t="shared" si="120"/>
        <v>0</v>
      </c>
      <c r="Z221" s="10">
        <f t="shared" si="121"/>
        <v>0</v>
      </c>
      <c r="AA221" s="10">
        <f t="shared" si="122"/>
        <v>0</v>
      </c>
      <c r="AB221" s="10">
        <f t="shared" si="123"/>
        <v>0</v>
      </c>
      <c r="AC221" s="10">
        <f t="shared" si="124"/>
        <v>0</v>
      </c>
      <c r="AD221" s="10">
        <f t="shared" si="125"/>
        <v>0</v>
      </c>
      <c r="AE221" s="10">
        <f t="shared" si="126"/>
        <v>-31.958027774112406</v>
      </c>
      <c r="AF221" s="10">
        <f t="shared" si="127"/>
        <v>-32.858027774112401</v>
      </c>
      <c r="AG221" s="10">
        <f t="shared" si="128"/>
        <v>14.619085208083703</v>
      </c>
      <c r="AH221" s="10">
        <f t="shared" si="129"/>
        <v>-13.945417250993469</v>
      </c>
      <c r="AI221" s="10">
        <f t="shared" si="130"/>
        <v>10.091144241775623</v>
      </c>
      <c r="AJ221" s="10">
        <f t="shared" si="133"/>
        <v>48.398612553823028</v>
      </c>
      <c r="AK221" s="10">
        <f t="shared" si="131"/>
        <v>1</v>
      </c>
      <c r="AL221" s="10">
        <f t="shared" si="132"/>
        <v>0</v>
      </c>
      <c r="AN221" s="10">
        <f t="shared" si="106"/>
        <v>1</v>
      </c>
      <c r="AO221" s="10">
        <f t="shared" si="107"/>
        <v>0</v>
      </c>
      <c r="AP221" s="10">
        <f t="shared" si="108"/>
        <v>0</v>
      </c>
    </row>
    <row r="222" spans="2:42" x14ac:dyDescent="0.25">
      <c r="B222" s="10">
        <f t="shared" si="109"/>
        <v>198</v>
      </c>
      <c r="C222">
        <v>0.19597450773289893</v>
      </c>
      <c r="D222">
        <v>0.91910123956040479</v>
      </c>
      <c r="E222">
        <v>0.49868731366586871</v>
      </c>
      <c r="F222">
        <v>0.9070299711311236</v>
      </c>
      <c r="G222">
        <v>-1.1913198250113055</v>
      </c>
      <c r="H222">
        <v>0.1347697378460036</v>
      </c>
      <c r="K222" s="10">
        <f>1</f>
        <v>1</v>
      </c>
      <c r="L222" s="10">
        <f t="shared" si="110"/>
        <v>4.668254106627316</v>
      </c>
      <c r="M222" s="10">
        <f t="shared" si="111"/>
        <v>13.192791727378275</v>
      </c>
      <c r="N222" s="10">
        <f t="shared" si="112"/>
        <v>2.8305653121300476</v>
      </c>
      <c r="O222" s="10">
        <f t="shared" si="113"/>
        <v>13.504576181057548</v>
      </c>
      <c r="P222" s="10">
        <f t="shared" si="114"/>
        <v>4.5881729546836514</v>
      </c>
      <c r="Q222" s="10">
        <f t="shared" si="115"/>
        <v>1</v>
      </c>
      <c r="S222" s="10">
        <f t="shared" si="116"/>
        <v>326.38331252567832</v>
      </c>
      <c r="T222" s="10">
        <f t="shared" si="117"/>
        <v>1</v>
      </c>
      <c r="U222" s="10">
        <f t="shared" si="118"/>
        <v>0</v>
      </c>
      <c r="V222" s="10">
        <f t="shared" si="119"/>
        <v>0</v>
      </c>
      <c r="Y222" s="10">
        <f t="shared" si="120"/>
        <v>0</v>
      </c>
      <c r="Z222" s="10">
        <f t="shared" si="121"/>
        <v>0</v>
      </c>
      <c r="AA222" s="10">
        <f t="shared" si="122"/>
        <v>0</v>
      </c>
      <c r="AB222" s="10">
        <f t="shared" si="123"/>
        <v>0</v>
      </c>
      <c r="AC222" s="10">
        <f t="shared" si="124"/>
        <v>0</v>
      </c>
      <c r="AD222" s="10">
        <f t="shared" si="125"/>
        <v>0</v>
      </c>
      <c r="AE222" s="10">
        <f t="shared" si="126"/>
        <v>-31.958027774112406</v>
      </c>
      <c r="AF222" s="10">
        <f t="shared" si="127"/>
        <v>-32.858027774112401</v>
      </c>
      <c r="AG222" s="10">
        <f t="shared" si="128"/>
        <v>14.619085208083703</v>
      </c>
      <c r="AH222" s="10">
        <f t="shared" si="129"/>
        <v>-13.945417250993469</v>
      </c>
      <c r="AI222" s="10">
        <f t="shared" si="130"/>
        <v>10.091144241775623</v>
      </c>
      <c r="AJ222" s="10">
        <f t="shared" si="133"/>
        <v>48.398612553823028</v>
      </c>
      <c r="AK222" s="10">
        <f t="shared" si="131"/>
        <v>-1</v>
      </c>
      <c r="AL222" s="10">
        <f t="shared" si="132"/>
        <v>1</v>
      </c>
      <c r="AN222" s="10">
        <f t="shared" si="106"/>
        <v>1</v>
      </c>
      <c r="AO222" s="10">
        <f t="shared" si="107"/>
        <v>-1</v>
      </c>
      <c r="AP222" s="10">
        <f t="shared" si="108"/>
        <v>1</v>
      </c>
    </row>
    <row r="223" spans="2:42" x14ac:dyDescent="0.25">
      <c r="B223" s="10">
        <f t="shared" si="109"/>
        <v>199</v>
      </c>
      <c r="C223">
        <v>-2.2763015294913203</v>
      </c>
      <c r="D223">
        <v>1.7997399481828324</v>
      </c>
      <c r="E223">
        <v>0.42003648559330031</v>
      </c>
      <c r="F223">
        <v>2.8572685550898314</v>
      </c>
      <c r="G223">
        <v>1.2565146789711434</v>
      </c>
      <c r="H223">
        <v>0.50645466475417344</v>
      </c>
      <c r="K223" s="10">
        <f>1</f>
        <v>1</v>
      </c>
      <c r="L223" s="10">
        <f t="shared" si="110"/>
        <v>2.7854027021452543</v>
      </c>
      <c r="M223" s="10">
        <f t="shared" si="111"/>
        <v>12.344054289862132</v>
      </c>
      <c r="N223" s="10">
        <f t="shared" si="112"/>
        <v>3.401361384970258</v>
      </c>
      <c r="O223" s="10">
        <f t="shared" si="113"/>
        <v>13.827295557144412</v>
      </c>
      <c r="P223" s="10">
        <f t="shared" si="114"/>
        <v>4.7926666011110655</v>
      </c>
      <c r="Q223" s="10">
        <f t="shared" si="115"/>
        <v>-1</v>
      </c>
      <c r="S223" s="10">
        <f t="shared" si="116"/>
        <v>381.03615848621939</v>
      </c>
      <c r="T223" s="10">
        <f t="shared" si="117"/>
        <v>1</v>
      </c>
      <c r="U223" s="10">
        <f t="shared" si="118"/>
        <v>-1</v>
      </c>
      <c r="V223" s="10">
        <f t="shared" si="119"/>
        <v>1</v>
      </c>
      <c r="Y223" s="10">
        <f t="shared" si="120"/>
        <v>-0.8947752311777093</v>
      </c>
      <c r="Z223" s="10">
        <f t="shared" si="121"/>
        <v>-2.4923093467350359</v>
      </c>
      <c r="AA223" s="10">
        <f t="shared" si="122"/>
        <v>-11.045154030881584</v>
      </c>
      <c r="AB223" s="10">
        <f t="shared" si="123"/>
        <v>-3.043453919555696</v>
      </c>
      <c r="AC223" s="10">
        <f t="shared" si="124"/>
        <v>-12.372321578706403</v>
      </c>
      <c r="AD223" s="10">
        <f t="shared" si="125"/>
        <v>-4.2883593659668398</v>
      </c>
      <c r="AE223" s="10">
        <f t="shared" si="126"/>
        <v>-34.450337120847443</v>
      </c>
      <c r="AF223" s="10">
        <f t="shared" si="127"/>
        <v>-35.350337120847435</v>
      </c>
      <c r="AG223" s="10">
        <f t="shared" si="128"/>
        <v>3.5739311772021196</v>
      </c>
      <c r="AH223" s="10">
        <f t="shared" si="129"/>
        <v>-16.988871170549164</v>
      </c>
      <c r="AI223" s="10">
        <f t="shared" si="130"/>
        <v>-2.2811773369307797</v>
      </c>
      <c r="AJ223" s="10">
        <f t="shared" si="133"/>
        <v>48.398612553823028</v>
      </c>
      <c r="AK223" s="10">
        <f t="shared" si="131"/>
        <v>1</v>
      </c>
      <c r="AL223" s="10">
        <f t="shared" si="132"/>
        <v>1</v>
      </c>
      <c r="AN223" s="10">
        <f t="shared" si="106"/>
        <v>1</v>
      </c>
      <c r="AO223" s="10">
        <f t="shared" si="107"/>
        <v>0</v>
      </c>
      <c r="AP223" s="10">
        <f t="shared" si="108"/>
        <v>0</v>
      </c>
    </row>
    <row r="224" spans="2:42" x14ac:dyDescent="0.25">
      <c r="B224" s="10">
        <f t="shared" si="109"/>
        <v>200</v>
      </c>
      <c r="C224">
        <v>-0.24449377633573022</v>
      </c>
      <c r="D224">
        <v>-1.6660396795487031</v>
      </c>
      <c r="E224">
        <v>0.8316783350892365</v>
      </c>
      <c r="F224">
        <v>-0.15015530152595602</v>
      </c>
      <c r="G224">
        <v>5.2079940360272303E-2</v>
      </c>
      <c r="H224">
        <v>0.48994415112765893</v>
      </c>
      <c r="K224" s="10">
        <f>1</f>
        <v>1</v>
      </c>
      <c r="L224" s="10">
        <f t="shared" si="110"/>
        <v>3.6507020664911112</v>
      </c>
      <c r="M224" s="10">
        <f t="shared" si="111"/>
        <v>7.2207035852290966</v>
      </c>
      <c r="N224" s="10">
        <f t="shared" si="112"/>
        <v>3.5998277209158589</v>
      </c>
      <c r="O224" s="10">
        <f t="shared" si="113"/>
        <v>11.062309461970571</v>
      </c>
      <c r="P224" s="10">
        <f t="shared" si="114"/>
        <v>7.4606248739723364</v>
      </c>
      <c r="Q224" s="10">
        <f t="shared" si="115"/>
        <v>1</v>
      </c>
      <c r="S224" s="10">
        <f t="shared" si="116"/>
        <v>136.99420542473135</v>
      </c>
      <c r="T224" s="10">
        <f t="shared" si="117"/>
        <v>1</v>
      </c>
      <c r="U224" s="10">
        <f t="shared" si="118"/>
        <v>0</v>
      </c>
      <c r="V224" s="10">
        <f t="shared" si="119"/>
        <v>0</v>
      </c>
      <c r="X224" s="10">
        <f>SUM(V205:V224)</f>
        <v>3</v>
      </c>
      <c r="Y224" s="10">
        <f t="shared" si="120"/>
        <v>0</v>
      </c>
      <c r="Z224" s="10">
        <f t="shared" si="121"/>
        <v>0</v>
      </c>
      <c r="AA224" s="10">
        <f t="shared" si="122"/>
        <v>0</v>
      </c>
      <c r="AB224" s="10">
        <f t="shared" si="123"/>
        <v>0</v>
      </c>
      <c r="AC224" s="10">
        <f>IF(U224=0,0,$C$15*(U224)*O224)</f>
        <v>0</v>
      </c>
      <c r="AD224" s="10">
        <f t="shared" si="125"/>
        <v>0</v>
      </c>
      <c r="AE224" s="10">
        <f t="shared" si="126"/>
        <v>-34.450337120847443</v>
      </c>
      <c r="AF224" s="10">
        <f t="shared" si="127"/>
        <v>-35.350337120847435</v>
      </c>
      <c r="AG224" s="10">
        <f t="shared" si="128"/>
        <v>3.5739311772021196</v>
      </c>
      <c r="AH224" s="10">
        <f t="shared" si="129"/>
        <v>-16.988871170549164</v>
      </c>
      <c r="AI224" s="10">
        <f t="shared" si="130"/>
        <v>-2.2811773369307797</v>
      </c>
      <c r="AJ224" s="10">
        <f t="shared" si="133"/>
        <v>44.110253187856188</v>
      </c>
      <c r="AK224" s="10">
        <f t="shared" si="131"/>
        <v>1</v>
      </c>
      <c r="AL224" s="10">
        <f t="shared" si="132"/>
        <v>0</v>
      </c>
    </row>
  </sheetData>
  <mergeCells count="29">
    <mergeCell ref="B22:H22"/>
    <mergeCell ref="K22:Q22"/>
    <mergeCell ref="T22:AJ22"/>
    <mergeCell ref="BH22:BL22"/>
    <mergeCell ref="C23:G23"/>
    <mergeCell ref="BY21:CB21"/>
    <mergeCell ref="A13:B13"/>
    <mergeCell ref="A14:B14"/>
    <mergeCell ref="A15:B15"/>
    <mergeCell ref="A16:B16"/>
    <mergeCell ref="AO16:AS16"/>
    <mergeCell ref="A17:B17"/>
    <mergeCell ref="A18:B18"/>
    <mergeCell ref="A19:B19"/>
    <mergeCell ref="AV21:BB21"/>
    <mergeCell ref="BG21:BM21"/>
    <mergeCell ref="BP21:BV21"/>
    <mergeCell ref="A12:B12"/>
    <mergeCell ref="B1:E1"/>
    <mergeCell ref="A2:B2"/>
    <mergeCell ref="A3:B3"/>
    <mergeCell ref="A4:B4"/>
    <mergeCell ref="A5:B5"/>
    <mergeCell ref="A6:B6"/>
    <mergeCell ref="A7:B7"/>
    <mergeCell ref="A8:B8"/>
    <mergeCell ref="A9:B9"/>
    <mergeCell ref="A10:B10"/>
    <mergeCell ref="A11:B1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5036E-ABF9-4D0B-8455-4ABAD820BDD1}">
  <dimension ref="A4:BS222"/>
  <sheetViews>
    <sheetView workbookViewId="0">
      <selection activeCell="J20" sqref="J20"/>
    </sheetView>
  </sheetViews>
  <sheetFormatPr defaultRowHeight="15" x14ac:dyDescent="0.25"/>
  <cols>
    <col min="1" max="2" width="9.140625" style="10"/>
    <col min="3" max="3" width="10.5703125" style="10" bestFit="1" customWidth="1"/>
    <col min="4" max="16384" width="9.140625" style="10"/>
  </cols>
  <sheetData>
    <row r="4" spans="1:38" x14ac:dyDescent="0.25">
      <c r="A4" s="13">
        <v>1</v>
      </c>
      <c r="B4" s="36" t="s">
        <v>10</v>
      </c>
      <c r="C4" s="36"/>
      <c r="D4" s="36"/>
      <c r="E4" s="36"/>
    </row>
    <row r="5" spans="1:38" x14ac:dyDescent="0.25">
      <c r="A5" s="37" t="s">
        <v>0</v>
      </c>
      <c r="B5" s="37"/>
      <c r="C5" s="32">
        <v>6.2074648274178301</v>
      </c>
      <c r="E5" s="30"/>
    </row>
    <row r="6" spans="1:38" x14ac:dyDescent="0.25">
      <c r="A6" s="37" t="s">
        <v>1</v>
      </c>
      <c r="B6" s="37"/>
      <c r="C6" s="32">
        <v>14.9993896298105</v>
      </c>
    </row>
    <row r="7" spans="1:38" x14ac:dyDescent="0.25">
      <c r="A7" s="37" t="s">
        <v>2</v>
      </c>
      <c r="B7" s="37"/>
      <c r="C7" s="32">
        <v>1.4416638691366299</v>
      </c>
    </row>
    <row r="8" spans="1:38" x14ac:dyDescent="0.25">
      <c r="A8" s="37" t="s">
        <v>3</v>
      </c>
      <c r="B8" s="37"/>
      <c r="C8" s="32">
        <v>6.2074648274178301</v>
      </c>
    </row>
    <row r="9" spans="1:38" x14ac:dyDescent="0.25">
      <c r="A9" s="37" t="s">
        <v>4</v>
      </c>
      <c r="B9" s="37"/>
      <c r="C9" s="32">
        <v>14.9993896298105</v>
      </c>
    </row>
    <row r="10" spans="1:38" x14ac:dyDescent="0.25">
      <c r="A10" s="37" t="s">
        <v>5</v>
      </c>
      <c r="B10" s="37"/>
      <c r="C10" s="32">
        <v>1.4416638691366299</v>
      </c>
    </row>
    <row r="11" spans="1:38" x14ac:dyDescent="0.25">
      <c r="A11" s="37" t="s">
        <v>6</v>
      </c>
      <c r="B11" s="37"/>
      <c r="C11" s="32">
        <v>0.50297555467390997</v>
      </c>
    </row>
    <row r="12" spans="1:38" x14ac:dyDescent="0.25">
      <c r="A12" s="37" t="s">
        <v>7</v>
      </c>
      <c r="B12" s="37"/>
      <c r="C12" s="32">
        <v>0.70082399975499998</v>
      </c>
    </row>
    <row r="13" spans="1:38" x14ac:dyDescent="0.25">
      <c r="A13" s="37" t="s">
        <v>8</v>
      </c>
      <c r="B13" s="37"/>
      <c r="C13" s="32">
        <v>9.4762718588824093</v>
      </c>
    </row>
    <row r="14" spans="1:38" x14ac:dyDescent="0.25">
      <c r="A14" s="37" t="s">
        <v>9</v>
      </c>
      <c r="B14" s="37"/>
      <c r="C14" s="32">
        <v>20.149357585375501</v>
      </c>
    </row>
    <row r="15" spans="1:38" x14ac:dyDescent="0.25">
      <c r="AI15" s="13">
        <v>8</v>
      </c>
      <c r="AJ15" s="36" t="s">
        <v>47</v>
      </c>
      <c r="AK15" s="36"/>
      <c r="AL15" s="36"/>
    </row>
    <row r="16" spans="1:38" x14ac:dyDescent="0.25">
      <c r="AE16" s="13">
        <v>6</v>
      </c>
      <c r="AF16" s="12" t="s">
        <v>43</v>
      </c>
      <c r="AK16" s="10" t="s">
        <v>48</v>
      </c>
      <c r="AL16" s="10">
        <f>SUMXMY2(K20:K219,AI23:AI222)</f>
        <v>348</v>
      </c>
    </row>
    <row r="17" spans="1:71" x14ac:dyDescent="0.25">
      <c r="A17" s="13">
        <v>2</v>
      </c>
      <c r="B17" s="36" t="s">
        <v>11</v>
      </c>
      <c r="C17" s="36"/>
      <c r="D17" s="36"/>
      <c r="E17" s="36"/>
      <c r="G17" s="13">
        <v>3</v>
      </c>
      <c r="H17" s="36" t="s">
        <v>12</v>
      </c>
      <c r="I17" s="36"/>
      <c r="J17" s="36"/>
      <c r="K17" s="36"/>
      <c r="M17" s="13">
        <v>4</v>
      </c>
      <c r="N17" s="36" t="s">
        <v>13</v>
      </c>
      <c r="O17" s="36"/>
      <c r="P17" s="36"/>
      <c r="Q17" s="36"/>
      <c r="S17" s="13">
        <v>5</v>
      </c>
      <c r="T17" s="36" t="s">
        <v>14</v>
      </c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10" t="s">
        <v>44</v>
      </c>
      <c r="AF17" s="10">
        <f>SUM(AF20:AF219)</f>
        <v>91</v>
      </c>
      <c r="AI17" s="10">
        <v>-12.853770411348252</v>
      </c>
      <c r="AJ17" s="10">
        <v>51.137283000845628</v>
      </c>
      <c r="AK17" s="10">
        <v>-30.456018115610643</v>
      </c>
      <c r="AP17" s="13">
        <v>7</v>
      </c>
      <c r="AQ17" s="36" t="s">
        <v>14</v>
      </c>
      <c r="AR17" s="36"/>
      <c r="AS17" s="36"/>
      <c r="AT17" s="36"/>
      <c r="AV17" s="13">
        <v>9</v>
      </c>
      <c r="AW17" s="36" t="s">
        <v>52</v>
      </c>
      <c r="AX17" s="36"/>
      <c r="AY17" s="36"/>
      <c r="AZ17" s="36"/>
      <c r="BC17" s="13">
        <v>10</v>
      </c>
      <c r="BD17" s="36" t="s">
        <v>11</v>
      </c>
      <c r="BE17" s="36"/>
      <c r="BF17" s="36"/>
      <c r="BG17" s="36"/>
      <c r="BI17" s="13">
        <v>11</v>
      </c>
      <c r="BJ17" s="36" t="s">
        <v>54</v>
      </c>
      <c r="BK17" s="36"/>
      <c r="BL17" s="36"/>
      <c r="BM17" s="36"/>
      <c r="BO17" s="13">
        <v>12</v>
      </c>
      <c r="BP17" s="36" t="s">
        <v>55</v>
      </c>
      <c r="BQ17" s="36"/>
      <c r="BR17" s="36"/>
      <c r="BS17" s="36"/>
    </row>
    <row r="18" spans="1:71" x14ac:dyDescent="0.25">
      <c r="B18" s="10" t="s">
        <v>15</v>
      </c>
      <c r="C18" s="38" t="s">
        <v>16</v>
      </c>
      <c r="D18" s="38"/>
      <c r="E18" s="38"/>
      <c r="K18" s="10" t="s">
        <v>17</v>
      </c>
      <c r="N18" s="38" t="s">
        <v>18</v>
      </c>
      <c r="O18" s="38"/>
      <c r="P18" s="38" t="s">
        <v>19</v>
      </c>
      <c r="Q18" s="38"/>
      <c r="T18" s="10" t="s">
        <v>20</v>
      </c>
      <c r="U18" s="10" t="s">
        <v>21</v>
      </c>
      <c r="X18" s="10" t="s">
        <v>22</v>
      </c>
      <c r="AB18" s="15" t="s">
        <v>23</v>
      </c>
      <c r="AC18" s="15" t="s">
        <v>24</v>
      </c>
      <c r="AD18" s="15" t="s">
        <v>25</v>
      </c>
      <c r="AE18" s="10" t="s">
        <v>20</v>
      </c>
      <c r="AI18" s="10" t="s">
        <v>23</v>
      </c>
      <c r="AJ18" s="10" t="s">
        <v>24</v>
      </c>
      <c r="AK18" s="10" t="s">
        <v>25</v>
      </c>
      <c r="AP18" s="16" t="s">
        <v>69</v>
      </c>
      <c r="AQ18" s="16" t="s">
        <v>70</v>
      </c>
      <c r="AR18" s="16" t="s">
        <v>23</v>
      </c>
      <c r="AS18" s="16" t="s">
        <v>24</v>
      </c>
      <c r="AT18" s="16" t="s">
        <v>25</v>
      </c>
      <c r="AV18" s="31" t="s">
        <v>69</v>
      </c>
      <c r="AW18" s="31" t="s">
        <v>30</v>
      </c>
      <c r="AX18" s="31" t="s">
        <v>31</v>
      </c>
      <c r="AY18" s="31" t="s">
        <v>30</v>
      </c>
      <c r="AZ18" s="31" t="s">
        <v>31</v>
      </c>
      <c r="BD18" s="10" t="s">
        <v>15</v>
      </c>
      <c r="BE18" s="38" t="s">
        <v>16</v>
      </c>
      <c r="BF18" s="38"/>
      <c r="BG18" s="38"/>
      <c r="BM18" s="10" t="s">
        <v>17</v>
      </c>
      <c r="BQ18" s="10" t="s">
        <v>44</v>
      </c>
      <c r="BR18" s="10">
        <f>SUM(BR20:BR79)</f>
        <v>31</v>
      </c>
    </row>
    <row r="19" spans="1:71" x14ac:dyDescent="0.25">
      <c r="B19" s="10">
        <v>0</v>
      </c>
      <c r="C19" s="18" t="s">
        <v>26</v>
      </c>
      <c r="D19" s="18" t="s">
        <v>27</v>
      </c>
      <c r="E19" s="18" t="s">
        <v>28</v>
      </c>
      <c r="H19" s="18" t="s">
        <v>29</v>
      </c>
      <c r="I19" s="18" t="s">
        <v>30</v>
      </c>
      <c r="J19" s="18" t="s">
        <v>31</v>
      </c>
      <c r="K19" s="18" t="s">
        <v>32</v>
      </c>
      <c r="L19" s="17"/>
      <c r="M19" s="17"/>
      <c r="N19" s="18" t="s">
        <v>30</v>
      </c>
      <c r="O19" s="18" t="s">
        <v>31</v>
      </c>
      <c r="P19" s="18" t="s">
        <v>30</v>
      </c>
      <c r="Q19" s="18" t="s">
        <v>31</v>
      </c>
      <c r="S19" s="16" t="s">
        <v>33</v>
      </c>
      <c r="T19" s="16" t="s">
        <v>34</v>
      </c>
      <c r="U19" s="16" t="s">
        <v>35</v>
      </c>
      <c r="V19" s="16" t="s">
        <v>36</v>
      </c>
      <c r="Y19" s="16" t="s">
        <v>37</v>
      </c>
      <c r="Z19" s="16" t="s">
        <v>38</v>
      </c>
      <c r="AA19" s="4" t="s">
        <v>39</v>
      </c>
      <c r="AB19" s="15">
        <v>0.1</v>
      </c>
      <c r="AC19" s="15">
        <v>0.1</v>
      </c>
      <c r="AD19" s="15">
        <v>0.1</v>
      </c>
      <c r="AE19" s="10" t="s">
        <v>45</v>
      </c>
      <c r="AF19" s="10" t="s">
        <v>46</v>
      </c>
      <c r="AP19" s="16">
        <v>0</v>
      </c>
      <c r="AQ19" s="16"/>
      <c r="AR19" s="16">
        <f>AB19</f>
        <v>0.1</v>
      </c>
      <c r="AS19" s="16">
        <f>AC19</f>
        <v>0.1</v>
      </c>
      <c r="AT19" s="16">
        <f>AD19</f>
        <v>0.1</v>
      </c>
      <c r="AV19" s="16">
        <v>0</v>
      </c>
      <c r="AW19" s="10">
        <v>-5</v>
      </c>
      <c r="AX19" s="10">
        <f>-AR19/AT19-AS19/AT19*AW19</f>
        <v>4</v>
      </c>
      <c r="AY19" s="10">
        <v>15</v>
      </c>
      <c r="AZ19" s="10">
        <f>-AR19/AT19-AS19/AT19*AY19</f>
        <v>-16</v>
      </c>
      <c r="BD19" s="10">
        <v>0</v>
      </c>
      <c r="BE19" s="16" t="s">
        <v>26</v>
      </c>
      <c r="BF19" s="16" t="s">
        <v>27</v>
      </c>
      <c r="BG19" s="16" t="s">
        <v>28</v>
      </c>
      <c r="BJ19" s="16" t="s">
        <v>29</v>
      </c>
      <c r="BK19" s="16" t="s">
        <v>30</v>
      </c>
      <c r="BL19" s="16" t="s">
        <v>31</v>
      </c>
      <c r="BM19" s="16" t="s">
        <v>32</v>
      </c>
      <c r="BO19" s="16" t="s">
        <v>33</v>
      </c>
      <c r="BP19" s="16" t="s">
        <v>34</v>
      </c>
      <c r="BQ19" s="16" t="s">
        <v>35</v>
      </c>
      <c r="BR19" s="16" t="s">
        <v>36</v>
      </c>
    </row>
    <row r="20" spans="1:71" x14ac:dyDescent="0.25">
      <c r="B20" s="10">
        <f>B19+1</f>
        <v>1</v>
      </c>
      <c r="C20">
        <v>4.4881289795739576E-2</v>
      </c>
      <c r="D20">
        <v>-0.5630772648146376</v>
      </c>
      <c r="E20">
        <v>0.37464522232734154</v>
      </c>
      <c r="H20" s="18">
        <f>1</f>
        <v>1</v>
      </c>
      <c r="I20" s="19">
        <f t="shared" ref="I20:I51" si="0">IF(K20=1, C20*$C$7+$C$5,C20*$C$10+$C$8)</f>
        <v>6.2721685613165983</v>
      </c>
      <c r="J20" s="19">
        <f t="shared" ref="J20:J51" si="1">IF(K20=1,D20*$C$7+$C$6,D20*$C$10+$C$9)</f>
        <v>14.187621481594958</v>
      </c>
      <c r="K20" s="18">
        <f t="shared" ref="K20:K51" si="2">IF(E20&lt;$C$11,1,-1)</f>
        <v>1</v>
      </c>
      <c r="L20" s="17"/>
      <c r="M20" s="17"/>
      <c r="N20" s="18">
        <f>IF($K20=1,I20,-100)</f>
        <v>6.2721685613165983</v>
      </c>
      <c r="O20" s="18">
        <f>IF($K20=1,J20,-100)</f>
        <v>14.187621481594958</v>
      </c>
      <c r="P20" s="18">
        <f>IF($K20=-1,I20,-100)</f>
        <v>-100</v>
      </c>
      <c r="Q20" s="18">
        <f>IF($K20=-1,J20,-100)</f>
        <v>-100</v>
      </c>
      <c r="S20" s="12">
        <f>SUMPRODUCT(H20:J20,AB19:AD19)</f>
        <v>2.1459790042911555</v>
      </c>
      <c r="T20" s="12">
        <f>IF(S20&gt;=0,1,-1)</f>
        <v>1</v>
      </c>
      <c r="U20" s="12">
        <f>(K20-T20)/2</f>
        <v>0</v>
      </c>
      <c r="V20" s="12">
        <f>IF(U20&lt;&gt;0,1,0)</f>
        <v>0</v>
      </c>
      <c r="W20" s="12"/>
      <c r="X20" s="12"/>
      <c r="Y20" s="10">
        <f t="shared" ref="Y20:Y51" si="3">IF(U20=0,0,$C$12*(U20)*H20)</f>
        <v>0</v>
      </c>
      <c r="Z20" s="10">
        <f t="shared" ref="Z20:Z51" si="4">IF(U20=0,0,$C$12*(U20)*I20)</f>
        <v>0</v>
      </c>
      <c r="AA20" s="10">
        <f t="shared" ref="AA20:AA51" si="5">IF(U20=0,0,$C$12*(U20)*J20)</f>
        <v>0</v>
      </c>
      <c r="AB20" s="10">
        <f t="shared" ref="AB20:AB51" si="6">IF(U20=0,AB19,AB19+$C$12*(U20)*H20)</f>
        <v>0.1</v>
      </c>
      <c r="AC20" s="10">
        <f t="shared" ref="AC20:AC51" si="7">IF(U20=0,AC19,AC19+$C$12*(U20)*I20)</f>
        <v>0.1</v>
      </c>
      <c r="AD20" s="10">
        <f t="shared" ref="AD20:AD51" si="8">IF(U20=0,AD19,AD19+$C$12*(U20)*J20)</f>
        <v>0.1</v>
      </c>
      <c r="AE20" s="10">
        <f>IF(SUMPRODUCT(H20:J20,$AR$29:$AT$29)&gt;=0,1,-1)</f>
        <v>-1</v>
      </c>
      <c r="AF20" s="10">
        <f>IF(K20=AE20,0,1)</f>
        <v>1</v>
      </c>
      <c r="AP20" s="16">
        <v>1</v>
      </c>
      <c r="AQ20" s="16">
        <f>X39</f>
        <v>9</v>
      </c>
      <c r="AR20" s="16">
        <f>AB39</f>
        <v>0.80082399975499996</v>
      </c>
      <c r="AS20" s="16">
        <f>AC38</f>
        <v>0.68660136835997321</v>
      </c>
      <c r="AT20" s="16">
        <f>AD39</f>
        <v>8.1453505136989097</v>
      </c>
      <c r="AV20" s="16">
        <v>1</v>
      </c>
      <c r="AW20" s="10">
        <v>-5</v>
      </c>
      <c r="AX20" s="10">
        <f t="shared" ref="AX20:AX29" si="9">-AR20/AT20-AS20/AT20*AW20</f>
        <v>0.32315157433900993</v>
      </c>
      <c r="AY20" s="10">
        <v>15</v>
      </c>
      <c r="AZ20" s="10">
        <f t="shared" ref="AZ20:AZ29" si="10">-AR20/AT20-AS20/AT20*AY20</f>
        <v>-1.362721531318609</v>
      </c>
      <c r="BD20" s="10">
        <f>BD19+1</f>
        <v>1</v>
      </c>
      <c r="BE20" s="10">
        <v>1.9711387722054496</v>
      </c>
      <c r="BF20" s="10">
        <v>2.1378036763053387</v>
      </c>
      <c r="BG20" s="10">
        <v>0.82714316232795193</v>
      </c>
      <c r="BJ20" s="16">
        <f>1</f>
        <v>1</v>
      </c>
      <c r="BK20" s="14">
        <f t="shared" ref="BK20:BK51" si="11">IF(BM20=1, BE20*$C$7+$C$5,BE20*$C$10+$C$8)</f>
        <v>9.0491843763607651</v>
      </c>
      <c r="BL20" s="14">
        <f t="shared" ref="BL20:BL51" si="12">IF(BM20=1,BF20*$C$7+$C$6,BF20*$C$10+$C$9)</f>
        <v>18.081383949247368</v>
      </c>
      <c r="BM20" s="16">
        <f t="shared" ref="BM20:BM51" si="13">IF(BG20&lt;$C$11,1,-1)</f>
        <v>-1</v>
      </c>
      <c r="BO20" s="10">
        <f>SUMPRODUCT(BJ20:BL20,$AR$29:$AT$29)</f>
        <v>-162.1673549174449</v>
      </c>
      <c r="BP20" s="10">
        <f>IF(BO20&gt;=0,1,-1)</f>
        <v>-1</v>
      </c>
      <c r="BQ20" s="10">
        <f>(BP20-BM20)/2</f>
        <v>0</v>
      </c>
      <c r="BR20" s="10">
        <f>IF(BQ20&lt;&gt;0,1,0)</f>
        <v>0</v>
      </c>
    </row>
    <row r="21" spans="1:71" x14ac:dyDescent="0.25">
      <c r="B21" s="10">
        <f t="shared" ref="B21:B84" si="14">B20+1</f>
        <v>2</v>
      </c>
      <c r="C21">
        <v>-1.4494162314804271</v>
      </c>
      <c r="D21">
        <v>1.3596036296803504</v>
      </c>
      <c r="E21">
        <v>0.23294778283028658</v>
      </c>
      <c r="H21" s="18">
        <f>1</f>
        <v>1</v>
      </c>
      <c r="I21" s="19">
        <f t="shared" si="0"/>
        <v>4.1178938151523248</v>
      </c>
      <c r="J21" s="19">
        <f t="shared" si="1"/>
        <v>16.959481059067681</v>
      </c>
      <c r="K21" s="18">
        <f t="shared" si="2"/>
        <v>1</v>
      </c>
      <c r="L21" s="17"/>
      <c r="M21" s="17"/>
      <c r="N21" s="18">
        <f t="shared" ref="N21:O84" si="15">IF($K21=1,I21,-100)</f>
        <v>4.1178938151523248</v>
      </c>
      <c r="O21" s="18">
        <f t="shared" si="15"/>
        <v>16.959481059067681</v>
      </c>
      <c r="P21" s="18">
        <f t="shared" ref="P21:Q84" si="16">IF($K21=-1,I21,-100)</f>
        <v>-100</v>
      </c>
      <c r="Q21" s="18">
        <f t="shared" si="16"/>
        <v>-100</v>
      </c>
      <c r="S21" s="10">
        <f t="shared" ref="S21:S84" si="17">SUMPRODUCT(H21:J21,AB20:AD20)</f>
        <v>2.2077374874220008</v>
      </c>
      <c r="T21" s="10">
        <f t="shared" ref="T21:T84" si="18">IF(S21&gt;=0,1,-1)</f>
        <v>1</v>
      </c>
      <c r="U21" s="10">
        <f t="shared" ref="U21:U84" si="19">(K21-T21)/2</f>
        <v>0</v>
      </c>
      <c r="V21" s="10">
        <f t="shared" ref="V21:V84" si="20">IF(U21&lt;&gt;0,1,0)</f>
        <v>0</v>
      </c>
      <c r="Y21" s="10">
        <f t="shared" si="3"/>
        <v>0</v>
      </c>
      <c r="Z21" s="10">
        <f t="shared" si="4"/>
        <v>0</v>
      </c>
      <c r="AA21" s="10">
        <f t="shared" si="5"/>
        <v>0</v>
      </c>
      <c r="AB21" s="10">
        <f t="shared" si="6"/>
        <v>0.1</v>
      </c>
      <c r="AC21" s="10">
        <f t="shared" si="7"/>
        <v>0.1</v>
      </c>
      <c r="AD21" s="10">
        <f t="shared" si="8"/>
        <v>0.1</v>
      </c>
      <c r="AE21" s="10">
        <f t="shared" ref="AE21:AE84" si="21">IF(SUMPRODUCT(H21:J21,$AR$29:$AT$29)&gt;=0,1,-1)</f>
        <v>-1</v>
      </c>
      <c r="AF21" s="10">
        <f t="shared" ref="AF21:AF84" si="22">IF(K21=AE21,0,1)</f>
        <v>1</v>
      </c>
      <c r="AJ21" s="10" t="s">
        <v>44</v>
      </c>
      <c r="AK21" s="10">
        <f>SUM(AK23:AK222)</f>
        <v>87</v>
      </c>
      <c r="AP21" s="16">
        <v>2</v>
      </c>
      <c r="AQ21" s="16">
        <f>X59</f>
        <v>11</v>
      </c>
      <c r="AR21" s="16">
        <f>AB59</f>
        <v>9.9999999999999978E-2</v>
      </c>
      <c r="AS21" s="16">
        <f>AC58</f>
        <v>2.3944085443466099</v>
      </c>
      <c r="AT21" s="16">
        <f>AD59</f>
        <v>-0.18392722406500361</v>
      </c>
      <c r="AV21" s="16">
        <v>2</v>
      </c>
      <c r="AW21" s="10">
        <v>-5</v>
      </c>
      <c r="AX21" s="10">
        <f t="shared" si="9"/>
        <v>-64.547501230906576</v>
      </c>
      <c r="AY21" s="10">
        <v>15</v>
      </c>
      <c r="AZ21" s="10">
        <f t="shared" si="10"/>
        <v>195.81727690551301</v>
      </c>
      <c r="BD21" s="10">
        <f t="shared" ref="BD21:BD79" si="23">BD20+1</f>
        <v>2</v>
      </c>
      <c r="BE21" s="10">
        <v>0.74432591645745561</v>
      </c>
      <c r="BF21" s="10">
        <v>1.1194515536772087</v>
      </c>
      <c r="BG21" s="10">
        <v>0.73958555864131592</v>
      </c>
      <c r="BJ21" s="16">
        <f>1</f>
        <v>1</v>
      </c>
      <c r="BK21" s="14">
        <f t="shared" si="11"/>
        <v>7.2805326080365536</v>
      </c>
      <c r="BL21" s="14">
        <f t="shared" si="12"/>
        <v>16.613262487995797</v>
      </c>
      <c r="BM21" s="16">
        <f t="shared" si="13"/>
        <v>-1</v>
      </c>
      <c r="BO21" s="10">
        <f t="shared" ref="BO21:BO79" si="24">SUMPRODUCT(BJ21:BL21,$AR$29:$AT$29)</f>
        <v>-141.0678945944056</v>
      </c>
      <c r="BP21" s="10">
        <f t="shared" ref="BP21:BP79" si="25">IF(BO21&gt;=0,1,-1)</f>
        <v>-1</v>
      </c>
      <c r="BQ21" s="10">
        <f t="shared" ref="BQ21:BQ79" si="26">(BP21-BM21)/2</f>
        <v>0</v>
      </c>
      <c r="BR21" s="10">
        <f t="shared" ref="BR21:BR79" si="27">IF(BQ21&lt;&gt;0,1,0)</f>
        <v>0</v>
      </c>
    </row>
    <row r="22" spans="1:71" x14ac:dyDescent="0.25">
      <c r="B22" s="10">
        <f t="shared" si="14"/>
        <v>3</v>
      </c>
      <c r="C22">
        <v>1.055877874023281</v>
      </c>
      <c r="D22">
        <v>1.8962691683555022</v>
      </c>
      <c r="E22">
        <v>0.8657185583056124</v>
      </c>
      <c r="H22" s="18">
        <f>1</f>
        <v>1</v>
      </c>
      <c r="I22" s="19">
        <f t="shared" si="0"/>
        <v>7.729685808617992</v>
      </c>
      <c r="J22" s="19">
        <f t="shared" si="1"/>
        <v>17.733172375986392</v>
      </c>
      <c r="K22" s="18">
        <f t="shared" si="2"/>
        <v>-1</v>
      </c>
      <c r="L22" s="17"/>
      <c r="M22" s="17"/>
      <c r="N22" s="18">
        <f t="shared" si="15"/>
        <v>-100</v>
      </c>
      <c r="O22" s="18">
        <f t="shared" si="15"/>
        <v>-100</v>
      </c>
      <c r="P22" s="18">
        <f t="shared" si="16"/>
        <v>7.729685808617992</v>
      </c>
      <c r="Q22" s="18">
        <f t="shared" si="16"/>
        <v>17.733172375986392</v>
      </c>
      <c r="S22" s="10">
        <f t="shared" si="17"/>
        <v>2.6462858184604383</v>
      </c>
      <c r="T22" s="10">
        <f t="shared" si="18"/>
        <v>1</v>
      </c>
      <c r="U22" s="10">
        <f t="shared" si="19"/>
        <v>-1</v>
      </c>
      <c r="V22" s="10">
        <f t="shared" si="20"/>
        <v>1</v>
      </c>
      <c r="Y22" s="10">
        <f t="shared" si="3"/>
        <v>-0.70082399975499998</v>
      </c>
      <c r="Z22" s="10">
        <f t="shared" si="4"/>
        <v>-5.4171493252451226</v>
      </c>
      <c r="AA22" s="10">
        <f t="shared" si="5"/>
        <v>-12.42783279288366</v>
      </c>
      <c r="AB22" s="10">
        <f t="shared" si="6"/>
        <v>-0.600823999755</v>
      </c>
      <c r="AC22" s="10">
        <f t="shared" si="7"/>
        <v>-5.317149325245123</v>
      </c>
      <c r="AD22" s="10">
        <f t="shared" si="8"/>
        <v>-12.32783279288366</v>
      </c>
      <c r="AE22" s="10">
        <f t="shared" si="21"/>
        <v>-1</v>
      </c>
      <c r="AF22" s="10">
        <f t="shared" si="22"/>
        <v>0</v>
      </c>
      <c r="AI22" s="10" t="s">
        <v>49</v>
      </c>
      <c r="AJ22" s="10" t="s">
        <v>43</v>
      </c>
      <c r="AK22" s="10" t="s">
        <v>36</v>
      </c>
      <c r="AP22" s="16">
        <v>3</v>
      </c>
      <c r="AQ22" s="16">
        <f>X79</f>
        <v>9</v>
      </c>
      <c r="AR22" s="16">
        <f>AB79</f>
        <v>-0.600823999755</v>
      </c>
      <c r="AS22" s="16">
        <f>AC79</f>
        <v>5.6897635700093225</v>
      </c>
      <c r="AT22" s="16">
        <f>AD79</f>
        <v>-6.0667703511899038</v>
      </c>
      <c r="AV22" s="16">
        <v>3</v>
      </c>
      <c r="AW22" s="10">
        <v>-5</v>
      </c>
      <c r="AX22" s="10">
        <f t="shared" si="9"/>
        <v>-4.78832066621806</v>
      </c>
      <c r="AY22" s="10">
        <v>15</v>
      </c>
      <c r="AZ22" s="10">
        <f t="shared" si="10"/>
        <v>13.968821076895267</v>
      </c>
      <c r="BD22" s="10">
        <f t="shared" si="23"/>
        <v>3</v>
      </c>
      <c r="BE22" s="10">
        <v>-0.90945604824810289</v>
      </c>
      <c r="BF22" s="10">
        <v>-1.764915396051947</v>
      </c>
      <c r="BG22" s="10">
        <v>3.6194952238532668E-2</v>
      </c>
      <c r="BJ22" s="16">
        <f>1</f>
        <v>1</v>
      </c>
      <c r="BK22" s="14">
        <f t="shared" si="11"/>
        <v>4.8963349020907607</v>
      </c>
      <c r="BL22" s="14">
        <f t="shared" si="12"/>
        <v>12.454974871239441</v>
      </c>
      <c r="BM22" s="16">
        <f t="shared" si="13"/>
        <v>1</v>
      </c>
      <c r="BO22" s="10">
        <f t="shared" si="24"/>
        <v>-101.4272123205341</v>
      </c>
      <c r="BP22" s="10">
        <f t="shared" si="25"/>
        <v>-1</v>
      </c>
      <c r="BQ22" s="10">
        <f t="shared" si="26"/>
        <v>-1</v>
      </c>
      <c r="BR22" s="10">
        <f t="shared" si="27"/>
        <v>1</v>
      </c>
    </row>
    <row r="23" spans="1:71" x14ac:dyDescent="0.25">
      <c r="B23" s="10">
        <f t="shared" si="14"/>
        <v>4</v>
      </c>
      <c r="C23">
        <v>-0.41477733248029836</v>
      </c>
      <c r="D23">
        <v>1.747748683555983</v>
      </c>
      <c r="E23">
        <v>0.60362559892574852</v>
      </c>
      <c r="H23" s="18">
        <f>1</f>
        <v>1</v>
      </c>
      <c r="I23" s="19">
        <f t="shared" si="0"/>
        <v>5.6094953334441131</v>
      </c>
      <c r="J23" s="19">
        <f t="shared" si="1"/>
        <v>17.519055759224269</v>
      </c>
      <c r="K23" s="18">
        <f t="shared" si="2"/>
        <v>-1</v>
      </c>
      <c r="L23" s="17"/>
      <c r="M23" s="17"/>
      <c r="N23" s="18">
        <f t="shared" si="15"/>
        <v>-100</v>
      </c>
      <c r="O23" s="18">
        <f t="shared" si="15"/>
        <v>-100</v>
      </c>
      <c r="P23" s="18">
        <f t="shared" si="16"/>
        <v>5.6094953334441131</v>
      </c>
      <c r="Q23" s="18">
        <f t="shared" si="16"/>
        <v>17.519055759224269</v>
      </c>
      <c r="S23" s="10">
        <f t="shared" si="17"/>
        <v>-246.39933841586532</v>
      </c>
      <c r="T23" s="10">
        <f t="shared" si="18"/>
        <v>-1</v>
      </c>
      <c r="U23" s="10">
        <f t="shared" si="19"/>
        <v>0</v>
      </c>
      <c r="V23" s="10">
        <f t="shared" si="20"/>
        <v>0</v>
      </c>
      <c r="Y23" s="10">
        <f t="shared" si="3"/>
        <v>0</v>
      </c>
      <c r="Z23" s="10">
        <f t="shared" si="4"/>
        <v>0</v>
      </c>
      <c r="AA23" s="10">
        <f t="shared" si="5"/>
        <v>0</v>
      </c>
      <c r="AB23" s="10">
        <f t="shared" si="6"/>
        <v>-0.600823999755</v>
      </c>
      <c r="AC23" s="10">
        <f t="shared" si="7"/>
        <v>-5.317149325245123</v>
      </c>
      <c r="AD23" s="10">
        <f t="shared" si="8"/>
        <v>-12.32783279288366</v>
      </c>
      <c r="AE23" s="10">
        <f t="shared" si="21"/>
        <v>-1</v>
      </c>
      <c r="AF23" s="10">
        <f t="shared" si="22"/>
        <v>0</v>
      </c>
      <c r="AI23" s="10">
        <f>IF(SUMPRODUCT(H20:J20,$AI$17:$AK$17)&gt;=0,1,-1)</f>
        <v>-1</v>
      </c>
      <c r="AJ23" s="10">
        <f>(K20-AI23)/2</f>
        <v>1</v>
      </c>
      <c r="AK23" s="10">
        <f>IF(AJ23&lt;&gt;0,1,0)</f>
        <v>1</v>
      </c>
      <c r="AP23" s="16">
        <v>4</v>
      </c>
      <c r="AQ23" s="16">
        <f>X99</f>
        <v>9</v>
      </c>
      <c r="AR23" s="16">
        <f>AB99</f>
        <v>-0.600823999755</v>
      </c>
      <c r="AS23" s="16">
        <f>AC99</f>
        <v>1.7693496282738965</v>
      </c>
      <c r="AT23" s="16">
        <f>AD99</f>
        <v>-9.0755654745713894</v>
      </c>
      <c r="AV23" s="16">
        <v>4</v>
      </c>
      <c r="AW23" s="10">
        <v>-5</v>
      </c>
      <c r="AX23" s="10">
        <f t="shared" si="9"/>
        <v>-1.0409899160107885</v>
      </c>
      <c r="AY23" s="10">
        <v>15</v>
      </c>
      <c r="AZ23" s="10">
        <f t="shared" si="10"/>
        <v>2.8581602432413153</v>
      </c>
      <c r="BD23" s="10">
        <f t="shared" si="23"/>
        <v>4</v>
      </c>
      <c r="BE23" s="10">
        <v>2.2950735001359135</v>
      </c>
      <c r="BF23" s="10">
        <v>1.5568321032333188</v>
      </c>
      <c r="BG23" s="10">
        <v>0.67284157841731007</v>
      </c>
      <c r="BJ23" s="16">
        <f>1</f>
        <v>1</v>
      </c>
      <c r="BK23" s="14">
        <f t="shared" si="11"/>
        <v>9.5161893695767183</v>
      </c>
      <c r="BL23" s="14">
        <f t="shared" si="12"/>
        <v>17.243818223353962</v>
      </c>
      <c r="BM23" s="16">
        <f t="shared" si="13"/>
        <v>-1</v>
      </c>
      <c r="BO23" s="10">
        <f t="shared" si="24"/>
        <v>-161.44276655115053</v>
      </c>
      <c r="BP23" s="10">
        <f t="shared" si="25"/>
        <v>-1</v>
      </c>
      <c r="BQ23" s="10">
        <f t="shared" si="26"/>
        <v>0</v>
      </c>
      <c r="BR23" s="10">
        <f t="shared" si="27"/>
        <v>0</v>
      </c>
    </row>
    <row r="24" spans="1:71" x14ac:dyDescent="0.25">
      <c r="B24" s="10">
        <f t="shared" si="14"/>
        <v>5</v>
      </c>
      <c r="C24">
        <v>0.79903884397936054</v>
      </c>
      <c r="D24">
        <v>-1.0814687811944168</v>
      </c>
      <c r="E24">
        <v>0.20365001373332928</v>
      </c>
      <c r="H24" s="18">
        <f>1</f>
        <v>1</v>
      </c>
      <c r="I24" s="19">
        <f t="shared" si="0"/>
        <v>7.3594102588195751</v>
      </c>
      <c r="J24" s="19">
        <f t="shared" si="1"/>
        <v>13.440275162363282</v>
      </c>
      <c r="K24" s="18">
        <f t="shared" si="2"/>
        <v>1</v>
      </c>
      <c r="L24" s="17"/>
      <c r="M24" s="17"/>
      <c r="N24" s="18">
        <f t="shared" si="15"/>
        <v>7.3594102588195751</v>
      </c>
      <c r="O24" s="18">
        <f t="shared" si="15"/>
        <v>13.440275162363282</v>
      </c>
      <c r="P24" s="18">
        <f t="shared" si="16"/>
        <v>-100</v>
      </c>
      <c r="Q24" s="18">
        <f t="shared" si="16"/>
        <v>-100</v>
      </c>
      <c r="S24" s="10">
        <f t="shared" si="17"/>
        <v>-205.42137218360136</v>
      </c>
      <c r="T24" s="10">
        <f t="shared" si="18"/>
        <v>-1</v>
      </c>
      <c r="U24" s="10">
        <f t="shared" si="19"/>
        <v>1</v>
      </c>
      <c r="V24" s="10">
        <f t="shared" si="20"/>
        <v>1</v>
      </c>
      <c r="Y24" s="10">
        <f t="shared" si="3"/>
        <v>0.70082399975499998</v>
      </c>
      <c r="Z24" s="10">
        <f t="shared" si="4"/>
        <v>5.1576513334239147</v>
      </c>
      <c r="AA24" s="10">
        <f t="shared" si="5"/>
        <v>9.4192673970952168</v>
      </c>
      <c r="AB24" s="10">
        <f t="shared" si="6"/>
        <v>9.9999999999999978E-2</v>
      </c>
      <c r="AC24" s="10">
        <f t="shared" si="7"/>
        <v>-0.15949799182120827</v>
      </c>
      <c r="AD24" s="10">
        <f t="shared" si="8"/>
        <v>-2.9085653957884432</v>
      </c>
      <c r="AE24" s="10">
        <f t="shared" si="21"/>
        <v>-1</v>
      </c>
      <c r="AF24" s="10">
        <f t="shared" si="22"/>
        <v>1</v>
      </c>
      <c r="AI24" s="10">
        <f t="shared" ref="AI24:AI87" si="28">IF(SUMPRODUCT(H21:J21,$AI$17:$AK$17)&gt;=0,1,-1)</f>
        <v>-1</v>
      </c>
      <c r="AJ24" s="10">
        <f t="shared" ref="AJ24:AJ87" si="29">(K21-AI24)/2</f>
        <v>1</v>
      </c>
      <c r="AK24" s="10">
        <f t="shared" ref="AK24:AK87" si="30">IF(AJ24&lt;&gt;0,1,0)</f>
        <v>1</v>
      </c>
      <c r="AP24" s="16">
        <v>5</v>
      </c>
      <c r="AQ24" s="16">
        <f>X119</f>
        <v>9</v>
      </c>
      <c r="AR24" s="16">
        <f>AB119</f>
        <v>-0.600823999755</v>
      </c>
      <c r="AS24" s="16">
        <f>AC119</f>
        <v>-1.117030552604759</v>
      </c>
      <c r="AT24" s="16">
        <f>AD119</f>
        <v>-8.7214955245237125</v>
      </c>
      <c r="AV24" s="16">
        <v>5</v>
      </c>
      <c r="AW24" s="10">
        <v>-5</v>
      </c>
      <c r="AX24" s="10">
        <f t="shared" si="9"/>
        <v>0.57149932018579952</v>
      </c>
      <c r="AY24" s="10">
        <v>15</v>
      </c>
      <c r="AZ24" s="10">
        <f t="shared" si="10"/>
        <v>-1.9900580399339509</v>
      </c>
      <c r="BD24" s="10">
        <f t="shared" si="23"/>
        <v>5</v>
      </c>
      <c r="BE24" s="10">
        <v>0.41602902456361335</v>
      </c>
      <c r="BF24" s="10">
        <v>0.99555109045468271</v>
      </c>
      <c r="BG24" s="10">
        <v>0.79827265236365852</v>
      </c>
      <c r="BJ24" s="16">
        <f>1</f>
        <v>1</v>
      </c>
      <c r="BK24" s="14">
        <f t="shared" si="11"/>
        <v>6.8072388406433468</v>
      </c>
      <c r="BL24" s="14">
        <f t="shared" si="12"/>
        <v>16.434639666798589</v>
      </c>
      <c r="BM24" s="16">
        <f t="shared" si="13"/>
        <v>-1</v>
      </c>
      <c r="BO24" s="10">
        <f t="shared" si="24"/>
        <v>-136.52257091645225</v>
      </c>
      <c r="BP24" s="10">
        <f t="shared" si="25"/>
        <v>-1</v>
      </c>
      <c r="BQ24" s="10">
        <f t="shared" si="26"/>
        <v>0</v>
      </c>
      <c r="BR24" s="10">
        <f t="shared" si="27"/>
        <v>0</v>
      </c>
    </row>
    <row r="25" spans="1:71" x14ac:dyDescent="0.25">
      <c r="B25" s="10">
        <f t="shared" si="14"/>
        <v>6</v>
      </c>
      <c r="C25">
        <v>-0.36418441595742479</v>
      </c>
      <c r="D25">
        <v>-1.827470441639889</v>
      </c>
      <c r="E25">
        <v>0.29560228278450879</v>
      </c>
      <c r="H25" s="18">
        <f>1</f>
        <v>1</v>
      </c>
      <c r="I25" s="19">
        <f t="shared" si="0"/>
        <v>5.6824333132293852</v>
      </c>
      <c r="J25" s="19">
        <f t="shared" si="1"/>
        <v>12.364791522183111</v>
      </c>
      <c r="K25" s="18">
        <f t="shared" si="2"/>
        <v>1</v>
      </c>
      <c r="L25" s="17"/>
      <c r="M25" s="17"/>
      <c r="N25" s="18">
        <f t="shared" si="15"/>
        <v>5.6824333132293852</v>
      </c>
      <c r="O25" s="18">
        <f t="shared" si="15"/>
        <v>12.364791522183111</v>
      </c>
      <c r="P25" s="18">
        <f t="shared" si="16"/>
        <v>-100</v>
      </c>
      <c r="Q25" s="18">
        <f t="shared" si="16"/>
        <v>-100</v>
      </c>
      <c r="S25" s="10">
        <f t="shared" si="17"/>
        <v>-36.770141449678135</v>
      </c>
      <c r="T25" s="10">
        <f t="shared" si="18"/>
        <v>-1</v>
      </c>
      <c r="U25" s="10">
        <f t="shared" si="19"/>
        <v>1</v>
      </c>
      <c r="V25" s="10">
        <f t="shared" si="20"/>
        <v>1</v>
      </c>
      <c r="Y25" s="10">
        <f t="shared" si="3"/>
        <v>0.70082399975499998</v>
      </c>
      <c r="Z25" s="10">
        <f t="shared" si="4"/>
        <v>3.9823856429184743</v>
      </c>
      <c r="AA25" s="10">
        <f t="shared" si="5"/>
        <v>8.6655426507130819</v>
      </c>
      <c r="AB25" s="10">
        <f t="shared" si="6"/>
        <v>0.80082399975499996</v>
      </c>
      <c r="AC25" s="10">
        <f t="shared" si="7"/>
        <v>3.822887651097266</v>
      </c>
      <c r="AD25" s="10">
        <f t="shared" si="8"/>
        <v>5.7569772549246387</v>
      </c>
      <c r="AE25" s="10">
        <f t="shared" si="21"/>
        <v>-1</v>
      </c>
      <c r="AF25" s="10">
        <f t="shared" si="22"/>
        <v>1</v>
      </c>
      <c r="AI25" s="10">
        <f t="shared" si="28"/>
        <v>-1</v>
      </c>
      <c r="AJ25" s="10">
        <f t="shared" si="29"/>
        <v>0</v>
      </c>
      <c r="AK25" s="10">
        <f t="shared" si="30"/>
        <v>0</v>
      </c>
      <c r="AP25" s="16">
        <v>6</v>
      </c>
      <c r="AQ25" s="16">
        <f>X139</f>
        <v>10</v>
      </c>
      <c r="AR25" s="16">
        <f>AB139</f>
        <v>-0.600823999755</v>
      </c>
      <c r="AS25" s="16">
        <f>AC139</f>
        <v>0.81450067146182814</v>
      </c>
      <c r="AT25" s="16">
        <f>AD139</f>
        <v>-6.4519293364035875</v>
      </c>
      <c r="AV25" s="16">
        <v>6</v>
      </c>
      <c r="AW25" s="10">
        <v>-5</v>
      </c>
      <c r="AX25" s="10">
        <f t="shared" si="9"/>
        <v>-0.72433021401767728</v>
      </c>
      <c r="AY25" s="10">
        <v>15</v>
      </c>
      <c r="AZ25" s="10">
        <f t="shared" si="10"/>
        <v>1.8004980319030828</v>
      </c>
      <c r="BD25" s="10">
        <f t="shared" si="23"/>
        <v>6</v>
      </c>
      <c r="BE25" s="10">
        <v>-0.70464238888234831</v>
      </c>
      <c r="BF25" s="10">
        <v>-0.51495362640707754</v>
      </c>
      <c r="BG25" s="10">
        <v>0.97183141575365461</v>
      </c>
      <c r="BJ25" s="16">
        <f>1</f>
        <v>1</v>
      </c>
      <c r="BK25" s="14">
        <f t="shared" si="11"/>
        <v>5.1916073547040256</v>
      </c>
      <c r="BL25" s="14">
        <f t="shared" si="12"/>
        <v>14.256999592338534</v>
      </c>
      <c r="BM25" s="16">
        <f t="shared" si="13"/>
        <v>-1</v>
      </c>
      <c r="BO25" s="10">
        <f t="shared" si="24"/>
        <v>-112.95002288073687</v>
      </c>
      <c r="BP25" s="10">
        <f t="shared" si="25"/>
        <v>-1</v>
      </c>
      <c r="BQ25" s="10">
        <f t="shared" si="26"/>
        <v>0</v>
      </c>
      <c r="BR25" s="10">
        <f t="shared" si="27"/>
        <v>0</v>
      </c>
    </row>
    <row r="26" spans="1:71" x14ac:dyDescent="0.25">
      <c r="B26" s="10">
        <f t="shared" si="14"/>
        <v>7</v>
      </c>
      <c r="C26">
        <v>-1.5581190382363275</v>
      </c>
      <c r="D26">
        <v>-0.88576598500367254</v>
      </c>
      <c r="E26">
        <v>0.84304330576494646</v>
      </c>
      <c r="H26" s="18">
        <f>1</f>
        <v>1</v>
      </c>
      <c r="I26" s="19">
        <f t="shared" si="0"/>
        <v>3.9611809061786016</v>
      </c>
      <c r="J26" s="19">
        <f t="shared" si="1"/>
        <v>13.722412812720487</v>
      </c>
      <c r="K26" s="18">
        <f t="shared" si="2"/>
        <v>-1</v>
      </c>
      <c r="L26" s="17"/>
      <c r="M26" s="17"/>
      <c r="N26" s="18">
        <f t="shared" si="15"/>
        <v>-100</v>
      </c>
      <c r="O26" s="18">
        <f t="shared" si="15"/>
        <v>-100</v>
      </c>
      <c r="P26" s="18">
        <f t="shared" si="16"/>
        <v>3.9611809061786016</v>
      </c>
      <c r="Q26" s="18">
        <f t="shared" si="16"/>
        <v>13.722412812720487</v>
      </c>
      <c r="S26" s="10">
        <f t="shared" si="17"/>
        <v>94.943592015265736</v>
      </c>
      <c r="T26" s="10">
        <f t="shared" si="18"/>
        <v>1</v>
      </c>
      <c r="U26" s="10">
        <f t="shared" si="19"/>
        <v>-1</v>
      </c>
      <c r="V26" s="10">
        <f t="shared" si="20"/>
        <v>1</v>
      </c>
      <c r="Y26" s="10">
        <f t="shared" si="3"/>
        <v>-0.70082399975499998</v>
      </c>
      <c r="Z26" s="10">
        <f t="shared" si="4"/>
        <v>-2.7760906464212227</v>
      </c>
      <c r="AA26" s="10">
        <f t="shared" si="5"/>
        <v>-9.6169962337000303</v>
      </c>
      <c r="AB26" s="10">
        <f t="shared" si="6"/>
        <v>9.9999999999999978E-2</v>
      </c>
      <c r="AC26" s="10">
        <f t="shared" si="7"/>
        <v>1.0467970046760433</v>
      </c>
      <c r="AD26" s="10">
        <f t="shared" si="8"/>
        <v>-3.8600189787753916</v>
      </c>
      <c r="AE26" s="10">
        <f t="shared" si="21"/>
        <v>-1</v>
      </c>
      <c r="AF26" s="10">
        <f t="shared" si="22"/>
        <v>0</v>
      </c>
      <c r="AI26" s="10">
        <f t="shared" si="28"/>
        <v>-1</v>
      </c>
      <c r="AJ26" s="10">
        <f t="shared" si="29"/>
        <v>0</v>
      </c>
      <c r="AK26" s="10">
        <f t="shared" si="30"/>
        <v>0</v>
      </c>
      <c r="AP26" s="16">
        <v>7</v>
      </c>
      <c r="AQ26" s="16">
        <f>X159</f>
        <v>10</v>
      </c>
      <c r="AR26" s="16">
        <f>AB159</f>
        <v>-0.600823999755</v>
      </c>
      <c r="AS26" s="16">
        <f>AC159</f>
        <v>-3.3156752382018064</v>
      </c>
      <c r="AT26" s="16">
        <f>AD159</f>
        <v>-11.916805332055796</v>
      </c>
      <c r="AV26" s="16">
        <v>7</v>
      </c>
      <c r="AW26" s="10">
        <v>-5</v>
      </c>
      <c r="AX26" s="10">
        <f t="shared" si="9"/>
        <v>1.3407580090508795</v>
      </c>
      <c r="AY26" s="10">
        <v>15</v>
      </c>
      <c r="AZ26" s="10">
        <f t="shared" si="10"/>
        <v>-4.2239468691646849</v>
      </c>
      <c r="BD26" s="10">
        <f t="shared" si="23"/>
        <v>7</v>
      </c>
      <c r="BE26" s="10">
        <v>0.18755940800474491</v>
      </c>
      <c r="BF26" s="10">
        <v>2.7107307687401772</v>
      </c>
      <c r="BG26" s="10">
        <v>0.33417767876216925</v>
      </c>
      <c r="BJ26" s="16">
        <f>1</f>
        <v>1</v>
      </c>
      <c r="BK26" s="14">
        <f t="shared" si="11"/>
        <v>6.4778624492549266</v>
      </c>
      <c r="BL26" s="14">
        <f t="shared" si="12"/>
        <v>18.907352238060174</v>
      </c>
      <c r="BM26" s="16">
        <f t="shared" si="13"/>
        <v>1</v>
      </c>
      <c r="BO26" s="10">
        <f t="shared" si="24"/>
        <v>-146.70423351023038</v>
      </c>
      <c r="BP26" s="10">
        <f t="shared" si="25"/>
        <v>-1</v>
      </c>
      <c r="BQ26" s="10">
        <f t="shared" si="26"/>
        <v>-1</v>
      </c>
      <c r="BR26" s="10">
        <f t="shared" si="27"/>
        <v>1</v>
      </c>
    </row>
    <row r="27" spans="1:71" x14ac:dyDescent="0.25">
      <c r="B27" s="10">
        <f t="shared" si="14"/>
        <v>8</v>
      </c>
      <c r="C27">
        <v>0.21738742361776531</v>
      </c>
      <c r="D27">
        <v>-0.4041294232592918</v>
      </c>
      <c r="E27">
        <v>0.73232215338602857</v>
      </c>
      <c r="H27" s="18">
        <f>1</f>
        <v>1</v>
      </c>
      <c r="I27" s="19">
        <f t="shared" si="0"/>
        <v>6.5208644216522611</v>
      </c>
      <c r="J27" s="19">
        <f t="shared" si="1"/>
        <v>14.416770841842554</v>
      </c>
      <c r="K27" s="18">
        <f t="shared" si="2"/>
        <v>-1</v>
      </c>
      <c r="L27" s="17"/>
      <c r="M27" s="17"/>
      <c r="N27" s="18">
        <f t="shared" si="15"/>
        <v>-100</v>
      </c>
      <c r="O27" s="18">
        <f t="shared" si="15"/>
        <v>-100</v>
      </c>
      <c r="P27" s="18">
        <f t="shared" si="16"/>
        <v>6.5208644216522611</v>
      </c>
      <c r="Q27" s="18">
        <f t="shared" si="16"/>
        <v>14.416770841842554</v>
      </c>
      <c r="S27" s="10">
        <f t="shared" si="17"/>
        <v>-48.722987717683779</v>
      </c>
      <c r="T27" s="10">
        <f t="shared" si="18"/>
        <v>-1</v>
      </c>
      <c r="U27" s="10">
        <f t="shared" si="19"/>
        <v>0</v>
      </c>
      <c r="V27" s="10">
        <f t="shared" si="20"/>
        <v>0</v>
      </c>
      <c r="Y27" s="10">
        <f t="shared" si="3"/>
        <v>0</v>
      </c>
      <c r="Z27" s="10">
        <f t="shared" si="4"/>
        <v>0</v>
      </c>
      <c r="AA27" s="10">
        <f t="shared" si="5"/>
        <v>0</v>
      </c>
      <c r="AB27" s="10">
        <f t="shared" si="6"/>
        <v>9.9999999999999978E-2</v>
      </c>
      <c r="AC27" s="10">
        <f t="shared" si="7"/>
        <v>1.0467970046760433</v>
      </c>
      <c r="AD27" s="10">
        <f t="shared" si="8"/>
        <v>-3.8600189787753916</v>
      </c>
      <c r="AE27" s="10">
        <f t="shared" si="21"/>
        <v>-1</v>
      </c>
      <c r="AF27" s="10">
        <f t="shared" si="22"/>
        <v>0</v>
      </c>
      <c r="AI27" s="10">
        <f t="shared" si="28"/>
        <v>-1</v>
      </c>
      <c r="AJ27" s="10">
        <f t="shared" si="29"/>
        <v>1</v>
      </c>
      <c r="AK27" s="10">
        <f t="shared" si="30"/>
        <v>1</v>
      </c>
      <c r="AP27" s="16">
        <v>8</v>
      </c>
      <c r="AQ27" s="16">
        <f>X179</f>
        <v>12</v>
      </c>
      <c r="AR27" s="16">
        <f>AB179</f>
        <v>0.80082399975499996</v>
      </c>
      <c r="AS27" s="16">
        <f>AC179</f>
        <v>3.4403234390469613</v>
      </c>
      <c r="AT27" s="16">
        <f>AD179</f>
        <v>5.4583635458366331</v>
      </c>
      <c r="AV27" s="16">
        <v>8</v>
      </c>
      <c r="AW27" s="10">
        <v>-5</v>
      </c>
      <c r="AX27" s="10">
        <f t="shared" si="9"/>
        <v>3.0047088395183046</v>
      </c>
      <c r="AY27" s="10">
        <v>15</v>
      </c>
      <c r="AZ27" s="10">
        <f t="shared" si="10"/>
        <v>-9.6009866593499176</v>
      </c>
      <c r="BD27" s="10">
        <f t="shared" si="23"/>
        <v>8</v>
      </c>
      <c r="BE27" s="10">
        <v>-0.57838292377709877</v>
      </c>
      <c r="BF27" s="10">
        <v>-0.1157320639322279</v>
      </c>
      <c r="BG27" s="10">
        <v>0.499984740745262</v>
      </c>
      <c r="BJ27" s="16">
        <f>1</f>
        <v>1</v>
      </c>
      <c r="BK27" s="14">
        <f t="shared" si="11"/>
        <v>5.3736310636827813</v>
      </c>
      <c r="BL27" s="14">
        <f t="shared" si="12"/>
        <v>14.832542894738797</v>
      </c>
      <c r="BM27" s="16">
        <f t="shared" si="13"/>
        <v>1</v>
      </c>
      <c r="BO27" s="10">
        <f t="shared" si="24"/>
        <v>-117.30255237079217</v>
      </c>
      <c r="BP27" s="10">
        <f t="shared" si="25"/>
        <v>-1</v>
      </c>
      <c r="BQ27" s="10">
        <f t="shared" si="26"/>
        <v>-1</v>
      </c>
      <c r="BR27" s="10">
        <f t="shared" si="27"/>
        <v>1</v>
      </c>
    </row>
    <row r="28" spans="1:71" x14ac:dyDescent="0.25">
      <c r="B28" s="10">
        <f t="shared" si="14"/>
        <v>9</v>
      </c>
      <c r="C28">
        <v>0.90253706730436534</v>
      </c>
      <c r="D28">
        <v>1.1028578228433616</v>
      </c>
      <c r="E28">
        <v>0.96554460280159915</v>
      </c>
      <c r="H28" s="18">
        <f>1</f>
        <v>1</v>
      </c>
      <c r="I28" s="19">
        <f t="shared" si="0"/>
        <v>7.5086199079070681</v>
      </c>
      <c r="J28" s="19">
        <f t="shared" si="1"/>
        <v>16.589339905798461</v>
      </c>
      <c r="K28" s="18">
        <f t="shared" si="2"/>
        <v>-1</v>
      </c>
      <c r="L28" s="17"/>
      <c r="M28" s="17"/>
      <c r="N28" s="18">
        <f t="shared" si="15"/>
        <v>-100</v>
      </c>
      <c r="O28" s="18">
        <f t="shared" si="15"/>
        <v>-100</v>
      </c>
      <c r="P28" s="18">
        <f t="shared" si="16"/>
        <v>7.5086199079070681</v>
      </c>
      <c r="Q28" s="18">
        <f t="shared" si="16"/>
        <v>16.589339905798461</v>
      </c>
      <c r="S28" s="10">
        <f t="shared" si="17"/>
        <v>-56.075166052889998</v>
      </c>
      <c r="T28" s="10">
        <f t="shared" si="18"/>
        <v>-1</v>
      </c>
      <c r="U28" s="10">
        <f t="shared" si="19"/>
        <v>0</v>
      </c>
      <c r="V28" s="10">
        <f t="shared" si="20"/>
        <v>0</v>
      </c>
      <c r="Y28" s="10">
        <f t="shared" si="3"/>
        <v>0</v>
      </c>
      <c r="Z28" s="10">
        <f t="shared" si="4"/>
        <v>0</v>
      </c>
      <c r="AA28" s="10">
        <f t="shared" si="5"/>
        <v>0</v>
      </c>
      <c r="AB28" s="10">
        <f t="shared" si="6"/>
        <v>9.9999999999999978E-2</v>
      </c>
      <c r="AC28" s="10">
        <f t="shared" si="7"/>
        <v>1.0467970046760433</v>
      </c>
      <c r="AD28" s="10">
        <f t="shared" si="8"/>
        <v>-3.8600189787753916</v>
      </c>
      <c r="AE28" s="10">
        <f t="shared" si="21"/>
        <v>-1</v>
      </c>
      <c r="AF28" s="10">
        <f t="shared" si="22"/>
        <v>0</v>
      </c>
      <c r="AI28" s="10">
        <f t="shared" si="28"/>
        <v>-1</v>
      </c>
      <c r="AJ28" s="10">
        <f t="shared" si="29"/>
        <v>1</v>
      </c>
      <c r="AK28" s="10">
        <f t="shared" si="30"/>
        <v>1</v>
      </c>
      <c r="AP28" s="16">
        <v>9</v>
      </c>
      <c r="AQ28" s="16">
        <f>X199</f>
        <v>16</v>
      </c>
      <c r="AR28" s="16">
        <f>AB199</f>
        <v>0.80082399975499996</v>
      </c>
      <c r="AS28" s="16">
        <f>AC199</f>
        <v>1.2906428926302977</v>
      </c>
      <c r="AT28" s="16">
        <f>AD199</f>
        <v>6.3402487218235049</v>
      </c>
      <c r="AV28" s="16">
        <v>9</v>
      </c>
      <c r="AW28" s="10">
        <v>-5</v>
      </c>
      <c r="AX28" s="10">
        <f t="shared" si="9"/>
        <v>0.8915092627108826</v>
      </c>
      <c r="AY28" s="10">
        <v>15</v>
      </c>
      <c r="AZ28" s="10">
        <f t="shared" si="10"/>
        <v>-3.1797597024570918</v>
      </c>
      <c r="BD28" s="10">
        <f t="shared" si="23"/>
        <v>9</v>
      </c>
      <c r="BE28" s="10">
        <v>0.71893282438395545</v>
      </c>
      <c r="BF28" s="10">
        <v>0.29567331694124732</v>
      </c>
      <c r="BG28" s="10">
        <v>3.836176641132847E-2</v>
      </c>
      <c r="BJ28" s="16">
        <f>1</f>
        <v>1</v>
      </c>
      <c r="BK28" s="14">
        <f t="shared" si="11"/>
        <v>7.2439243046685284</v>
      </c>
      <c r="BL28" s="14">
        <f t="shared" si="12"/>
        <v>15.425651167912479</v>
      </c>
      <c r="BM28" s="16">
        <f t="shared" si="13"/>
        <v>1</v>
      </c>
      <c r="BO28" s="10">
        <f t="shared" si="24"/>
        <v>-134.68474391958495</v>
      </c>
      <c r="BP28" s="10">
        <f t="shared" si="25"/>
        <v>-1</v>
      </c>
      <c r="BQ28" s="10">
        <f t="shared" si="26"/>
        <v>-1</v>
      </c>
      <c r="BR28" s="10">
        <f t="shared" si="27"/>
        <v>1</v>
      </c>
    </row>
    <row r="29" spans="1:71" x14ac:dyDescent="0.25">
      <c r="B29" s="10">
        <f t="shared" si="14"/>
        <v>10</v>
      </c>
      <c r="C29">
        <v>0.53921326070849318</v>
      </c>
      <c r="D29">
        <v>0.132383775053313</v>
      </c>
      <c r="E29">
        <v>0.57600634784997096</v>
      </c>
      <c r="H29" s="18">
        <f>1</f>
        <v>1</v>
      </c>
      <c r="I29" s="19">
        <f t="shared" si="0"/>
        <v>6.9848291031406147</v>
      </c>
      <c r="J29" s="19">
        <f t="shared" si="1"/>
        <v>15.190242535164773</v>
      </c>
      <c r="K29" s="18">
        <f t="shared" si="2"/>
        <v>-1</v>
      </c>
      <c r="L29" s="17"/>
      <c r="M29" s="17"/>
      <c r="N29" s="18">
        <f t="shared" si="15"/>
        <v>-100</v>
      </c>
      <c r="O29" s="18">
        <f t="shared" si="15"/>
        <v>-100</v>
      </c>
      <c r="P29" s="18">
        <f t="shared" si="16"/>
        <v>6.9848291031406147</v>
      </c>
      <c r="Q29" s="18">
        <f t="shared" si="16"/>
        <v>15.190242535164773</v>
      </c>
      <c r="S29" s="10">
        <f t="shared" si="17"/>
        <v>-51.222926294595588</v>
      </c>
      <c r="T29" s="10">
        <f t="shared" si="18"/>
        <v>-1</v>
      </c>
      <c r="U29" s="10">
        <f t="shared" si="19"/>
        <v>0</v>
      </c>
      <c r="V29" s="10">
        <f t="shared" si="20"/>
        <v>0</v>
      </c>
      <c r="Y29" s="10">
        <f t="shared" si="3"/>
        <v>0</v>
      </c>
      <c r="Z29" s="10">
        <f t="shared" si="4"/>
        <v>0</v>
      </c>
      <c r="AA29" s="10">
        <f t="shared" si="5"/>
        <v>0</v>
      </c>
      <c r="AB29" s="10">
        <f t="shared" si="6"/>
        <v>9.9999999999999978E-2</v>
      </c>
      <c r="AC29" s="10">
        <f t="shared" si="7"/>
        <v>1.0467970046760433</v>
      </c>
      <c r="AD29" s="10">
        <f t="shared" si="8"/>
        <v>-3.8600189787753916</v>
      </c>
      <c r="AE29" s="10">
        <f t="shared" si="21"/>
        <v>-1</v>
      </c>
      <c r="AF29" s="10">
        <f t="shared" si="22"/>
        <v>0</v>
      </c>
      <c r="AI29" s="10">
        <f t="shared" si="28"/>
        <v>-1</v>
      </c>
      <c r="AJ29" s="10">
        <f t="shared" si="29"/>
        <v>0</v>
      </c>
      <c r="AK29" s="10">
        <f t="shared" si="30"/>
        <v>0</v>
      </c>
      <c r="AP29" s="16">
        <v>10</v>
      </c>
      <c r="AQ29" s="16">
        <f>X219</f>
        <v>9</v>
      </c>
      <c r="AR29" s="16">
        <f>AB219</f>
        <v>9.9999999999999978E-2</v>
      </c>
      <c r="AS29" s="16">
        <f>AC219</f>
        <v>-7.664299879039655</v>
      </c>
      <c r="AT29" s="16">
        <f>AD219</f>
        <v>-5.1385276955065695</v>
      </c>
      <c r="AV29" s="16">
        <v>10</v>
      </c>
      <c r="AW29" s="10">
        <v>-5</v>
      </c>
      <c r="AX29" s="10">
        <f t="shared" si="9"/>
        <v>7.477141638994433</v>
      </c>
      <c r="AY29" s="10">
        <v>15</v>
      </c>
      <c r="AZ29" s="10">
        <f t="shared" si="10"/>
        <v>-22.353581607828854</v>
      </c>
      <c r="BD29" s="10">
        <f t="shared" si="23"/>
        <v>10</v>
      </c>
      <c r="BE29" s="10">
        <v>0.89897866928367876</v>
      </c>
      <c r="BF29" s="10">
        <v>0.22412905309465714</v>
      </c>
      <c r="BG29" s="10">
        <v>0.4323862422559282</v>
      </c>
      <c r="BJ29" s="16">
        <f>1</f>
        <v>1</v>
      </c>
      <c r="BK29" s="14">
        <f t="shared" si="11"/>
        <v>7.503489894048637</v>
      </c>
      <c r="BL29" s="14">
        <f t="shared" si="12"/>
        <v>15.322508387680871</v>
      </c>
      <c r="BM29" s="16">
        <f t="shared" si="13"/>
        <v>1</v>
      </c>
      <c r="BO29" s="10">
        <f t="shared" si="24"/>
        <v>-136.1441304020621</v>
      </c>
      <c r="BP29" s="10">
        <f t="shared" si="25"/>
        <v>-1</v>
      </c>
      <c r="BQ29" s="10">
        <f t="shared" si="26"/>
        <v>-1</v>
      </c>
      <c r="BR29" s="10">
        <f t="shared" si="27"/>
        <v>1</v>
      </c>
    </row>
    <row r="30" spans="1:71" x14ac:dyDescent="0.25">
      <c r="B30" s="10">
        <f t="shared" si="14"/>
        <v>11</v>
      </c>
      <c r="C30">
        <v>-0.1646390046516899</v>
      </c>
      <c r="D30">
        <v>-0.17985712474910542</v>
      </c>
      <c r="E30">
        <v>0.27463606677449875</v>
      </c>
      <c r="H30" s="18">
        <f>1</f>
        <v>1</v>
      </c>
      <c r="I30" s="19">
        <f t="shared" si="0"/>
        <v>5.9701107229608716</v>
      </c>
      <c r="J30" s="19">
        <f t="shared" si="1"/>
        <v>14.740096111452914</v>
      </c>
      <c r="K30" s="18">
        <f t="shared" si="2"/>
        <v>1</v>
      </c>
      <c r="L30" s="17"/>
      <c r="M30" s="17"/>
      <c r="N30" s="18">
        <f t="shared" si="15"/>
        <v>5.9701107229608716</v>
      </c>
      <c r="O30" s="18">
        <f t="shared" si="15"/>
        <v>14.740096111452914</v>
      </c>
      <c r="P30" s="18">
        <f t="shared" si="16"/>
        <v>-100</v>
      </c>
      <c r="Q30" s="18">
        <f t="shared" si="16"/>
        <v>-100</v>
      </c>
      <c r="S30" s="10">
        <f t="shared" si="17"/>
        <v>-50.547556716801829</v>
      </c>
      <c r="T30" s="10">
        <f t="shared" si="18"/>
        <v>-1</v>
      </c>
      <c r="U30" s="10">
        <f t="shared" si="19"/>
        <v>1</v>
      </c>
      <c r="V30" s="10">
        <f t="shared" si="20"/>
        <v>1</v>
      </c>
      <c r="Y30" s="10">
        <f t="shared" si="3"/>
        <v>0.70082399975499998</v>
      </c>
      <c r="Z30" s="10">
        <f t="shared" si="4"/>
        <v>4.1839968758456525</v>
      </c>
      <c r="AA30" s="10">
        <f t="shared" si="5"/>
        <v>10.330213113601554</v>
      </c>
      <c r="AB30" s="10">
        <f t="shared" si="6"/>
        <v>0.80082399975499996</v>
      </c>
      <c r="AC30" s="10">
        <f t="shared" si="7"/>
        <v>5.2307938805216958</v>
      </c>
      <c r="AD30" s="10">
        <f t="shared" si="8"/>
        <v>6.470194134826162</v>
      </c>
      <c r="AE30" s="10">
        <f t="shared" si="21"/>
        <v>-1</v>
      </c>
      <c r="AF30" s="10">
        <f t="shared" si="22"/>
        <v>1</v>
      </c>
      <c r="AI30" s="10">
        <f t="shared" si="28"/>
        <v>-1</v>
      </c>
      <c r="AJ30" s="10">
        <f t="shared" si="29"/>
        <v>0</v>
      </c>
      <c r="AK30" s="10">
        <f t="shared" si="30"/>
        <v>0</v>
      </c>
      <c r="BD30" s="10">
        <f t="shared" si="23"/>
        <v>11</v>
      </c>
      <c r="BE30" s="10">
        <v>0.62291292124427855</v>
      </c>
      <c r="BF30" s="10">
        <v>0.2723368197621312</v>
      </c>
      <c r="BG30" s="10">
        <v>0.3728751487777337</v>
      </c>
      <c r="BJ30" s="16">
        <f>1</f>
        <v>1</v>
      </c>
      <c r="BK30" s="14">
        <f t="shared" si="11"/>
        <v>7.1054958795940575</v>
      </c>
      <c r="BL30" s="14">
        <f t="shared" si="12"/>
        <v>15.392007783097139</v>
      </c>
      <c r="BM30" s="16">
        <f t="shared" si="13"/>
        <v>1</v>
      </c>
      <c r="BO30" s="10">
        <f t="shared" si="24"/>
        <v>-133.4509094933868</v>
      </c>
      <c r="BP30" s="10">
        <f t="shared" si="25"/>
        <v>-1</v>
      </c>
      <c r="BQ30" s="10">
        <f t="shared" si="26"/>
        <v>-1</v>
      </c>
      <c r="BR30" s="10">
        <f t="shared" si="27"/>
        <v>1</v>
      </c>
    </row>
    <row r="31" spans="1:71" x14ac:dyDescent="0.25">
      <c r="B31" s="10">
        <f t="shared" si="14"/>
        <v>12</v>
      </c>
      <c r="C31">
        <v>-0.56433350437146146</v>
      </c>
      <c r="D31">
        <v>-0.21120399651408661</v>
      </c>
      <c r="E31">
        <v>0.70708334604937895</v>
      </c>
      <c r="H31" s="18">
        <f>1</f>
        <v>1</v>
      </c>
      <c r="I31" s="19">
        <f t="shared" si="0"/>
        <v>5.3938856040222358</v>
      </c>
      <c r="J31" s="19">
        <f t="shared" si="1"/>
        <v>14.694904459018883</v>
      </c>
      <c r="K31" s="18">
        <f t="shared" si="2"/>
        <v>-1</v>
      </c>
      <c r="L31" s="17"/>
      <c r="M31" s="17"/>
      <c r="N31" s="18">
        <f t="shared" si="15"/>
        <v>-100</v>
      </c>
      <c r="O31" s="18">
        <f t="shared" si="15"/>
        <v>-100</v>
      </c>
      <c r="P31" s="18">
        <f t="shared" si="16"/>
        <v>5.3938856040222358</v>
      </c>
      <c r="Q31" s="18">
        <f t="shared" si="16"/>
        <v>14.694904459018883</v>
      </c>
      <c r="S31" s="10">
        <f t="shared" si="17"/>
        <v>124.09401245208338</v>
      </c>
      <c r="T31" s="10">
        <f t="shared" si="18"/>
        <v>1</v>
      </c>
      <c r="U31" s="10">
        <f t="shared" si="19"/>
        <v>-1</v>
      </c>
      <c r="V31" s="10">
        <f t="shared" si="20"/>
        <v>1</v>
      </c>
      <c r="Y31" s="10">
        <f t="shared" si="3"/>
        <v>-0.70082399975499998</v>
      </c>
      <c r="Z31" s="10">
        <f t="shared" si="4"/>
        <v>-3.7801644832317773</v>
      </c>
      <c r="AA31" s="10">
        <f t="shared" si="5"/>
        <v>-10.298541718987197</v>
      </c>
      <c r="AB31" s="10">
        <f t="shared" si="6"/>
        <v>9.9999999999999978E-2</v>
      </c>
      <c r="AC31" s="10">
        <f t="shared" si="7"/>
        <v>1.4506293972899185</v>
      </c>
      <c r="AD31" s="10">
        <f t="shared" si="8"/>
        <v>-3.828347584161035</v>
      </c>
      <c r="AE31" s="10">
        <f t="shared" si="21"/>
        <v>-1</v>
      </c>
      <c r="AF31" s="10">
        <f t="shared" si="22"/>
        <v>0</v>
      </c>
      <c r="AI31" s="10">
        <f t="shared" si="28"/>
        <v>-1</v>
      </c>
      <c r="AJ31" s="10">
        <f t="shared" si="29"/>
        <v>0</v>
      </c>
      <c r="AK31" s="10">
        <f t="shared" si="30"/>
        <v>0</v>
      </c>
      <c r="AV31" s="39" t="s">
        <v>56</v>
      </c>
      <c r="AW31" s="39"/>
      <c r="AX31" s="39"/>
      <c r="AY31" s="39"/>
      <c r="AZ31" s="39"/>
      <c r="BD31" s="10">
        <f t="shared" si="23"/>
        <v>12</v>
      </c>
      <c r="BE31" s="10">
        <v>0.13045450941717718</v>
      </c>
      <c r="BF31" s="10">
        <v>-0.51932488531747367</v>
      </c>
      <c r="BG31" s="10">
        <v>0.23413800469985047</v>
      </c>
      <c r="BJ31" s="16">
        <f>1</f>
        <v>1</v>
      </c>
      <c r="BK31" s="14">
        <f t="shared" si="11"/>
        <v>6.395536380210519</v>
      </c>
      <c r="BL31" s="14">
        <f t="shared" si="12"/>
        <v>14.250697706304774</v>
      </c>
      <c r="BM31" s="16">
        <f t="shared" si="13"/>
        <v>1</v>
      </c>
      <c r="BO31" s="10">
        <f t="shared" si="24"/>
        <v>-122.14491354938022</v>
      </c>
      <c r="BP31" s="10">
        <f t="shared" si="25"/>
        <v>-1</v>
      </c>
      <c r="BQ31" s="10">
        <f t="shared" si="26"/>
        <v>-1</v>
      </c>
      <c r="BR31" s="10">
        <f t="shared" si="27"/>
        <v>1</v>
      </c>
    </row>
    <row r="32" spans="1:71" x14ac:dyDescent="0.25">
      <c r="B32" s="10">
        <f t="shared" si="14"/>
        <v>13</v>
      </c>
      <c r="C32">
        <v>0.67648443291545846</v>
      </c>
      <c r="D32">
        <v>0.18553464542492293</v>
      </c>
      <c r="E32">
        <v>0.96874904629657888</v>
      </c>
      <c r="H32" s="18">
        <f>1</f>
        <v>1</v>
      </c>
      <c r="I32" s="19">
        <f t="shared" si="0"/>
        <v>7.1827279923854288</v>
      </c>
      <c r="J32" s="19">
        <f t="shared" si="1"/>
        <v>15.266868224592686</v>
      </c>
      <c r="K32" s="18">
        <f t="shared" si="2"/>
        <v>-1</v>
      </c>
      <c r="L32" s="17"/>
      <c r="M32" s="17"/>
      <c r="N32" s="18">
        <f t="shared" si="15"/>
        <v>-100</v>
      </c>
      <c r="O32" s="18">
        <f t="shared" si="15"/>
        <v>-100</v>
      </c>
      <c r="P32" s="18">
        <f t="shared" si="16"/>
        <v>7.1827279923854288</v>
      </c>
      <c r="Q32" s="18">
        <f t="shared" si="16"/>
        <v>15.266868224592686</v>
      </c>
      <c r="S32" s="10">
        <f t="shared" si="17"/>
        <v>-47.927401706832782</v>
      </c>
      <c r="T32" s="10">
        <f t="shared" si="18"/>
        <v>-1</v>
      </c>
      <c r="U32" s="10">
        <f t="shared" si="19"/>
        <v>0</v>
      </c>
      <c r="V32" s="10">
        <f t="shared" si="20"/>
        <v>0</v>
      </c>
      <c r="Y32" s="10">
        <f t="shared" si="3"/>
        <v>0</v>
      </c>
      <c r="Z32" s="10">
        <f t="shared" si="4"/>
        <v>0</v>
      </c>
      <c r="AA32" s="10">
        <f t="shared" si="5"/>
        <v>0</v>
      </c>
      <c r="AB32" s="10">
        <f t="shared" si="6"/>
        <v>9.9999999999999978E-2</v>
      </c>
      <c r="AC32" s="10">
        <f t="shared" si="7"/>
        <v>1.4506293972899185</v>
      </c>
      <c r="AD32" s="10">
        <f t="shared" si="8"/>
        <v>-3.828347584161035</v>
      </c>
      <c r="AE32" s="10">
        <f t="shared" si="21"/>
        <v>-1</v>
      </c>
      <c r="AF32" s="10">
        <f t="shared" si="22"/>
        <v>0</v>
      </c>
      <c r="AI32" s="10">
        <f t="shared" si="28"/>
        <v>-1</v>
      </c>
      <c r="AJ32" s="10">
        <f t="shared" si="29"/>
        <v>0</v>
      </c>
      <c r="AK32" s="10">
        <f t="shared" si="30"/>
        <v>0</v>
      </c>
      <c r="AV32" s="10" t="s">
        <v>57</v>
      </c>
      <c r="AW32" s="10">
        <v>0</v>
      </c>
      <c r="AX32" s="10">
        <f>-AI17/AK17-AJ17/AK17*AW32</f>
        <v>-0.4220436946995339</v>
      </c>
      <c r="AY32" s="10">
        <v>15</v>
      </c>
      <c r="AZ32" s="10">
        <f>-AI17/AK17-AJ17/AK17*AY32</f>
        <v>24.76375840526434</v>
      </c>
      <c r="BD32" s="10">
        <f t="shared" si="23"/>
        <v>13</v>
      </c>
      <c r="BE32" s="10">
        <v>2.474962457199581E-2</v>
      </c>
      <c r="BF32" s="10">
        <v>0.81599637269391678</v>
      </c>
      <c r="BG32" s="10">
        <v>0.95129245887630853</v>
      </c>
      <c r="BJ32" s="16">
        <f>1</f>
        <v>1</v>
      </c>
      <c r="BK32" s="14">
        <f t="shared" si="11"/>
        <v>6.2431454669379729</v>
      </c>
      <c r="BL32" s="14">
        <f t="shared" si="12"/>
        <v>16.175782117669868</v>
      </c>
      <c r="BM32" s="16">
        <f t="shared" si="13"/>
        <v>-1</v>
      </c>
      <c r="BO32" s="10">
        <f t="shared" si="24"/>
        <v>-130.8690434552062</v>
      </c>
      <c r="BP32" s="10">
        <f t="shared" si="25"/>
        <v>-1</v>
      </c>
      <c r="BQ32" s="10">
        <f t="shared" si="26"/>
        <v>0</v>
      </c>
      <c r="BR32" s="10">
        <f t="shared" si="27"/>
        <v>0</v>
      </c>
    </row>
    <row r="33" spans="2:70" x14ac:dyDescent="0.25">
      <c r="B33" s="10">
        <f t="shared" si="14"/>
        <v>14</v>
      </c>
      <c r="C33">
        <v>-1.1314136827422772</v>
      </c>
      <c r="D33">
        <v>-0.29016405278525781</v>
      </c>
      <c r="E33">
        <v>0.57493820001831109</v>
      </c>
      <c r="H33" s="18">
        <f>1</f>
        <v>1</v>
      </c>
      <c r="I33" s="19">
        <f t="shared" si="0"/>
        <v>4.5763465999614752</v>
      </c>
      <c r="J33" s="19">
        <f t="shared" si="1"/>
        <v>14.58107059878774</v>
      </c>
      <c r="K33" s="18">
        <f t="shared" si="2"/>
        <v>-1</v>
      </c>
      <c r="L33" s="17"/>
      <c r="M33" s="17"/>
      <c r="N33" s="18">
        <f t="shared" si="15"/>
        <v>-100</v>
      </c>
      <c r="O33" s="18">
        <f t="shared" si="15"/>
        <v>-100</v>
      </c>
      <c r="P33" s="18">
        <f t="shared" si="16"/>
        <v>4.5763465999614752</v>
      </c>
      <c r="Q33" s="18">
        <f t="shared" si="16"/>
        <v>14.58107059878774</v>
      </c>
      <c r="S33" s="10">
        <f t="shared" si="17"/>
        <v>-49.082823491258665</v>
      </c>
      <c r="T33" s="10">
        <f t="shared" si="18"/>
        <v>-1</v>
      </c>
      <c r="U33" s="10">
        <f t="shared" si="19"/>
        <v>0</v>
      </c>
      <c r="V33" s="10">
        <f t="shared" si="20"/>
        <v>0</v>
      </c>
      <c r="Y33" s="10">
        <f t="shared" si="3"/>
        <v>0</v>
      </c>
      <c r="Z33" s="10">
        <f t="shared" si="4"/>
        <v>0</v>
      </c>
      <c r="AA33" s="10">
        <f t="shared" si="5"/>
        <v>0</v>
      </c>
      <c r="AB33" s="10">
        <f t="shared" si="6"/>
        <v>9.9999999999999978E-2</v>
      </c>
      <c r="AC33" s="10">
        <f t="shared" si="7"/>
        <v>1.4506293972899185</v>
      </c>
      <c r="AD33" s="10">
        <f t="shared" si="8"/>
        <v>-3.828347584161035</v>
      </c>
      <c r="AE33" s="10">
        <f t="shared" si="21"/>
        <v>-1</v>
      </c>
      <c r="AF33" s="10">
        <f t="shared" si="22"/>
        <v>0</v>
      </c>
      <c r="AI33" s="10">
        <f t="shared" si="28"/>
        <v>-1</v>
      </c>
      <c r="AJ33" s="10">
        <f t="shared" si="29"/>
        <v>1</v>
      </c>
      <c r="AK33" s="10">
        <f t="shared" si="30"/>
        <v>1</v>
      </c>
      <c r="AV33" s="10" t="s">
        <v>58</v>
      </c>
      <c r="AW33" s="10">
        <v>0</v>
      </c>
      <c r="AX33" s="10">
        <v>0</v>
      </c>
      <c r="AY33" s="10">
        <f>AJ17/SQRT(SUMSQ($AJ$17:$AK$17))</f>
        <v>0.85916614849124051</v>
      </c>
      <c r="AZ33" s="10">
        <f>AK17/SQRT(SUMSQ($AJ$17:$AK$17))</f>
        <v>-0.51169671611876477</v>
      </c>
      <c r="BD33" s="10">
        <f t="shared" si="23"/>
        <v>14</v>
      </c>
      <c r="BE33" s="10">
        <v>2.4137989385053515E-2</v>
      </c>
      <c r="BF33" s="10">
        <v>0.30503770176437683</v>
      </c>
      <c r="BG33" s="10">
        <v>0.34958952604754784</v>
      </c>
      <c r="BJ33" s="16">
        <f>1</f>
        <v>1</v>
      </c>
      <c r="BK33" s="14">
        <f t="shared" si="11"/>
        <v>6.2422636945878649</v>
      </c>
      <c r="BL33" s="14">
        <f t="shared" si="12"/>
        <v>15.439151463168676</v>
      </c>
      <c r="BM33" s="16">
        <f t="shared" si="13"/>
        <v>1</v>
      </c>
      <c r="BO33" s="10">
        <f t="shared" si="24"/>
        <v>-127.07708826797642</v>
      </c>
      <c r="BP33" s="10">
        <f t="shared" si="25"/>
        <v>-1</v>
      </c>
      <c r="BQ33" s="10">
        <f t="shared" si="26"/>
        <v>-1</v>
      </c>
      <c r="BR33" s="10">
        <f t="shared" si="27"/>
        <v>1</v>
      </c>
    </row>
    <row r="34" spans="2:70" x14ac:dyDescent="0.25">
      <c r="B34" s="10">
        <f t="shared" si="14"/>
        <v>15</v>
      </c>
      <c r="C34">
        <v>-0.36026449379278347</v>
      </c>
      <c r="D34">
        <v>-0.96695430329418741</v>
      </c>
      <c r="E34">
        <v>0.87929929502243109</v>
      </c>
      <c r="H34" s="18">
        <f>1</f>
        <v>1</v>
      </c>
      <c r="I34" s="19">
        <f t="shared" si="0"/>
        <v>5.6880845233839761</v>
      </c>
      <c r="J34" s="19">
        <f t="shared" si="1"/>
        <v>13.605366547645087</v>
      </c>
      <c r="K34" s="18">
        <f t="shared" si="2"/>
        <v>-1</v>
      </c>
      <c r="L34" s="17"/>
      <c r="M34" s="17"/>
      <c r="N34" s="18">
        <f t="shared" si="15"/>
        <v>-100</v>
      </c>
      <c r="O34" s="18">
        <f t="shared" si="15"/>
        <v>-100</v>
      </c>
      <c r="P34" s="18">
        <f t="shared" si="16"/>
        <v>5.6880845233839761</v>
      </c>
      <c r="Q34" s="18">
        <f t="shared" si="16"/>
        <v>13.605366547645087</v>
      </c>
      <c r="S34" s="10">
        <f t="shared" si="17"/>
        <v>-43.734769530411818</v>
      </c>
      <c r="T34" s="10">
        <f t="shared" si="18"/>
        <v>-1</v>
      </c>
      <c r="U34" s="10">
        <f t="shared" si="19"/>
        <v>0</v>
      </c>
      <c r="V34" s="10">
        <f t="shared" si="20"/>
        <v>0</v>
      </c>
      <c r="Y34" s="10">
        <f t="shared" si="3"/>
        <v>0</v>
      </c>
      <c r="Z34" s="10">
        <f t="shared" si="4"/>
        <v>0</v>
      </c>
      <c r="AA34" s="10">
        <f t="shared" si="5"/>
        <v>0</v>
      </c>
      <c r="AB34" s="10">
        <f t="shared" si="6"/>
        <v>9.9999999999999978E-2</v>
      </c>
      <c r="AC34" s="10">
        <f t="shared" si="7"/>
        <v>1.4506293972899185</v>
      </c>
      <c r="AD34" s="10">
        <f t="shared" si="8"/>
        <v>-3.828347584161035</v>
      </c>
      <c r="AE34" s="10">
        <f t="shared" si="21"/>
        <v>-1</v>
      </c>
      <c r="AF34" s="10">
        <f t="shared" si="22"/>
        <v>0</v>
      </c>
      <c r="AI34" s="10">
        <f t="shared" si="28"/>
        <v>-1</v>
      </c>
      <c r="AJ34" s="10">
        <f t="shared" si="29"/>
        <v>0</v>
      </c>
      <c r="AK34" s="10">
        <f t="shared" si="30"/>
        <v>0</v>
      </c>
      <c r="BD34" s="10">
        <f t="shared" si="23"/>
        <v>15</v>
      </c>
      <c r="BE34" s="10">
        <v>-1.6933154256548733</v>
      </c>
      <c r="BF34" s="10">
        <v>0.4396702024678234</v>
      </c>
      <c r="BG34" s="10">
        <v>0.64745017853328046</v>
      </c>
      <c r="BJ34" s="16">
        <f>1</f>
        <v>1</v>
      </c>
      <c r="BK34" s="14">
        <f t="shared" si="11"/>
        <v>3.766273159199486</v>
      </c>
      <c r="BL34" s="14">
        <f t="shared" si="12"/>
        <v>15.633246275044348</v>
      </c>
      <c r="BM34" s="16">
        <f t="shared" si="13"/>
        <v>-1</v>
      </c>
      <c r="BO34" s="10">
        <f t="shared" si="24"/>
        <v>-109.09771587347322</v>
      </c>
      <c r="BP34" s="10">
        <f t="shared" si="25"/>
        <v>-1</v>
      </c>
      <c r="BQ34" s="10">
        <f t="shared" si="26"/>
        <v>0</v>
      </c>
      <c r="BR34" s="10">
        <f t="shared" si="27"/>
        <v>0</v>
      </c>
    </row>
    <row r="35" spans="2:70" x14ac:dyDescent="0.25">
      <c r="B35" s="10">
        <f t="shared" si="14"/>
        <v>16</v>
      </c>
      <c r="C35">
        <v>-0.91735046225949191</v>
      </c>
      <c r="D35">
        <v>-5.0013113650493324E-2</v>
      </c>
      <c r="E35">
        <v>0.20813623462630085</v>
      </c>
      <c r="H35" s="18">
        <f>1</f>
        <v>1</v>
      </c>
      <c r="I35" s="19">
        <f t="shared" si="0"/>
        <v>4.8849538106425348</v>
      </c>
      <c r="J35" s="19">
        <f t="shared" si="1"/>
        <v>14.927287530877559</v>
      </c>
      <c r="K35" s="18">
        <f t="shared" si="2"/>
        <v>1</v>
      </c>
      <c r="L35" s="17"/>
      <c r="M35" s="17"/>
      <c r="N35" s="18">
        <f t="shared" si="15"/>
        <v>4.8849538106425348</v>
      </c>
      <c r="O35" s="18">
        <f t="shared" si="15"/>
        <v>14.927287530877559</v>
      </c>
      <c r="P35" s="18">
        <f t="shared" si="16"/>
        <v>-100</v>
      </c>
      <c r="Q35" s="18">
        <f t="shared" si="16"/>
        <v>-100</v>
      </c>
      <c r="S35" s="10">
        <f t="shared" si="17"/>
        <v>-49.96058755479077</v>
      </c>
      <c r="T35" s="10">
        <f t="shared" si="18"/>
        <v>-1</v>
      </c>
      <c r="U35" s="10">
        <f t="shared" si="19"/>
        <v>1</v>
      </c>
      <c r="V35" s="10">
        <f t="shared" si="20"/>
        <v>1</v>
      </c>
      <c r="Y35" s="10">
        <f t="shared" si="3"/>
        <v>0.70082399975499998</v>
      </c>
      <c r="Z35" s="10">
        <f t="shared" si="4"/>
        <v>3.42349286819293</v>
      </c>
      <c r="AA35" s="10">
        <f t="shared" si="5"/>
        <v>10.461401352882548</v>
      </c>
      <c r="AB35" s="10">
        <f t="shared" si="6"/>
        <v>0.80082399975499996</v>
      </c>
      <c r="AC35" s="10">
        <f t="shared" si="7"/>
        <v>4.874122265482848</v>
      </c>
      <c r="AD35" s="10">
        <f t="shared" si="8"/>
        <v>6.6330537687215134</v>
      </c>
      <c r="AE35" s="10">
        <f t="shared" si="21"/>
        <v>-1</v>
      </c>
      <c r="AF35" s="10">
        <f t="shared" si="22"/>
        <v>1</v>
      </c>
      <c r="AI35" s="10">
        <f t="shared" si="28"/>
        <v>-1</v>
      </c>
      <c r="AJ35" s="10">
        <f t="shared" si="29"/>
        <v>0</v>
      </c>
      <c r="AK35" s="10">
        <f t="shared" si="30"/>
        <v>0</v>
      </c>
      <c r="BD35" s="10">
        <f t="shared" si="23"/>
        <v>16</v>
      </c>
      <c r="BE35" s="10">
        <v>1.1116139830846805</v>
      </c>
      <c r="BF35" s="10">
        <v>-1.1167367119924165</v>
      </c>
      <c r="BG35" s="10">
        <v>0.34931485946226387</v>
      </c>
      <c r="BJ35" s="16">
        <f>1</f>
        <v>1</v>
      </c>
      <c r="BK35" s="14">
        <f t="shared" si="11"/>
        <v>7.810038543258071</v>
      </c>
      <c r="BL35" s="14">
        <f t="shared" si="12"/>
        <v>13.389430660792595</v>
      </c>
      <c r="BM35" s="16">
        <f t="shared" si="13"/>
        <v>1</v>
      </c>
      <c r="BO35" s="10">
        <f t="shared" si="24"/>
        <v>-128.56043773993545</v>
      </c>
      <c r="BP35" s="10">
        <f t="shared" si="25"/>
        <v>-1</v>
      </c>
      <c r="BQ35" s="10">
        <f t="shared" si="26"/>
        <v>-1</v>
      </c>
      <c r="BR35" s="10">
        <f t="shared" si="27"/>
        <v>1</v>
      </c>
    </row>
    <row r="36" spans="2:70" x14ac:dyDescent="0.25">
      <c r="B36" s="10">
        <f t="shared" si="14"/>
        <v>17</v>
      </c>
      <c r="C36">
        <v>-1.1259180610068142</v>
      </c>
      <c r="D36">
        <v>-0.46483592086588033</v>
      </c>
      <c r="E36">
        <v>0.16330454420606097</v>
      </c>
      <c r="H36" s="18">
        <f>1</f>
        <v>1</v>
      </c>
      <c r="I36" s="19">
        <f t="shared" si="0"/>
        <v>4.5842694392559338</v>
      </c>
      <c r="J36" s="19">
        <f t="shared" si="1"/>
        <v>14.329252477621306</v>
      </c>
      <c r="K36" s="18">
        <f t="shared" si="2"/>
        <v>1</v>
      </c>
      <c r="L36" s="17"/>
      <c r="M36" s="17"/>
      <c r="N36" s="18">
        <f t="shared" si="15"/>
        <v>4.5842694392559338</v>
      </c>
      <c r="O36" s="18">
        <f t="shared" si="15"/>
        <v>14.329252477621306</v>
      </c>
      <c r="P36" s="18">
        <f t="shared" si="16"/>
        <v>-100</v>
      </c>
      <c r="Q36" s="18">
        <f t="shared" si="16"/>
        <v>-100</v>
      </c>
      <c r="S36" s="10">
        <f t="shared" si="17"/>
        <v>118.191815894253</v>
      </c>
      <c r="T36" s="10">
        <f t="shared" si="18"/>
        <v>1</v>
      </c>
      <c r="U36" s="10">
        <f t="shared" si="19"/>
        <v>0</v>
      </c>
      <c r="V36" s="10">
        <f t="shared" si="20"/>
        <v>0</v>
      </c>
      <c r="Y36" s="10">
        <f t="shared" si="3"/>
        <v>0</v>
      </c>
      <c r="Z36" s="10">
        <f t="shared" si="4"/>
        <v>0</v>
      </c>
      <c r="AA36" s="10">
        <f t="shared" si="5"/>
        <v>0</v>
      </c>
      <c r="AB36" s="10">
        <f t="shared" si="6"/>
        <v>0.80082399975499996</v>
      </c>
      <c r="AC36" s="10">
        <f t="shared" si="7"/>
        <v>4.874122265482848</v>
      </c>
      <c r="AD36" s="10">
        <f t="shared" si="8"/>
        <v>6.6330537687215134</v>
      </c>
      <c r="AE36" s="10">
        <f t="shared" si="21"/>
        <v>-1</v>
      </c>
      <c r="AF36" s="10">
        <f t="shared" si="22"/>
        <v>1</v>
      </c>
      <c r="AI36" s="10">
        <f t="shared" si="28"/>
        <v>-1</v>
      </c>
      <c r="AJ36" s="10">
        <f t="shared" si="29"/>
        <v>0</v>
      </c>
      <c r="AK36" s="10">
        <f t="shared" si="30"/>
        <v>0</v>
      </c>
      <c r="BD36" s="10">
        <f t="shared" si="23"/>
        <v>17</v>
      </c>
      <c r="BE36" s="10">
        <v>4.6488821681123227E-2</v>
      </c>
      <c r="BF36" s="10">
        <v>0.80188328865915537</v>
      </c>
      <c r="BG36" s="10">
        <v>0.73638111514633631</v>
      </c>
      <c r="BJ36" s="16">
        <f>1</f>
        <v>1</v>
      </c>
      <c r="BK36" s="14">
        <f t="shared" si="11"/>
        <v>6.2744860819542412</v>
      </c>
      <c r="BL36" s="14">
        <f t="shared" si="12"/>
        <v>16.155435794334863</v>
      </c>
      <c r="BM36" s="16">
        <f t="shared" si="13"/>
        <v>-1</v>
      </c>
      <c r="BO36" s="10">
        <f t="shared" si="24"/>
        <v>-131.00469718112575</v>
      </c>
      <c r="BP36" s="10">
        <f t="shared" si="25"/>
        <v>-1</v>
      </c>
      <c r="BQ36" s="10">
        <f t="shared" si="26"/>
        <v>0</v>
      </c>
      <c r="BR36" s="10">
        <f t="shared" si="27"/>
        <v>0</v>
      </c>
    </row>
    <row r="37" spans="2:70" x14ac:dyDescent="0.25">
      <c r="B37" s="10">
        <f t="shared" si="14"/>
        <v>18</v>
      </c>
      <c r="C37">
        <v>-0.16115109247039072</v>
      </c>
      <c r="D37">
        <v>-0.85801957538933493</v>
      </c>
      <c r="E37">
        <v>0.97006134220404672</v>
      </c>
      <c r="H37" s="18">
        <f>1</f>
        <v>1</v>
      </c>
      <c r="I37" s="19">
        <f t="shared" si="0"/>
        <v>5.9751391199313719</v>
      </c>
      <c r="J37" s="19">
        <f t="shared" si="1"/>
        <v>13.762413808959742</v>
      </c>
      <c r="K37" s="18">
        <f t="shared" si="2"/>
        <v>-1</v>
      </c>
      <c r="L37" s="17"/>
      <c r="M37" s="17"/>
      <c r="N37" s="18">
        <f t="shared" si="15"/>
        <v>-100</v>
      </c>
      <c r="O37" s="18">
        <f t="shared" si="15"/>
        <v>-100</v>
      </c>
      <c r="P37" s="18">
        <f t="shared" si="16"/>
        <v>5.9751391199313719</v>
      </c>
      <c r="Q37" s="18">
        <f t="shared" si="16"/>
        <v>13.762413808959742</v>
      </c>
      <c r="S37" s="10">
        <f t="shared" si="17"/>
        <v>121.21121340579552</v>
      </c>
      <c r="T37" s="10">
        <f t="shared" si="18"/>
        <v>1</v>
      </c>
      <c r="U37" s="10">
        <f t="shared" si="19"/>
        <v>-1</v>
      </c>
      <c r="V37" s="10">
        <f t="shared" si="20"/>
        <v>1</v>
      </c>
      <c r="Y37" s="10">
        <f t="shared" si="3"/>
        <v>-0.70082399975499998</v>
      </c>
      <c r="Z37" s="10">
        <f t="shared" si="4"/>
        <v>-4.1875208971228748</v>
      </c>
      <c r="AA37" s="10">
        <f t="shared" si="5"/>
        <v>-9.645029891878611</v>
      </c>
      <c r="AB37" s="10">
        <f t="shared" si="6"/>
        <v>9.9999999999999978E-2</v>
      </c>
      <c r="AC37" s="10">
        <f t="shared" si="7"/>
        <v>0.68660136835997321</v>
      </c>
      <c r="AD37" s="10">
        <f t="shared" si="8"/>
        <v>-3.0119761231570976</v>
      </c>
      <c r="AE37" s="10">
        <f t="shared" si="21"/>
        <v>-1</v>
      </c>
      <c r="AF37" s="10">
        <f t="shared" si="22"/>
        <v>0</v>
      </c>
      <c r="AI37" s="10">
        <f t="shared" si="28"/>
        <v>-1</v>
      </c>
      <c r="AJ37" s="10">
        <f t="shared" si="29"/>
        <v>0</v>
      </c>
      <c r="AK37" s="10">
        <f t="shared" si="30"/>
        <v>0</v>
      </c>
      <c r="BD37" s="10">
        <f t="shared" si="23"/>
        <v>18</v>
      </c>
      <c r="BE37" s="10">
        <v>2.0081643015146255E-2</v>
      </c>
      <c r="BF37" s="10">
        <v>0.1220496415044181</v>
      </c>
      <c r="BG37" s="10">
        <v>0.76073488570818204</v>
      </c>
      <c r="BJ37" s="16">
        <f>1</f>
        <v>1</v>
      </c>
      <c r="BK37" s="14">
        <f t="shared" si="11"/>
        <v>6.2364158065856667</v>
      </c>
      <c r="BL37" s="14">
        <f t="shared" si="12"/>
        <v>15.175344188208499</v>
      </c>
      <c r="BM37" s="16">
        <f t="shared" si="13"/>
        <v>-1</v>
      </c>
      <c r="BO37" s="10">
        <f t="shared" si="24"/>
        <v>-125.67668731200955</v>
      </c>
      <c r="BP37" s="10">
        <f t="shared" si="25"/>
        <v>-1</v>
      </c>
      <c r="BQ37" s="10">
        <f t="shared" si="26"/>
        <v>0</v>
      </c>
      <c r="BR37" s="10">
        <f t="shared" si="27"/>
        <v>0</v>
      </c>
    </row>
    <row r="38" spans="2:70" x14ac:dyDescent="0.25">
      <c r="B38" s="10">
        <f t="shared" si="14"/>
        <v>19</v>
      </c>
      <c r="C38">
        <v>0.2572824087110348</v>
      </c>
      <c r="D38">
        <v>0.98369355328031816</v>
      </c>
      <c r="E38">
        <v>0.54048280281991024</v>
      </c>
      <c r="H38" s="18">
        <f>1</f>
        <v>1</v>
      </c>
      <c r="I38" s="19">
        <f t="shared" si="0"/>
        <v>6.5783795802209726</v>
      </c>
      <c r="J38" s="19">
        <f t="shared" si="1"/>
        <v>16.417545083877364</v>
      </c>
      <c r="K38" s="18">
        <f t="shared" si="2"/>
        <v>-1</v>
      </c>
      <c r="L38" s="17"/>
      <c r="M38" s="17"/>
      <c r="N38" s="18">
        <f t="shared" si="15"/>
        <v>-100</v>
      </c>
      <c r="O38" s="18">
        <f t="shared" si="15"/>
        <v>-100</v>
      </c>
      <c r="P38" s="18">
        <f t="shared" si="16"/>
        <v>6.5783795802209726</v>
      </c>
      <c r="Q38" s="18">
        <f t="shared" si="16"/>
        <v>16.417545083877364</v>
      </c>
      <c r="S38" s="10">
        <f t="shared" si="17"/>
        <v>-44.832529372122785</v>
      </c>
      <c r="T38" s="10">
        <f t="shared" si="18"/>
        <v>-1</v>
      </c>
      <c r="U38" s="10">
        <f t="shared" si="19"/>
        <v>0</v>
      </c>
      <c r="V38" s="10">
        <f t="shared" si="20"/>
        <v>0</v>
      </c>
      <c r="Y38" s="10">
        <f t="shared" si="3"/>
        <v>0</v>
      </c>
      <c r="Z38" s="10">
        <f t="shared" si="4"/>
        <v>0</v>
      </c>
      <c r="AA38" s="10">
        <f t="shared" si="5"/>
        <v>0</v>
      </c>
      <c r="AB38" s="10">
        <f t="shared" si="6"/>
        <v>9.9999999999999978E-2</v>
      </c>
      <c r="AC38" s="10">
        <f t="shared" si="7"/>
        <v>0.68660136835997321</v>
      </c>
      <c r="AD38" s="10">
        <f t="shared" si="8"/>
        <v>-3.0119761231570976</v>
      </c>
      <c r="AE38" s="10">
        <f t="shared" si="21"/>
        <v>-1</v>
      </c>
      <c r="AF38" s="10">
        <f t="shared" si="22"/>
        <v>0</v>
      </c>
      <c r="AI38" s="10">
        <f t="shared" si="28"/>
        <v>-1</v>
      </c>
      <c r="AJ38" s="10">
        <f t="shared" si="29"/>
        <v>1</v>
      </c>
      <c r="AK38" s="10">
        <f t="shared" si="30"/>
        <v>1</v>
      </c>
      <c r="BD38" s="10">
        <f t="shared" si="23"/>
        <v>19</v>
      </c>
      <c r="BE38" s="10">
        <v>-0.4603248271450866</v>
      </c>
      <c r="BF38" s="10">
        <v>-2.7487840270623565</v>
      </c>
      <c r="BG38" s="10">
        <v>0.64043092135380109</v>
      </c>
      <c r="BJ38" s="16">
        <f>1</f>
        <v>1</v>
      </c>
      <c r="BK38" s="14">
        <f t="shared" si="11"/>
        <v>5.5438311560561946</v>
      </c>
      <c r="BL38" s="14">
        <f t="shared" si="12"/>
        <v>11.036567013934816</v>
      </c>
      <c r="BM38" s="16">
        <f t="shared" si="13"/>
        <v>-1</v>
      </c>
      <c r="BO38" s="10">
        <f t="shared" si="24"/>
        <v>-99.101289723196061</v>
      </c>
      <c r="BP38" s="10">
        <f t="shared" si="25"/>
        <v>-1</v>
      </c>
      <c r="BQ38" s="10">
        <f t="shared" si="26"/>
        <v>0</v>
      </c>
      <c r="BR38" s="10">
        <f t="shared" si="27"/>
        <v>0</v>
      </c>
    </row>
    <row r="39" spans="2:70" x14ac:dyDescent="0.25">
      <c r="B39" s="10">
        <f t="shared" si="14"/>
        <v>20</v>
      </c>
      <c r="C39">
        <v>0.66136635723523796</v>
      </c>
      <c r="D39">
        <v>0.63878133005346172</v>
      </c>
      <c r="E39">
        <v>0.33530686361278117</v>
      </c>
      <c r="H39" s="18">
        <f>1</f>
        <v>1</v>
      </c>
      <c r="I39" s="19">
        <f t="shared" si="0"/>
        <v>7.1609328089063817</v>
      </c>
      <c r="J39" s="19">
        <f t="shared" si="1"/>
        <v>15.920297593627616</v>
      </c>
      <c r="K39" s="18">
        <f t="shared" si="2"/>
        <v>1</v>
      </c>
      <c r="L39" s="17"/>
      <c r="M39" s="17"/>
      <c r="N39" s="18">
        <f t="shared" si="15"/>
        <v>7.1609328089063817</v>
      </c>
      <c r="O39" s="18">
        <f t="shared" si="15"/>
        <v>15.920297593627616</v>
      </c>
      <c r="P39" s="18">
        <f t="shared" si="16"/>
        <v>-100</v>
      </c>
      <c r="Q39" s="18">
        <f t="shared" si="16"/>
        <v>-100</v>
      </c>
      <c r="S39" s="10">
        <f t="shared" si="17"/>
        <v>-42.934849960232832</v>
      </c>
      <c r="T39" s="10">
        <f t="shared" si="18"/>
        <v>-1</v>
      </c>
      <c r="U39" s="10">
        <f t="shared" si="19"/>
        <v>1</v>
      </c>
      <c r="V39" s="10">
        <f t="shared" si="20"/>
        <v>1</v>
      </c>
      <c r="X39" s="10">
        <f>SUM(V20:V39)</f>
        <v>9</v>
      </c>
      <c r="Y39" s="10">
        <f t="shared" si="3"/>
        <v>0.70082399975499998</v>
      </c>
      <c r="Z39" s="10">
        <f t="shared" si="4"/>
        <v>5.0185535731145778</v>
      </c>
      <c r="AA39" s="10">
        <f t="shared" si="5"/>
        <v>11.157326636856007</v>
      </c>
      <c r="AB39" s="10">
        <f t="shared" si="6"/>
        <v>0.80082399975499996</v>
      </c>
      <c r="AC39" s="10">
        <f t="shared" si="7"/>
        <v>5.705154941474551</v>
      </c>
      <c r="AD39" s="10">
        <f t="shared" si="8"/>
        <v>8.1453505136989097</v>
      </c>
      <c r="AE39" s="10">
        <f t="shared" si="21"/>
        <v>-1</v>
      </c>
      <c r="AF39" s="10">
        <f t="shared" si="22"/>
        <v>1</v>
      </c>
      <c r="AI39" s="10">
        <f t="shared" si="28"/>
        <v>-1</v>
      </c>
      <c r="AJ39" s="10">
        <f t="shared" si="29"/>
        <v>1</v>
      </c>
      <c r="AK39" s="10">
        <f t="shared" si="30"/>
        <v>1</v>
      </c>
      <c r="BD39" s="10">
        <f t="shared" si="23"/>
        <v>20</v>
      </c>
      <c r="BE39" s="10">
        <v>-0.91746642283396795</v>
      </c>
      <c r="BF39" s="10">
        <v>-0.96512394520686939</v>
      </c>
      <c r="BG39" s="10">
        <v>0.11511581774346141</v>
      </c>
      <c r="BJ39" s="16">
        <f>1</f>
        <v>1</v>
      </c>
      <c r="BK39" s="14">
        <f t="shared" si="11"/>
        <v>4.8847866344720687</v>
      </c>
      <c r="BL39" s="14">
        <f t="shared" si="12"/>
        <v>13.608005308767156</v>
      </c>
      <c r="BM39" s="16">
        <f t="shared" si="13"/>
        <v>1</v>
      </c>
      <c r="BO39" s="10">
        <f t="shared" si="24"/>
        <v>-107.26358177141927</v>
      </c>
      <c r="BP39" s="10">
        <f t="shared" si="25"/>
        <v>-1</v>
      </c>
      <c r="BQ39" s="10">
        <f t="shared" si="26"/>
        <v>-1</v>
      </c>
      <c r="BR39" s="10">
        <f t="shared" si="27"/>
        <v>1</v>
      </c>
    </row>
    <row r="40" spans="2:70" x14ac:dyDescent="0.25">
      <c r="B40" s="10">
        <f t="shared" si="14"/>
        <v>21</v>
      </c>
      <c r="C40">
        <v>-0.23166649043560028</v>
      </c>
      <c r="D40">
        <v>0.12058535503456369</v>
      </c>
      <c r="E40">
        <v>0.49845881527146213</v>
      </c>
      <c r="H40" s="18">
        <f>1</f>
        <v>1</v>
      </c>
      <c r="I40" s="19">
        <f t="shared" si="0"/>
        <v>5.8734796184671385</v>
      </c>
      <c r="J40" s="19">
        <f t="shared" si="1"/>
        <v>15.173233179310843</v>
      </c>
      <c r="K40" s="18">
        <f t="shared" si="2"/>
        <v>1</v>
      </c>
      <c r="L40" s="17"/>
      <c r="M40" s="17"/>
      <c r="N40" s="18">
        <f t="shared" si="15"/>
        <v>5.8734796184671385</v>
      </c>
      <c r="O40" s="18">
        <f t="shared" si="15"/>
        <v>15.173233179310843</v>
      </c>
      <c r="P40" s="18">
        <f t="shared" si="16"/>
        <v>-100</v>
      </c>
      <c r="Q40" s="18">
        <f t="shared" si="16"/>
        <v>-100</v>
      </c>
      <c r="S40" s="12">
        <f t="shared" si="17"/>
        <v>157.90123794027579</v>
      </c>
      <c r="T40" s="12">
        <f t="shared" si="18"/>
        <v>1</v>
      </c>
      <c r="U40" s="12">
        <f t="shared" si="19"/>
        <v>0</v>
      </c>
      <c r="V40" s="12">
        <f t="shared" si="20"/>
        <v>0</v>
      </c>
      <c r="W40" s="12"/>
      <c r="X40" s="12"/>
      <c r="Y40" s="10">
        <f t="shared" si="3"/>
        <v>0</v>
      </c>
      <c r="Z40" s="10">
        <f t="shared" si="4"/>
        <v>0</v>
      </c>
      <c r="AA40" s="10">
        <f t="shared" si="5"/>
        <v>0</v>
      </c>
      <c r="AB40" s="10">
        <f t="shared" si="6"/>
        <v>0.80082399975499996</v>
      </c>
      <c r="AC40" s="10">
        <f t="shared" si="7"/>
        <v>5.705154941474551</v>
      </c>
      <c r="AD40" s="10">
        <f t="shared" si="8"/>
        <v>8.1453505136989097</v>
      </c>
      <c r="AE40" s="10">
        <f t="shared" si="21"/>
        <v>-1</v>
      </c>
      <c r="AF40" s="10">
        <f t="shared" si="22"/>
        <v>1</v>
      </c>
      <c r="AI40" s="10">
        <f t="shared" si="28"/>
        <v>-1</v>
      </c>
      <c r="AJ40" s="10">
        <f t="shared" si="29"/>
        <v>0</v>
      </c>
      <c r="AK40" s="10">
        <f t="shared" si="30"/>
        <v>0</v>
      </c>
      <c r="BD40" s="10">
        <f t="shared" si="23"/>
        <v>21</v>
      </c>
      <c r="BE40" s="10">
        <v>-0.65225435719185043</v>
      </c>
      <c r="BF40" s="10">
        <v>-0.24812152332742698</v>
      </c>
      <c r="BG40" s="10">
        <v>0.93301187170018618</v>
      </c>
      <c r="BJ40" s="16">
        <f>1</f>
        <v>1</v>
      </c>
      <c r="BK40" s="14">
        <f t="shared" si="11"/>
        <v>5.2671332871674013</v>
      </c>
      <c r="BL40" s="14">
        <f t="shared" si="12"/>
        <v>14.641681794474207</v>
      </c>
      <c r="BM40" s="16">
        <f t="shared" si="13"/>
        <v>-1</v>
      </c>
      <c r="BO40" s="10">
        <f t="shared" si="24"/>
        <v>-115.5055764254229</v>
      </c>
      <c r="BP40" s="10">
        <f t="shared" si="25"/>
        <v>-1</v>
      </c>
      <c r="BQ40" s="10">
        <f t="shared" si="26"/>
        <v>0</v>
      </c>
      <c r="BR40" s="10">
        <f t="shared" si="27"/>
        <v>0</v>
      </c>
    </row>
    <row r="41" spans="2:70" x14ac:dyDescent="0.25">
      <c r="B41" s="10">
        <f t="shared" si="14"/>
        <v>22</v>
      </c>
      <c r="C41">
        <v>1.2920031622343231</v>
      </c>
      <c r="D41">
        <v>-0.35341599868843332</v>
      </c>
      <c r="E41">
        <v>0.66820276497695852</v>
      </c>
      <c r="H41" s="18">
        <f>1</f>
        <v>1</v>
      </c>
      <c r="I41" s="19">
        <f t="shared" si="0"/>
        <v>8.0700991052213258</v>
      </c>
      <c r="J41" s="19">
        <f t="shared" si="1"/>
        <v>14.489882553726547</v>
      </c>
      <c r="K41" s="18">
        <f t="shared" si="2"/>
        <v>-1</v>
      </c>
      <c r="L41" s="17"/>
      <c r="M41" s="17"/>
      <c r="N41" s="18">
        <f t="shared" si="15"/>
        <v>-100</v>
      </c>
      <c r="O41" s="18">
        <f t="shared" si="15"/>
        <v>-100</v>
      </c>
      <c r="P41" s="18">
        <f t="shared" si="16"/>
        <v>8.0700991052213258</v>
      </c>
      <c r="Q41" s="18">
        <f t="shared" si="16"/>
        <v>14.489882553726547</v>
      </c>
      <c r="S41" s="10">
        <f t="shared" si="17"/>
        <v>164.86716209053122</v>
      </c>
      <c r="T41" s="10">
        <f t="shared" si="18"/>
        <v>1</v>
      </c>
      <c r="U41" s="10">
        <f t="shared" si="19"/>
        <v>-1</v>
      </c>
      <c r="V41" s="10">
        <f t="shared" si="20"/>
        <v>1</v>
      </c>
      <c r="Y41" s="10">
        <f t="shared" si="3"/>
        <v>-0.70082399975499998</v>
      </c>
      <c r="Z41" s="10">
        <f t="shared" si="4"/>
        <v>-5.6557191333404564</v>
      </c>
      <c r="AA41" s="10">
        <f t="shared" si="5"/>
        <v>-10.154857447282833</v>
      </c>
      <c r="AB41" s="10">
        <f t="shared" si="6"/>
        <v>9.9999999999999978E-2</v>
      </c>
      <c r="AC41" s="10">
        <f t="shared" si="7"/>
        <v>4.943580813409465E-2</v>
      </c>
      <c r="AD41" s="10">
        <f t="shared" si="8"/>
        <v>-2.0095069335839231</v>
      </c>
      <c r="AE41" s="10">
        <f t="shared" si="21"/>
        <v>-1</v>
      </c>
      <c r="AF41" s="10">
        <f t="shared" si="22"/>
        <v>0</v>
      </c>
      <c r="AI41" s="10">
        <f t="shared" si="28"/>
        <v>-1</v>
      </c>
      <c r="AJ41" s="10">
        <f t="shared" si="29"/>
        <v>0</v>
      </c>
      <c r="AK41" s="10">
        <f t="shared" si="30"/>
        <v>0</v>
      </c>
      <c r="BD41" s="10">
        <f t="shared" si="23"/>
        <v>22</v>
      </c>
      <c r="BE41" s="10">
        <v>1.468938535253983</v>
      </c>
      <c r="BF41" s="10">
        <v>-1.3716544344788417</v>
      </c>
      <c r="BG41" s="10">
        <v>0.50315866573076573</v>
      </c>
      <c r="BJ41" s="16">
        <f>1</f>
        <v>1</v>
      </c>
      <c r="BK41" s="14">
        <f t="shared" si="11"/>
        <v>8.3251804396759805</v>
      </c>
      <c r="BL41" s="14">
        <f t="shared" si="12"/>
        <v>13.021924990681317</v>
      </c>
      <c r="BM41" s="16">
        <f t="shared" si="13"/>
        <v>-1</v>
      </c>
      <c r="BO41" s="10">
        <f t="shared" si="24"/>
        <v>-130.62020165021698</v>
      </c>
      <c r="BP41" s="10">
        <f t="shared" si="25"/>
        <v>-1</v>
      </c>
      <c r="BQ41" s="10">
        <f t="shared" si="26"/>
        <v>0</v>
      </c>
      <c r="BR41" s="10">
        <f t="shared" si="27"/>
        <v>0</v>
      </c>
    </row>
    <row r="42" spans="2:70" x14ac:dyDescent="0.25">
      <c r="B42" s="10">
        <f t="shared" si="14"/>
        <v>23</v>
      </c>
      <c r="C42">
        <v>-0.25641384127084166</v>
      </c>
      <c r="D42">
        <v>0.22962353796174284</v>
      </c>
      <c r="E42">
        <v>0.77452925199133271</v>
      </c>
      <c r="H42" s="18">
        <f>1</f>
        <v>1</v>
      </c>
      <c r="I42" s="19">
        <f t="shared" si="0"/>
        <v>5.8378022569111225</v>
      </c>
      <c r="J42" s="19">
        <f t="shared" si="1"/>
        <v>15.330429587993267</v>
      </c>
      <c r="K42" s="18">
        <f t="shared" si="2"/>
        <v>-1</v>
      </c>
      <c r="L42" s="17"/>
      <c r="M42" s="17"/>
      <c r="N42" s="18">
        <f t="shared" si="15"/>
        <v>-100</v>
      </c>
      <c r="O42" s="18">
        <f t="shared" si="15"/>
        <v>-100</v>
      </c>
      <c r="P42" s="18">
        <f t="shared" si="16"/>
        <v>5.8378022569111225</v>
      </c>
      <c r="Q42" s="18">
        <f t="shared" si="16"/>
        <v>15.330429587993267</v>
      </c>
      <c r="S42" s="10">
        <f t="shared" si="17"/>
        <v>-30.41800807959515</v>
      </c>
      <c r="T42" s="10">
        <f t="shared" si="18"/>
        <v>-1</v>
      </c>
      <c r="U42" s="10">
        <f t="shared" si="19"/>
        <v>0</v>
      </c>
      <c r="V42" s="10">
        <f t="shared" si="20"/>
        <v>0</v>
      </c>
      <c r="Y42" s="10">
        <f t="shared" si="3"/>
        <v>0</v>
      </c>
      <c r="Z42" s="10">
        <f t="shared" si="4"/>
        <v>0</v>
      </c>
      <c r="AA42" s="10">
        <f t="shared" si="5"/>
        <v>0</v>
      </c>
      <c r="AB42" s="10">
        <f t="shared" si="6"/>
        <v>9.9999999999999978E-2</v>
      </c>
      <c r="AC42" s="10">
        <f t="shared" si="7"/>
        <v>4.943580813409465E-2</v>
      </c>
      <c r="AD42" s="10">
        <f t="shared" si="8"/>
        <v>-2.0095069335839231</v>
      </c>
      <c r="AE42" s="10">
        <f t="shared" si="21"/>
        <v>-1</v>
      </c>
      <c r="AF42" s="10">
        <f t="shared" si="22"/>
        <v>0</v>
      </c>
      <c r="AI42" s="10">
        <f t="shared" si="28"/>
        <v>-1</v>
      </c>
      <c r="AJ42" s="10">
        <f t="shared" si="29"/>
        <v>1</v>
      </c>
      <c r="AK42" s="10">
        <f t="shared" si="30"/>
        <v>1</v>
      </c>
      <c r="BD42" s="10">
        <f t="shared" si="23"/>
        <v>23</v>
      </c>
      <c r="BE42" s="10">
        <v>-1.0322605703549925</v>
      </c>
      <c r="BF42" s="10">
        <v>0.42371539166197181</v>
      </c>
      <c r="BG42" s="10">
        <v>0.97289956358531449</v>
      </c>
      <c r="BJ42" s="16">
        <f>1</f>
        <v>1</v>
      </c>
      <c r="BK42" s="14">
        <f t="shared" si="11"/>
        <v>4.7192920596026671</v>
      </c>
      <c r="BL42" s="14">
        <f t="shared" si="12"/>
        <v>15.61024480076664</v>
      </c>
      <c r="BM42" s="16">
        <f t="shared" si="13"/>
        <v>-1</v>
      </c>
      <c r="BO42" s="10">
        <f t="shared" si="24"/>
        <v>-116.28374480394234</v>
      </c>
      <c r="BP42" s="10">
        <f t="shared" si="25"/>
        <v>-1</v>
      </c>
      <c r="BQ42" s="10">
        <f t="shared" si="26"/>
        <v>0</v>
      </c>
      <c r="BR42" s="10">
        <f t="shared" si="27"/>
        <v>0</v>
      </c>
    </row>
    <row r="43" spans="2:70" x14ac:dyDescent="0.25">
      <c r="B43" s="10">
        <f t="shared" si="14"/>
        <v>24</v>
      </c>
      <c r="C43">
        <v>1.5884415915934369</v>
      </c>
      <c r="D43">
        <v>-1.3712633517570794</v>
      </c>
      <c r="E43">
        <v>0.32920316171758174</v>
      </c>
      <c r="H43" s="18">
        <f>1</f>
        <v>1</v>
      </c>
      <c r="I43" s="19">
        <f t="shared" si="0"/>
        <v>8.4974636782519717</v>
      </c>
      <c r="J43" s="19">
        <f t="shared" si="1"/>
        <v>13.022488800511125</v>
      </c>
      <c r="K43" s="18">
        <f t="shared" si="2"/>
        <v>1</v>
      </c>
      <c r="L43" s="17"/>
      <c r="M43" s="17"/>
      <c r="N43" s="18">
        <f t="shared" si="15"/>
        <v>8.4974636782519717</v>
      </c>
      <c r="O43" s="18">
        <f t="shared" si="15"/>
        <v>13.022488800511125</v>
      </c>
      <c r="P43" s="18">
        <f t="shared" si="16"/>
        <v>-100</v>
      </c>
      <c r="Q43" s="18">
        <f t="shared" si="16"/>
        <v>-100</v>
      </c>
      <c r="S43" s="10">
        <f t="shared" si="17"/>
        <v>-25.648702553121588</v>
      </c>
      <c r="T43" s="10">
        <f t="shared" si="18"/>
        <v>-1</v>
      </c>
      <c r="U43" s="10">
        <f t="shared" si="19"/>
        <v>1</v>
      </c>
      <c r="V43" s="10">
        <f t="shared" si="20"/>
        <v>1</v>
      </c>
      <c r="Y43" s="10">
        <f t="shared" si="3"/>
        <v>0.70082399975499998</v>
      </c>
      <c r="Z43" s="10">
        <f t="shared" si="4"/>
        <v>5.9552264827653811</v>
      </c>
      <c r="AA43" s="10">
        <f t="shared" si="5"/>
        <v>9.1264726879388984</v>
      </c>
      <c r="AB43" s="10">
        <f t="shared" si="6"/>
        <v>0.80082399975499996</v>
      </c>
      <c r="AC43" s="10">
        <f t="shared" si="7"/>
        <v>6.0046622908994758</v>
      </c>
      <c r="AD43" s="10">
        <f t="shared" si="8"/>
        <v>7.1169657543549754</v>
      </c>
      <c r="AE43" s="10">
        <f t="shared" si="21"/>
        <v>-1</v>
      </c>
      <c r="AF43" s="10">
        <f t="shared" si="22"/>
        <v>1</v>
      </c>
      <c r="AI43" s="10">
        <f t="shared" si="28"/>
        <v>-1</v>
      </c>
      <c r="AJ43" s="10">
        <f t="shared" si="29"/>
        <v>1</v>
      </c>
      <c r="AK43" s="10">
        <f t="shared" si="30"/>
        <v>1</v>
      </c>
      <c r="BD43" s="10">
        <f t="shared" si="23"/>
        <v>24</v>
      </c>
      <c r="BE43" s="10">
        <v>-0.21715322873205878</v>
      </c>
      <c r="BF43" s="10">
        <v>-0.95071982286754064</v>
      </c>
      <c r="BG43" s="10">
        <v>0.76866969817194131</v>
      </c>
      <c r="BJ43" s="16">
        <f>1</f>
        <v>1</v>
      </c>
      <c r="BK43" s="14">
        <f t="shared" si="11"/>
        <v>5.8944028634884589</v>
      </c>
      <c r="BL43" s="14">
        <f t="shared" si="12"/>
        <v>13.62877121151039</v>
      </c>
      <c r="BM43" s="16">
        <f t="shared" si="13"/>
        <v>-1</v>
      </c>
      <c r="BO43" s="10">
        <f t="shared" si="24"/>
        <v>-115.10828947971436</v>
      </c>
      <c r="BP43" s="10">
        <f t="shared" si="25"/>
        <v>-1</v>
      </c>
      <c r="BQ43" s="10">
        <f t="shared" si="26"/>
        <v>0</v>
      </c>
      <c r="BR43" s="10">
        <f t="shared" si="27"/>
        <v>0</v>
      </c>
    </row>
    <row r="44" spans="2:70" x14ac:dyDescent="0.25">
      <c r="B44" s="10">
        <f t="shared" si="14"/>
        <v>25</v>
      </c>
      <c r="C44">
        <v>0.24449377633573022</v>
      </c>
      <c r="D44">
        <v>-1.0497524272068404</v>
      </c>
      <c r="E44">
        <v>0.38358714560380869</v>
      </c>
      <c r="H44" s="18">
        <f>1</f>
        <v>1</v>
      </c>
      <c r="I44" s="19">
        <f t="shared" si="0"/>
        <v>6.559942670989825</v>
      </c>
      <c r="J44" s="19">
        <f t="shared" si="1"/>
        <v>13.485999483967918</v>
      </c>
      <c r="K44" s="18">
        <f t="shared" si="2"/>
        <v>1</v>
      </c>
      <c r="L44" s="17"/>
      <c r="M44" s="17"/>
      <c r="N44" s="18">
        <f t="shared" si="15"/>
        <v>6.559942670989825</v>
      </c>
      <c r="O44" s="18">
        <f t="shared" si="15"/>
        <v>13.485999483967918</v>
      </c>
      <c r="P44" s="18">
        <f t="shared" si="16"/>
        <v>-100</v>
      </c>
      <c r="Q44" s="18">
        <f t="shared" si="16"/>
        <v>-100</v>
      </c>
      <c r="S44" s="10">
        <f t="shared" si="17"/>
        <v>136.17046087735852</v>
      </c>
      <c r="T44" s="10">
        <f t="shared" si="18"/>
        <v>1</v>
      </c>
      <c r="U44" s="10">
        <f t="shared" si="19"/>
        <v>0</v>
      </c>
      <c r="V44" s="10">
        <f t="shared" si="20"/>
        <v>0</v>
      </c>
      <c r="Y44" s="10">
        <f t="shared" si="3"/>
        <v>0</v>
      </c>
      <c r="Z44" s="10">
        <f t="shared" si="4"/>
        <v>0</v>
      </c>
      <c r="AA44" s="10">
        <f t="shared" si="5"/>
        <v>0</v>
      </c>
      <c r="AB44" s="10">
        <f t="shared" si="6"/>
        <v>0.80082399975499996</v>
      </c>
      <c r="AC44" s="10">
        <f t="shared" si="7"/>
        <v>6.0046622908994758</v>
      </c>
      <c r="AD44" s="10">
        <f t="shared" si="8"/>
        <v>7.1169657543549754</v>
      </c>
      <c r="AE44" s="10">
        <f t="shared" si="21"/>
        <v>-1</v>
      </c>
      <c r="AF44" s="10">
        <f t="shared" si="22"/>
        <v>1</v>
      </c>
      <c r="AI44" s="10">
        <f t="shared" si="28"/>
        <v>-1</v>
      </c>
      <c r="AJ44" s="10">
        <f t="shared" si="29"/>
        <v>0</v>
      </c>
      <c r="AK44" s="10">
        <f t="shared" si="30"/>
        <v>0</v>
      </c>
      <c r="BD44" s="10">
        <f t="shared" si="23"/>
        <v>25</v>
      </c>
      <c r="BE44" s="10">
        <v>-0.22208951122593135</v>
      </c>
      <c r="BF44" s="10">
        <v>-1.8258469935972244</v>
      </c>
      <c r="BG44" s="10">
        <v>2.9572435682241278E-2</v>
      </c>
      <c r="BJ44" s="16">
        <f>1</f>
        <v>1</v>
      </c>
      <c r="BK44" s="14">
        <f t="shared" si="11"/>
        <v>5.887286403369191</v>
      </c>
      <c r="BL44" s="14">
        <f t="shared" si="12"/>
        <v>12.367131988569643</v>
      </c>
      <c r="BM44" s="16">
        <f t="shared" si="13"/>
        <v>1</v>
      </c>
      <c r="BO44" s="10">
        <f t="shared" si="24"/>
        <v>-108.57077870646464</v>
      </c>
      <c r="BP44" s="10">
        <f t="shared" si="25"/>
        <v>-1</v>
      </c>
      <c r="BQ44" s="10">
        <f t="shared" si="26"/>
        <v>-1</v>
      </c>
      <c r="BR44" s="10">
        <f t="shared" si="27"/>
        <v>1</v>
      </c>
    </row>
    <row r="45" spans="2:70" x14ac:dyDescent="0.25">
      <c r="B45" s="10">
        <f t="shared" si="14"/>
        <v>26</v>
      </c>
      <c r="C45">
        <v>-1.4642273526987992</v>
      </c>
      <c r="D45">
        <v>0.20612219486793038</v>
      </c>
      <c r="E45">
        <v>0.54722739341410565</v>
      </c>
      <c r="H45" s="18">
        <f>1</f>
        <v>1</v>
      </c>
      <c r="I45" s="19">
        <f t="shared" si="0"/>
        <v>4.0965411568303942</v>
      </c>
      <c r="J45" s="19">
        <f t="shared" si="1"/>
        <v>15.296548550778734</v>
      </c>
      <c r="K45" s="18">
        <f t="shared" si="2"/>
        <v>-1</v>
      </c>
      <c r="L45" s="17"/>
      <c r="M45" s="17"/>
      <c r="N45" s="18">
        <f t="shared" si="15"/>
        <v>-100</v>
      </c>
      <c r="O45" s="18">
        <f t="shared" si="15"/>
        <v>-100</v>
      </c>
      <c r="P45" s="18">
        <f t="shared" si="16"/>
        <v>4.0965411568303942</v>
      </c>
      <c r="Q45" s="18">
        <f t="shared" si="16"/>
        <v>15.296548550778734</v>
      </c>
      <c r="S45" s="10">
        <f t="shared" si="17"/>
        <v>134.26418240301265</v>
      </c>
      <c r="T45" s="10">
        <f t="shared" si="18"/>
        <v>1</v>
      </c>
      <c r="U45" s="10">
        <f t="shared" si="19"/>
        <v>-1</v>
      </c>
      <c r="V45" s="10">
        <f t="shared" si="20"/>
        <v>1</v>
      </c>
      <c r="Y45" s="10">
        <f t="shared" si="3"/>
        <v>-0.70082399975499998</v>
      </c>
      <c r="Z45" s="10">
        <f t="shared" si="4"/>
        <v>-2.8709543586908515</v>
      </c>
      <c r="AA45" s="10">
        <f t="shared" si="5"/>
        <v>-10.7201883378033</v>
      </c>
      <c r="AB45" s="10">
        <f t="shared" si="6"/>
        <v>9.9999999999999978E-2</v>
      </c>
      <c r="AC45" s="10">
        <f t="shared" si="7"/>
        <v>3.1337079322086243</v>
      </c>
      <c r="AD45" s="10">
        <f t="shared" si="8"/>
        <v>-3.6032225834483249</v>
      </c>
      <c r="AE45" s="10">
        <f t="shared" si="21"/>
        <v>-1</v>
      </c>
      <c r="AF45" s="10">
        <f t="shared" si="22"/>
        <v>0</v>
      </c>
      <c r="AI45" s="10">
        <f t="shared" si="28"/>
        <v>-1</v>
      </c>
      <c r="AJ45" s="10">
        <f t="shared" si="29"/>
        <v>0</v>
      </c>
      <c r="AK45" s="10">
        <f t="shared" si="30"/>
        <v>0</v>
      </c>
      <c r="BD45" s="10">
        <f t="shared" si="23"/>
        <v>26</v>
      </c>
      <c r="BE45" s="10">
        <v>0.97393694886704907</v>
      </c>
      <c r="BF45" s="10">
        <v>-0.12513282854342833</v>
      </c>
      <c r="BG45" s="10">
        <v>1.2512588885158849E-2</v>
      </c>
      <c r="BJ45" s="16">
        <f>1</f>
        <v>1</v>
      </c>
      <c r="BK45" s="14">
        <f t="shared" si="11"/>
        <v>7.611554537416624</v>
      </c>
      <c r="BL45" s="14">
        <f t="shared" si="12"/>
        <v>14.818990152056569</v>
      </c>
      <c r="BM45" s="16">
        <f t="shared" si="13"/>
        <v>1</v>
      </c>
      <c r="BO45" s="10">
        <f t="shared" si="24"/>
        <v>-134.38502783620777</v>
      </c>
      <c r="BP45" s="10">
        <f t="shared" si="25"/>
        <v>-1</v>
      </c>
      <c r="BQ45" s="10">
        <f t="shared" si="26"/>
        <v>-1</v>
      </c>
      <c r="BR45" s="10">
        <f t="shared" si="27"/>
        <v>1</v>
      </c>
    </row>
    <row r="46" spans="2:70" x14ac:dyDescent="0.25">
      <c r="B46" s="10">
        <f t="shared" si="14"/>
        <v>27</v>
      </c>
      <c r="C46">
        <v>0.42798774302355014</v>
      </c>
      <c r="D46">
        <v>0.44557509681908414</v>
      </c>
      <c r="E46">
        <v>0.13000885036774804</v>
      </c>
      <c r="H46" s="18">
        <f>1</f>
        <v>1</v>
      </c>
      <c r="I46" s="19">
        <f t="shared" si="0"/>
        <v>6.8244792929682152</v>
      </c>
      <c r="J46" s="19">
        <f t="shared" si="1"/>
        <v>15.641759147881629</v>
      </c>
      <c r="K46" s="18">
        <f t="shared" si="2"/>
        <v>1</v>
      </c>
      <c r="L46" s="17"/>
      <c r="M46" s="17"/>
      <c r="N46" s="18">
        <f t="shared" si="15"/>
        <v>6.8244792929682152</v>
      </c>
      <c r="O46" s="18">
        <f t="shared" si="15"/>
        <v>15.641759147881629</v>
      </c>
      <c r="P46" s="18">
        <f t="shared" si="16"/>
        <v>-100</v>
      </c>
      <c r="Q46" s="18">
        <f t="shared" si="16"/>
        <v>-100</v>
      </c>
      <c r="S46" s="10">
        <f t="shared" si="17"/>
        <v>-34.874814912938518</v>
      </c>
      <c r="T46" s="10">
        <f t="shared" si="18"/>
        <v>-1</v>
      </c>
      <c r="U46" s="10">
        <f t="shared" si="19"/>
        <v>1</v>
      </c>
      <c r="V46" s="10">
        <f t="shared" si="20"/>
        <v>1</v>
      </c>
      <c r="Y46" s="10">
        <f t="shared" si="3"/>
        <v>0.70082399975499998</v>
      </c>
      <c r="Z46" s="10">
        <f t="shared" si="4"/>
        <v>4.7827588743431591</v>
      </c>
      <c r="AA46" s="10">
        <f t="shared" si="5"/>
        <v>10.962120209222764</v>
      </c>
      <c r="AB46" s="10">
        <f t="shared" si="6"/>
        <v>0.80082399975499996</v>
      </c>
      <c r="AC46" s="10">
        <f t="shared" si="7"/>
        <v>7.9164668065517834</v>
      </c>
      <c r="AD46" s="10">
        <f t="shared" si="8"/>
        <v>7.3588976257744392</v>
      </c>
      <c r="AE46" s="10">
        <f t="shared" si="21"/>
        <v>-1</v>
      </c>
      <c r="AF46" s="10">
        <f t="shared" si="22"/>
        <v>1</v>
      </c>
      <c r="AI46" s="10">
        <f t="shared" si="28"/>
        <v>1</v>
      </c>
      <c r="AJ46" s="10">
        <f t="shared" si="29"/>
        <v>0</v>
      </c>
      <c r="AK46" s="10">
        <f t="shared" si="30"/>
        <v>0</v>
      </c>
      <c r="BD46" s="10">
        <f t="shared" si="23"/>
        <v>27</v>
      </c>
      <c r="BE46" s="10">
        <v>-5.2540372053044848E-2</v>
      </c>
      <c r="BF46" s="10">
        <v>-0.77991899161133915</v>
      </c>
      <c r="BG46" s="10">
        <v>0.13525803399761957</v>
      </c>
      <c r="BJ46" s="16">
        <f>1</f>
        <v>1</v>
      </c>
      <c r="BK46" s="14">
        <f t="shared" si="11"/>
        <v>6.1317192713579596</v>
      </c>
      <c r="BL46" s="14">
        <f t="shared" si="12"/>
        <v>13.875008598750957</v>
      </c>
      <c r="BM46" s="16">
        <f t="shared" si="13"/>
        <v>1</v>
      </c>
      <c r="BO46" s="10">
        <f t="shared" si="24"/>
        <v>-118.19245122984753</v>
      </c>
      <c r="BP46" s="10">
        <f t="shared" si="25"/>
        <v>-1</v>
      </c>
      <c r="BQ46" s="10">
        <f t="shared" si="26"/>
        <v>-1</v>
      </c>
      <c r="BR46" s="10">
        <f t="shared" si="27"/>
        <v>1</v>
      </c>
    </row>
    <row r="47" spans="2:70" x14ac:dyDescent="0.25">
      <c r="B47" s="10">
        <f t="shared" si="14"/>
        <v>28</v>
      </c>
      <c r="C47">
        <v>-1.4439729056903161</v>
      </c>
      <c r="D47">
        <v>3.1714080250822008E-2</v>
      </c>
      <c r="E47">
        <v>0.49775688955351421</v>
      </c>
      <c r="H47" s="18">
        <f>1</f>
        <v>1</v>
      </c>
      <c r="I47" s="19">
        <f t="shared" si="0"/>
        <v>4.1257412612718669</v>
      </c>
      <c r="J47" s="19">
        <f t="shared" si="1"/>
        <v>15.04511067345101</v>
      </c>
      <c r="K47" s="18">
        <f t="shared" si="2"/>
        <v>1</v>
      </c>
      <c r="L47" s="17"/>
      <c r="M47" s="17"/>
      <c r="N47" s="18">
        <f t="shared" si="15"/>
        <v>4.1257412612718669</v>
      </c>
      <c r="O47" s="18">
        <f t="shared" si="15"/>
        <v>15.04511067345101</v>
      </c>
      <c r="P47" s="18">
        <f t="shared" si="16"/>
        <v>-100</v>
      </c>
      <c r="Q47" s="18">
        <f t="shared" si="16"/>
        <v>-100</v>
      </c>
      <c r="S47" s="10">
        <f t="shared" si="17"/>
        <v>144.17754696140713</v>
      </c>
      <c r="T47" s="10">
        <f t="shared" si="18"/>
        <v>1</v>
      </c>
      <c r="U47" s="10">
        <f t="shared" si="19"/>
        <v>0</v>
      </c>
      <c r="V47" s="10">
        <f t="shared" si="20"/>
        <v>0</v>
      </c>
      <c r="Y47" s="10">
        <f t="shared" si="3"/>
        <v>0</v>
      </c>
      <c r="Z47" s="10">
        <f t="shared" si="4"/>
        <v>0</v>
      </c>
      <c r="AA47" s="10">
        <f t="shared" si="5"/>
        <v>0</v>
      </c>
      <c r="AB47" s="10">
        <f t="shared" si="6"/>
        <v>0.80082399975499996</v>
      </c>
      <c r="AC47" s="10">
        <f t="shared" si="7"/>
        <v>7.9164668065517834</v>
      </c>
      <c r="AD47" s="10">
        <f t="shared" si="8"/>
        <v>7.3588976257744392</v>
      </c>
      <c r="AE47" s="10">
        <f t="shared" si="21"/>
        <v>-1</v>
      </c>
      <c r="AF47" s="10">
        <f t="shared" si="22"/>
        <v>1</v>
      </c>
      <c r="AI47" s="10">
        <f t="shared" si="28"/>
        <v>-1</v>
      </c>
      <c r="AJ47" s="10">
        <f t="shared" si="29"/>
        <v>1</v>
      </c>
      <c r="AK47" s="10">
        <f t="shared" si="30"/>
        <v>1</v>
      </c>
      <c r="BD47" s="10">
        <f t="shared" si="23"/>
        <v>28</v>
      </c>
      <c r="BE47" s="10">
        <v>0.90911044026142918</v>
      </c>
      <c r="BF47" s="10">
        <v>-0.61855416788603179</v>
      </c>
      <c r="BG47" s="10">
        <v>0.94628742332224491</v>
      </c>
      <c r="BJ47" s="16">
        <f>1</f>
        <v>1</v>
      </c>
      <c r="BK47" s="14">
        <f t="shared" si="11"/>
        <v>7.5180965021976274</v>
      </c>
      <c r="BL47" s="14">
        <f t="shared" si="12"/>
        <v>14.107642434865335</v>
      </c>
      <c r="BM47" s="16">
        <f t="shared" si="13"/>
        <v>-1</v>
      </c>
      <c r="BO47" s="10">
        <f t="shared" si="24"/>
        <v>-130.013457482261</v>
      </c>
      <c r="BP47" s="10">
        <f t="shared" si="25"/>
        <v>-1</v>
      </c>
      <c r="BQ47" s="10">
        <f t="shared" si="26"/>
        <v>0</v>
      </c>
      <c r="BR47" s="10">
        <f t="shared" si="27"/>
        <v>0</v>
      </c>
    </row>
    <row r="48" spans="2:70" x14ac:dyDescent="0.25">
      <c r="B48" s="10">
        <f t="shared" si="14"/>
        <v>29</v>
      </c>
      <c r="C48">
        <v>-1.8385526345809922</v>
      </c>
      <c r="D48">
        <v>-1.0213739187747706</v>
      </c>
      <c r="E48">
        <v>0.5340128788109989</v>
      </c>
      <c r="H48" s="18">
        <f>1</f>
        <v>1</v>
      </c>
      <c r="I48" s="19">
        <f t="shared" si="0"/>
        <v>3.5568899226364525</v>
      </c>
      <c r="J48" s="19">
        <f t="shared" si="1"/>
        <v>13.526911754234423</v>
      </c>
      <c r="K48" s="18">
        <f t="shared" si="2"/>
        <v>-1</v>
      </c>
      <c r="L48" s="17"/>
      <c r="M48" s="17"/>
      <c r="N48" s="18">
        <f t="shared" si="15"/>
        <v>-100</v>
      </c>
      <c r="O48" s="18">
        <f t="shared" si="15"/>
        <v>-100</v>
      </c>
      <c r="P48" s="18">
        <f t="shared" si="16"/>
        <v>3.5568899226364525</v>
      </c>
      <c r="Q48" s="18">
        <f t="shared" si="16"/>
        <v>13.526911754234423</v>
      </c>
      <c r="S48" s="10">
        <f t="shared" si="17"/>
        <v>128.50198379916105</v>
      </c>
      <c r="T48" s="10">
        <f t="shared" si="18"/>
        <v>1</v>
      </c>
      <c r="U48" s="10">
        <f t="shared" si="19"/>
        <v>-1</v>
      </c>
      <c r="V48" s="10">
        <f t="shared" si="20"/>
        <v>1</v>
      </c>
      <c r="Y48" s="10">
        <f t="shared" si="3"/>
        <v>-0.70082399975499998</v>
      </c>
      <c r="Z48" s="10">
        <f t="shared" si="4"/>
        <v>-2.4927538222703309</v>
      </c>
      <c r="AA48" s="10">
        <f t="shared" si="5"/>
        <v>-9.4799843999354909</v>
      </c>
      <c r="AB48" s="10">
        <f t="shared" si="6"/>
        <v>9.9999999999999978E-2</v>
      </c>
      <c r="AC48" s="10">
        <f t="shared" si="7"/>
        <v>5.4237129842814529</v>
      </c>
      <c r="AD48" s="10">
        <f t="shared" si="8"/>
        <v>-2.1210867741610517</v>
      </c>
      <c r="AE48" s="10">
        <f t="shared" si="21"/>
        <v>-1</v>
      </c>
      <c r="AF48" s="10">
        <f t="shared" si="22"/>
        <v>0</v>
      </c>
      <c r="AI48" s="10">
        <f t="shared" si="28"/>
        <v>-1</v>
      </c>
      <c r="AJ48" s="10">
        <f t="shared" si="29"/>
        <v>0</v>
      </c>
      <c r="AK48" s="10">
        <f t="shared" si="30"/>
        <v>0</v>
      </c>
      <c r="BD48" s="10">
        <f t="shared" si="23"/>
        <v>29</v>
      </c>
      <c r="BE48" s="10">
        <v>-0.10618805390549824</v>
      </c>
      <c r="BF48" s="10">
        <v>-0.37852714740438387</v>
      </c>
      <c r="BG48" s="10">
        <v>0.29328287606433301</v>
      </c>
      <c r="BJ48" s="16">
        <f>1</f>
        <v>1</v>
      </c>
      <c r="BK48" s="14">
        <f t="shared" si="11"/>
        <v>6.0543773467683408</v>
      </c>
      <c r="BL48" s="14">
        <f t="shared" si="12"/>
        <v>14.453680717910244</v>
      </c>
      <c r="BM48" s="16">
        <f t="shared" si="13"/>
        <v>1</v>
      </c>
      <c r="BO48" s="10">
        <f t="shared" si="24"/>
        <v>-120.57320223748809</v>
      </c>
      <c r="BP48" s="10">
        <f t="shared" si="25"/>
        <v>-1</v>
      </c>
      <c r="BQ48" s="10">
        <f t="shared" si="26"/>
        <v>-1</v>
      </c>
      <c r="BR48" s="10">
        <f t="shared" si="27"/>
        <v>1</v>
      </c>
    </row>
    <row r="49" spans="2:70" x14ac:dyDescent="0.25">
      <c r="B49" s="10">
        <f t="shared" si="14"/>
        <v>30</v>
      </c>
      <c r="C49">
        <v>0.48435822463943623</v>
      </c>
      <c r="D49">
        <v>-1.3415137800620869</v>
      </c>
      <c r="E49">
        <v>4.3549913022247991E-2</v>
      </c>
      <c r="H49" s="18">
        <f>1</f>
        <v>1</v>
      </c>
      <c r="I49" s="19">
        <f t="shared" si="0"/>
        <v>6.9057465795996684</v>
      </c>
      <c r="J49" s="19">
        <f t="shared" si="1"/>
        <v>13.065377683146085</v>
      </c>
      <c r="K49" s="18">
        <f t="shared" si="2"/>
        <v>1</v>
      </c>
      <c r="L49" s="17"/>
      <c r="M49" s="17"/>
      <c r="N49" s="18">
        <f t="shared" si="15"/>
        <v>6.9057465795996684</v>
      </c>
      <c r="O49" s="18">
        <f t="shared" si="15"/>
        <v>13.065377683146085</v>
      </c>
      <c r="P49" s="18">
        <f t="shared" si="16"/>
        <v>-100</v>
      </c>
      <c r="Q49" s="18">
        <f t="shared" si="16"/>
        <v>-100</v>
      </c>
      <c r="S49" s="10">
        <f t="shared" si="17"/>
        <v>9.8419875867918272</v>
      </c>
      <c r="T49" s="10">
        <f t="shared" si="18"/>
        <v>1</v>
      </c>
      <c r="U49" s="10">
        <f t="shared" si="19"/>
        <v>0</v>
      </c>
      <c r="V49" s="10">
        <f t="shared" si="20"/>
        <v>0</v>
      </c>
      <c r="Y49" s="10">
        <f t="shared" si="3"/>
        <v>0</v>
      </c>
      <c r="Z49" s="10">
        <f t="shared" si="4"/>
        <v>0</v>
      </c>
      <c r="AA49" s="10">
        <f t="shared" si="5"/>
        <v>0</v>
      </c>
      <c r="AB49" s="10">
        <f t="shared" si="6"/>
        <v>9.9999999999999978E-2</v>
      </c>
      <c r="AC49" s="10">
        <f t="shared" si="7"/>
        <v>5.4237129842814529</v>
      </c>
      <c r="AD49" s="10">
        <f t="shared" si="8"/>
        <v>-2.1210867741610517</v>
      </c>
      <c r="AE49" s="10">
        <f t="shared" si="21"/>
        <v>-1</v>
      </c>
      <c r="AF49" s="10">
        <f t="shared" si="22"/>
        <v>1</v>
      </c>
      <c r="AI49" s="10">
        <f t="shared" si="28"/>
        <v>-1</v>
      </c>
      <c r="AJ49" s="10">
        <f t="shared" si="29"/>
        <v>1</v>
      </c>
      <c r="AK49" s="10">
        <f t="shared" si="30"/>
        <v>1</v>
      </c>
      <c r="BD49" s="10">
        <f t="shared" si="23"/>
        <v>30</v>
      </c>
      <c r="BE49" s="10">
        <v>0.38865550777700264</v>
      </c>
      <c r="BF49" s="10">
        <v>-2.354354364797473</v>
      </c>
      <c r="BG49" s="10">
        <v>0.45847956785790583</v>
      </c>
      <c r="BJ49" s="16">
        <f>1</f>
        <v>1</v>
      </c>
      <c r="BK49" s="14">
        <f t="shared" si="11"/>
        <v>6.767775430520885</v>
      </c>
      <c r="BL49" s="14">
        <f t="shared" si="12"/>
        <v>11.605202006937862</v>
      </c>
      <c r="BM49" s="16">
        <f t="shared" si="13"/>
        <v>1</v>
      </c>
      <c r="BO49" s="10">
        <f t="shared" si="24"/>
        <v>-111.4039123381074</v>
      </c>
      <c r="BP49" s="10">
        <f t="shared" si="25"/>
        <v>-1</v>
      </c>
      <c r="BQ49" s="10">
        <f t="shared" si="26"/>
        <v>-1</v>
      </c>
      <c r="BR49" s="10">
        <f t="shared" si="27"/>
        <v>1</v>
      </c>
    </row>
    <row r="50" spans="2:70" x14ac:dyDescent="0.25">
      <c r="B50" s="10">
        <f t="shared" si="14"/>
        <v>31</v>
      </c>
      <c r="C50">
        <v>-0.45242927626532037</v>
      </c>
      <c r="D50">
        <v>-0.19137587514705956</v>
      </c>
      <c r="E50">
        <v>5.0202948088015384E-2</v>
      </c>
      <c r="H50" s="18">
        <f>1</f>
        <v>1</v>
      </c>
      <c r="I50" s="19">
        <f t="shared" si="0"/>
        <v>5.5552138864864826</v>
      </c>
      <c r="J50" s="19">
        <f t="shared" si="1"/>
        <v>14.72348994518658</v>
      </c>
      <c r="K50" s="18">
        <f t="shared" si="2"/>
        <v>1</v>
      </c>
      <c r="L50" s="17"/>
      <c r="M50" s="17"/>
      <c r="N50" s="18">
        <f t="shared" si="15"/>
        <v>5.5552138864864826</v>
      </c>
      <c r="O50" s="18">
        <f t="shared" si="15"/>
        <v>14.72348994518658</v>
      </c>
      <c r="P50" s="18">
        <f t="shared" si="16"/>
        <v>-100</v>
      </c>
      <c r="Q50" s="18">
        <f t="shared" si="16"/>
        <v>-100</v>
      </c>
      <c r="S50" s="10">
        <f t="shared" si="17"/>
        <v>-0.99991410563111316</v>
      </c>
      <c r="T50" s="10">
        <f t="shared" si="18"/>
        <v>-1</v>
      </c>
      <c r="U50" s="10">
        <f t="shared" si="19"/>
        <v>1</v>
      </c>
      <c r="V50" s="10">
        <f t="shared" si="20"/>
        <v>1</v>
      </c>
      <c r="Y50" s="10">
        <f t="shared" si="3"/>
        <v>0.70082399975499998</v>
      </c>
      <c r="Z50" s="10">
        <f t="shared" si="4"/>
        <v>3.8932272154219754</v>
      </c>
      <c r="AA50" s="10">
        <f t="shared" si="5"/>
        <v>10.318575113738184</v>
      </c>
      <c r="AB50" s="10">
        <f t="shared" si="6"/>
        <v>0.80082399975499996</v>
      </c>
      <c r="AC50" s="10">
        <f t="shared" si="7"/>
        <v>9.3169401997034278</v>
      </c>
      <c r="AD50" s="10">
        <f t="shared" si="8"/>
        <v>8.1974883395771325</v>
      </c>
      <c r="AE50" s="10">
        <f t="shared" si="21"/>
        <v>-1</v>
      </c>
      <c r="AF50" s="10">
        <f t="shared" si="22"/>
        <v>1</v>
      </c>
      <c r="AI50" s="10">
        <f t="shared" si="28"/>
        <v>-1</v>
      </c>
      <c r="AJ50" s="10">
        <f t="shared" si="29"/>
        <v>1</v>
      </c>
      <c r="AK50" s="10">
        <f t="shared" si="30"/>
        <v>1</v>
      </c>
      <c r="BD50" s="10">
        <f t="shared" si="23"/>
        <v>31</v>
      </c>
      <c r="BE50" s="10">
        <v>2.1852429199498147</v>
      </c>
      <c r="BF50" s="10">
        <v>1.7376169125782326</v>
      </c>
      <c r="BG50" s="10">
        <v>0.20505386516922514</v>
      </c>
      <c r="BJ50" s="16">
        <f>1</f>
        <v>1</v>
      </c>
      <c r="BK50" s="14">
        <f t="shared" si="11"/>
        <v>9.3578505903961062</v>
      </c>
      <c r="BL50" s="14">
        <f t="shared" si="12"/>
        <v>17.504449151075278</v>
      </c>
      <c r="BM50" s="16">
        <f t="shared" si="13"/>
        <v>1</v>
      </c>
      <c r="BO50" s="10">
        <f t="shared" si="24"/>
        <v>-161.56846990543082</v>
      </c>
      <c r="BP50" s="10">
        <f t="shared" si="25"/>
        <v>-1</v>
      </c>
      <c r="BQ50" s="10">
        <f t="shared" si="26"/>
        <v>-1</v>
      </c>
      <c r="BR50" s="10">
        <f t="shared" si="27"/>
        <v>1</v>
      </c>
    </row>
    <row r="51" spans="2:70" x14ac:dyDescent="0.25">
      <c r="B51" s="10">
        <f t="shared" si="14"/>
        <v>32</v>
      </c>
      <c r="C51">
        <v>0.73257069743704051</v>
      </c>
      <c r="D51">
        <v>-1.0448547982377931</v>
      </c>
      <c r="E51">
        <v>0.75392925809503464</v>
      </c>
      <c r="H51" s="18">
        <f>1</f>
        <v>1</v>
      </c>
      <c r="I51" s="19">
        <f t="shared" si="0"/>
        <v>7.2635855335010335</v>
      </c>
      <c r="J51" s="19">
        <f t="shared" si="1"/>
        <v>13.49306021869703</v>
      </c>
      <c r="K51" s="18">
        <f t="shared" si="2"/>
        <v>-1</v>
      </c>
      <c r="L51" s="17"/>
      <c r="M51" s="17"/>
      <c r="N51" s="18">
        <f t="shared" si="15"/>
        <v>-100</v>
      </c>
      <c r="O51" s="18">
        <f t="shared" si="15"/>
        <v>-100</v>
      </c>
      <c r="P51" s="18">
        <f t="shared" si="16"/>
        <v>7.2635855335010335</v>
      </c>
      <c r="Q51" s="18">
        <f t="shared" si="16"/>
        <v>13.49306021869703</v>
      </c>
      <c r="S51" s="10">
        <f t="shared" si="17"/>
        <v>179.08441985879602</v>
      </c>
      <c r="T51" s="10">
        <f t="shared" si="18"/>
        <v>1</v>
      </c>
      <c r="U51" s="10">
        <f t="shared" si="19"/>
        <v>-1</v>
      </c>
      <c r="V51" s="10">
        <f t="shared" si="20"/>
        <v>1</v>
      </c>
      <c r="Y51" s="10">
        <f t="shared" si="3"/>
        <v>-0.70082399975499998</v>
      </c>
      <c r="Z51" s="10">
        <f t="shared" si="4"/>
        <v>-5.0904950661507495</v>
      </c>
      <c r="AA51" s="10">
        <f t="shared" si="5"/>
        <v>-9.4562604314023275</v>
      </c>
      <c r="AB51" s="10">
        <f t="shared" si="6"/>
        <v>9.9999999999999978E-2</v>
      </c>
      <c r="AC51" s="10">
        <f t="shared" si="7"/>
        <v>4.2264451335526783</v>
      </c>
      <c r="AD51" s="10">
        <f t="shared" si="8"/>
        <v>-1.258772091825195</v>
      </c>
      <c r="AE51" s="10">
        <f t="shared" si="21"/>
        <v>-1</v>
      </c>
      <c r="AF51" s="10">
        <f t="shared" si="22"/>
        <v>0</v>
      </c>
      <c r="AI51" s="10">
        <f t="shared" si="28"/>
        <v>-1</v>
      </c>
      <c r="AJ51" s="10">
        <f t="shared" si="29"/>
        <v>0</v>
      </c>
      <c r="AK51" s="10">
        <f t="shared" si="30"/>
        <v>0</v>
      </c>
      <c r="BD51" s="10">
        <f t="shared" si="23"/>
        <v>32</v>
      </c>
      <c r="BE51" s="10">
        <v>2.3058601072989404</v>
      </c>
      <c r="BF51" s="10">
        <v>1.2863847587141208</v>
      </c>
      <c r="BG51" s="10">
        <v>0.15640736106448561</v>
      </c>
      <c r="BJ51" s="16">
        <f>1</f>
        <v>1</v>
      </c>
      <c r="BK51" s="14">
        <f t="shared" si="11"/>
        <v>9.5317400313942251</v>
      </c>
      <c r="BL51" s="14">
        <f t="shared" si="12"/>
        <v>16.853924058256688</v>
      </c>
      <c r="BM51" s="16">
        <f t="shared" si="13"/>
        <v>1</v>
      </c>
      <c r="BO51" s="10">
        <f t="shared" si="24"/>
        <v>-159.55846952096869</v>
      </c>
      <c r="BP51" s="10">
        <f t="shared" si="25"/>
        <v>-1</v>
      </c>
      <c r="BQ51" s="10">
        <f t="shared" si="26"/>
        <v>-1</v>
      </c>
      <c r="BR51" s="10">
        <f t="shared" si="27"/>
        <v>1</v>
      </c>
    </row>
    <row r="52" spans="2:70" x14ac:dyDescent="0.25">
      <c r="B52" s="10">
        <f t="shared" si="14"/>
        <v>33</v>
      </c>
      <c r="C52">
        <v>-0.58917748901876621</v>
      </c>
      <c r="D52">
        <v>-1.5291607269318774</v>
      </c>
      <c r="E52">
        <v>0.9830011902218696</v>
      </c>
      <c r="H52" s="18">
        <f>1</f>
        <v>1</v>
      </c>
      <c r="I52" s="19">
        <f t="shared" ref="I52:I83" si="31">IF(K52=1, C52*$C$7+$C$5,C52*$C$10+$C$8)</f>
        <v>5.3580689289908312</v>
      </c>
      <c r="J52" s="19">
        <f t="shared" ref="J52:J83" si="32">IF(K52=1,D52*$C$7+$C$6,D52*$C$10+$C$9)</f>
        <v>12.794853859690107</v>
      </c>
      <c r="K52" s="18">
        <f t="shared" ref="K52:K83" si="33">IF(E52&lt;$C$11,1,-1)</f>
        <v>-1</v>
      </c>
      <c r="L52" s="17"/>
      <c r="M52" s="17"/>
      <c r="N52" s="18">
        <f t="shared" si="15"/>
        <v>-100</v>
      </c>
      <c r="O52" s="18">
        <f t="shared" si="15"/>
        <v>-100</v>
      </c>
      <c r="P52" s="18">
        <f t="shared" si="16"/>
        <v>5.3580689289908312</v>
      </c>
      <c r="Q52" s="18">
        <f t="shared" si="16"/>
        <v>12.794853859690107</v>
      </c>
      <c r="S52" s="10">
        <f t="shared" si="17"/>
        <v>6.6397793926133239</v>
      </c>
      <c r="T52" s="10">
        <f t="shared" si="18"/>
        <v>1</v>
      </c>
      <c r="U52" s="10">
        <f t="shared" si="19"/>
        <v>-1</v>
      </c>
      <c r="V52" s="10">
        <f t="shared" si="20"/>
        <v>1</v>
      </c>
      <c r="Y52" s="10">
        <f t="shared" ref="Y52:Y83" si="34">IF(U52=0,0,$C$12*(U52)*H52)</f>
        <v>-0.70082399975499998</v>
      </c>
      <c r="Z52" s="10">
        <f t="shared" ref="Z52:Z83" si="35">IF(U52=0,0,$C$12*(U52)*I52)</f>
        <v>-3.7550632977783431</v>
      </c>
      <c r="AA52" s="10">
        <f t="shared" ref="AA52:AA83" si="36">IF(U52=0,0,$C$12*(U52)*J52)</f>
        <v>-8.9669406582287206</v>
      </c>
      <c r="AB52" s="10">
        <f t="shared" ref="AB52:AB83" si="37">IF(U52=0,AB51,AB51+$C$12*(U52)*H52)</f>
        <v>-0.600823999755</v>
      </c>
      <c r="AC52" s="10">
        <f t="shared" ref="AC52:AC83" si="38">IF(U52=0,AC51,AC51+$C$12*(U52)*I52)</f>
        <v>0.47138183577433512</v>
      </c>
      <c r="AD52" s="10">
        <f t="shared" ref="AD52:AD83" si="39">IF(U52=0,AD51,AD51+$C$12*(U52)*J52)</f>
        <v>-10.225712750053916</v>
      </c>
      <c r="AE52" s="10">
        <f t="shared" si="21"/>
        <v>-1</v>
      </c>
      <c r="AF52" s="10">
        <f t="shared" si="22"/>
        <v>0</v>
      </c>
      <c r="AI52" s="10">
        <f t="shared" si="28"/>
        <v>-1</v>
      </c>
      <c r="AJ52" s="10">
        <f t="shared" si="29"/>
        <v>1</v>
      </c>
      <c r="AK52" s="10">
        <f t="shared" si="30"/>
        <v>1</v>
      </c>
      <c r="BD52" s="10">
        <f t="shared" si="23"/>
        <v>33</v>
      </c>
      <c r="BE52" s="10">
        <v>-0.83189434008090757</v>
      </c>
      <c r="BF52" s="10">
        <v>0.13107182894600555</v>
      </c>
      <c r="BG52" s="10">
        <v>0.47676015503402813</v>
      </c>
      <c r="BJ52" s="16">
        <f>1</f>
        <v>1</v>
      </c>
      <c r="BK52" s="14">
        <f t="shared" ref="BK52:BK79" si="40">IF(BM52=1, BE52*$C$7+$C$5,BE52*$C$10+$C$8)</f>
        <v>5.0081528143839256</v>
      </c>
      <c r="BL52" s="14">
        <f t="shared" ref="BL52:BL79" si="41">IF(BM52=1,BF52*$C$7+$C$6,BF52*$C$10+$C$9)</f>
        <v>15.188351149863612</v>
      </c>
      <c r="BM52" s="16">
        <f t="shared" ref="BM52:BM79" si="42">IF(BG52&lt;$C$11,1,-1)</f>
        <v>1</v>
      </c>
      <c r="BO52" s="10">
        <f t="shared" si="24"/>
        <v>-116.32974804214805</v>
      </c>
      <c r="BP52" s="10">
        <f t="shared" si="25"/>
        <v>-1</v>
      </c>
      <c r="BQ52" s="10">
        <f t="shared" si="26"/>
        <v>-1</v>
      </c>
      <c r="BR52" s="10">
        <f t="shared" si="27"/>
        <v>1</v>
      </c>
    </row>
    <row r="53" spans="2:70" x14ac:dyDescent="0.25">
      <c r="B53" s="10">
        <f t="shared" si="14"/>
        <v>34</v>
      </c>
      <c r="C53">
        <v>0.61781292970408686</v>
      </c>
      <c r="D53">
        <v>2.0388597476994619E-2</v>
      </c>
      <c r="E53">
        <v>0.24155400250251777</v>
      </c>
      <c r="H53" s="18">
        <f>1</f>
        <v>1</v>
      </c>
      <c r="I53" s="19">
        <f t="shared" si="31"/>
        <v>7.0981434060576607</v>
      </c>
      <c r="J53" s="19">
        <f t="shared" si="32"/>
        <v>15.028783134135454</v>
      </c>
      <c r="K53" s="18">
        <f t="shared" si="33"/>
        <v>1</v>
      </c>
      <c r="L53" s="17"/>
      <c r="M53" s="17"/>
      <c r="N53" s="18">
        <f t="shared" si="15"/>
        <v>7.0981434060576607</v>
      </c>
      <c r="O53" s="18">
        <f t="shared" si="15"/>
        <v>15.028783134135454</v>
      </c>
      <c r="P53" s="18">
        <f t="shared" si="16"/>
        <v>-100</v>
      </c>
      <c r="Q53" s="18">
        <f t="shared" si="16"/>
        <v>-100</v>
      </c>
      <c r="S53" s="10">
        <f t="shared" si="17"/>
        <v>-150.9349074429422</v>
      </c>
      <c r="T53" s="10">
        <f t="shared" si="18"/>
        <v>-1</v>
      </c>
      <c r="U53" s="10">
        <f t="shared" si="19"/>
        <v>1</v>
      </c>
      <c r="V53" s="10">
        <f t="shared" si="20"/>
        <v>1</v>
      </c>
      <c r="Y53" s="10">
        <f t="shared" si="34"/>
        <v>0.70082399975499998</v>
      </c>
      <c r="Z53" s="10">
        <f t="shared" si="35"/>
        <v>4.9745492526679085</v>
      </c>
      <c r="AA53" s="10">
        <f t="shared" si="36"/>
        <v>10.532531907515294</v>
      </c>
      <c r="AB53" s="10">
        <f t="shared" si="37"/>
        <v>9.9999999999999978E-2</v>
      </c>
      <c r="AC53" s="10">
        <f t="shared" si="38"/>
        <v>5.4459310884422436</v>
      </c>
      <c r="AD53" s="10">
        <f t="shared" si="39"/>
        <v>0.30681915746137811</v>
      </c>
      <c r="AE53" s="10">
        <f t="shared" si="21"/>
        <v>-1</v>
      </c>
      <c r="AF53" s="10">
        <f t="shared" si="22"/>
        <v>1</v>
      </c>
      <c r="AI53" s="10">
        <f t="shared" si="28"/>
        <v>-1</v>
      </c>
      <c r="AJ53" s="10">
        <f t="shared" si="29"/>
        <v>1</v>
      </c>
      <c r="AK53" s="10">
        <f t="shared" si="30"/>
        <v>1</v>
      </c>
      <c r="BD53" s="10">
        <f t="shared" si="23"/>
        <v>34</v>
      </c>
      <c r="BE53" s="10">
        <v>0.38799498724984005</v>
      </c>
      <c r="BF53" s="10">
        <v>-1.1792758414230775</v>
      </c>
      <c r="BG53" s="10">
        <v>0.24976348155156103</v>
      </c>
      <c r="BJ53" s="16">
        <f>1</f>
        <v>1</v>
      </c>
      <c r="BK53" s="14">
        <f t="shared" si="40"/>
        <v>6.7668231819420521</v>
      </c>
      <c r="BL53" s="14">
        <f t="shared" si="41"/>
        <v>13.299270257485151</v>
      </c>
      <c r="BM53" s="16">
        <f t="shared" si="42"/>
        <v>1</v>
      </c>
      <c r="BO53" s="10">
        <f t="shared" si="24"/>
        <v>-120.10163064295544</v>
      </c>
      <c r="BP53" s="10">
        <f t="shared" si="25"/>
        <v>-1</v>
      </c>
      <c r="BQ53" s="10">
        <f t="shared" si="26"/>
        <v>-1</v>
      </c>
      <c r="BR53" s="10">
        <f t="shared" si="27"/>
        <v>1</v>
      </c>
    </row>
    <row r="54" spans="2:70" x14ac:dyDescent="0.25">
      <c r="B54" s="10">
        <f t="shared" si="14"/>
        <v>35</v>
      </c>
      <c r="C54">
        <v>0.73096998676192015</v>
      </c>
      <c r="D54">
        <v>1.387502379657235</v>
      </c>
      <c r="E54">
        <v>0.22959074678792687</v>
      </c>
      <c r="H54" s="18">
        <f>1</f>
        <v>1</v>
      </c>
      <c r="I54" s="19">
        <f t="shared" si="31"/>
        <v>7.261277846755771</v>
      </c>
      <c r="J54" s="19">
        <f t="shared" si="32"/>
        <v>16.999701678903431</v>
      </c>
      <c r="K54" s="18">
        <f t="shared" si="33"/>
        <v>1</v>
      </c>
      <c r="L54" s="17"/>
      <c r="M54" s="17"/>
      <c r="N54" s="18">
        <f t="shared" si="15"/>
        <v>7.261277846755771</v>
      </c>
      <c r="O54" s="18">
        <f t="shared" si="15"/>
        <v>16.999701678903431</v>
      </c>
      <c r="P54" s="18">
        <f t="shared" si="16"/>
        <v>-100</v>
      </c>
      <c r="Q54" s="18">
        <f t="shared" si="16"/>
        <v>-100</v>
      </c>
      <c r="S54" s="10">
        <f t="shared" si="17"/>
        <v>44.860252913680135</v>
      </c>
      <c r="T54" s="10">
        <f t="shared" si="18"/>
        <v>1</v>
      </c>
      <c r="U54" s="10">
        <f t="shared" si="19"/>
        <v>0</v>
      </c>
      <c r="V54" s="10">
        <f t="shared" si="20"/>
        <v>0</v>
      </c>
      <c r="Y54" s="10">
        <f t="shared" si="34"/>
        <v>0</v>
      </c>
      <c r="Z54" s="10">
        <f t="shared" si="35"/>
        <v>0</v>
      </c>
      <c r="AA54" s="10">
        <f t="shared" si="36"/>
        <v>0</v>
      </c>
      <c r="AB54" s="10">
        <f t="shared" si="37"/>
        <v>9.9999999999999978E-2</v>
      </c>
      <c r="AC54" s="10">
        <f t="shared" si="38"/>
        <v>5.4459310884422436</v>
      </c>
      <c r="AD54" s="10">
        <f t="shared" si="39"/>
        <v>0.30681915746137811</v>
      </c>
      <c r="AE54" s="10">
        <f t="shared" si="21"/>
        <v>-1</v>
      </c>
      <c r="AF54" s="10">
        <f t="shared" si="22"/>
        <v>1</v>
      </c>
      <c r="AI54" s="10">
        <f t="shared" si="28"/>
        <v>-1</v>
      </c>
      <c r="AJ54" s="10">
        <f t="shared" si="29"/>
        <v>0</v>
      </c>
      <c r="AK54" s="10">
        <f t="shared" si="30"/>
        <v>0</v>
      </c>
      <c r="BD54" s="10">
        <f t="shared" si="23"/>
        <v>35</v>
      </c>
      <c r="BE54" s="10">
        <v>-0.66785332819563337</v>
      </c>
      <c r="BF54" s="10">
        <v>-6.6165739553980529E-3</v>
      </c>
      <c r="BG54" s="10">
        <v>0.45655690176091801</v>
      </c>
      <c r="BJ54" s="16">
        <f>1</f>
        <v>1</v>
      </c>
      <c r="BK54" s="14">
        <f t="shared" si="40"/>
        <v>5.2446448142755377</v>
      </c>
      <c r="BL54" s="14">
        <f t="shared" si="41"/>
        <v>14.989850754201532</v>
      </c>
      <c r="BM54" s="16">
        <f t="shared" si="42"/>
        <v>1</v>
      </c>
      <c r="BO54" s="10">
        <f t="shared" si="24"/>
        <v>-117.12229386763256</v>
      </c>
      <c r="BP54" s="10">
        <f t="shared" si="25"/>
        <v>-1</v>
      </c>
      <c r="BQ54" s="10">
        <f t="shared" si="26"/>
        <v>-1</v>
      </c>
      <c r="BR54" s="10">
        <f t="shared" si="27"/>
        <v>1</v>
      </c>
    </row>
    <row r="55" spans="2:70" x14ac:dyDescent="0.25">
      <c r="B55" s="10">
        <f t="shared" si="14"/>
        <v>36</v>
      </c>
      <c r="C55">
        <v>-1.2855093700636644</v>
      </c>
      <c r="D55">
        <v>1.3599901649286039</v>
      </c>
      <c r="E55">
        <v>0.67088839381084631</v>
      </c>
      <c r="H55" s="18">
        <f>1</f>
        <v>1</v>
      </c>
      <c r="I55" s="19">
        <f t="shared" si="31"/>
        <v>4.3541924151604556</v>
      </c>
      <c r="J55" s="19">
        <f t="shared" si="32"/>
        <v>16.960038312969235</v>
      </c>
      <c r="K55" s="18">
        <f t="shared" si="33"/>
        <v>-1</v>
      </c>
      <c r="L55" s="17"/>
      <c r="M55" s="17"/>
      <c r="N55" s="18">
        <f t="shared" si="15"/>
        <v>-100</v>
      </c>
      <c r="O55" s="18">
        <f t="shared" si="15"/>
        <v>-100</v>
      </c>
      <c r="P55" s="18">
        <f t="shared" si="16"/>
        <v>4.3541924151604556</v>
      </c>
      <c r="Q55" s="18">
        <f t="shared" si="16"/>
        <v>16.960038312969235</v>
      </c>
      <c r="S55" s="10">
        <f t="shared" si="17"/>
        <v>29.016296504479659</v>
      </c>
      <c r="T55" s="10">
        <f t="shared" si="18"/>
        <v>1</v>
      </c>
      <c r="U55" s="10">
        <f t="shared" si="19"/>
        <v>-1</v>
      </c>
      <c r="V55" s="10">
        <f t="shared" si="20"/>
        <v>1</v>
      </c>
      <c r="Y55" s="10">
        <f t="shared" si="34"/>
        <v>-0.70082399975499998</v>
      </c>
      <c r="Z55" s="10">
        <f t="shared" si="35"/>
        <v>-3.0515225440956337</v>
      </c>
      <c r="AA55" s="10">
        <f t="shared" si="36"/>
        <v>-11.886001886493142</v>
      </c>
      <c r="AB55" s="10">
        <f t="shared" si="37"/>
        <v>-0.600823999755</v>
      </c>
      <c r="AC55" s="10">
        <f t="shared" si="38"/>
        <v>2.3944085443466099</v>
      </c>
      <c r="AD55" s="10">
        <f t="shared" si="39"/>
        <v>-11.579182729031764</v>
      </c>
      <c r="AE55" s="10">
        <f t="shared" si="21"/>
        <v>-1</v>
      </c>
      <c r="AF55" s="10">
        <f t="shared" si="22"/>
        <v>0</v>
      </c>
      <c r="AI55" s="10">
        <f t="shared" si="28"/>
        <v>-1</v>
      </c>
      <c r="AJ55" s="10">
        <f t="shared" si="29"/>
        <v>0</v>
      </c>
      <c r="AK55" s="10">
        <f t="shared" si="30"/>
        <v>0</v>
      </c>
      <c r="BD55" s="10">
        <f t="shared" si="23"/>
        <v>36</v>
      </c>
      <c r="BE55" s="10">
        <v>-5.0624748837435618E-2</v>
      </c>
      <c r="BF55" s="10">
        <v>0.52116433835180942</v>
      </c>
      <c r="BG55" s="10">
        <v>0.57454145939512313</v>
      </c>
      <c r="BJ55" s="16">
        <f>1</f>
        <v>1</v>
      </c>
      <c r="BK55" s="14">
        <f t="shared" si="40"/>
        <v>6.1344809561347828</v>
      </c>
      <c r="BL55" s="14">
        <f t="shared" si="41"/>
        <v>15.750733426294801</v>
      </c>
      <c r="BM55" s="16">
        <f t="shared" si="42"/>
        <v>-1</v>
      </c>
      <c r="BO55" s="10">
        <f t="shared" si="24"/>
        <v>-127.85208158563179</v>
      </c>
      <c r="BP55" s="10">
        <f t="shared" si="25"/>
        <v>-1</v>
      </c>
      <c r="BQ55" s="10">
        <f t="shared" si="26"/>
        <v>0</v>
      </c>
      <c r="BR55" s="10">
        <f t="shared" si="27"/>
        <v>0</v>
      </c>
    </row>
    <row r="56" spans="2:70" x14ac:dyDescent="0.25">
      <c r="B56" s="10">
        <f t="shared" si="14"/>
        <v>37</v>
      </c>
      <c r="C56">
        <v>-1.1138854461023584</v>
      </c>
      <c r="D56">
        <v>0.74523541115922853</v>
      </c>
      <c r="E56">
        <v>0.54066591387676621</v>
      </c>
      <c r="H56" s="18">
        <f>1</f>
        <v>1</v>
      </c>
      <c r="I56" s="19">
        <f t="shared" si="31"/>
        <v>4.6016164254149228</v>
      </c>
      <c r="J56" s="19">
        <f t="shared" si="32"/>
        <v>16.07376859607994</v>
      </c>
      <c r="K56" s="18">
        <f t="shared" si="33"/>
        <v>-1</v>
      </c>
      <c r="L56" s="17"/>
      <c r="M56" s="17"/>
      <c r="N56" s="18">
        <f t="shared" si="15"/>
        <v>-100</v>
      </c>
      <c r="O56" s="18">
        <f t="shared" si="15"/>
        <v>-100</v>
      </c>
      <c r="P56" s="18">
        <f t="shared" si="16"/>
        <v>4.6016164254149228</v>
      </c>
      <c r="Q56" s="18">
        <f t="shared" si="16"/>
        <v>16.07376859607994</v>
      </c>
      <c r="S56" s="10">
        <f t="shared" si="17"/>
        <v>-175.70377803111779</v>
      </c>
      <c r="T56" s="10">
        <f t="shared" si="18"/>
        <v>-1</v>
      </c>
      <c r="U56" s="10">
        <f t="shared" si="19"/>
        <v>0</v>
      </c>
      <c r="V56" s="10">
        <f t="shared" si="20"/>
        <v>0</v>
      </c>
      <c r="Y56" s="10">
        <f t="shared" si="34"/>
        <v>0</v>
      </c>
      <c r="Z56" s="10">
        <f t="shared" si="35"/>
        <v>0</v>
      </c>
      <c r="AA56" s="10">
        <f t="shared" si="36"/>
        <v>0</v>
      </c>
      <c r="AB56" s="10">
        <f t="shared" si="37"/>
        <v>-0.600823999755</v>
      </c>
      <c r="AC56" s="10">
        <f t="shared" si="38"/>
        <v>2.3944085443466099</v>
      </c>
      <c r="AD56" s="10">
        <f t="shared" si="39"/>
        <v>-11.579182729031764</v>
      </c>
      <c r="AE56" s="10">
        <f t="shared" si="21"/>
        <v>-1</v>
      </c>
      <c r="AF56" s="10">
        <f t="shared" si="22"/>
        <v>0</v>
      </c>
      <c r="AI56" s="10">
        <f t="shared" si="28"/>
        <v>-1</v>
      </c>
      <c r="AJ56" s="10">
        <f t="shared" si="29"/>
        <v>1</v>
      </c>
      <c r="AK56" s="10">
        <f t="shared" si="30"/>
        <v>1</v>
      </c>
      <c r="BD56" s="10">
        <f t="shared" si="23"/>
        <v>37</v>
      </c>
      <c r="BE56" s="10">
        <v>0.24709606805117801</v>
      </c>
      <c r="BF56" s="10">
        <v>1.102575879485812</v>
      </c>
      <c r="BG56" s="10">
        <v>0.5578478347117527</v>
      </c>
      <c r="BJ56" s="16">
        <f>1</f>
        <v>1</v>
      </c>
      <c r="BK56" s="14">
        <f t="shared" si="40"/>
        <v>6.5636943009329398</v>
      </c>
      <c r="BL56" s="14">
        <f t="shared" si="41"/>
        <v>16.588933438246737</v>
      </c>
      <c r="BM56" s="16">
        <f t="shared" si="42"/>
        <v>-1</v>
      </c>
      <c r="BO56" s="10">
        <f t="shared" si="24"/>
        <v>-135.44881534803949</v>
      </c>
      <c r="BP56" s="10">
        <f t="shared" si="25"/>
        <v>-1</v>
      </c>
      <c r="BQ56" s="10">
        <f t="shared" si="26"/>
        <v>0</v>
      </c>
      <c r="BR56" s="10">
        <f t="shared" si="27"/>
        <v>0</v>
      </c>
    </row>
    <row r="57" spans="2:70" x14ac:dyDescent="0.25">
      <c r="B57" s="10">
        <f t="shared" si="14"/>
        <v>38</v>
      </c>
      <c r="C57">
        <v>0.29927150535513647</v>
      </c>
      <c r="D57">
        <v>-0.47628759602957871</v>
      </c>
      <c r="E57">
        <v>0.62141788995025482</v>
      </c>
      <c r="H57" s="18">
        <f>1</f>
        <v>1</v>
      </c>
      <c r="I57" s="19">
        <f t="shared" si="31"/>
        <v>6.63891374375046</v>
      </c>
      <c r="J57" s="19">
        <f t="shared" si="32"/>
        <v>14.312743011296712</v>
      </c>
      <c r="K57" s="18">
        <f t="shared" si="33"/>
        <v>-1</v>
      </c>
      <c r="L57" s="17"/>
      <c r="M57" s="17"/>
      <c r="N57" s="18">
        <f t="shared" si="15"/>
        <v>-100</v>
      </c>
      <c r="O57" s="18">
        <f t="shared" si="15"/>
        <v>-100</v>
      </c>
      <c r="P57" s="18">
        <f t="shared" si="16"/>
        <v>6.63891374375046</v>
      </c>
      <c r="Q57" s="18">
        <f t="shared" si="16"/>
        <v>14.312743011296712</v>
      </c>
      <c r="S57" s="10">
        <f t="shared" si="17"/>
        <v>-150.43441888801573</v>
      </c>
      <c r="T57" s="10">
        <f t="shared" si="18"/>
        <v>-1</v>
      </c>
      <c r="U57" s="10">
        <f t="shared" si="19"/>
        <v>0</v>
      </c>
      <c r="V57" s="10">
        <f t="shared" si="20"/>
        <v>0</v>
      </c>
      <c r="Y57" s="10">
        <f t="shared" si="34"/>
        <v>0</v>
      </c>
      <c r="Z57" s="10">
        <f t="shared" si="35"/>
        <v>0</v>
      </c>
      <c r="AA57" s="10">
        <f t="shared" si="36"/>
        <v>0</v>
      </c>
      <c r="AB57" s="10">
        <f t="shared" si="37"/>
        <v>-0.600823999755</v>
      </c>
      <c r="AC57" s="10">
        <f t="shared" si="38"/>
        <v>2.3944085443466099</v>
      </c>
      <c r="AD57" s="10">
        <f t="shared" si="39"/>
        <v>-11.579182729031764</v>
      </c>
      <c r="AE57" s="10">
        <f t="shared" si="21"/>
        <v>-1</v>
      </c>
      <c r="AF57" s="10">
        <f t="shared" si="22"/>
        <v>0</v>
      </c>
      <c r="AI57" s="10">
        <f t="shared" si="28"/>
        <v>-1</v>
      </c>
      <c r="AJ57" s="10">
        <f t="shared" si="29"/>
        <v>1</v>
      </c>
      <c r="AK57" s="10">
        <f t="shared" si="30"/>
        <v>1</v>
      </c>
      <c r="BD57" s="10">
        <f t="shared" si="23"/>
        <v>38</v>
      </c>
      <c r="BE57" s="10">
        <v>0.41127918848360423</v>
      </c>
      <c r="BF57" s="10">
        <v>-0.77619233707082458</v>
      </c>
      <c r="BG57" s="10">
        <v>0.43955809198278756</v>
      </c>
      <c r="BJ57" s="16">
        <f>1</f>
        <v>1</v>
      </c>
      <c r="BK57" s="14">
        <f t="shared" si="40"/>
        <v>6.8003911735824758</v>
      </c>
      <c r="BL57" s="14">
        <f t="shared" si="41"/>
        <v>13.880381181954771</v>
      </c>
      <c r="BM57" s="16">
        <f t="shared" si="42"/>
        <v>1</v>
      </c>
      <c r="BO57" s="10">
        <f t="shared" si="24"/>
        <v>-123.34496037677332</v>
      </c>
      <c r="BP57" s="10">
        <f t="shared" si="25"/>
        <v>-1</v>
      </c>
      <c r="BQ57" s="10">
        <f t="shared" si="26"/>
        <v>-1</v>
      </c>
      <c r="BR57" s="10">
        <f t="shared" si="27"/>
        <v>1</v>
      </c>
    </row>
    <row r="58" spans="2:70" x14ac:dyDescent="0.25">
      <c r="B58" s="10">
        <f t="shared" si="14"/>
        <v>39</v>
      </c>
      <c r="C58">
        <v>-0.17822458175942302</v>
      </c>
      <c r="D58">
        <v>-0.83059603639412671</v>
      </c>
      <c r="E58">
        <v>0.99591051973021638</v>
      </c>
      <c r="H58" s="18">
        <f>1</f>
        <v>1</v>
      </c>
      <c r="I58" s="19">
        <f t="shared" si="31"/>
        <v>5.950524887303283</v>
      </c>
      <c r="J58" s="19">
        <f t="shared" si="32"/>
        <v>13.801949334292994</v>
      </c>
      <c r="K58" s="18">
        <f t="shared" si="33"/>
        <v>-1</v>
      </c>
      <c r="L58" s="17"/>
      <c r="M58" s="17"/>
      <c r="N58" s="18">
        <f t="shared" si="15"/>
        <v>-100</v>
      </c>
      <c r="O58" s="18">
        <f t="shared" si="15"/>
        <v>-100</v>
      </c>
      <c r="P58" s="18">
        <f t="shared" si="16"/>
        <v>5.950524887303283</v>
      </c>
      <c r="Q58" s="18">
        <f t="shared" si="16"/>
        <v>13.801949334292994</v>
      </c>
      <c r="S58" s="10">
        <f t="shared" si="17"/>
        <v>-146.16812972486576</v>
      </c>
      <c r="T58" s="10">
        <f t="shared" si="18"/>
        <v>-1</v>
      </c>
      <c r="U58" s="10">
        <f t="shared" si="19"/>
        <v>0</v>
      </c>
      <c r="V58" s="10">
        <f t="shared" si="20"/>
        <v>0</v>
      </c>
      <c r="Y58" s="10">
        <f t="shared" si="34"/>
        <v>0</v>
      </c>
      <c r="Z58" s="10">
        <f t="shared" si="35"/>
        <v>0</v>
      </c>
      <c r="AA58" s="10">
        <f t="shared" si="36"/>
        <v>0</v>
      </c>
      <c r="AB58" s="10">
        <f t="shared" si="37"/>
        <v>-0.600823999755</v>
      </c>
      <c r="AC58" s="10">
        <f t="shared" si="38"/>
        <v>2.3944085443466099</v>
      </c>
      <c r="AD58" s="10">
        <f t="shared" si="39"/>
        <v>-11.579182729031764</v>
      </c>
      <c r="AE58" s="10">
        <f t="shared" si="21"/>
        <v>-1</v>
      </c>
      <c r="AF58" s="10">
        <f t="shared" si="22"/>
        <v>0</v>
      </c>
      <c r="AI58" s="10">
        <f t="shared" si="28"/>
        <v>-1</v>
      </c>
      <c r="AJ58" s="10">
        <f t="shared" si="29"/>
        <v>0</v>
      </c>
      <c r="AK58" s="10">
        <f t="shared" si="30"/>
        <v>0</v>
      </c>
      <c r="BD58" s="10">
        <f t="shared" si="23"/>
        <v>39</v>
      </c>
      <c r="BE58" s="10">
        <v>-0.60040747484890744</v>
      </c>
      <c r="BF58" s="10">
        <v>0.2798856257868465</v>
      </c>
      <c r="BG58" s="10">
        <v>0.26987517929624316</v>
      </c>
      <c r="BJ58" s="16">
        <f>1</f>
        <v>1</v>
      </c>
      <c r="BK58" s="14">
        <f t="shared" si="40"/>
        <v>5.3418790641686007</v>
      </c>
      <c r="BL58" s="14">
        <f t="shared" si="41"/>
        <v>15.402890623998092</v>
      </c>
      <c r="BM58" s="16">
        <f t="shared" si="42"/>
        <v>1</v>
      </c>
      <c r="BO58" s="10">
        <f t="shared" si="24"/>
        <v>-119.98994312762453</v>
      </c>
      <c r="BP58" s="10">
        <f t="shared" si="25"/>
        <v>-1</v>
      </c>
      <c r="BQ58" s="10">
        <f t="shared" si="26"/>
        <v>-1</v>
      </c>
      <c r="BR58" s="10">
        <f t="shared" si="27"/>
        <v>1</v>
      </c>
    </row>
    <row r="59" spans="2:70" x14ac:dyDescent="0.25">
      <c r="B59" s="10">
        <f t="shared" si="14"/>
        <v>40</v>
      </c>
      <c r="C59">
        <v>0.93118842414696701</v>
      </c>
      <c r="D59">
        <v>0.87427224571001716</v>
      </c>
      <c r="E59">
        <v>0.46122623371074556</v>
      </c>
      <c r="H59" s="18">
        <f>1</f>
        <v>1</v>
      </c>
      <c r="I59" s="19">
        <f t="shared" si="31"/>
        <v>7.5499255338687874</v>
      </c>
      <c r="J59" s="19">
        <f t="shared" si="32"/>
        <v>16.259796338239575</v>
      </c>
      <c r="K59" s="18">
        <f t="shared" si="33"/>
        <v>1</v>
      </c>
      <c r="L59" s="17"/>
      <c r="M59" s="17"/>
      <c r="N59" s="18">
        <f t="shared" si="15"/>
        <v>7.5499255338687874</v>
      </c>
      <c r="O59" s="18">
        <f t="shared" si="15"/>
        <v>16.259796338239575</v>
      </c>
      <c r="P59" s="18">
        <f t="shared" si="16"/>
        <v>-100</v>
      </c>
      <c r="Q59" s="18">
        <f t="shared" si="16"/>
        <v>-100</v>
      </c>
      <c r="S59" s="10">
        <f t="shared" si="17"/>
        <v>-170.79837072959654</v>
      </c>
      <c r="T59" s="10">
        <f t="shared" si="18"/>
        <v>-1</v>
      </c>
      <c r="U59" s="10">
        <f t="shared" si="19"/>
        <v>1</v>
      </c>
      <c r="V59" s="10">
        <f t="shared" si="20"/>
        <v>1</v>
      </c>
      <c r="X59" s="10">
        <f>SUM(V41:V59)</f>
        <v>11</v>
      </c>
      <c r="Y59" s="10">
        <f t="shared" si="34"/>
        <v>0.70082399975499998</v>
      </c>
      <c r="Z59" s="10">
        <f t="shared" si="35"/>
        <v>5.2911690104983276</v>
      </c>
      <c r="AA59" s="10">
        <f t="shared" si="36"/>
        <v>11.395255504966761</v>
      </c>
      <c r="AB59" s="10">
        <f t="shared" si="37"/>
        <v>9.9999999999999978E-2</v>
      </c>
      <c r="AC59" s="10">
        <f t="shared" si="38"/>
        <v>7.6855775548449374</v>
      </c>
      <c r="AD59" s="10">
        <f t="shared" si="39"/>
        <v>-0.18392722406500361</v>
      </c>
      <c r="AE59" s="10">
        <f t="shared" si="21"/>
        <v>-1</v>
      </c>
      <c r="AF59" s="10">
        <f t="shared" si="22"/>
        <v>1</v>
      </c>
      <c r="AI59" s="10">
        <f t="shared" si="28"/>
        <v>-1</v>
      </c>
      <c r="AJ59" s="10">
        <f t="shared" si="29"/>
        <v>0</v>
      </c>
      <c r="AK59" s="10">
        <f t="shared" si="30"/>
        <v>0</v>
      </c>
      <c r="BD59" s="10">
        <f t="shared" si="23"/>
        <v>40</v>
      </c>
      <c r="BE59" s="10">
        <v>-0.27964802029600833</v>
      </c>
      <c r="BF59" s="10">
        <v>0.12181772035546601</v>
      </c>
      <c r="BG59" s="10">
        <v>0.94186223944822534</v>
      </c>
      <c r="BJ59" s="16">
        <f>1</f>
        <v>1</v>
      </c>
      <c r="BK59" s="14">
        <f t="shared" si="40"/>
        <v>5.8043063804814876</v>
      </c>
      <c r="BL59" s="14">
        <f t="shared" si="41"/>
        <v>15.175009835867565</v>
      </c>
      <c r="BM59" s="16">
        <f t="shared" si="42"/>
        <v>-1</v>
      </c>
      <c r="BO59" s="10">
        <f t="shared" si="24"/>
        <v>-122.36315301102343</v>
      </c>
      <c r="BP59" s="10">
        <f t="shared" si="25"/>
        <v>-1</v>
      </c>
      <c r="BQ59" s="10">
        <f t="shared" si="26"/>
        <v>0</v>
      </c>
      <c r="BR59" s="10">
        <f t="shared" si="27"/>
        <v>0</v>
      </c>
    </row>
    <row r="60" spans="2:70" x14ac:dyDescent="0.25">
      <c r="B60" s="10">
        <f t="shared" si="14"/>
        <v>41</v>
      </c>
      <c r="C60">
        <v>0.78845005191396922</v>
      </c>
      <c r="D60">
        <v>-1.064061052602483</v>
      </c>
      <c r="E60">
        <v>0.48182622760704369</v>
      </c>
      <c r="H60" s="18">
        <f>1</f>
        <v>1</v>
      </c>
      <c r="I60" s="19">
        <f t="shared" si="31"/>
        <v>7.3441447798811001</v>
      </c>
      <c r="J60" s="19">
        <f t="shared" si="32"/>
        <v>13.46537125571801</v>
      </c>
      <c r="K60" s="18">
        <f t="shared" si="33"/>
        <v>1</v>
      </c>
      <c r="L60" s="17"/>
      <c r="M60" s="17"/>
      <c r="N60" s="18">
        <f t="shared" si="15"/>
        <v>7.3441447798811001</v>
      </c>
      <c r="O60" s="18">
        <f t="shared" si="15"/>
        <v>13.46537125571801</v>
      </c>
      <c r="P60" s="18">
        <f t="shared" si="16"/>
        <v>-100</v>
      </c>
      <c r="Q60" s="18">
        <f t="shared" si="16"/>
        <v>-100</v>
      </c>
      <c r="S60" s="12">
        <f t="shared" si="17"/>
        <v>54.067345923716893</v>
      </c>
      <c r="T60" s="12">
        <f t="shared" si="18"/>
        <v>1</v>
      </c>
      <c r="U60" s="12">
        <f t="shared" si="19"/>
        <v>0</v>
      </c>
      <c r="V60" s="12">
        <f t="shared" si="20"/>
        <v>0</v>
      </c>
      <c r="W60" s="12"/>
      <c r="X60" s="12"/>
      <c r="Y60" s="10">
        <f t="shared" si="34"/>
        <v>0</v>
      </c>
      <c r="Z60" s="10">
        <f t="shared" si="35"/>
        <v>0</v>
      </c>
      <c r="AA60" s="10">
        <f t="shared" si="36"/>
        <v>0</v>
      </c>
      <c r="AB60" s="10">
        <f t="shared" si="37"/>
        <v>9.9999999999999978E-2</v>
      </c>
      <c r="AC60" s="10">
        <f t="shared" si="38"/>
        <v>7.6855775548449374</v>
      </c>
      <c r="AD60" s="10">
        <f t="shared" si="39"/>
        <v>-0.18392722406500361</v>
      </c>
      <c r="AE60" s="10">
        <f t="shared" si="21"/>
        <v>-1</v>
      </c>
      <c r="AF60" s="10">
        <f t="shared" si="22"/>
        <v>1</v>
      </c>
      <c r="AI60" s="10">
        <f t="shared" si="28"/>
        <v>-1</v>
      </c>
      <c r="AJ60" s="10">
        <f t="shared" si="29"/>
        <v>0</v>
      </c>
      <c r="AK60" s="10">
        <f t="shared" si="30"/>
        <v>0</v>
      </c>
      <c r="BD60" s="10">
        <f t="shared" si="23"/>
        <v>41</v>
      </c>
      <c r="BE60" s="10">
        <v>0.20651327758969273</v>
      </c>
      <c r="BF60" s="10">
        <v>-5.0242761062690988E-2</v>
      </c>
      <c r="BG60" s="10">
        <v>0.16901150547807245</v>
      </c>
      <c r="BJ60" s="16">
        <f>1</f>
        <v>1</v>
      </c>
      <c r="BK60" s="14">
        <f t="shared" si="40"/>
        <v>6.5051875582158738</v>
      </c>
      <c r="BL60" s="14">
        <f t="shared" si="41"/>
        <v>14.926956456500754</v>
      </c>
      <c r="BM60" s="16">
        <f t="shared" si="42"/>
        <v>1</v>
      </c>
      <c r="BO60" s="10">
        <f t="shared" si="24"/>
        <v>-126.46028737691393</v>
      </c>
      <c r="BP60" s="10">
        <f t="shared" si="25"/>
        <v>-1</v>
      </c>
      <c r="BQ60" s="10">
        <f t="shared" si="26"/>
        <v>-1</v>
      </c>
      <c r="BR60" s="10">
        <f t="shared" si="27"/>
        <v>1</v>
      </c>
    </row>
    <row r="61" spans="2:70" x14ac:dyDescent="0.25">
      <c r="B61" s="10">
        <f t="shared" si="14"/>
        <v>42</v>
      </c>
      <c r="C61">
        <v>-6.1581886257044971E-2</v>
      </c>
      <c r="D61">
        <v>1.6799913282738999</v>
      </c>
      <c r="E61">
        <v>0.12097537156285287</v>
      </c>
      <c r="H61" s="18">
        <f>1</f>
        <v>1</v>
      </c>
      <c r="I61" s="19">
        <f t="shared" si="31"/>
        <v>6.1186844470077668</v>
      </c>
      <c r="J61" s="19">
        <f t="shared" si="32"/>
        <v>17.421372428245835</v>
      </c>
      <c r="K61" s="18">
        <f t="shared" si="33"/>
        <v>1</v>
      </c>
      <c r="L61" s="17"/>
      <c r="M61" s="17"/>
      <c r="N61" s="18">
        <f t="shared" si="15"/>
        <v>6.1186844470077668</v>
      </c>
      <c r="O61" s="18">
        <f t="shared" si="15"/>
        <v>17.421372428245835</v>
      </c>
      <c r="P61" s="18">
        <f t="shared" si="16"/>
        <v>-100</v>
      </c>
      <c r="Q61" s="18">
        <f t="shared" si="16"/>
        <v>-100</v>
      </c>
      <c r="S61" s="10">
        <f t="shared" si="17"/>
        <v>43.921359180971855</v>
      </c>
      <c r="T61" s="10">
        <f t="shared" si="18"/>
        <v>1</v>
      </c>
      <c r="U61" s="10">
        <f t="shared" si="19"/>
        <v>0</v>
      </c>
      <c r="V61" s="10">
        <f t="shared" si="20"/>
        <v>0</v>
      </c>
      <c r="Y61" s="10">
        <f t="shared" si="34"/>
        <v>0</v>
      </c>
      <c r="Z61" s="10">
        <f t="shared" si="35"/>
        <v>0</v>
      </c>
      <c r="AA61" s="10">
        <f t="shared" si="36"/>
        <v>0</v>
      </c>
      <c r="AB61" s="10">
        <f t="shared" si="37"/>
        <v>9.9999999999999978E-2</v>
      </c>
      <c r="AC61" s="10">
        <f t="shared" si="38"/>
        <v>7.6855775548449374</v>
      </c>
      <c r="AD61" s="10">
        <f t="shared" si="39"/>
        <v>-0.18392722406500361</v>
      </c>
      <c r="AE61" s="10">
        <f t="shared" si="21"/>
        <v>-1</v>
      </c>
      <c r="AF61" s="10">
        <f t="shared" si="22"/>
        <v>1</v>
      </c>
      <c r="AI61" s="10">
        <f t="shared" si="28"/>
        <v>-1</v>
      </c>
      <c r="AJ61" s="10">
        <f t="shared" si="29"/>
        <v>0</v>
      </c>
      <c r="AK61" s="10">
        <f t="shared" si="30"/>
        <v>0</v>
      </c>
      <c r="BD61" s="10">
        <f t="shared" si="23"/>
        <v>42</v>
      </c>
      <c r="BE61" s="10">
        <v>0.34796585168805905</v>
      </c>
      <c r="BF61" s="10">
        <v>0.51311872084625065</v>
      </c>
      <c r="BG61" s="10">
        <v>6.2440870387890257E-2</v>
      </c>
      <c r="BJ61" s="16">
        <f>1</f>
        <v>1</v>
      </c>
      <c r="BK61" s="14">
        <f t="shared" si="40"/>
        <v>6.7091146234898602</v>
      </c>
      <c r="BL61" s="14">
        <f t="shared" si="41"/>
        <v>15.739134350232144</v>
      </c>
      <c r="BM61" s="16">
        <f t="shared" si="42"/>
        <v>1</v>
      </c>
      <c r="BO61" s="10">
        <f t="shared" si="24"/>
        <v>-132.19664415924319</v>
      </c>
      <c r="BP61" s="10">
        <f t="shared" si="25"/>
        <v>-1</v>
      </c>
      <c r="BQ61" s="10">
        <f t="shared" si="26"/>
        <v>-1</v>
      </c>
      <c r="BR61" s="10">
        <f t="shared" si="27"/>
        <v>1</v>
      </c>
    </row>
    <row r="62" spans="2:70" x14ac:dyDescent="0.25">
      <c r="B62" s="10">
        <f t="shared" si="14"/>
        <v>43</v>
      </c>
      <c r="C62">
        <v>7.2293460107175633E-3</v>
      </c>
      <c r="D62">
        <v>-0.86801264842506498</v>
      </c>
      <c r="E62">
        <v>0.74868007446516316</v>
      </c>
      <c r="H62" s="18">
        <f>1</f>
        <v>1</v>
      </c>
      <c r="I62" s="19">
        <f t="shared" si="31"/>
        <v>6.2178871143589687</v>
      </c>
      <c r="J62" s="19">
        <f t="shared" si="32"/>
        <v>13.748007156622487</v>
      </c>
      <c r="K62" s="18">
        <f t="shared" si="33"/>
        <v>-1</v>
      </c>
      <c r="L62" s="17"/>
      <c r="M62" s="17"/>
      <c r="N62" s="18">
        <f t="shared" si="15"/>
        <v>-100</v>
      </c>
      <c r="O62" s="18">
        <f t="shared" si="15"/>
        <v>-100</v>
      </c>
      <c r="P62" s="18">
        <f t="shared" si="16"/>
        <v>6.2178871143589687</v>
      </c>
      <c r="Q62" s="18">
        <f t="shared" si="16"/>
        <v>13.748007156622487</v>
      </c>
      <c r="S62" s="10">
        <f t="shared" si="17"/>
        <v>45.359420851933464</v>
      </c>
      <c r="T62" s="10">
        <f t="shared" si="18"/>
        <v>1</v>
      </c>
      <c r="U62" s="10">
        <f t="shared" si="19"/>
        <v>-1</v>
      </c>
      <c r="V62" s="10">
        <f t="shared" si="20"/>
        <v>1</v>
      </c>
      <c r="Y62" s="10">
        <f t="shared" si="34"/>
        <v>-0.70082399975499998</v>
      </c>
      <c r="Z62" s="10">
        <f t="shared" si="35"/>
        <v>-4.3576445175101277</v>
      </c>
      <c r="AA62" s="10">
        <f t="shared" si="36"/>
        <v>-9.6349333641645352</v>
      </c>
      <c r="AB62" s="10">
        <f t="shared" si="37"/>
        <v>-0.600823999755</v>
      </c>
      <c r="AC62" s="10">
        <f t="shared" si="38"/>
        <v>3.3279330373348097</v>
      </c>
      <c r="AD62" s="10">
        <f t="shared" si="39"/>
        <v>-9.8188605882295388</v>
      </c>
      <c r="AE62" s="10">
        <f t="shared" si="21"/>
        <v>-1</v>
      </c>
      <c r="AF62" s="10">
        <f t="shared" si="22"/>
        <v>0</v>
      </c>
      <c r="AI62" s="10">
        <f t="shared" si="28"/>
        <v>-1</v>
      </c>
      <c r="AJ62" s="10">
        <f t="shared" si="29"/>
        <v>1</v>
      </c>
      <c r="AK62" s="10">
        <f t="shared" si="30"/>
        <v>1</v>
      </c>
      <c r="BD62" s="10">
        <f t="shared" si="23"/>
        <v>43</v>
      </c>
      <c r="BE62" s="10">
        <v>-0.41078010326600634</v>
      </c>
      <c r="BF62" s="10">
        <v>0.73076989792753011</v>
      </c>
      <c r="BG62" s="10">
        <v>0.2446668904690695</v>
      </c>
      <c r="BJ62" s="16">
        <f>1</f>
        <v>1</v>
      </c>
      <c r="BK62" s="14">
        <f t="shared" si="40"/>
        <v>5.6152579943790153</v>
      </c>
      <c r="BL62" s="14">
        <f t="shared" si="41"/>
        <v>16.052914188305284</v>
      </c>
      <c r="BM62" s="16">
        <f t="shared" si="42"/>
        <v>1</v>
      </c>
      <c r="BO62" s="10">
        <f t="shared" si="24"/>
        <v>-125.4253653172926</v>
      </c>
      <c r="BP62" s="10">
        <f t="shared" si="25"/>
        <v>-1</v>
      </c>
      <c r="BQ62" s="10">
        <f t="shared" si="26"/>
        <v>-1</v>
      </c>
      <c r="BR62" s="10">
        <f t="shared" si="27"/>
        <v>1</v>
      </c>
    </row>
    <row r="63" spans="2:70" x14ac:dyDescent="0.25">
      <c r="B63" s="10">
        <f t="shared" si="14"/>
        <v>44</v>
      </c>
      <c r="C63">
        <v>0.65443259700259659</v>
      </c>
      <c r="D63">
        <v>0.94269807959790342</v>
      </c>
      <c r="E63">
        <v>0.78624835963011563</v>
      </c>
      <c r="H63" s="18">
        <f>1</f>
        <v>1</v>
      </c>
      <c r="I63" s="19">
        <f t="shared" si="31"/>
        <v>7.1509366573017266</v>
      </c>
      <c r="J63" s="19">
        <f t="shared" si="32"/>
        <v>16.358443390671283</v>
      </c>
      <c r="K63" s="18">
        <f t="shared" si="33"/>
        <v>-1</v>
      </c>
      <c r="L63" s="17"/>
      <c r="M63" s="17"/>
      <c r="N63" s="18">
        <f t="shared" si="15"/>
        <v>-100</v>
      </c>
      <c r="O63" s="18">
        <f t="shared" si="15"/>
        <v>-100</v>
      </c>
      <c r="P63" s="18">
        <f t="shared" si="16"/>
        <v>7.1509366573017266</v>
      </c>
      <c r="Q63" s="18">
        <f t="shared" si="16"/>
        <v>16.358443390671283</v>
      </c>
      <c r="S63" s="10">
        <f t="shared" si="17"/>
        <v>-137.4242607434783</v>
      </c>
      <c r="T63" s="10">
        <f t="shared" si="18"/>
        <v>-1</v>
      </c>
      <c r="U63" s="10">
        <f t="shared" si="19"/>
        <v>0</v>
      </c>
      <c r="V63" s="10">
        <f t="shared" si="20"/>
        <v>0</v>
      </c>
      <c r="Y63" s="10">
        <f t="shared" si="34"/>
        <v>0</v>
      </c>
      <c r="Z63" s="10">
        <f t="shared" si="35"/>
        <v>0</v>
      </c>
      <c r="AA63" s="10">
        <f t="shared" si="36"/>
        <v>0</v>
      </c>
      <c r="AB63" s="10">
        <f t="shared" si="37"/>
        <v>-0.600823999755</v>
      </c>
      <c r="AC63" s="10">
        <f t="shared" si="38"/>
        <v>3.3279330373348097</v>
      </c>
      <c r="AD63" s="10">
        <f t="shared" si="39"/>
        <v>-9.8188605882295388</v>
      </c>
      <c r="AE63" s="10">
        <f t="shared" si="21"/>
        <v>-1</v>
      </c>
      <c r="AF63" s="10">
        <f t="shared" si="22"/>
        <v>0</v>
      </c>
      <c r="AI63" s="10">
        <f t="shared" si="28"/>
        <v>-1</v>
      </c>
      <c r="AJ63" s="10">
        <f t="shared" si="29"/>
        <v>1</v>
      </c>
      <c r="AK63" s="10">
        <f t="shared" si="30"/>
        <v>1</v>
      </c>
      <c r="BD63" s="10">
        <f t="shared" si="23"/>
        <v>44</v>
      </c>
      <c r="BE63" s="10">
        <v>1.0488224688742775</v>
      </c>
      <c r="BF63" s="10">
        <v>0.35700054468179587</v>
      </c>
      <c r="BG63" s="10">
        <v>0.84844508194219792</v>
      </c>
      <c r="BJ63" s="16">
        <f>1</f>
        <v>1</v>
      </c>
      <c r="BK63" s="14">
        <f t="shared" si="40"/>
        <v>7.7195142859325534</v>
      </c>
      <c r="BL63" s="14">
        <f t="shared" si="41"/>
        <v>15.514064416340341</v>
      </c>
      <c r="BM63" s="16">
        <f t="shared" si="42"/>
        <v>-1</v>
      </c>
      <c r="BO63" s="10">
        <f t="shared" si="24"/>
        <v>-138.78412208115554</v>
      </c>
      <c r="BP63" s="10">
        <f t="shared" si="25"/>
        <v>-1</v>
      </c>
      <c r="BQ63" s="10">
        <f t="shared" si="26"/>
        <v>0</v>
      </c>
      <c r="BR63" s="10">
        <f t="shared" si="27"/>
        <v>0</v>
      </c>
    </row>
    <row r="64" spans="2:70" x14ac:dyDescent="0.25">
      <c r="B64" s="10">
        <f t="shared" si="14"/>
        <v>45</v>
      </c>
      <c r="C64">
        <v>-1.4259785530157387</v>
      </c>
      <c r="D64">
        <v>-0.83883378465543501</v>
      </c>
      <c r="E64">
        <v>0.7431867427594836</v>
      </c>
      <c r="H64" s="18">
        <f>1</f>
        <v>1</v>
      </c>
      <c r="I64" s="19">
        <f t="shared" si="31"/>
        <v>4.1516830693713072</v>
      </c>
      <c r="J64" s="19">
        <f t="shared" si="32"/>
        <v>13.790073270261622</v>
      </c>
      <c r="K64" s="18">
        <f t="shared" si="33"/>
        <v>-1</v>
      </c>
      <c r="L64" s="17"/>
      <c r="M64" s="17"/>
      <c r="N64" s="18">
        <f t="shared" si="15"/>
        <v>-100</v>
      </c>
      <c r="O64" s="18">
        <f t="shared" si="15"/>
        <v>-100</v>
      </c>
      <c r="P64" s="18">
        <f t="shared" si="16"/>
        <v>4.1516830693713072</v>
      </c>
      <c r="Q64" s="18">
        <f t="shared" si="16"/>
        <v>13.790073270261622</v>
      </c>
      <c r="S64" s="10">
        <f t="shared" si="17"/>
        <v>-122.1871076948201</v>
      </c>
      <c r="T64" s="10">
        <f t="shared" si="18"/>
        <v>-1</v>
      </c>
      <c r="U64" s="10">
        <f t="shared" si="19"/>
        <v>0</v>
      </c>
      <c r="V64" s="10">
        <f t="shared" si="20"/>
        <v>0</v>
      </c>
      <c r="Y64" s="10">
        <f t="shared" si="34"/>
        <v>0</v>
      </c>
      <c r="Z64" s="10">
        <f t="shared" si="35"/>
        <v>0</v>
      </c>
      <c r="AA64" s="10">
        <f t="shared" si="36"/>
        <v>0</v>
      </c>
      <c r="AB64" s="10">
        <f t="shared" si="37"/>
        <v>-0.600823999755</v>
      </c>
      <c r="AC64" s="10">
        <f t="shared" si="38"/>
        <v>3.3279330373348097</v>
      </c>
      <c r="AD64" s="10">
        <f t="shared" si="39"/>
        <v>-9.8188605882295388</v>
      </c>
      <c r="AE64" s="10">
        <f t="shared" si="21"/>
        <v>-1</v>
      </c>
      <c r="AF64" s="10">
        <f t="shared" si="22"/>
        <v>0</v>
      </c>
      <c r="AI64" s="10">
        <f t="shared" si="28"/>
        <v>-1</v>
      </c>
      <c r="AJ64" s="10">
        <f t="shared" si="29"/>
        <v>1</v>
      </c>
      <c r="AK64" s="10">
        <f t="shared" si="30"/>
        <v>1</v>
      </c>
      <c r="BD64" s="10">
        <f t="shared" si="23"/>
        <v>45</v>
      </c>
      <c r="BE64" s="10">
        <v>-0.66136635723523796</v>
      </c>
      <c r="BF64" s="10">
        <v>7.016865311015863E-2</v>
      </c>
      <c r="BG64" s="10">
        <v>0.87249366740928369</v>
      </c>
      <c r="BJ64" s="16">
        <f>1</f>
        <v>1</v>
      </c>
      <c r="BK64" s="14">
        <f t="shared" si="40"/>
        <v>5.2539968459292785</v>
      </c>
      <c r="BL64" s="14">
        <f t="shared" si="41"/>
        <v>15.100549241745396</v>
      </c>
      <c r="BM64" s="16">
        <f t="shared" si="42"/>
        <v>-1</v>
      </c>
      <c r="BO64" s="10">
        <f t="shared" si="24"/>
        <v>-117.76279788679994</v>
      </c>
      <c r="BP64" s="10">
        <f t="shared" si="25"/>
        <v>-1</v>
      </c>
      <c r="BQ64" s="10">
        <f t="shared" si="26"/>
        <v>0</v>
      </c>
      <c r="BR64" s="10">
        <f t="shared" si="27"/>
        <v>0</v>
      </c>
    </row>
    <row r="65" spans="2:70" x14ac:dyDescent="0.25">
      <c r="B65" s="10">
        <f t="shared" si="14"/>
        <v>46</v>
      </c>
      <c r="C65">
        <v>0.21542973627219908</v>
      </c>
      <c r="D65">
        <v>8.6129148257896304E-2</v>
      </c>
      <c r="E65">
        <v>0.66893520920438243</v>
      </c>
      <c r="H65" s="18">
        <f>1</f>
        <v>1</v>
      </c>
      <c r="I65" s="19">
        <f t="shared" si="31"/>
        <v>6.5180420945390924</v>
      </c>
      <c r="J65" s="19">
        <f t="shared" si="32"/>
        <v>15.12355891093342</v>
      </c>
      <c r="K65" s="18">
        <f t="shared" si="33"/>
        <v>-1</v>
      </c>
      <c r="L65" s="17"/>
      <c r="M65" s="17"/>
      <c r="N65" s="18">
        <f t="shared" si="15"/>
        <v>-100</v>
      </c>
      <c r="O65" s="18">
        <f t="shared" si="15"/>
        <v>-100</v>
      </c>
      <c r="P65" s="18">
        <f t="shared" si="16"/>
        <v>6.5180420945390924</v>
      </c>
      <c r="Q65" s="18">
        <f t="shared" si="16"/>
        <v>15.12355891093342</v>
      </c>
      <c r="S65" s="10">
        <f t="shared" si="17"/>
        <v>-127.40533291893118</v>
      </c>
      <c r="T65" s="10">
        <f t="shared" si="18"/>
        <v>-1</v>
      </c>
      <c r="U65" s="10">
        <f t="shared" si="19"/>
        <v>0</v>
      </c>
      <c r="V65" s="10">
        <f t="shared" si="20"/>
        <v>0</v>
      </c>
      <c r="Y65" s="10">
        <f t="shared" si="34"/>
        <v>0</v>
      </c>
      <c r="Z65" s="10">
        <f t="shared" si="35"/>
        <v>0</v>
      </c>
      <c r="AA65" s="10">
        <f t="shared" si="36"/>
        <v>0</v>
      </c>
      <c r="AB65" s="10">
        <f t="shared" si="37"/>
        <v>-0.600823999755</v>
      </c>
      <c r="AC65" s="10">
        <f t="shared" si="38"/>
        <v>3.3279330373348097</v>
      </c>
      <c r="AD65" s="10">
        <f t="shared" si="39"/>
        <v>-9.8188605882295388</v>
      </c>
      <c r="AE65" s="10">
        <f t="shared" si="21"/>
        <v>-1</v>
      </c>
      <c r="AF65" s="10">
        <f t="shared" si="22"/>
        <v>0</v>
      </c>
      <c r="AI65" s="10">
        <f t="shared" si="28"/>
        <v>-1</v>
      </c>
      <c r="AJ65" s="10">
        <f t="shared" si="29"/>
        <v>0</v>
      </c>
      <c r="AK65" s="10">
        <f t="shared" si="30"/>
        <v>0</v>
      </c>
      <c r="BD65" s="10">
        <f t="shared" si="23"/>
        <v>46</v>
      </c>
      <c r="BE65" s="10">
        <v>-0.55833311307651456</v>
      </c>
      <c r="BF65" s="10">
        <v>0.15147065823839512</v>
      </c>
      <c r="BG65" s="10">
        <v>0.934537797173986</v>
      </c>
      <c r="BJ65" s="16">
        <f>1</f>
        <v>1</v>
      </c>
      <c r="BK65" s="14">
        <f t="shared" si="40"/>
        <v>5.4025361513528427</v>
      </c>
      <c r="BL65" s="14">
        <f t="shared" si="41"/>
        <v>15.217759405027136</v>
      </c>
      <c r="BM65" s="16">
        <f t="shared" si="42"/>
        <v>-1</v>
      </c>
      <c r="BO65" s="10">
        <f t="shared" si="24"/>
        <v>-119.50353533760847</v>
      </c>
      <c r="BP65" s="10">
        <f t="shared" si="25"/>
        <v>-1</v>
      </c>
      <c r="BQ65" s="10">
        <f t="shared" si="26"/>
        <v>0</v>
      </c>
      <c r="BR65" s="10">
        <f t="shared" si="27"/>
        <v>0</v>
      </c>
    </row>
    <row r="66" spans="2:70" x14ac:dyDescent="0.25">
      <c r="B66" s="10">
        <f t="shared" si="14"/>
        <v>47</v>
      </c>
      <c r="C66">
        <v>0.73137016443070024</v>
      </c>
      <c r="D66">
        <v>-0.98867076303577051</v>
      </c>
      <c r="E66">
        <v>0.98580889309366126</v>
      </c>
      <c r="H66" s="18">
        <f>1</f>
        <v>1</v>
      </c>
      <c r="I66" s="19">
        <f t="shared" si="31"/>
        <v>7.2618547684420864</v>
      </c>
      <c r="J66" s="19">
        <f t="shared" si="32"/>
        <v>13.574058712270087</v>
      </c>
      <c r="K66" s="18">
        <f t="shared" si="33"/>
        <v>-1</v>
      </c>
      <c r="L66" s="17"/>
      <c r="M66" s="17"/>
      <c r="N66" s="18">
        <f t="shared" si="15"/>
        <v>-100</v>
      </c>
      <c r="O66" s="18">
        <f t="shared" si="15"/>
        <v>-100</v>
      </c>
      <c r="P66" s="18">
        <f t="shared" si="16"/>
        <v>7.2618547684420864</v>
      </c>
      <c r="Q66" s="18">
        <f t="shared" si="16"/>
        <v>13.574058712270087</v>
      </c>
      <c r="S66" s="10">
        <f t="shared" si="17"/>
        <v>-109.71564771575181</v>
      </c>
      <c r="T66" s="10">
        <f t="shared" si="18"/>
        <v>-1</v>
      </c>
      <c r="U66" s="10">
        <f t="shared" si="19"/>
        <v>0</v>
      </c>
      <c r="V66" s="10">
        <f t="shared" si="20"/>
        <v>0</v>
      </c>
      <c r="Y66" s="10">
        <f t="shared" si="34"/>
        <v>0</v>
      </c>
      <c r="Z66" s="10">
        <f t="shared" si="35"/>
        <v>0</v>
      </c>
      <c r="AA66" s="10">
        <f t="shared" si="36"/>
        <v>0</v>
      </c>
      <c r="AB66" s="10">
        <f t="shared" si="37"/>
        <v>-0.600823999755</v>
      </c>
      <c r="AC66" s="10">
        <f t="shared" si="38"/>
        <v>3.3279330373348097</v>
      </c>
      <c r="AD66" s="10">
        <f t="shared" si="39"/>
        <v>-9.8188605882295388</v>
      </c>
      <c r="AE66" s="10">
        <f t="shared" si="21"/>
        <v>-1</v>
      </c>
      <c r="AF66" s="10">
        <f t="shared" si="22"/>
        <v>0</v>
      </c>
      <c r="AI66" s="10">
        <f t="shared" si="28"/>
        <v>-1</v>
      </c>
      <c r="AJ66" s="10">
        <f t="shared" si="29"/>
        <v>0</v>
      </c>
      <c r="AK66" s="10">
        <f t="shared" si="30"/>
        <v>0</v>
      </c>
      <c r="BD66" s="10">
        <f t="shared" si="23"/>
        <v>47</v>
      </c>
      <c r="BE66" s="10">
        <v>0.89600462160888128</v>
      </c>
      <c r="BF66" s="10">
        <v>-0.71053818828659132</v>
      </c>
      <c r="BG66" s="10">
        <v>0.92544328135013887</v>
      </c>
      <c r="BJ66" s="16">
        <f>1</f>
        <v>1</v>
      </c>
      <c r="BK66" s="14">
        <f t="shared" si="40"/>
        <v>7.4992023169707922</v>
      </c>
      <c r="BL66" s="14">
        <f t="shared" si="41"/>
        <v>13.975032396115921</v>
      </c>
      <c r="BM66" s="16">
        <f t="shared" si="42"/>
        <v>-1</v>
      </c>
      <c r="BO66" s="10">
        <f t="shared" si="24"/>
        <v>-129.18722642389633</v>
      </c>
      <c r="BP66" s="10">
        <f t="shared" si="25"/>
        <v>-1</v>
      </c>
      <c r="BQ66" s="10">
        <f t="shared" si="26"/>
        <v>0</v>
      </c>
      <c r="BR66" s="10">
        <f t="shared" si="27"/>
        <v>0</v>
      </c>
    </row>
    <row r="67" spans="2:70" x14ac:dyDescent="0.25">
      <c r="B67" s="10">
        <f t="shared" si="14"/>
        <v>48</v>
      </c>
      <c r="C67">
        <v>-0.87002035797922872</v>
      </c>
      <c r="D67">
        <v>-4.1359271563123912E-2</v>
      </c>
      <c r="E67">
        <v>0.80126346629230627</v>
      </c>
      <c r="H67" s="18">
        <f>1</f>
        <v>1</v>
      </c>
      <c r="I67" s="19">
        <f t="shared" si="31"/>
        <v>4.9531879119058591</v>
      </c>
      <c r="J67" s="19">
        <f t="shared" si="32"/>
        <v>14.939763462344134</v>
      </c>
      <c r="K67" s="18">
        <f t="shared" si="33"/>
        <v>-1</v>
      </c>
      <c r="L67" s="17"/>
      <c r="M67" s="17"/>
      <c r="N67" s="18">
        <f t="shared" si="15"/>
        <v>-100</v>
      </c>
      <c r="O67" s="18">
        <f t="shared" si="15"/>
        <v>-100</v>
      </c>
      <c r="P67" s="18">
        <f t="shared" si="16"/>
        <v>4.9531879119058591</v>
      </c>
      <c r="Q67" s="18">
        <f t="shared" si="16"/>
        <v>14.939763462344134</v>
      </c>
      <c r="S67" s="10">
        <f t="shared" si="17"/>
        <v>-130.80840096547857</v>
      </c>
      <c r="T67" s="10">
        <f t="shared" si="18"/>
        <v>-1</v>
      </c>
      <c r="U67" s="10">
        <f t="shared" si="19"/>
        <v>0</v>
      </c>
      <c r="V67" s="10">
        <f t="shared" si="20"/>
        <v>0</v>
      </c>
      <c r="Y67" s="10">
        <f t="shared" si="34"/>
        <v>0</v>
      </c>
      <c r="Z67" s="10">
        <f t="shared" si="35"/>
        <v>0</v>
      </c>
      <c r="AA67" s="10">
        <f t="shared" si="36"/>
        <v>0</v>
      </c>
      <c r="AB67" s="10">
        <f t="shared" si="37"/>
        <v>-0.600823999755</v>
      </c>
      <c r="AC67" s="10">
        <f t="shared" si="38"/>
        <v>3.3279330373348097</v>
      </c>
      <c r="AD67" s="10">
        <f t="shared" si="39"/>
        <v>-9.8188605882295388</v>
      </c>
      <c r="AE67" s="10">
        <f t="shared" si="21"/>
        <v>-1</v>
      </c>
      <c r="AF67" s="10">
        <f t="shared" si="22"/>
        <v>0</v>
      </c>
      <c r="AI67" s="10">
        <f t="shared" si="28"/>
        <v>-1</v>
      </c>
      <c r="AJ67" s="10">
        <f t="shared" si="29"/>
        <v>0</v>
      </c>
      <c r="AK67" s="10">
        <f t="shared" si="30"/>
        <v>0</v>
      </c>
      <c r="BD67" s="10">
        <f t="shared" si="23"/>
        <v>48</v>
      </c>
      <c r="BE67" s="10">
        <v>0.91026549853268079</v>
      </c>
      <c r="BF67" s="10">
        <v>0.74432591645745561</v>
      </c>
      <c r="BG67" s="10">
        <v>0.18274483474227118</v>
      </c>
      <c r="BJ67" s="16">
        <f>1</f>
        <v>1</v>
      </c>
      <c r="BK67" s="14">
        <f t="shared" si="40"/>
        <v>7.5197617079740375</v>
      </c>
      <c r="BL67" s="14">
        <f t="shared" si="41"/>
        <v>16.072457410429223</v>
      </c>
      <c r="BM67" s="16">
        <f t="shared" si="42"/>
        <v>1</v>
      </c>
      <c r="BO67" s="10">
        <f t="shared" si="24"/>
        <v>-140.12247628717282</v>
      </c>
      <c r="BP67" s="10">
        <f t="shared" si="25"/>
        <v>-1</v>
      </c>
      <c r="BQ67" s="10">
        <f t="shared" si="26"/>
        <v>-1</v>
      </c>
      <c r="BR67" s="10">
        <f t="shared" si="27"/>
        <v>1</v>
      </c>
    </row>
    <row r="68" spans="2:70" x14ac:dyDescent="0.25">
      <c r="B68" s="10">
        <f t="shared" si="14"/>
        <v>49</v>
      </c>
      <c r="C68">
        <v>1.2923555914312601</v>
      </c>
      <c r="D68">
        <v>1.5635487216059119</v>
      </c>
      <c r="E68">
        <v>0.41181676686910612</v>
      </c>
      <c r="H68" s="18">
        <f>1</f>
        <v>1</v>
      </c>
      <c r="I68" s="19">
        <f t="shared" si="31"/>
        <v>8.0706071896609792</v>
      </c>
      <c r="J68" s="19">
        <f t="shared" si="32"/>
        <v>17.253501329384509</v>
      </c>
      <c r="K68" s="18">
        <f t="shared" si="33"/>
        <v>1</v>
      </c>
      <c r="L68" s="17"/>
      <c r="M68" s="17"/>
      <c r="N68" s="18">
        <f t="shared" si="15"/>
        <v>8.0706071896609792</v>
      </c>
      <c r="O68" s="18">
        <f t="shared" si="15"/>
        <v>17.253501329384509</v>
      </c>
      <c r="P68" s="18">
        <f t="shared" si="16"/>
        <v>-100</v>
      </c>
      <c r="Q68" s="18">
        <f t="shared" si="16"/>
        <v>-100</v>
      </c>
      <c r="S68" s="10">
        <f t="shared" si="17"/>
        <v>-143.15210791398988</v>
      </c>
      <c r="T68" s="10">
        <f t="shared" si="18"/>
        <v>-1</v>
      </c>
      <c r="U68" s="10">
        <f t="shared" si="19"/>
        <v>1</v>
      </c>
      <c r="V68" s="10">
        <f t="shared" si="20"/>
        <v>1</v>
      </c>
      <c r="Y68" s="10">
        <f t="shared" si="34"/>
        <v>0.70082399975499998</v>
      </c>
      <c r="Z68" s="10">
        <f t="shared" si="35"/>
        <v>5.656075211109667</v>
      </c>
      <c r="AA68" s="10">
        <f t="shared" si="36"/>
        <v>12.091667811437461</v>
      </c>
      <c r="AB68" s="10">
        <f t="shared" si="37"/>
        <v>9.9999999999999978E-2</v>
      </c>
      <c r="AC68" s="10">
        <f t="shared" si="38"/>
        <v>8.9840082484444768</v>
      </c>
      <c r="AD68" s="10">
        <f t="shared" si="39"/>
        <v>2.2728072232079217</v>
      </c>
      <c r="AE68" s="10">
        <f t="shared" si="21"/>
        <v>-1</v>
      </c>
      <c r="AF68" s="10">
        <f t="shared" si="22"/>
        <v>1</v>
      </c>
      <c r="AI68" s="10">
        <f t="shared" si="28"/>
        <v>-1</v>
      </c>
      <c r="AJ68" s="10">
        <f t="shared" si="29"/>
        <v>0</v>
      </c>
      <c r="AK68" s="10">
        <f t="shared" si="30"/>
        <v>0</v>
      </c>
      <c r="BD68" s="10">
        <f t="shared" si="23"/>
        <v>49</v>
      </c>
      <c r="BE68" s="10">
        <v>-1.0517442206037231</v>
      </c>
      <c r="BF68" s="10">
        <v>-0.5672063707606867</v>
      </c>
      <c r="BG68" s="10">
        <v>0.93691824091311382</v>
      </c>
      <c r="BJ68" s="16">
        <f>1</f>
        <v>1</v>
      </c>
      <c r="BK68" s="14">
        <f t="shared" si="40"/>
        <v>4.6912031850001776</v>
      </c>
      <c r="BL68" s="14">
        <f t="shared" si="41"/>
        <v>14.181668698740703</v>
      </c>
      <c r="BM68" s="16">
        <f t="shared" si="42"/>
        <v>-1</v>
      </c>
      <c r="BO68" s="10">
        <f t="shared" si="24"/>
        <v>-108.72768538032503</v>
      </c>
      <c r="BP68" s="10">
        <f t="shared" si="25"/>
        <v>-1</v>
      </c>
      <c r="BQ68" s="10">
        <f t="shared" si="26"/>
        <v>0</v>
      </c>
      <c r="BR68" s="10">
        <f t="shared" si="27"/>
        <v>0</v>
      </c>
    </row>
    <row r="69" spans="2:70" x14ac:dyDescent="0.25">
      <c r="B69" s="10">
        <f t="shared" si="14"/>
        <v>50</v>
      </c>
      <c r="C69">
        <v>1.4513898349832743</v>
      </c>
      <c r="D69">
        <v>-0.83135319073335268</v>
      </c>
      <c r="E69">
        <v>0.84432508316293831</v>
      </c>
      <c r="H69" s="18">
        <f>1</f>
        <v>1</v>
      </c>
      <c r="I69" s="19">
        <f t="shared" si="31"/>
        <v>8.2998811125453926</v>
      </c>
      <c r="J69" s="19">
        <f t="shared" si="32"/>
        <v>13.800857772238771</v>
      </c>
      <c r="K69" s="18">
        <f t="shared" si="33"/>
        <v>-1</v>
      </c>
      <c r="L69" s="17"/>
      <c r="M69" s="17"/>
      <c r="N69" s="18">
        <f t="shared" si="15"/>
        <v>-100</v>
      </c>
      <c r="O69" s="18">
        <f t="shared" si="15"/>
        <v>-100</v>
      </c>
      <c r="P69" s="18">
        <f t="shared" si="16"/>
        <v>8.2998811125453926</v>
      </c>
      <c r="Q69" s="18">
        <f t="shared" si="16"/>
        <v>13.800857772238771</v>
      </c>
      <c r="S69" s="10">
        <f t="shared" si="17"/>
        <v>106.03288960742579</v>
      </c>
      <c r="T69" s="10">
        <f t="shared" si="18"/>
        <v>1</v>
      </c>
      <c r="U69" s="10">
        <f t="shared" si="19"/>
        <v>-1</v>
      </c>
      <c r="V69" s="10">
        <f t="shared" si="20"/>
        <v>1</v>
      </c>
      <c r="Y69" s="10">
        <f t="shared" si="34"/>
        <v>-0.70082399975499998</v>
      </c>
      <c r="Z69" s="10">
        <f t="shared" si="35"/>
        <v>-5.8167558787850409</v>
      </c>
      <c r="AA69" s="10">
        <f t="shared" si="36"/>
        <v>-9.6719723439902534</v>
      </c>
      <c r="AB69" s="10">
        <f t="shared" si="37"/>
        <v>-0.600823999755</v>
      </c>
      <c r="AC69" s="10">
        <f t="shared" si="38"/>
        <v>3.1672523696594359</v>
      </c>
      <c r="AD69" s="10">
        <f t="shared" si="39"/>
        <v>-7.3991651207823317</v>
      </c>
      <c r="AE69" s="10">
        <f t="shared" si="21"/>
        <v>-1</v>
      </c>
      <c r="AF69" s="10">
        <f t="shared" si="22"/>
        <v>0</v>
      </c>
      <c r="AI69" s="10">
        <f t="shared" si="28"/>
        <v>-1</v>
      </c>
      <c r="AJ69" s="10">
        <f t="shared" si="29"/>
        <v>0</v>
      </c>
      <c r="AK69" s="10">
        <f t="shared" si="30"/>
        <v>0</v>
      </c>
      <c r="BD69" s="10">
        <f t="shared" si="23"/>
        <v>50</v>
      </c>
      <c r="BE69" s="10">
        <v>-0.31257968657882884</v>
      </c>
      <c r="BF69" s="10">
        <v>-0.11788870324380696</v>
      </c>
      <c r="BG69" s="10">
        <v>0.9473250526444289</v>
      </c>
      <c r="BJ69" s="16">
        <f>1</f>
        <v>1</v>
      </c>
      <c r="BK69" s="14">
        <f t="shared" si="40"/>
        <v>5.7568299870510806</v>
      </c>
      <c r="BL69" s="14">
        <f t="shared" si="41"/>
        <v>14.829433745764533</v>
      </c>
      <c r="BM69" s="16">
        <f t="shared" si="42"/>
        <v>-1</v>
      </c>
      <c r="BO69" s="10">
        <f t="shared" si="24"/>
        <v>-120.22352738469823</v>
      </c>
      <c r="BP69" s="10">
        <f t="shared" si="25"/>
        <v>-1</v>
      </c>
      <c r="BQ69" s="10">
        <f t="shared" si="26"/>
        <v>0</v>
      </c>
      <c r="BR69" s="10">
        <f t="shared" si="27"/>
        <v>0</v>
      </c>
    </row>
    <row r="70" spans="2:70" x14ac:dyDescent="0.25">
      <c r="B70" s="10">
        <f t="shared" si="14"/>
        <v>51</v>
      </c>
      <c r="C70">
        <v>0.11865950000355951</v>
      </c>
      <c r="D70">
        <v>1.1616725714702625</v>
      </c>
      <c r="E70">
        <v>0.9490035706656087</v>
      </c>
      <c r="H70" s="18">
        <f>1</f>
        <v>1</v>
      </c>
      <c r="I70" s="19">
        <f t="shared" si="31"/>
        <v>6.3785319413027795</v>
      </c>
      <c r="J70" s="19">
        <f t="shared" si="32"/>
        <v>16.674131003866215</v>
      </c>
      <c r="K70" s="18">
        <f t="shared" si="33"/>
        <v>-1</v>
      </c>
      <c r="L70" s="17"/>
      <c r="M70" s="17"/>
      <c r="N70" s="18">
        <f t="shared" si="15"/>
        <v>-100</v>
      </c>
      <c r="O70" s="18">
        <f t="shared" si="15"/>
        <v>-100</v>
      </c>
      <c r="P70" s="18">
        <f t="shared" si="16"/>
        <v>6.3785319413027795</v>
      </c>
      <c r="Q70" s="18">
        <f t="shared" si="16"/>
        <v>16.674131003866215</v>
      </c>
      <c r="S70" s="10">
        <f t="shared" si="17"/>
        <v>-103.77305213687755</v>
      </c>
      <c r="T70" s="10">
        <f t="shared" si="18"/>
        <v>-1</v>
      </c>
      <c r="U70" s="10">
        <f t="shared" si="19"/>
        <v>0</v>
      </c>
      <c r="V70" s="10">
        <f t="shared" si="20"/>
        <v>0</v>
      </c>
      <c r="Y70" s="10">
        <f t="shared" si="34"/>
        <v>0</v>
      </c>
      <c r="Z70" s="10">
        <f t="shared" si="35"/>
        <v>0</v>
      </c>
      <c r="AA70" s="10">
        <f t="shared" si="36"/>
        <v>0</v>
      </c>
      <c r="AB70" s="10">
        <f t="shared" si="37"/>
        <v>-0.600823999755</v>
      </c>
      <c r="AC70" s="10">
        <f t="shared" si="38"/>
        <v>3.1672523696594359</v>
      </c>
      <c r="AD70" s="10">
        <f t="shared" si="39"/>
        <v>-7.3991651207823317</v>
      </c>
      <c r="AE70" s="10">
        <f t="shared" si="21"/>
        <v>-1</v>
      </c>
      <c r="AF70" s="10">
        <f t="shared" si="22"/>
        <v>0</v>
      </c>
      <c r="AI70" s="10">
        <f t="shared" si="28"/>
        <v>-1</v>
      </c>
      <c r="AJ70" s="10">
        <f t="shared" si="29"/>
        <v>0</v>
      </c>
      <c r="AK70" s="10">
        <f t="shared" si="30"/>
        <v>0</v>
      </c>
      <c r="BD70" s="10">
        <f t="shared" si="23"/>
        <v>51</v>
      </c>
      <c r="BE70" s="10">
        <v>1.0203439160250127</v>
      </c>
      <c r="BF70" s="10">
        <v>-0.89806235337164253</v>
      </c>
      <c r="BG70" s="10">
        <v>4.4312875759147927E-2</v>
      </c>
      <c r="BJ70" s="16">
        <f>1</f>
        <v>1</v>
      </c>
      <c r="BK70" s="14">
        <f t="shared" si="40"/>
        <v>7.6784577852444702</v>
      </c>
      <c r="BL70" s="14">
        <f t="shared" si="41"/>
        <v>13.70468558272279</v>
      </c>
      <c r="BM70" s="16">
        <f t="shared" si="42"/>
        <v>1</v>
      </c>
      <c r="BO70" s="10">
        <f t="shared" si="24"/>
        <v>-129.17190949969094</v>
      </c>
      <c r="BP70" s="10">
        <f t="shared" si="25"/>
        <v>-1</v>
      </c>
      <c r="BQ70" s="10">
        <f t="shared" si="26"/>
        <v>-1</v>
      </c>
      <c r="BR70" s="10">
        <f t="shared" si="27"/>
        <v>1</v>
      </c>
    </row>
    <row r="71" spans="2:70" x14ac:dyDescent="0.25">
      <c r="B71" s="10">
        <f t="shared" si="14"/>
        <v>52</v>
      </c>
      <c r="C71">
        <v>0.38774828681198414</v>
      </c>
      <c r="D71">
        <v>2.0483184925979003</v>
      </c>
      <c r="E71">
        <v>0.34391308328501236</v>
      </c>
      <c r="H71" s="18">
        <f>1</f>
        <v>1</v>
      </c>
      <c r="I71" s="19">
        <f t="shared" si="31"/>
        <v>6.7664675228342945</v>
      </c>
      <c r="J71" s="19">
        <f t="shared" si="32"/>
        <v>17.952376393073298</v>
      </c>
      <c r="K71" s="18">
        <f t="shared" si="33"/>
        <v>1</v>
      </c>
      <c r="L71" s="17"/>
      <c r="M71" s="17"/>
      <c r="N71" s="18">
        <f t="shared" si="15"/>
        <v>6.7664675228342945</v>
      </c>
      <c r="O71" s="18">
        <f t="shared" si="15"/>
        <v>17.952376393073298</v>
      </c>
      <c r="P71" s="18">
        <f t="shared" si="16"/>
        <v>-100</v>
      </c>
      <c r="Q71" s="18">
        <f t="shared" si="16"/>
        <v>-100</v>
      </c>
      <c r="S71" s="10">
        <f t="shared" si="17"/>
        <v>-112.00231094661854</v>
      </c>
      <c r="T71" s="10">
        <f t="shared" si="18"/>
        <v>-1</v>
      </c>
      <c r="U71" s="10">
        <f t="shared" si="19"/>
        <v>1</v>
      </c>
      <c r="V71" s="10">
        <f t="shared" si="20"/>
        <v>1</v>
      </c>
      <c r="Y71" s="10">
        <f t="shared" si="34"/>
        <v>0.70082399975499998</v>
      </c>
      <c r="Z71" s="10">
        <f t="shared" si="35"/>
        <v>4.7421028335650366</v>
      </c>
      <c r="AA71" s="10">
        <f t="shared" si="36"/>
        <v>12.581456228900867</v>
      </c>
      <c r="AB71" s="10">
        <f t="shared" si="37"/>
        <v>9.9999999999999978E-2</v>
      </c>
      <c r="AC71" s="10">
        <f t="shared" si="38"/>
        <v>7.9093552032244725</v>
      </c>
      <c r="AD71" s="10">
        <f t="shared" si="39"/>
        <v>5.1822911081185357</v>
      </c>
      <c r="AE71" s="10">
        <f t="shared" si="21"/>
        <v>-1</v>
      </c>
      <c r="AF71" s="10">
        <f t="shared" si="22"/>
        <v>1</v>
      </c>
      <c r="AI71" s="10">
        <f t="shared" si="28"/>
        <v>-1</v>
      </c>
      <c r="AJ71" s="10">
        <f t="shared" si="29"/>
        <v>1</v>
      </c>
      <c r="AK71" s="10">
        <f t="shared" si="30"/>
        <v>1</v>
      </c>
      <c r="BD71" s="10">
        <f t="shared" si="23"/>
        <v>52</v>
      </c>
      <c r="BE71" s="10">
        <v>-1.7205638869199902</v>
      </c>
      <c r="BF71" s="10">
        <v>0.53329586080508307</v>
      </c>
      <c r="BG71" s="10">
        <v>2.8168584246345409E-2</v>
      </c>
      <c r="BJ71" s="16">
        <f>1</f>
        <v>1</v>
      </c>
      <c r="BK71" s="14">
        <f t="shared" si="40"/>
        <v>3.7269900371039979</v>
      </c>
      <c r="BL71" s="14">
        <f t="shared" si="41"/>
        <v>15.768223003893306</v>
      </c>
      <c r="BM71" s="16">
        <f t="shared" si="42"/>
        <v>1</v>
      </c>
      <c r="BO71" s="10">
        <f t="shared" si="24"/>
        <v>-109.49021990498771</v>
      </c>
      <c r="BP71" s="10">
        <f t="shared" si="25"/>
        <v>-1</v>
      </c>
      <c r="BQ71" s="10">
        <f t="shared" si="26"/>
        <v>-1</v>
      </c>
      <c r="BR71" s="10">
        <f t="shared" si="27"/>
        <v>1</v>
      </c>
    </row>
    <row r="72" spans="2:70" x14ac:dyDescent="0.25">
      <c r="B72" s="10">
        <f t="shared" si="14"/>
        <v>53</v>
      </c>
      <c r="C72">
        <v>0.58781324696610682</v>
      </c>
      <c r="D72">
        <v>0.76784544944530353</v>
      </c>
      <c r="E72">
        <v>0.78585161900692768</v>
      </c>
      <c r="H72" s="18">
        <f>1</f>
        <v>1</v>
      </c>
      <c r="I72" s="19">
        <f t="shared" si="31"/>
        <v>7.0548939473687531</v>
      </c>
      <c r="J72" s="19">
        <f t="shared" si="32"/>
        <v>16.106364671356772</v>
      </c>
      <c r="K72" s="18">
        <f t="shared" si="33"/>
        <v>-1</v>
      </c>
      <c r="L72" s="17"/>
      <c r="M72" s="17"/>
      <c r="N72" s="18">
        <f t="shared" si="15"/>
        <v>-100</v>
      </c>
      <c r="O72" s="18">
        <f t="shared" si="15"/>
        <v>-100</v>
      </c>
      <c r="P72" s="18">
        <f t="shared" si="16"/>
        <v>7.0548939473687531</v>
      </c>
      <c r="Q72" s="18">
        <f t="shared" si="16"/>
        <v>16.106364671356772</v>
      </c>
      <c r="S72" s="10">
        <f t="shared" si="17"/>
        <v>139.36753257130459</v>
      </c>
      <c r="T72" s="10">
        <f t="shared" si="18"/>
        <v>1</v>
      </c>
      <c r="U72" s="10">
        <f t="shared" si="19"/>
        <v>-1</v>
      </c>
      <c r="V72" s="10">
        <f t="shared" si="20"/>
        <v>1</v>
      </c>
      <c r="Y72" s="10">
        <f t="shared" si="34"/>
        <v>-0.70082399975499998</v>
      </c>
      <c r="Z72" s="10">
        <f t="shared" si="35"/>
        <v>-4.9442389940423102</v>
      </c>
      <c r="AA72" s="10">
        <f t="shared" si="36"/>
        <v>-11.287726910492879</v>
      </c>
      <c r="AB72" s="10">
        <f t="shared" si="37"/>
        <v>-0.600823999755</v>
      </c>
      <c r="AC72" s="10">
        <f t="shared" si="38"/>
        <v>2.9651162091821623</v>
      </c>
      <c r="AD72" s="10">
        <f t="shared" si="39"/>
        <v>-6.1054358023743429</v>
      </c>
      <c r="AE72" s="10">
        <f t="shared" si="21"/>
        <v>-1</v>
      </c>
      <c r="AF72" s="10">
        <f t="shared" si="22"/>
        <v>0</v>
      </c>
      <c r="AI72" s="10">
        <f t="shared" si="28"/>
        <v>-1</v>
      </c>
      <c r="AJ72" s="10">
        <f t="shared" si="29"/>
        <v>0</v>
      </c>
      <c r="AK72" s="10">
        <f t="shared" si="30"/>
        <v>0</v>
      </c>
      <c r="BD72" s="10">
        <f t="shared" si="23"/>
        <v>53</v>
      </c>
      <c r="BE72" s="10">
        <v>1.1823476597783156</v>
      </c>
      <c r="BF72" s="10">
        <v>-0.65566496232349891</v>
      </c>
      <c r="BG72" s="10">
        <v>0.77285073397015291</v>
      </c>
      <c r="BJ72" s="16">
        <f>1</f>
        <v>1</v>
      </c>
      <c r="BK72" s="14">
        <f t="shared" si="40"/>
        <v>7.9120127292784765</v>
      </c>
      <c r="BL72" s="14">
        <f t="shared" si="41"/>
        <v>14.054141143369881</v>
      </c>
      <c r="BM72" s="16">
        <f t="shared" si="42"/>
        <v>-1</v>
      </c>
      <c r="BO72" s="10">
        <f t="shared" si="24"/>
        <v>-132.75763170573373</v>
      </c>
      <c r="BP72" s="10">
        <f t="shared" si="25"/>
        <v>-1</v>
      </c>
      <c r="BQ72" s="10">
        <f t="shared" si="26"/>
        <v>0</v>
      </c>
      <c r="BR72" s="10">
        <f t="shared" si="27"/>
        <v>0</v>
      </c>
    </row>
    <row r="73" spans="2:70" x14ac:dyDescent="0.25">
      <c r="B73" s="10">
        <f t="shared" si="14"/>
        <v>54</v>
      </c>
      <c r="C73">
        <v>1.0545409168116748</v>
      </c>
      <c r="D73">
        <v>-1.2682221495197155</v>
      </c>
      <c r="E73">
        <v>0.81969664601580861</v>
      </c>
      <c r="H73" s="18">
        <f>1</f>
        <v>1</v>
      </c>
      <c r="I73" s="19">
        <f t="shared" si="31"/>
        <v>7.7277583657114377</v>
      </c>
      <c r="J73" s="19">
        <f t="shared" si="32"/>
        <v>13.171039578809133</v>
      </c>
      <c r="K73" s="18">
        <f t="shared" si="33"/>
        <v>-1</v>
      </c>
      <c r="L73" s="17"/>
      <c r="M73" s="17"/>
      <c r="N73" s="18">
        <f t="shared" si="15"/>
        <v>-100</v>
      </c>
      <c r="O73" s="18">
        <f t="shared" si="15"/>
        <v>-100</v>
      </c>
      <c r="P73" s="18">
        <f t="shared" si="16"/>
        <v>7.7277583657114377</v>
      </c>
      <c r="Q73" s="18">
        <f t="shared" si="16"/>
        <v>13.171039578809133</v>
      </c>
      <c r="S73" s="10">
        <f t="shared" si="17"/>
        <v>-58.102059007891725</v>
      </c>
      <c r="T73" s="10">
        <f t="shared" si="18"/>
        <v>-1</v>
      </c>
      <c r="U73" s="10">
        <f t="shared" si="19"/>
        <v>0</v>
      </c>
      <c r="V73" s="10">
        <f t="shared" si="20"/>
        <v>0</v>
      </c>
      <c r="Y73" s="10">
        <f t="shared" si="34"/>
        <v>0</v>
      </c>
      <c r="Z73" s="10">
        <f t="shared" si="35"/>
        <v>0</v>
      </c>
      <c r="AA73" s="10">
        <f t="shared" si="36"/>
        <v>0</v>
      </c>
      <c r="AB73" s="10">
        <f t="shared" si="37"/>
        <v>-0.600823999755</v>
      </c>
      <c r="AC73" s="10">
        <f t="shared" si="38"/>
        <v>2.9651162091821623</v>
      </c>
      <c r="AD73" s="10">
        <f t="shared" si="39"/>
        <v>-6.1054358023743429</v>
      </c>
      <c r="AE73" s="10">
        <f t="shared" si="21"/>
        <v>-1</v>
      </c>
      <c r="AF73" s="10">
        <f t="shared" si="22"/>
        <v>0</v>
      </c>
      <c r="AI73" s="10">
        <f t="shared" si="28"/>
        <v>-1</v>
      </c>
      <c r="AJ73" s="10">
        <f t="shared" si="29"/>
        <v>0</v>
      </c>
      <c r="AK73" s="10">
        <f t="shared" si="30"/>
        <v>0</v>
      </c>
      <c r="BD73" s="10">
        <f t="shared" si="23"/>
        <v>54</v>
      </c>
      <c r="BE73" s="10">
        <v>1.1121801435365342</v>
      </c>
      <c r="BF73" s="10">
        <v>-1.895805326057598</v>
      </c>
      <c r="BG73" s="10">
        <v>0.38724936674092836</v>
      </c>
      <c r="BJ73" s="16">
        <f>1</f>
        <v>1</v>
      </c>
      <c r="BK73" s="14">
        <f t="shared" si="40"/>
        <v>7.8108547563256421</v>
      </c>
      <c r="BL73" s="14">
        <f t="shared" si="41"/>
        <v>12.266275588316473</v>
      </c>
      <c r="BM73" s="16">
        <f t="shared" si="42"/>
        <v>1</v>
      </c>
      <c r="BO73" s="10">
        <f t="shared" si="24"/>
        <v>-122.79532999538327</v>
      </c>
      <c r="BP73" s="10">
        <f t="shared" si="25"/>
        <v>-1</v>
      </c>
      <c r="BQ73" s="10">
        <f t="shared" si="26"/>
        <v>-1</v>
      </c>
      <c r="BR73" s="10">
        <f t="shared" si="27"/>
        <v>1</v>
      </c>
    </row>
    <row r="74" spans="2:70" x14ac:dyDescent="0.25">
      <c r="B74" s="10">
        <f t="shared" si="14"/>
        <v>55</v>
      </c>
      <c r="C74">
        <v>0.80971631177817471</v>
      </c>
      <c r="D74">
        <v>-0.37171503208810464</v>
      </c>
      <c r="E74">
        <v>0.42002624591814935</v>
      </c>
      <c r="H74" s="18">
        <f>1</f>
        <v>1</v>
      </c>
      <c r="I74" s="19">
        <f t="shared" si="31"/>
        <v>7.3748035783589954</v>
      </c>
      <c r="J74" s="19">
        <f t="shared" si="32"/>
        <v>14.463501498434116</v>
      </c>
      <c r="K74" s="18">
        <f t="shared" si="33"/>
        <v>1</v>
      </c>
      <c r="L74" s="17"/>
      <c r="M74" s="17"/>
      <c r="N74" s="18">
        <f t="shared" si="15"/>
        <v>7.3748035783589954</v>
      </c>
      <c r="O74" s="18">
        <f t="shared" si="15"/>
        <v>14.463501498434116</v>
      </c>
      <c r="P74" s="18">
        <f t="shared" si="16"/>
        <v>-100</v>
      </c>
      <c r="Q74" s="18">
        <f t="shared" si="16"/>
        <v>-100</v>
      </c>
      <c r="S74" s="10">
        <f t="shared" si="17"/>
        <v>-67.039654246262728</v>
      </c>
      <c r="T74" s="10">
        <f t="shared" si="18"/>
        <v>-1</v>
      </c>
      <c r="U74" s="10">
        <f t="shared" si="19"/>
        <v>1</v>
      </c>
      <c r="V74" s="10">
        <f t="shared" si="20"/>
        <v>1</v>
      </c>
      <c r="Y74" s="10">
        <f t="shared" si="34"/>
        <v>0.70082399975499998</v>
      </c>
      <c r="Z74" s="10">
        <f t="shared" si="35"/>
        <v>5.1684393411930376</v>
      </c>
      <c r="AA74" s="10">
        <f t="shared" si="36"/>
        <v>10.136368970595033</v>
      </c>
      <c r="AB74" s="10">
        <f t="shared" si="37"/>
        <v>9.9999999999999978E-2</v>
      </c>
      <c r="AC74" s="10">
        <f t="shared" si="38"/>
        <v>8.1335555503751991</v>
      </c>
      <c r="AD74" s="10">
        <f t="shared" si="39"/>
        <v>4.0309331682206899</v>
      </c>
      <c r="AE74" s="10">
        <f t="shared" si="21"/>
        <v>-1</v>
      </c>
      <c r="AF74" s="10">
        <f t="shared" si="22"/>
        <v>1</v>
      </c>
      <c r="AI74" s="10">
        <f t="shared" si="28"/>
        <v>-1</v>
      </c>
      <c r="AJ74" s="10">
        <f t="shared" si="29"/>
        <v>1</v>
      </c>
      <c r="AK74" s="10">
        <f t="shared" si="30"/>
        <v>1</v>
      </c>
      <c r="BD74" s="10">
        <f t="shared" si="23"/>
        <v>55</v>
      </c>
      <c r="BE74" s="10">
        <v>0.11342194738972466</v>
      </c>
      <c r="BF74" s="10">
        <v>0.36573851502907928</v>
      </c>
      <c r="BG74" s="10">
        <v>0.68773461104159672</v>
      </c>
      <c r="BJ74" s="16">
        <f>1</f>
        <v>1</v>
      </c>
      <c r="BK74" s="14">
        <f t="shared" si="40"/>
        <v>6.3709811509367116</v>
      </c>
      <c r="BL74" s="14">
        <f t="shared" si="41"/>
        <v>15.526661632479607</v>
      </c>
      <c r="BM74" s="16">
        <f t="shared" si="42"/>
        <v>-1</v>
      </c>
      <c r="BO74" s="10">
        <f t="shared" si="24"/>
        <v>-128.51329088174387</v>
      </c>
      <c r="BP74" s="10">
        <f t="shared" si="25"/>
        <v>-1</v>
      </c>
      <c r="BQ74" s="10">
        <f t="shared" si="26"/>
        <v>0</v>
      </c>
      <c r="BR74" s="10">
        <f t="shared" si="27"/>
        <v>0</v>
      </c>
    </row>
    <row r="75" spans="2:70" x14ac:dyDescent="0.25">
      <c r="B75" s="10">
        <f t="shared" si="14"/>
        <v>56</v>
      </c>
      <c r="C75">
        <v>-3.5847733670379966E-2</v>
      </c>
      <c r="D75">
        <v>2.2419590095523745</v>
      </c>
      <c r="E75">
        <v>0.67107150486770228</v>
      </c>
      <c r="H75" s="18">
        <f>1</f>
        <v>1</v>
      </c>
      <c r="I75" s="19">
        <f t="shared" si="31"/>
        <v>6.1557844449948105</v>
      </c>
      <c r="J75" s="19">
        <f t="shared" si="32"/>
        <v>18.231540929967501</v>
      </c>
      <c r="K75" s="18">
        <f t="shared" si="33"/>
        <v>-1</v>
      </c>
      <c r="L75" s="17"/>
      <c r="M75" s="17"/>
      <c r="N75" s="18">
        <f t="shared" si="15"/>
        <v>-100</v>
      </c>
      <c r="O75" s="18">
        <f t="shared" si="15"/>
        <v>-100</v>
      </c>
      <c r="P75" s="18">
        <f t="shared" si="16"/>
        <v>6.1557844449948105</v>
      </c>
      <c r="Q75" s="18">
        <f t="shared" si="16"/>
        <v>18.231540929967501</v>
      </c>
      <c r="S75" s="10">
        <f t="shared" si="17"/>
        <v>123.65853778187994</v>
      </c>
      <c r="T75" s="10">
        <f t="shared" si="18"/>
        <v>1</v>
      </c>
      <c r="U75" s="10">
        <f t="shared" si="19"/>
        <v>-1</v>
      </c>
      <c r="V75" s="10">
        <f t="shared" si="20"/>
        <v>1</v>
      </c>
      <c r="Y75" s="10">
        <f t="shared" si="34"/>
        <v>-0.70082399975499998</v>
      </c>
      <c r="Z75" s="10">
        <f t="shared" si="35"/>
        <v>-4.3141214763708762</v>
      </c>
      <c r="AA75" s="10">
        <f t="shared" si="36"/>
        <v>-12.777101436236816</v>
      </c>
      <c r="AB75" s="10">
        <f t="shared" si="37"/>
        <v>-0.600823999755</v>
      </c>
      <c r="AC75" s="10">
        <f t="shared" si="38"/>
        <v>3.8194340740043229</v>
      </c>
      <c r="AD75" s="10">
        <f t="shared" si="39"/>
        <v>-8.7461682680161257</v>
      </c>
      <c r="AE75" s="10">
        <f t="shared" si="21"/>
        <v>-1</v>
      </c>
      <c r="AF75" s="10">
        <f t="shared" si="22"/>
        <v>0</v>
      </c>
      <c r="AI75" s="10">
        <f t="shared" si="28"/>
        <v>-1</v>
      </c>
      <c r="AJ75" s="10">
        <f t="shared" si="29"/>
        <v>0</v>
      </c>
      <c r="AK75" s="10">
        <f t="shared" si="30"/>
        <v>0</v>
      </c>
      <c r="BD75" s="10">
        <f t="shared" si="23"/>
        <v>56</v>
      </c>
      <c r="BE75" s="10">
        <v>0.48504603000765201</v>
      </c>
      <c r="BF75" s="10">
        <v>0.91409447122714482</v>
      </c>
      <c r="BG75" s="10">
        <v>0.78814050721762752</v>
      </c>
      <c r="BJ75" s="16">
        <f>1</f>
        <v>1</v>
      </c>
      <c r="BK75" s="14">
        <f t="shared" si="40"/>
        <v>6.9067381637480239</v>
      </c>
      <c r="BL75" s="14">
        <f t="shared" si="41"/>
        <v>16.317206601956226</v>
      </c>
      <c r="BM75" s="16">
        <f t="shared" si="42"/>
        <v>-1</v>
      </c>
      <c r="BO75" s="10">
        <f t="shared" si="24"/>
        <v>-136.68173051042726</v>
      </c>
      <c r="BP75" s="10">
        <f t="shared" si="25"/>
        <v>-1</v>
      </c>
      <c r="BQ75" s="10">
        <f t="shared" si="26"/>
        <v>0</v>
      </c>
      <c r="BR75" s="10">
        <f t="shared" si="27"/>
        <v>0</v>
      </c>
    </row>
    <row r="76" spans="2:70" x14ac:dyDescent="0.25">
      <c r="B76" s="10">
        <f t="shared" si="14"/>
        <v>57</v>
      </c>
      <c r="C76">
        <v>-0.79777464634389617</v>
      </c>
      <c r="D76">
        <v>0.28259250939299818</v>
      </c>
      <c r="E76">
        <v>0.78862880336924346</v>
      </c>
      <c r="H76" s="18">
        <f>1</f>
        <v>1</v>
      </c>
      <c r="I76" s="19">
        <f t="shared" si="31"/>
        <v>5.0573419440705827</v>
      </c>
      <c r="J76" s="19">
        <f t="shared" si="32"/>
        <v>15.406793040291038</v>
      </c>
      <c r="K76" s="18">
        <f t="shared" si="33"/>
        <v>-1</v>
      </c>
      <c r="L76" s="17"/>
      <c r="M76" s="17"/>
      <c r="N76" s="18">
        <f t="shared" si="15"/>
        <v>-100</v>
      </c>
      <c r="O76" s="18">
        <f t="shared" si="15"/>
        <v>-100</v>
      </c>
      <c r="P76" s="18">
        <f t="shared" si="16"/>
        <v>5.0573419440705827</v>
      </c>
      <c r="Q76" s="18">
        <f t="shared" si="16"/>
        <v>15.406793040291038</v>
      </c>
      <c r="S76" s="10">
        <f t="shared" si="17"/>
        <v>-116.03504425556572</v>
      </c>
      <c r="T76" s="10">
        <f t="shared" si="18"/>
        <v>-1</v>
      </c>
      <c r="U76" s="10">
        <f t="shared" si="19"/>
        <v>0</v>
      </c>
      <c r="V76" s="10">
        <f t="shared" si="20"/>
        <v>0</v>
      </c>
      <c r="Y76" s="10">
        <f t="shared" si="34"/>
        <v>0</v>
      </c>
      <c r="Z76" s="10">
        <f t="shared" si="35"/>
        <v>0</v>
      </c>
      <c r="AA76" s="10">
        <f t="shared" si="36"/>
        <v>0</v>
      </c>
      <c r="AB76" s="10">
        <f t="shared" si="37"/>
        <v>-0.600823999755</v>
      </c>
      <c r="AC76" s="10">
        <f t="shared" si="38"/>
        <v>3.8194340740043229</v>
      </c>
      <c r="AD76" s="10">
        <f t="shared" si="39"/>
        <v>-8.7461682680161257</v>
      </c>
      <c r="AE76" s="10">
        <f t="shared" si="21"/>
        <v>-1</v>
      </c>
      <c r="AF76" s="10">
        <f t="shared" si="22"/>
        <v>0</v>
      </c>
      <c r="AI76" s="10">
        <f t="shared" si="28"/>
        <v>-1</v>
      </c>
      <c r="AJ76" s="10">
        <f t="shared" si="29"/>
        <v>0</v>
      </c>
      <c r="AK76" s="10">
        <f t="shared" si="30"/>
        <v>0</v>
      </c>
      <c r="BD76" s="10">
        <f t="shared" si="23"/>
        <v>57</v>
      </c>
      <c r="BE76" s="10">
        <v>2.8146314434707165</v>
      </c>
      <c r="BF76" s="10">
        <v>-0.56298858908121474</v>
      </c>
      <c r="BG76" s="10">
        <v>0.68224127933591727</v>
      </c>
      <c r="BJ76" s="16">
        <f>1</f>
        <v>1</v>
      </c>
      <c r="BK76" s="14">
        <f t="shared" si="40"/>
        <v>10.265217284405441</v>
      </c>
      <c r="BL76" s="14">
        <f t="shared" si="41"/>
        <v>14.187749322195904</v>
      </c>
      <c r="BM76" s="16">
        <f t="shared" si="42"/>
        <v>-1</v>
      </c>
      <c r="BO76" s="10">
        <f t="shared" si="24"/>
        <v>-151.47984642019262</v>
      </c>
      <c r="BP76" s="10">
        <f t="shared" si="25"/>
        <v>-1</v>
      </c>
      <c r="BQ76" s="10">
        <f t="shared" si="26"/>
        <v>0</v>
      </c>
      <c r="BR76" s="10">
        <f t="shared" si="27"/>
        <v>0</v>
      </c>
    </row>
    <row r="77" spans="2:70" x14ac:dyDescent="0.25">
      <c r="B77" s="10">
        <f t="shared" si="14"/>
        <v>58</v>
      </c>
      <c r="C77">
        <v>1.2725104170385748</v>
      </c>
      <c r="D77">
        <v>1.9296385289635509</v>
      </c>
      <c r="E77">
        <v>0.2434156315805536</v>
      </c>
      <c r="H77" s="18">
        <f>1</f>
        <v>1</v>
      </c>
      <c r="I77" s="19">
        <f t="shared" si="31"/>
        <v>8.0419971187623283</v>
      </c>
      <c r="J77" s="19">
        <f t="shared" si="32"/>
        <v>17.781279777511209</v>
      </c>
      <c r="K77" s="18">
        <f t="shared" si="33"/>
        <v>1</v>
      </c>
      <c r="L77" s="17"/>
      <c r="M77" s="17"/>
      <c r="N77" s="18">
        <f t="shared" si="15"/>
        <v>8.0419971187623283</v>
      </c>
      <c r="O77" s="18">
        <f t="shared" si="15"/>
        <v>17.781279777511209</v>
      </c>
      <c r="P77" s="18">
        <f t="shared" si="16"/>
        <v>-100</v>
      </c>
      <c r="Q77" s="18">
        <f t="shared" si="16"/>
        <v>-100</v>
      </c>
      <c r="S77" s="10">
        <f t="shared" si="17"/>
        <v>-125.40301113609493</v>
      </c>
      <c r="T77" s="10">
        <f t="shared" si="18"/>
        <v>-1</v>
      </c>
      <c r="U77" s="10">
        <f t="shared" si="19"/>
        <v>1</v>
      </c>
      <c r="V77" s="10">
        <f t="shared" si="20"/>
        <v>1</v>
      </c>
      <c r="Y77" s="10">
        <f t="shared" si="34"/>
        <v>0.70082399975499998</v>
      </c>
      <c r="Z77" s="10">
        <f t="shared" si="35"/>
        <v>5.6360245867892003</v>
      </c>
      <c r="AA77" s="10">
        <f t="shared" si="36"/>
        <v>12.461547614438102</v>
      </c>
      <c r="AB77" s="10">
        <f t="shared" si="37"/>
        <v>9.9999999999999978E-2</v>
      </c>
      <c r="AC77" s="10">
        <f t="shared" si="38"/>
        <v>9.4554586607935232</v>
      </c>
      <c r="AD77" s="10">
        <f t="shared" si="39"/>
        <v>3.715379346421976</v>
      </c>
      <c r="AE77" s="10">
        <f t="shared" si="21"/>
        <v>-1</v>
      </c>
      <c r="AF77" s="10">
        <f t="shared" si="22"/>
        <v>1</v>
      </c>
      <c r="AI77" s="10">
        <f t="shared" si="28"/>
        <v>-1</v>
      </c>
      <c r="AJ77" s="10">
        <f t="shared" si="29"/>
        <v>1</v>
      </c>
      <c r="AK77" s="10">
        <f t="shared" si="30"/>
        <v>1</v>
      </c>
      <c r="BD77" s="10">
        <f t="shared" si="23"/>
        <v>58</v>
      </c>
      <c r="BE77" s="10">
        <v>0.19254457583883777</v>
      </c>
      <c r="BF77" s="10">
        <v>-0.72190687205875292</v>
      </c>
      <c r="BG77" s="10">
        <v>0.31189916684469132</v>
      </c>
      <c r="BJ77" s="16">
        <f>1</f>
        <v>1</v>
      </c>
      <c r="BK77" s="14">
        <f t="shared" si="40"/>
        <v>6.4850493856029203</v>
      </c>
      <c r="BL77" s="14">
        <f t="shared" si="41"/>
        <v>13.958642575481957</v>
      </c>
      <c r="BM77" s="16">
        <f t="shared" si="42"/>
        <v>1</v>
      </c>
      <c r="BO77" s="10">
        <f t="shared" si="24"/>
        <v>-121.33023468743384</v>
      </c>
      <c r="BP77" s="10">
        <f t="shared" si="25"/>
        <v>-1</v>
      </c>
      <c r="BQ77" s="10">
        <f t="shared" si="26"/>
        <v>-1</v>
      </c>
      <c r="BR77" s="10">
        <f t="shared" si="27"/>
        <v>1</v>
      </c>
    </row>
    <row r="78" spans="2:70" x14ac:dyDescent="0.25">
      <c r="B78" s="10">
        <f t="shared" si="14"/>
        <v>59</v>
      </c>
      <c r="C78">
        <v>-0.57865463531925343</v>
      </c>
      <c r="D78">
        <v>-0.72230477599077858</v>
      </c>
      <c r="E78">
        <v>0.69826349681081579</v>
      </c>
      <c r="H78" s="18">
        <f>1</f>
        <v>1</v>
      </c>
      <c r="I78" s="19">
        <f t="shared" si="31"/>
        <v>5.3732393469696298</v>
      </c>
      <c r="J78" s="19">
        <f t="shared" si="32"/>
        <v>13.958068931759767</v>
      </c>
      <c r="K78" s="18">
        <f t="shared" si="33"/>
        <v>-1</v>
      </c>
      <c r="L78" s="17"/>
      <c r="M78" s="17"/>
      <c r="N78" s="18">
        <f t="shared" si="15"/>
        <v>-100</v>
      </c>
      <c r="O78" s="18">
        <f t="shared" si="15"/>
        <v>-100</v>
      </c>
      <c r="P78" s="18">
        <f t="shared" si="16"/>
        <v>5.3732393469696298</v>
      </c>
      <c r="Q78" s="18">
        <f t="shared" si="16"/>
        <v>13.958068931759767</v>
      </c>
      <c r="S78" s="10">
        <f t="shared" si="17"/>
        <v>102.76596354481501</v>
      </c>
      <c r="T78" s="10">
        <f t="shared" si="18"/>
        <v>1</v>
      </c>
      <c r="U78" s="10">
        <f t="shared" si="19"/>
        <v>-1</v>
      </c>
      <c r="V78" s="10">
        <f t="shared" si="20"/>
        <v>1</v>
      </c>
      <c r="Y78" s="10">
        <f t="shared" si="34"/>
        <v>-0.70082399975499998</v>
      </c>
      <c r="Z78" s="10">
        <f t="shared" si="35"/>
        <v>-3.7656950907842002</v>
      </c>
      <c r="AA78" s="10">
        <f t="shared" si="36"/>
        <v>-9.7821496976118798</v>
      </c>
      <c r="AB78" s="10">
        <f t="shared" si="37"/>
        <v>-0.600823999755</v>
      </c>
      <c r="AC78" s="10">
        <f t="shared" si="38"/>
        <v>5.6897635700093225</v>
      </c>
      <c r="AD78" s="10">
        <f t="shared" si="39"/>
        <v>-6.0667703511899038</v>
      </c>
      <c r="AE78" s="10">
        <f t="shared" si="21"/>
        <v>-1</v>
      </c>
      <c r="AF78" s="10">
        <f t="shared" si="22"/>
        <v>0</v>
      </c>
      <c r="AI78" s="10">
        <f t="shared" si="28"/>
        <v>-1</v>
      </c>
      <c r="AJ78" s="10">
        <f t="shared" si="29"/>
        <v>0</v>
      </c>
      <c r="AK78" s="10">
        <f t="shared" si="30"/>
        <v>0</v>
      </c>
      <c r="BD78" s="10">
        <f t="shared" si="23"/>
        <v>59</v>
      </c>
      <c r="BE78" s="10">
        <v>0.39171027310658246</v>
      </c>
      <c r="BF78" s="10">
        <v>0.88192109615192749</v>
      </c>
      <c r="BG78" s="10">
        <v>0.29300820947904904</v>
      </c>
      <c r="BJ78" s="16">
        <f>1</f>
        <v>1</v>
      </c>
      <c r="BK78" s="14">
        <f t="shared" si="40"/>
        <v>6.7721793753252317</v>
      </c>
      <c r="BL78" s="14">
        <f t="shared" si="41"/>
        <v>16.270823409562105</v>
      </c>
      <c r="BM78" s="16">
        <f t="shared" si="42"/>
        <v>1</v>
      </c>
      <c r="BO78" s="10">
        <f t="shared" si="24"/>
        <v>-135.41209028587153</v>
      </c>
      <c r="BP78" s="10">
        <f t="shared" si="25"/>
        <v>-1</v>
      </c>
      <c r="BQ78" s="10">
        <f t="shared" si="26"/>
        <v>-1</v>
      </c>
      <c r="BR78" s="10">
        <f t="shared" si="27"/>
        <v>1</v>
      </c>
    </row>
    <row r="79" spans="2:70" x14ac:dyDescent="0.25">
      <c r="B79" s="10">
        <f t="shared" si="14"/>
        <v>60</v>
      </c>
      <c r="C79">
        <v>0.88034312284435146</v>
      </c>
      <c r="D79">
        <v>-1.5625118976458907</v>
      </c>
      <c r="E79">
        <v>0.65074617755668818</v>
      </c>
      <c r="H79" s="18">
        <f>1</f>
        <v>1</v>
      </c>
      <c r="I79" s="19">
        <f t="shared" si="31"/>
        <v>7.4766237000654412</v>
      </c>
      <c r="J79" s="19">
        <f t="shared" si="32"/>
        <v>12.746772681878307</v>
      </c>
      <c r="K79" s="18">
        <f t="shared" si="33"/>
        <v>-1</v>
      </c>
      <c r="L79" s="17"/>
      <c r="M79" s="17"/>
      <c r="N79" s="18">
        <f t="shared" si="15"/>
        <v>-100</v>
      </c>
      <c r="O79" s="18">
        <f t="shared" si="15"/>
        <v>-100</v>
      </c>
      <c r="P79" s="18">
        <f t="shared" si="16"/>
        <v>7.4766237000654412</v>
      </c>
      <c r="Q79" s="18">
        <f t="shared" si="16"/>
        <v>12.746772681878307</v>
      </c>
      <c r="S79" s="10">
        <f t="shared" si="17"/>
        <v>-35.392345424231074</v>
      </c>
      <c r="T79" s="10">
        <f t="shared" si="18"/>
        <v>-1</v>
      </c>
      <c r="U79" s="10">
        <f t="shared" si="19"/>
        <v>0</v>
      </c>
      <c r="V79" s="10">
        <f t="shared" si="20"/>
        <v>0</v>
      </c>
      <c r="X79" s="10">
        <f>SUM(V61:V79)</f>
        <v>9</v>
      </c>
      <c r="Y79" s="10">
        <f t="shared" si="34"/>
        <v>0</v>
      </c>
      <c r="Z79" s="10">
        <f t="shared" si="35"/>
        <v>0</v>
      </c>
      <c r="AA79" s="10">
        <f t="shared" si="36"/>
        <v>0</v>
      </c>
      <c r="AB79" s="10">
        <f t="shared" si="37"/>
        <v>-0.600823999755</v>
      </c>
      <c r="AC79" s="10">
        <f t="shared" si="38"/>
        <v>5.6897635700093225</v>
      </c>
      <c r="AD79" s="10">
        <f t="shared" si="39"/>
        <v>-6.0667703511899038</v>
      </c>
      <c r="AE79" s="10">
        <f t="shared" si="21"/>
        <v>-1</v>
      </c>
      <c r="AF79" s="10">
        <f t="shared" si="22"/>
        <v>0</v>
      </c>
      <c r="AI79" s="10">
        <f t="shared" si="28"/>
        <v>-1</v>
      </c>
      <c r="AJ79" s="10">
        <f t="shared" si="29"/>
        <v>0</v>
      </c>
      <c r="AK79" s="10">
        <f t="shared" si="30"/>
        <v>0</v>
      </c>
      <c r="BD79" s="10">
        <f t="shared" si="23"/>
        <v>60</v>
      </c>
      <c r="BE79" s="10">
        <v>-0.16642275113554206</v>
      </c>
      <c r="BF79" s="10">
        <v>1.3342105376068503</v>
      </c>
      <c r="BG79" s="10">
        <v>0.82097842341380045</v>
      </c>
      <c r="BJ79" s="16">
        <f>1</f>
        <v>1</v>
      </c>
      <c r="BK79" s="14">
        <f t="shared" si="40"/>
        <v>5.967539160103402</v>
      </c>
      <c r="BL79" s="14">
        <f t="shared" si="41"/>
        <v>16.922872755699654</v>
      </c>
      <c r="BM79" s="16">
        <f t="shared" si="42"/>
        <v>-1</v>
      </c>
      <c r="BO79" s="10">
        <f t="shared" si="24"/>
        <v>-132.59566000564115</v>
      </c>
      <c r="BP79" s="10">
        <f t="shared" si="25"/>
        <v>-1</v>
      </c>
      <c r="BQ79" s="10">
        <f t="shared" si="26"/>
        <v>0</v>
      </c>
      <c r="BR79" s="10">
        <f t="shared" si="27"/>
        <v>0</v>
      </c>
    </row>
    <row r="80" spans="2:70" x14ac:dyDescent="0.25">
      <c r="B80" s="10">
        <f t="shared" si="14"/>
        <v>61</v>
      </c>
      <c r="C80">
        <v>-1.8246328181703575</v>
      </c>
      <c r="D80">
        <v>2.6127509045181796E-2</v>
      </c>
      <c r="E80">
        <v>1.7639698477126379E-2</v>
      </c>
      <c r="H80" s="18">
        <f>1</f>
        <v>1</v>
      </c>
      <c r="I80" s="19">
        <f t="shared" si="31"/>
        <v>3.5769576190206798</v>
      </c>
      <c r="J80" s="19">
        <f t="shared" si="32"/>
        <v>15.037056715591479</v>
      </c>
      <c r="K80" s="18">
        <f t="shared" si="33"/>
        <v>1</v>
      </c>
      <c r="L80" s="17"/>
      <c r="M80" s="17"/>
      <c r="N80" s="18">
        <f t="shared" si="15"/>
        <v>3.5769576190206798</v>
      </c>
      <c r="O80" s="18">
        <f t="shared" si="15"/>
        <v>15.037056715591479</v>
      </c>
      <c r="P80" s="18">
        <f t="shared" si="16"/>
        <v>-100</v>
      </c>
      <c r="Q80" s="18">
        <f t="shared" si="16"/>
        <v>-100</v>
      </c>
      <c r="S80" s="12">
        <f t="shared" si="17"/>
        <v>-71.475150698895277</v>
      </c>
      <c r="T80" s="12">
        <f t="shared" si="18"/>
        <v>-1</v>
      </c>
      <c r="U80" s="12">
        <f t="shared" si="19"/>
        <v>1</v>
      </c>
      <c r="V80" s="12">
        <f t="shared" si="20"/>
        <v>1</v>
      </c>
      <c r="W80" s="12"/>
      <c r="X80" s="12"/>
      <c r="Y80" s="10">
        <f t="shared" si="34"/>
        <v>0.70082399975499998</v>
      </c>
      <c r="Z80" s="10">
        <f t="shared" si="35"/>
        <v>2.5068177455161944</v>
      </c>
      <c r="AA80" s="10">
        <f t="shared" si="36"/>
        <v>10.538330231963604</v>
      </c>
      <c r="AB80" s="10">
        <f t="shared" si="37"/>
        <v>9.9999999999999978E-2</v>
      </c>
      <c r="AC80" s="10">
        <f t="shared" si="38"/>
        <v>8.1965813155255169</v>
      </c>
      <c r="AD80" s="10">
        <f t="shared" si="39"/>
        <v>4.4715598807737003</v>
      </c>
      <c r="AE80" s="10">
        <f t="shared" si="21"/>
        <v>-1</v>
      </c>
      <c r="AF80" s="10">
        <f t="shared" si="22"/>
        <v>1</v>
      </c>
      <c r="AI80" s="10">
        <f t="shared" si="28"/>
        <v>-1</v>
      </c>
      <c r="AJ80" s="10">
        <f t="shared" si="29"/>
        <v>1</v>
      </c>
      <c r="AK80" s="10">
        <f t="shared" si="30"/>
        <v>1</v>
      </c>
      <c r="BJ80" s="11"/>
      <c r="BK80" s="29"/>
      <c r="BL80" s="29"/>
      <c r="BM80" s="11"/>
    </row>
    <row r="81" spans="2:65" x14ac:dyDescent="0.25">
      <c r="B81" s="10">
        <f t="shared" si="14"/>
        <v>62</v>
      </c>
      <c r="C81">
        <v>0.50024709707940929</v>
      </c>
      <c r="D81">
        <v>-0.31699983082944527</v>
      </c>
      <c r="E81">
        <v>0.21805475020599993</v>
      </c>
      <c r="H81" s="18">
        <f>1</f>
        <v>1</v>
      </c>
      <c r="I81" s="19">
        <f t="shared" si="31"/>
        <v>6.9286529929176988</v>
      </c>
      <c r="J81" s="19">
        <f t="shared" si="32"/>
        <v>14.542382427181265</v>
      </c>
      <c r="K81" s="18">
        <f t="shared" si="33"/>
        <v>1</v>
      </c>
      <c r="L81" s="17"/>
      <c r="M81" s="17"/>
      <c r="N81" s="18">
        <f t="shared" si="15"/>
        <v>6.9286529929176988</v>
      </c>
      <c r="O81" s="18">
        <f t="shared" si="15"/>
        <v>14.542382427181265</v>
      </c>
      <c r="P81" s="18">
        <f t="shared" si="16"/>
        <v>-100</v>
      </c>
      <c r="Q81" s="18">
        <f t="shared" si="16"/>
        <v>-100</v>
      </c>
      <c r="S81" s="10">
        <f t="shared" si="17"/>
        <v>121.91840149576137</v>
      </c>
      <c r="T81" s="10">
        <f t="shared" si="18"/>
        <v>1</v>
      </c>
      <c r="U81" s="10">
        <f t="shared" si="19"/>
        <v>0</v>
      </c>
      <c r="V81" s="10">
        <f t="shared" si="20"/>
        <v>0</v>
      </c>
      <c r="Y81" s="10">
        <f t="shared" si="34"/>
        <v>0</v>
      </c>
      <c r="Z81" s="10">
        <f t="shared" si="35"/>
        <v>0</v>
      </c>
      <c r="AA81" s="10">
        <f t="shared" si="36"/>
        <v>0</v>
      </c>
      <c r="AB81" s="10">
        <f t="shared" si="37"/>
        <v>9.9999999999999978E-2</v>
      </c>
      <c r="AC81" s="10">
        <f t="shared" si="38"/>
        <v>8.1965813155255169</v>
      </c>
      <c r="AD81" s="10">
        <f t="shared" si="39"/>
        <v>4.4715598807737003</v>
      </c>
      <c r="AE81" s="10">
        <f t="shared" si="21"/>
        <v>-1</v>
      </c>
      <c r="AF81" s="10">
        <f t="shared" si="22"/>
        <v>1</v>
      </c>
      <c r="AI81" s="10">
        <f t="shared" si="28"/>
        <v>-1</v>
      </c>
      <c r="AJ81" s="10">
        <f t="shared" si="29"/>
        <v>0</v>
      </c>
      <c r="AK81" s="10">
        <f t="shared" si="30"/>
        <v>0</v>
      </c>
      <c r="BJ81" s="11"/>
      <c r="BK81" s="29"/>
      <c r="BL81" s="29"/>
      <c r="BM81" s="11"/>
    </row>
    <row r="82" spans="2:65" x14ac:dyDescent="0.25">
      <c r="B82" s="10">
        <f t="shared" si="14"/>
        <v>63</v>
      </c>
      <c r="C82">
        <v>1.8327773432247341</v>
      </c>
      <c r="D82">
        <v>0.79661958807264455</v>
      </c>
      <c r="E82">
        <v>0.2912076174199652</v>
      </c>
      <c r="H82" s="18">
        <f>1</f>
        <v>1</v>
      </c>
      <c r="I82" s="19">
        <f t="shared" si="31"/>
        <v>8.8497137033171533</v>
      </c>
      <c r="J82" s="19">
        <f t="shared" si="32"/>
        <v>16.147847307381337</v>
      </c>
      <c r="K82" s="18">
        <f t="shared" si="33"/>
        <v>1</v>
      </c>
      <c r="L82" s="17"/>
      <c r="M82" s="17"/>
      <c r="N82" s="18">
        <f t="shared" si="15"/>
        <v>8.8497137033171533</v>
      </c>
      <c r="O82" s="18">
        <f t="shared" si="15"/>
        <v>16.147847307381337</v>
      </c>
      <c r="P82" s="18">
        <f t="shared" si="16"/>
        <v>-100</v>
      </c>
      <c r="Q82" s="18">
        <f t="shared" si="16"/>
        <v>-100</v>
      </c>
      <c r="S82" s="10">
        <f t="shared" si="17"/>
        <v>144.84346416890548</v>
      </c>
      <c r="T82" s="10">
        <f t="shared" si="18"/>
        <v>1</v>
      </c>
      <c r="U82" s="10">
        <f t="shared" si="19"/>
        <v>0</v>
      </c>
      <c r="V82" s="10">
        <f t="shared" si="20"/>
        <v>0</v>
      </c>
      <c r="Y82" s="10">
        <f t="shared" si="34"/>
        <v>0</v>
      </c>
      <c r="Z82" s="10">
        <f t="shared" si="35"/>
        <v>0</v>
      </c>
      <c r="AA82" s="10">
        <f t="shared" si="36"/>
        <v>0</v>
      </c>
      <c r="AB82" s="10">
        <f t="shared" si="37"/>
        <v>9.9999999999999978E-2</v>
      </c>
      <c r="AC82" s="10">
        <f t="shared" si="38"/>
        <v>8.1965813155255169</v>
      </c>
      <c r="AD82" s="10">
        <f t="shared" si="39"/>
        <v>4.4715598807737003</v>
      </c>
      <c r="AE82" s="10">
        <f t="shared" si="21"/>
        <v>-1</v>
      </c>
      <c r="AF82" s="10">
        <f t="shared" si="22"/>
        <v>1</v>
      </c>
      <c r="AI82" s="10">
        <f t="shared" si="28"/>
        <v>-1</v>
      </c>
      <c r="AJ82" s="10">
        <f t="shared" si="29"/>
        <v>0</v>
      </c>
      <c r="AK82" s="10">
        <f t="shared" si="30"/>
        <v>0</v>
      </c>
      <c r="BJ82" s="11"/>
      <c r="BK82" s="29"/>
      <c r="BL82" s="29"/>
      <c r="BM82" s="11"/>
    </row>
    <row r="83" spans="2:65" x14ac:dyDescent="0.25">
      <c r="B83" s="10">
        <f t="shared" si="14"/>
        <v>64</v>
      </c>
      <c r="C83">
        <v>-5.9359308579587378E-2</v>
      </c>
      <c r="D83">
        <v>0.41894963942468166</v>
      </c>
      <c r="E83">
        <v>0.81557664723654899</v>
      </c>
      <c r="H83" s="18">
        <f>1</f>
        <v>1</v>
      </c>
      <c r="I83" s="19">
        <f t="shared" si="31"/>
        <v>6.1218886569417066</v>
      </c>
      <c r="J83" s="19">
        <f t="shared" si="32"/>
        <v>15.603374187956883</v>
      </c>
      <c r="K83" s="18">
        <f t="shared" si="33"/>
        <v>-1</v>
      </c>
      <c r="L83" s="17"/>
      <c r="M83" s="17"/>
      <c r="N83" s="18">
        <f t="shared" si="15"/>
        <v>-100</v>
      </c>
      <c r="O83" s="18">
        <f t="shared" si="15"/>
        <v>-100</v>
      </c>
      <c r="P83" s="18">
        <f t="shared" si="16"/>
        <v>6.1218886569417066</v>
      </c>
      <c r="Q83" s="18">
        <f t="shared" si="16"/>
        <v>15.603374187956883</v>
      </c>
      <c r="S83" s="10">
        <f t="shared" si="17"/>
        <v>120.04998020478391</v>
      </c>
      <c r="T83" s="10">
        <f t="shared" si="18"/>
        <v>1</v>
      </c>
      <c r="U83" s="10">
        <f t="shared" si="19"/>
        <v>-1</v>
      </c>
      <c r="V83" s="10">
        <f t="shared" si="20"/>
        <v>1</v>
      </c>
      <c r="Y83" s="10">
        <f t="shared" si="34"/>
        <v>-0.70082399975499998</v>
      </c>
      <c r="Z83" s="10">
        <f t="shared" si="35"/>
        <v>-4.2903664946126518</v>
      </c>
      <c r="AA83" s="10">
        <f t="shared" si="36"/>
        <v>-10.935219108077867</v>
      </c>
      <c r="AB83" s="10">
        <f t="shared" si="37"/>
        <v>-0.600823999755</v>
      </c>
      <c r="AC83" s="10">
        <f t="shared" si="38"/>
        <v>3.9062148209128651</v>
      </c>
      <c r="AD83" s="10">
        <f t="shared" si="39"/>
        <v>-6.4636592273041664</v>
      </c>
      <c r="AE83" s="10">
        <f t="shared" si="21"/>
        <v>-1</v>
      </c>
      <c r="AF83" s="10">
        <f t="shared" si="22"/>
        <v>0</v>
      </c>
      <c r="AI83" s="10">
        <f t="shared" si="28"/>
        <v>-1</v>
      </c>
      <c r="AJ83" s="10">
        <f t="shared" si="29"/>
        <v>1</v>
      </c>
      <c r="AK83" s="10">
        <f t="shared" si="30"/>
        <v>1</v>
      </c>
      <c r="BJ83" s="11"/>
      <c r="BK83" s="29"/>
      <c r="BL83" s="29"/>
      <c r="BM83" s="11"/>
    </row>
    <row r="84" spans="2:65" x14ac:dyDescent="0.25">
      <c r="B84" s="10">
        <f t="shared" si="14"/>
        <v>65</v>
      </c>
      <c r="C84">
        <v>0.59473677538335323</v>
      </c>
      <c r="D84">
        <v>-1.7638285498833284</v>
      </c>
      <c r="E84">
        <v>0.20957060457167273</v>
      </c>
      <c r="H84" s="18">
        <f>1</f>
        <v>1</v>
      </c>
      <c r="I84" s="19">
        <f t="shared" ref="I84:I115" si="43">IF(K84=1, C84*$C$7+$C$5,C84*$C$10+$C$8)</f>
        <v>7.0648753481348381</v>
      </c>
      <c r="J84" s="19">
        <f t="shared" ref="J84:J115" si="44">IF(K84=1,D84*$C$7+$C$6,D84*$C$10+$C$9)</f>
        <v>12.456541738092049</v>
      </c>
      <c r="K84" s="18">
        <f t="shared" ref="K84:K115" si="45">IF(E84&lt;$C$11,1,-1)</f>
        <v>1</v>
      </c>
      <c r="L84" s="17"/>
      <c r="M84" s="17"/>
      <c r="N84" s="18">
        <f t="shared" si="15"/>
        <v>7.0648753481348381</v>
      </c>
      <c r="O84" s="18">
        <f t="shared" si="15"/>
        <v>12.456541738092049</v>
      </c>
      <c r="P84" s="18">
        <f t="shared" si="16"/>
        <v>-100</v>
      </c>
      <c r="Q84" s="18">
        <f t="shared" si="16"/>
        <v>-100</v>
      </c>
      <c r="S84" s="10">
        <f t="shared" si="17"/>
        <v>-53.518744152686907</v>
      </c>
      <c r="T84" s="10">
        <f t="shared" si="18"/>
        <v>-1</v>
      </c>
      <c r="U84" s="10">
        <f t="shared" si="19"/>
        <v>1</v>
      </c>
      <c r="V84" s="10">
        <f t="shared" si="20"/>
        <v>1</v>
      </c>
      <c r="Y84" s="10">
        <f t="shared" ref="Y84:Y115" si="46">IF(U84=0,0,$C$12*(U84)*H84)</f>
        <v>0.70082399975499998</v>
      </c>
      <c r="Z84" s="10">
        <f t="shared" ref="Z84:Z115" si="47">IF(U84=0,0,$C$12*(U84)*I84)</f>
        <v>4.9512341992503552</v>
      </c>
      <c r="AA84" s="10">
        <f t="shared" ref="AA84:AA115" si="48">IF(U84=0,0,$C$12*(U84)*J84)</f>
        <v>8.7298434040047699</v>
      </c>
      <c r="AB84" s="10">
        <f t="shared" ref="AB84:AB115" si="49">IF(U84=0,AB83,AB83+$C$12*(U84)*H84)</f>
        <v>9.9999999999999978E-2</v>
      </c>
      <c r="AC84" s="10">
        <f t="shared" ref="AC84:AC115" si="50">IF(U84=0,AC83,AC83+$C$12*(U84)*I84)</f>
        <v>8.8574490201632194</v>
      </c>
      <c r="AD84" s="10">
        <f t="shared" ref="AD84:AD115" si="51">IF(U84=0,AD83,AD83+$C$12*(U84)*J84)</f>
        <v>2.2661841767006035</v>
      </c>
      <c r="AE84" s="10">
        <f t="shared" si="21"/>
        <v>-1</v>
      </c>
      <c r="AF84" s="10">
        <f t="shared" si="22"/>
        <v>1</v>
      </c>
      <c r="AI84" s="10">
        <f t="shared" si="28"/>
        <v>-1</v>
      </c>
      <c r="AJ84" s="10">
        <f t="shared" si="29"/>
        <v>1</v>
      </c>
      <c r="AK84" s="10">
        <f t="shared" si="30"/>
        <v>1</v>
      </c>
      <c r="BJ84" s="11"/>
      <c r="BK84" s="29"/>
      <c r="BL84" s="29"/>
      <c r="BM84" s="11"/>
    </row>
    <row r="85" spans="2:65" x14ac:dyDescent="0.25">
      <c r="B85" s="10">
        <f t="shared" ref="B85:B148" si="52">B84+1</f>
        <v>66</v>
      </c>
      <c r="C85">
        <v>-2.090628186124377</v>
      </c>
      <c r="D85">
        <v>9.4808001449564472E-2</v>
      </c>
      <c r="E85">
        <v>3.0152287362285226E-2</v>
      </c>
      <c r="H85" s="18">
        <f>1</f>
        <v>1</v>
      </c>
      <c r="I85" s="19">
        <f t="shared" si="43"/>
        <v>3.1934817076836666</v>
      </c>
      <c r="J85" s="19">
        <f t="shared" si="44"/>
        <v>15.136070900005389</v>
      </c>
      <c r="K85" s="18">
        <f t="shared" si="45"/>
        <v>1</v>
      </c>
      <c r="L85" s="17"/>
      <c r="M85" s="17"/>
      <c r="N85" s="18">
        <f t="shared" ref="N85:O148" si="53">IF($K85=1,I85,-100)</f>
        <v>3.1934817076836666</v>
      </c>
      <c r="O85" s="18">
        <f t="shared" si="53"/>
        <v>15.136070900005389</v>
      </c>
      <c r="P85" s="18">
        <f t="shared" ref="P85:Q148" si="54">IF($K85=-1,I85,-100)</f>
        <v>-100</v>
      </c>
      <c r="Q85" s="18">
        <f t="shared" si="54"/>
        <v>-100</v>
      </c>
      <c r="S85" s="10">
        <f t="shared" ref="S85:S148" si="55">SUMPRODUCT(H85:J85,AB84:AD84)</f>
        <v>62.687225793642533</v>
      </c>
      <c r="T85" s="10">
        <f t="shared" ref="T85:T148" si="56">IF(S85&gt;=0,1,-1)</f>
        <v>1</v>
      </c>
      <c r="U85" s="10">
        <f t="shared" ref="U85:U148" si="57">(K85-T85)/2</f>
        <v>0</v>
      </c>
      <c r="V85" s="10">
        <f t="shared" ref="V85:V148" si="58">IF(U85&lt;&gt;0,1,0)</f>
        <v>0</v>
      </c>
      <c r="Y85" s="10">
        <f t="shared" si="46"/>
        <v>0</v>
      </c>
      <c r="Z85" s="10">
        <f t="shared" si="47"/>
        <v>0</v>
      </c>
      <c r="AA85" s="10">
        <f t="shared" si="48"/>
        <v>0</v>
      </c>
      <c r="AB85" s="10">
        <f t="shared" si="49"/>
        <v>9.9999999999999978E-2</v>
      </c>
      <c r="AC85" s="10">
        <f t="shared" si="50"/>
        <v>8.8574490201632194</v>
      </c>
      <c r="AD85" s="10">
        <f t="shared" si="51"/>
        <v>2.2661841767006035</v>
      </c>
      <c r="AE85" s="10">
        <f t="shared" ref="AE85:AE148" si="59">IF(SUMPRODUCT(H85:J85,$AR$29:$AT$29)&gt;=0,1,-1)</f>
        <v>-1</v>
      </c>
      <c r="AF85" s="10">
        <f t="shared" ref="AF85:AF148" si="60">IF(K85=AE85,0,1)</f>
        <v>1</v>
      </c>
      <c r="AI85" s="10">
        <f t="shared" si="28"/>
        <v>-1</v>
      </c>
      <c r="AJ85" s="10">
        <f t="shared" si="29"/>
        <v>1</v>
      </c>
      <c r="AK85" s="10">
        <f t="shared" si="30"/>
        <v>1</v>
      </c>
      <c r="BJ85" s="11"/>
      <c r="BK85" s="29"/>
      <c r="BL85" s="29"/>
      <c r="BM85" s="11"/>
    </row>
    <row r="86" spans="2:65" x14ac:dyDescent="0.25">
      <c r="B86" s="10">
        <f t="shared" si="52"/>
        <v>67</v>
      </c>
      <c r="C86">
        <v>-0.21136088435014244</v>
      </c>
      <c r="D86">
        <v>9.9651060736505315E-2</v>
      </c>
      <c r="E86">
        <v>0.34928434095278788</v>
      </c>
      <c r="H86" s="18">
        <f>1</f>
        <v>1</v>
      </c>
      <c r="I86" s="19">
        <f t="shared" si="43"/>
        <v>5.9027534771014638</v>
      </c>
      <c r="J86" s="19">
        <f t="shared" si="44"/>
        <v>15.143052963595458</v>
      </c>
      <c r="K86" s="18">
        <f t="shared" si="45"/>
        <v>1</v>
      </c>
      <c r="L86" s="17"/>
      <c r="M86" s="17"/>
      <c r="N86" s="18">
        <f t="shared" si="53"/>
        <v>5.9027534771014638</v>
      </c>
      <c r="O86" s="18">
        <f t="shared" si="53"/>
        <v>15.143052963595458</v>
      </c>
      <c r="P86" s="18">
        <f t="shared" si="54"/>
        <v>-100</v>
      </c>
      <c r="Q86" s="18">
        <f t="shared" si="54"/>
        <v>-100</v>
      </c>
      <c r="S86" s="10">
        <f t="shared" si="55"/>
        <v>86.700285015056608</v>
      </c>
      <c r="T86" s="10">
        <f t="shared" si="56"/>
        <v>1</v>
      </c>
      <c r="U86" s="10">
        <f t="shared" si="57"/>
        <v>0</v>
      </c>
      <c r="V86" s="10">
        <f t="shared" si="58"/>
        <v>0</v>
      </c>
      <c r="Y86" s="10">
        <f t="shared" si="46"/>
        <v>0</v>
      </c>
      <c r="Z86" s="10">
        <f t="shared" si="47"/>
        <v>0</v>
      </c>
      <c r="AA86" s="10">
        <f t="shared" si="48"/>
        <v>0</v>
      </c>
      <c r="AB86" s="10">
        <f t="shared" si="49"/>
        <v>9.9999999999999978E-2</v>
      </c>
      <c r="AC86" s="10">
        <f t="shared" si="50"/>
        <v>8.8574490201632194</v>
      </c>
      <c r="AD86" s="10">
        <f t="shared" si="51"/>
        <v>2.2661841767006035</v>
      </c>
      <c r="AE86" s="10">
        <f t="shared" si="59"/>
        <v>-1</v>
      </c>
      <c r="AF86" s="10">
        <f t="shared" si="60"/>
        <v>1</v>
      </c>
      <c r="AI86" s="10">
        <f t="shared" si="28"/>
        <v>-1</v>
      </c>
      <c r="AJ86" s="10">
        <f t="shared" si="29"/>
        <v>0</v>
      </c>
      <c r="AK86" s="10">
        <f t="shared" si="30"/>
        <v>0</v>
      </c>
      <c r="BJ86" s="11"/>
      <c r="BK86" s="29"/>
      <c r="BL86" s="29"/>
      <c r="BM86" s="11"/>
    </row>
    <row r="87" spans="2:65" x14ac:dyDescent="0.25">
      <c r="B87" s="10">
        <f t="shared" si="52"/>
        <v>68</v>
      </c>
      <c r="C87">
        <v>-0.9040331860887818</v>
      </c>
      <c r="D87">
        <v>0.99882299764431082</v>
      </c>
      <c r="E87">
        <v>0.18362987151707511</v>
      </c>
      <c r="H87" s="18">
        <f>1</f>
        <v>1</v>
      </c>
      <c r="I87" s="19">
        <f t="shared" si="43"/>
        <v>4.9041528465331616</v>
      </c>
      <c r="J87" s="19">
        <f t="shared" si="44"/>
        <v>16.439356657177044</v>
      </c>
      <c r="K87" s="18">
        <f t="shared" si="45"/>
        <v>1</v>
      </c>
      <c r="L87" s="17"/>
      <c r="M87" s="17"/>
      <c r="N87" s="18">
        <f t="shared" si="53"/>
        <v>4.9041528465331616</v>
      </c>
      <c r="O87" s="18">
        <f t="shared" si="53"/>
        <v>16.439356657177044</v>
      </c>
      <c r="P87" s="18">
        <f t="shared" si="54"/>
        <v>-100</v>
      </c>
      <c r="Q87" s="18">
        <f t="shared" si="54"/>
        <v>-100</v>
      </c>
      <c r="S87" s="10">
        <f t="shared" si="55"/>
        <v>80.792893756888162</v>
      </c>
      <c r="T87" s="10">
        <f t="shared" si="56"/>
        <v>1</v>
      </c>
      <c r="U87" s="10">
        <f t="shared" si="57"/>
        <v>0</v>
      </c>
      <c r="V87" s="10">
        <f t="shared" si="58"/>
        <v>0</v>
      </c>
      <c r="Y87" s="10">
        <f t="shared" si="46"/>
        <v>0</v>
      </c>
      <c r="Z87" s="10">
        <f t="shared" si="47"/>
        <v>0</v>
      </c>
      <c r="AA87" s="10">
        <f t="shared" si="48"/>
        <v>0</v>
      </c>
      <c r="AB87" s="10">
        <f t="shared" si="49"/>
        <v>9.9999999999999978E-2</v>
      </c>
      <c r="AC87" s="10">
        <f t="shared" si="50"/>
        <v>8.8574490201632194</v>
      </c>
      <c r="AD87" s="10">
        <f t="shared" si="51"/>
        <v>2.2661841767006035</v>
      </c>
      <c r="AE87" s="10">
        <f t="shared" si="59"/>
        <v>-1</v>
      </c>
      <c r="AF87" s="10">
        <f t="shared" si="60"/>
        <v>1</v>
      </c>
      <c r="AI87" s="10">
        <f t="shared" si="28"/>
        <v>-1</v>
      </c>
      <c r="AJ87" s="10">
        <f t="shared" si="29"/>
        <v>1</v>
      </c>
      <c r="AK87" s="10">
        <f t="shared" si="30"/>
        <v>1</v>
      </c>
      <c r="BJ87" s="11"/>
      <c r="BK87" s="29"/>
      <c r="BL87" s="29"/>
      <c r="BM87" s="11"/>
    </row>
    <row r="88" spans="2:65" x14ac:dyDescent="0.25">
      <c r="B88" s="10">
        <f t="shared" si="52"/>
        <v>69</v>
      </c>
      <c r="C88">
        <v>0.57576244216761552</v>
      </c>
      <c r="D88">
        <v>-0.87214402810786851</v>
      </c>
      <c r="E88">
        <v>0.40244758445997497</v>
      </c>
      <c r="H88" s="18">
        <f>1</f>
        <v>1</v>
      </c>
      <c r="I88" s="19">
        <f t="shared" si="43"/>
        <v>7.0375207374967497</v>
      </c>
      <c r="J88" s="19">
        <f t="shared" si="44"/>
        <v>13.742051095804104</v>
      </c>
      <c r="K88" s="18">
        <f t="shared" si="45"/>
        <v>1</v>
      </c>
      <c r="L88" s="17"/>
      <c r="M88" s="17"/>
      <c r="N88" s="18">
        <f t="shared" si="53"/>
        <v>7.0375207374967497</v>
      </c>
      <c r="O88" s="18">
        <f t="shared" si="53"/>
        <v>13.742051095804104</v>
      </c>
      <c r="P88" s="18">
        <f t="shared" si="54"/>
        <v>-100</v>
      </c>
      <c r="Q88" s="18">
        <f t="shared" si="54"/>
        <v>-100</v>
      </c>
      <c r="S88" s="10">
        <f t="shared" si="55"/>
        <v>93.576499909441367</v>
      </c>
      <c r="T88" s="10">
        <f t="shared" si="56"/>
        <v>1</v>
      </c>
      <c r="U88" s="10">
        <f t="shared" si="57"/>
        <v>0</v>
      </c>
      <c r="V88" s="10">
        <f t="shared" si="58"/>
        <v>0</v>
      </c>
      <c r="Y88" s="10">
        <f t="shared" si="46"/>
        <v>0</v>
      </c>
      <c r="Z88" s="10">
        <f t="shared" si="47"/>
        <v>0</v>
      </c>
      <c r="AA88" s="10">
        <f t="shared" si="48"/>
        <v>0</v>
      </c>
      <c r="AB88" s="10">
        <f t="shared" si="49"/>
        <v>9.9999999999999978E-2</v>
      </c>
      <c r="AC88" s="10">
        <f t="shared" si="50"/>
        <v>8.8574490201632194</v>
      </c>
      <c r="AD88" s="10">
        <f t="shared" si="51"/>
        <v>2.2661841767006035</v>
      </c>
      <c r="AE88" s="10">
        <f t="shared" si="59"/>
        <v>-1</v>
      </c>
      <c r="AF88" s="10">
        <f t="shared" si="60"/>
        <v>1</v>
      </c>
      <c r="AI88" s="10">
        <f t="shared" ref="AI88:AI151" si="61">IF(SUMPRODUCT(H85:J85,$AI$17:$AK$17)&gt;=0,1,-1)</f>
        <v>-1</v>
      </c>
      <c r="AJ88" s="10">
        <f t="shared" ref="AJ88:AJ151" si="62">(K85-AI88)/2</f>
        <v>1</v>
      </c>
      <c r="AK88" s="10">
        <f t="shared" ref="AK88:AK151" si="63">IF(AJ88&lt;&gt;0,1,0)</f>
        <v>1</v>
      </c>
      <c r="BJ88" s="11"/>
      <c r="BK88" s="29"/>
      <c r="BL88" s="29"/>
      <c r="BM88" s="11"/>
    </row>
    <row r="89" spans="2:65" x14ac:dyDescent="0.25">
      <c r="B89" s="10">
        <f t="shared" si="52"/>
        <v>70</v>
      </c>
      <c r="C89">
        <v>2.3913889890536666</v>
      </c>
      <c r="D89">
        <v>0.94544475359725766</v>
      </c>
      <c r="E89">
        <v>0.78884243293557543</v>
      </c>
      <c r="H89" s="18">
        <f>1</f>
        <v>1</v>
      </c>
      <c r="I89" s="19">
        <f t="shared" si="43"/>
        <v>9.6550439299876736</v>
      </c>
      <c r="J89" s="19">
        <f t="shared" si="44"/>
        <v>16.36240317133645</v>
      </c>
      <c r="K89" s="18">
        <f t="shared" si="45"/>
        <v>-1</v>
      </c>
      <c r="L89" s="17"/>
      <c r="M89" s="17"/>
      <c r="N89" s="18">
        <f t="shared" si="53"/>
        <v>-100</v>
      </c>
      <c r="O89" s="18">
        <f t="shared" si="53"/>
        <v>-100</v>
      </c>
      <c r="P89" s="18">
        <f t="shared" si="54"/>
        <v>9.6550439299876736</v>
      </c>
      <c r="Q89" s="18">
        <f t="shared" si="54"/>
        <v>16.36240317133645</v>
      </c>
      <c r="S89" s="10">
        <f t="shared" si="55"/>
        <v>122.69927855698059</v>
      </c>
      <c r="T89" s="10">
        <f t="shared" si="56"/>
        <v>1</v>
      </c>
      <c r="U89" s="10">
        <f t="shared" si="57"/>
        <v>-1</v>
      </c>
      <c r="V89" s="10">
        <f t="shared" si="58"/>
        <v>1</v>
      </c>
      <c r="Y89" s="10">
        <f t="shared" si="46"/>
        <v>-0.70082399975499998</v>
      </c>
      <c r="Z89" s="10">
        <f t="shared" si="47"/>
        <v>-6.7664865048241953</v>
      </c>
      <c r="AA89" s="10">
        <f t="shared" si="48"/>
        <v>-11.467164836139906</v>
      </c>
      <c r="AB89" s="10">
        <f t="shared" si="49"/>
        <v>-0.600823999755</v>
      </c>
      <c r="AC89" s="10">
        <f t="shared" si="50"/>
        <v>2.0909625153390241</v>
      </c>
      <c r="AD89" s="10">
        <f t="shared" si="51"/>
        <v>-9.2009806594393027</v>
      </c>
      <c r="AE89" s="10">
        <f t="shared" si="59"/>
        <v>-1</v>
      </c>
      <c r="AF89" s="10">
        <f t="shared" si="60"/>
        <v>0</v>
      </c>
      <c r="AI89" s="10">
        <f t="shared" si="61"/>
        <v>-1</v>
      </c>
      <c r="AJ89" s="10">
        <f t="shared" si="62"/>
        <v>1</v>
      </c>
      <c r="AK89" s="10">
        <f t="shared" si="63"/>
        <v>1</v>
      </c>
      <c r="BJ89" s="11"/>
      <c r="BK89" s="29"/>
      <c r="BL89" s="29"/>
      <c r="BM89" s="11"/>
    </row>
    <row r="90" spans="2:65" x14ac:dyDescent="0.25">
      <c r="B90" s="10">
        <f t="shared" si="52"/>
        <v>71</v>
      </c>
      <c r="C90">
        <v>-0.24071255211310927</v>
      </c>
      <c r="D90">
        <v>8.3441591414157301E-2</v>
      </c>
      <c r="E90">
        <v>0.37577440717795341</v>
      </c>
      <c r="H90" s="18">
        <f>1</f>
        <v>1</v>
      </c>
      <c r="I90" s="19">
        <f t="shared" si="43"/>
        <v>5.8604382381886921</v>
      </c>
      <c r="J90" s="19">
        <f t="shared" si="44"/>
        <v>15.119684357335551</v>
      </c>
      <c r="K90" s="18">
        <f t="shared" si="45"/>
        <v>1</v>
      </c>
      <c r="L90" s="17"/>
      <c r="M90" s="17"/>
      <c r="N90" s="18">
        <f t="shared" si="53"/>
        <v>5.8604382381886921</v>
      </c>
      <c r="O90" s="18">
        <f t="shared" si="53"/>
        <v>15.119684357335551</v>
      </c>
      <c r="P90" s="18">
        <f t="shared" si="54"/>
        <v>-100</v>
      </c>
      <c r="Q90" s="18">
        <f t="shared" si="54"/>
        <v>-100</v>
      </c>
      <c r="S90" s="10">
        <f t="shared" si="55"/>
        <v>-127.46279066891435</v>
      </c>
      <c r="T90" s="10">
        <f t="shared" si="56"/>
        <v>-1</v>
      </c>
      <c r="U90" s="10">
        <f t="shared" si="57"/>
        <v>1</v>
      </c>
      <c r="V90" s="10">
        <f t="shared" si="58"/>
        <v>1</v>
      </c>
      <c r="Y90" s="10">
        <f t="shared" si="46"/>
        <v>0.70082399975499998</v>
      </c>
      <c r="Z90" s="10">
        <f t="shared" si="47"/>
        <v>4.1071357664045447</v>
      </c>
      <c r="AA90" s="10">
        <f t="shared" si="48"/>
        <v>10.596237666341008</v>
      </c>
      <c r="AB90" s="10">
        <f t="shared" si="49"/>
        <v>9.9999999999999978E-2</v>
      </c>
      <c r="AC90" s="10">
        <f t="shared" si="50"/>
        <v>6.1980982817435688</v>
      </c>
      <c r="AD90" s="10">
        <f t="shared" si="51"/>
        <v>1.395257006901705</v>
      </c>
      <c r="AE90" s="10">
        <f t="shared" si="59"/>
        <v>-1</v>
      </c>
      <c r="AF90" s="10">
        <f t="shared" si="60"/>
        <v>1</v>
      </c>
      <c r="AI90" s="10">
        <f t="shared" si="61"/>
        <v>-1</v>
      </c>
      <c r="AJ90" s="10">
        <f t="shared" si="62"/>
        <v>1</v>
      </c>
      <c r="AK90" s="10">
        <f t="shared" si="63"/>
        <v>1</v>
      </c>
      <c r="BJ90" s="11"/>
      <c r="BK90" s="29"/>
      <c r="BL90" s="29"/>
      <c r="BM90" s="11"/>
    </row>
    <row r="91" spans="2:65" x14ac:dyDescent="0.25">
      <c r="B91" s="10">
        <f t="shared" si="52"/>
        <v>72</v>
      </c>
      <c r="C91">
        <v>0.57973920775111765</v>
      </c>
      <c r="D91">
        <v>-4.2064129956997931E-4</v>
      </c>
      <c r="E91">
        <v>0.25324259163182472</v>
      </c>
      <c r="H91" s="18">
        <f>1</f>
        <v>1</v>
      </c>
      <c r="I91" s="19">
        <f t="shared" si="43"/>
        <v>7.0432538967545106</v>
      </c>
      <c r="J91" s="19">
        <f t="shared" si="44"/>
        <v>14.998783206447042</v>
      </c>
      <c r="K91" s="18">
        <f t="shared" si="45"/>
        <v>1</v>
      </c>
      <c r="L91" s="17"/>
      <c r="M91" s="17"/>
      <c r="N91" s="18">
        <f t="shared" si="53"/>
        <v>7.0432538967545106</v>
      </c>
      <c r="O91" s="18">
        <f t="shared" si="53"/>
        <v>14.998783206447042</v>
      </c>
      <c r="P91" s="18">
        <f t="shared" si="54"/>
        <v>-100</v>
      </c>
      <c r="Q91" s="18">
        <f t="shared" si="54"/>
        <v>-100</v>
      </c>
      <c r="S91" s="10">
        <f t="shared" si="55"/>
        <v>64.681937239152688</v>
      </c>
      <c r="T91" s="10">
        <f t="shared" si="56"/>
        <v>1</v>
      </c>
      <c r="U91" s="10">
        <f t="shared" si="57"/>
        <v>0</v>
      </c>
      <c r="V91" s="10">
        <f t="shared" si="58"/>
        <v>0</v>
      </c>
      <c r="Y91" s="10">
        <f t="shared" si="46"/>
        <v>0</v>
      </c>
      <c r="Z91" s="10">
        <f t="shared" si="47"/>
        <v>0</v>
      </c>
      <c r="AA91" s="10">
        <f t="shared" si="48"/>
        <v>0</v>
      </c>
      <c r="AB91" s="10">
        <f t="shared" si="49"/>
        <v>9.9999999999999978E-2</v>
      </c>
      <c r="AC91" s="10">
        <f t="shared" si="50"/>
        <v>6.1980982817435688</v>
      </c>
      <c r="AD91" s="10">
        <f t="shared" si="51"/>
        <v>1.395257006901705</v>
      </c>
      <c r="AE91" s="10">
        <f t="shared" si="59"/>
        <v>-1</v>
      </c>
      <c r="AF91" s="10">
        <f t="shared" si="60"/>
        <v>1</v>
      </c>
      <c r="AI91" s="10">
        <f t="shared" si="61"/>
        <v>-1</v>
      </c>
      <c r="AJ91" s="10">
        <f t="shared" si="62"/>
        <v>1</v>
      </c>
      <c r="AK91" s="10">
        <f t="shared" si="63"/>
        <v>1</v>
      </c>
      <c r="BJ91" s="11"/>
      <c r="BK91" s="29"/>
      <c r="BL91" s="29"/>
      <c r="BM91" s="11"/>
    </row>
    <row r="92" spans="2:65" x14ac:dyDescent="0.25">
      <c r="B92" s="10">
        <f t="shared" si="52"/>
        <v>73</v>
      </c>
      <c r="C92">
        <v>-1.9164190234732814E-2</v>
      </c>
      <c r="D92">
        <v>1.7748061509337276</v>
      </c>
      <c r="E92">
        <v>0.57643360698263502</v>
      </c>
      <c r="H92" s="18">
        <f>1</f>
        <v>1</v>
      </c>
      <c r="I92" s="19">
        <f t="shared" si="43"/>
        <v>6.1798365067751551</v>
      </c>
      <c r="J92" s="19">
        <f t="shared" si="44"/>
        <v>17.558063532333108</v>
      </c>
      <c r="K92" s="18">
        <f t="shared" si="45"/>
        <v>-1</v>
      </c>
      <c r="L92" s="17"/>
      <c r="M92" s="17"/>
      <c r="N92" s="18">
        <f t="shared" si="53"/>
        <v>-100</v>
      </c>
      <c r="O92" s="18">
        <f t="shared" si="53"/>
        <v>-100</v>
      </c>
      <c r="P92" s="18">
        <f t="shared" si="54"/>
        <v>6.1798365067751551</v>
      </c>
      <c r="Q92" s="18">
        <f t="shared" si="54"/>
        <v>17.558063532333108</v>
      </c>
      <c r="S92" s="10">
        <f t="shared" si="55"/>
        <v>62.901245205212341</v>
      </c>
      <c r="T92" s="10">
        <f t="shared" si="56"/>
        <v>1</v>
      </c>
      <c r="U92" s="10">
        <f t="shared" si="57"/>
        <v>-1</v>
      </c>
      <c r="V92" s="10">
        <f t="shared" si="58"/>
        <v>1</v>
      </c>
      <c r="Y92" s="10">
        <f t="shared" si="46"/>
        <v>-0.70082399975499998</v>
      </c>
      <c r="Z92" s="10">
        <f t="shared" si="47"/>
        <v>-4.3309777385101311</v>
      </c>
      <c r="AA92" s="10">
        <f t="shared" si="48"/>
        <v>-12.305112312682093</v>
      </c>
      <c r="AB92" s="10">
        <f t="shared" si="49"/>
        <v>-0.600823999755</v>
      </c>
      <c r="AC92" s="10">
        <f t="shared" si="50"/>
        <v>1.8671205432334377</v>
      </c>
      <c r="AD92" s="10">
        <f t="shared" si="51"/>
        <v>-10.909855305780388</v>
      </c>
      <c r="AE92" s="10">
        <f t="shared" si="59"/>
        <v>-1</v>
      </c>
      <c r="AF92" s="10">
        <f t="shared" si="60"/>
        <v>0</v>
      </c>
      <c r="AI92" s="10">
        <f t="shared" si="61"/>
        <v>-1</v>
      </c>
      <c r="AJ92" s="10">
        <f t="shared" si="62"/>
        <v>0</v>
      </c>
      <c r="AK92" s="10">
        <f t="shared" si="63"/>
        <v>0</v>
      </c>
      <c r="BJ92" s="11"/>
      <c r="BK92" s="29"/>
      <c r="BL92" s="29"/>
      <c r="BM92" s="11"/>
    </row>
    <row r="93" spans="2:65" x14ac:dyDescent="0.25">
      <c r="B93" s="10">
        <f t="shared" si="52"/>
        <v>74</v>
      </c>
      <c r="C93">
        <v>-0.37622839954565279</v>
      </c>
      <c r="D93">
        <v>1.0443250175740104</v>
      </c>
      <c r="E93">
        <v>0.6283761101107822</v>
      </c>
      <c r="H93" s="18">
        <f>1</f>
        <v>1</v>
      </c>
      <c r="I93" s="19">
        <f t="shared" si="43"/>
        <v>5.6650699372497622</v>
      </c>
      <c r="J93" s="19">
        <f t="shared" si="44"/>
        <v>16.504955275282427</v>
      </c>
      <c r="K93" s="18">
        <f t="shared" si="45"/>
        <v>-1</v>
      </c>
      <c r="L93" s="17"/>
      <c r="M93" s="17"/>
      <c r="N93" s="18">
        <f t="shared" si="53"/>
        <v>-100</v>
      </c>
      <c r="O93" s="18">
        <f t="shared" si="53"/>
        <v>-100</v>
      </c>
      <c r="P93" s="18">
        <f t="shared" si="54"/>
        <v>5.6650699372497622</v>
      </c>
      <c r="Q93" s="18">
        <f t="shared" si="54"/>
        <v>16.504955275282427</v>
      </c>
      <c r="S93" s="10">
        <f t="shared" si="55"/>
        <v>-170.09012942276982</v>
      </c>
      <c r="T93" s="10">
        <f t="shared" si="56"/>
        <v>-1</v>
      </c>
      <c r="U93" s="10">
        <f t="shared" si="57"/>
        <v>0</v>
      </c>
      <c r="V93" s="10">
        <f t="shared" si="58"/>
        <v>0</v>
      </c>
      <c r="Y93" s="10">
        <f t="shared" si="46"/>
        <v>0</v>
      </c>
      <c r="Z93" s="10">
        <f t="shared" si="47"/>
        <v>0</v>
      </c>
      <c r="AA93" s="10">
        <f t="shared" si="48"/>
        <v>0</v>
      </c>
      <c r="AB93" s="10">
        <f t="shared" si="49"/>
        <v>-0.600823999755</v>
      </c>
      <c r="AC93" s="10">
        <f t="shared" si="50"/>
        <v>1.8671205432334377</v>
      </c>
      <c r="AD93" s="10">
        <f t="shared" si="51"/>
        <v>-10.909855305780388</v>
      </c>
      <c r="AE93" s="10">
        <f t="shared" si="59"/>
        <v>-1</v>
      </c>
      <c r="AF93" s="10">
        <f t="shared" si="60"/>
        <v>0</v>
      </c>
      <c r="AI93" s="10">
        <f t="shared" si="61"/>
        <v>-1</v>
      </c>
      <c r="AJ93" s="10">
        <f t="shared" si="62"/>
        <v>1</v>
      </c>
      <c r="AK93" s="10">
        <f t="shared" si="63"/>
        <v>1</v>
      </c>
      <c r="BJ93" s="11"/>
      <c r="BK93" s="29"/>
      <c r="BL93" s="29"/>
      <c r="BM93" s="11"/>
    </row>
    <row r="94" spans="2:65" x14ac:dyDescent="0.25">
      <c r="B94" s="10">
        <f t="shared" si="52"/>
        <v>75</v>
      </c>
      <c r="C94">
        <v>0.29967168302391656</v>
      </c>
      <c r="D94">
        <v>-0.84275598055683076</v>
      </c>
      <c r="E94">
        <v>0.24369029816583759</v>
      </c>
      <c r="H94" s="18">
        <f>1</f>
        <v>1</v>
      </c>
      <c r="I94" s="19">
        <f t="shared" si="43"/>
        <v>6.6394906654367754</v>
      </c>
      <c r="J94" s="19">
        <f t="shared" si="44"/>
        <v>13.784418782142904</v>
      </c>
      <c r="K94" s="18">
        <f t="shared" si="45"/>
        <v>1</v>
      </c>
      <c r="L94" s="17"/>
      <c r="M94" s="17"/>
      <c r="N94" s="18">
        <f t="shared" si="53"/>
        <v>6.6394906654367754</v>
      </c>
      <c r="O94" s="18">
        <f t="shared" si="53"/>
        <v>13.784418782142904</v>
      </c>
      <c r="P94" s="18">
        <f t="shared" si="54"/>
        <v>-100</v>
      </c>
      <c r="Q94" s="18">
        <f t="shared" si="54"/>
        <v>-100</v>
      </c>
      <c r="S94" s="10">
        <f t="shared" si="55"/>
        <v>-138.59010896917195</v>
      </c>
      <c r="T94" s="10">
        <f t="shared" si="56"/>
        <v>-1</v>
      </c>
      <c r="U94" s="10">
        <f t="shared" si="57"/>
        <v>1</v>
      </c>
      <c r="V94" s="10">
        <f t="shared" si="58"/>
        <v>1</v>
      </c>
      <c r="Y94" s="10">
        <f t="shared" si="46"/>
        <v>0.70082399975499998</v>
      </c>
      <c r="Z94" s="10">
        <f t="shared" si="47"/>
        <v>4.6531144044873871</v>
      </c>
      <c r="AA94" s="10">
        <f t="shared" si="48"/>
        <v>9.6604515051993349</v>
      </c>
      <c r="AB94" s="10">
        <f t="shared" si="49"/>
        <v>9.9999999999999978E-2</v>
      </c>
      <c r="AC94" s="10">
        <f t="shared" si="50"/>
        <v>6.5202349477208248</v>
      </c>
      <c r="AD94" s="10">
        <f t="shared" si="51"/>
        <v>-1.249403800581053</v>
      </c>
      <c r="AE94" s="10">
        <f t="shared" si="59"/>
        <v>-1</v>
      </c>
      <c r="AF94" s="10">
        <f t="shared" si="60"/>
        <v>1</v>
      </c>
      <c r="AI94" s="10">
        <f t="shared" si="61"/>
        <v>-1</v>
      </c>
      <c r="AJ94" s="10">
        <f t="shared" si="62"/>
        <v>1</v>
      </c>
      <c r="AK94" s="10">
        <f t="shared" si="63"/>
        <v>1</v>
      </c>
      <c r="BJ94" s="11"/>
      <c r="BK94" s="29"/>
      <c r="BL94" s="29"/>
      <c r="BM94" s="11"/>
    </row>
    <row r="95" spans="2:65" x14ac:dyDescent="0.25">
      <c r="B95" s="10">
        <f t="shared" si="52"/>
        <v>76</v>
      </c>
      <c r="C95">
        <v>-0.4572643774736207</v>
      </c>
      <c r="D95">
        <v>-0.48332594815292396</v>
      </c>
      <c r="E95">
        <v>7.7791680654316839E-2</v>
      </c>
      <c r="H95" s="18">
        <f>1</f>
        <v>1</v>
      </c>
      <c r="I95" s="19">
        <f t="shared" si="43"/>
        <v>5.5482432957708578</v>
      </c>
      <c r="J95" s="19">
        <f t="shared" si="44"/>
        <v>14.302596073342226</v>
      </c>
      <c r="K95" s="18">
        <f t="shared" si="45"/>
        <v>1</v>
      </c>
      <c r="L95" s="17"/>
      <c r="M95" s="17"/>
      <c r="N95" s="18">
        <f t="shared" si="53"/>
        <v>5.5482432957708578</v>
      </c>
      <c r="O95" s="18">
        <f t="shared" si="53"/>
        <v>14.302596073342226</v>
      </c>
      <c r="P95" s="18">
        <f t="shared" si="54"/>
        <v>-100</v>
      </c>
      <c r="Q95" s="18">
        <f t="shared" si="54"/>
        <v>-100</v>
      </c>
      <c r="S95" s="10">
        <f t="shared" si="55"/>
        <v>18.406131943333492</v>
      </c>
      <c r="T95" s="10">
        <f t="shared" si="56"/>
        <v>1</v>
      </c>
      <c r="U95" s="10">
        <f t="shared" si="57"/>
        <v>0</v>
      </c>
      <c r="V95" s="10">
        <f t="shared" si="58"/>
        <v>0</v>
      </c>
      <c r="Y95" s="10">
        <f t="shared" si="46"/>
        <v>0</v>
      </c>
      <c r="Z95" s="10">
        <f t="shared" si="47"/>
        <v>0</v>
      </c>
      <c r="AA95" s="10">
        <f t="shared" si="48"/>
        <v>0</v>
      </c>
      <c r="AB95" s="10">
        <f t="shared" si="49"/>
        <v>9.9999999999999978E-2</v>
      </c>
      <c r="AC95" s="10">
        <f t="shared" si="50"/>
        <v>6.5202349477208248</v>
      </c>
      <c r="AD95" s="10">
        <f t="shared" si="51"/>
        <v>-1.249403800581053</v>
      </c>
      <c r="AE95" s="10">
        <f t="shared" si="59"/>
        <v>-1</v>
      </c>
      <c r="AF95" s="10">
        <f t="shared" si="60"/>
        <v>1</v>
      </c>
      <c r="AI95" s="10">
        <f t="shared" si="61"/>
        <v>-1</v>
      </c>
      <c r="AJ95" s="10">
        <f t="shared" si="62"/>
        <v>0</v>
      </c>
      <c r="AK95" s="10">
        <f t="shared" si="63"/>
        <v>0</v>
      </c>
      <c r="BJ95" s="11"/>
      <c r="BK95" s="29"/>
      <c r="BL95" s="29"/>
      <c r="BM95" s="11"/>
    </row>
    <row r="96" spans="2:65" x14ac:dyDescent="0.25">
      <c r="B96" s="10">
        <f t="shared" si="52"/>
        <v>77</v>
      </c>
      <c r="C96">
        <v>0.98307282314635813</v>
      </c>
      <c r="D96">
        <v>8.5053670773049816E-2</v>
      </c>
      <c r="E96">
        <v>5.4200872829371013E-2</v>
      </c>
      <c r="H96" s="18">
        <f>1</f>
        <v>1</v>
      </c>
      <c r="I96" s="19">
        <f t="shared" si="43"/>
        <v>7.6247253972780786</v>
      </c>
      <c r="J96" s="19">
        <f t="shared" si="44"/>
        <v>15.122008433901447</v>
      </c>
      <c r="K96" s="18">
        <f t="shared" si="45"/>
        <v>1</v>
      </c>
      <c r="L96" s="17"/>
      <c r="M96" s="17"/>
      <c r="N96" s="18">
        <f t="shared" si="53"/>
        <v>7.6247253972780786</v>
      </c>
      <c r="O96" s="18">
        <f t="shared" si="53"/>
        <v>15.122008433901447</v>
      </c>
      <c r="P96" s="18">
        <f t="shared" si="54"/>
        <v>-100</v>
      </c>
      <c r="Q96" s="18">
        <f t="shared" si="54"/>
        <v>-100</v>
      </c>
      <c r="S96" s="10">
        <f t="shared" si="55"/>
        <v>30.921506192371876</v>
      </c>
      <c r="T96" s="10">
        <f t="shared" si="56"/>
        <v>1</v>
      </c>
      <c r="U96" s="10">
        <f t="shared" si="57"/>
        <v>0</v>
      </c>
      <c r="V96" s="10">
        <f t="shared" si="58"/>
        <v>0</v>
      </c>
      <c r="Y96" s="10">
        <f t="shared" si="46"/>
        <v>0</v>
      </c>
      <c r="Z96" s="10">
        <f t="shared" si="47"/>
        <v>0</v>
      </c>
      <c r="AA96" s="10">
        <f t="shared" si="48"/>
        <v>0</v>
      </c>
      <c r="AB96" s="10">
        <f t="shared" si="49"/>
        <v>9.9999999999999978E-2</v>
      </c>
      <c r="AC96" s="10">
        <f t="shared" si="50"/>
        <v>6.5202349477208248</v>
      </c>
      <c r="AD96" s="10">
        <f t="shared" si="51"/>
        <v>-1.249403800581053</v>
      </c>
      <c r="AE96" s="10">
        <f t="shared" si="59"/>
        <v>-1</v>
      </c>
      <c r="AF96" s="10">
        <f t="shared" si="60"/>
        <v>1</v>
      </c>
      <c r="AI96" s="10">
        <f t="shared" si="61"/>
        <v>-1</v>
      </c>
      <c r="AJ96" s="10">
        <f t="shared" si="62"/>
        <v>0</v>
      </c>
      <c r="AK96" s="10">
        <f t="shared" si="63"/>
        <v>0</v>
      </c>
      <c r="BJ96" s="11"/>
      <c r="BK96" s="29"/>
      <c r="BL96" s="29"/>
      <c r="BM96" s="11"/>
    </row>
    <row r="97" spans="2:65" x14ac:dyDescent="0.25">
      <c r="B97" s="10">
        <f t="shared" si="52"/>
        <v>78</v>
      </c>
      <c r="C97">
        <v>1.2842883734265342</v>
      </c>
      <c r="D97">
        <v>-0.92847585619892925</v>
      </c>
      <c r="E97">
        <v>0.63173314615314191</v>
      </c>
      <c r="H97" s="18">
        <f>1</f>
        <v>1</v>
      </c>
      <c r="I97" s="19">
        <f t="shared" si="43"/>
        <v>8.0589769729391172</v>
      </c>
      <c r="J97" s="19">
        <f t="shared" si="44"/>
        <v>13.660839534562806</v>
      </c>
      <c r="K97" s="18">
        <f t="shared" si="45"/>
        <v>-1</v>
      </c>
      <c r="L97" s="17"/>
      <c r="M97" s="17"/>
      <c r="N97" s="18">
        <f t="shared" si="53"/>
        <v>-100</v>
      </c>
      <c r="O97" s="18">
        <f t="shared" si="53"/>
        <v>-100</v>
      </c>
      <c r="P97" s="18">
        <f t="shared" si="54"/>
        <v>8.0589769729391172</v>
      </c>
      <c r="Q97" s="18">
        <f t="shared" si="54"/>
        <v>13.660839534562806</v>
      </c>
      <c r="S97" s="10">
        <f t="shared" si="55"/>
        <v>35.578518468224345</v>
      </c>
      <c r="T97" s="10">
        <f t="shared" si="56"/>
        <v>1</v>
      </c>
      <c r="U97" s="10">
        <f t="shared" si="57"/>
        <v>-1</v>
      </c>
      <c r="V97" s="10">
        <f t="shared" si="58"/>
        <v>1</v>
      </c>
      <c r="Y97" s="10">
        <f t="shared" si="46"/>
        <v>-0.70082399975499998</v>
      </c>
      <c r="Z97" s="10">
        <f t="shared" si="47"/>
        <v>-5.647924476108634</v>
      </c>
      <c r="AA97" s="10">
        <f t="shared" si="48"/>
        <v>-9.5738442026235386</v>
      </c>
      <c r="AB97" s="10">
        <f t="shared" si="49"/>
        <v>-0.600823999755</v>
      </c>
      <c r="AC97" s="10">
        <f t="shared" si="50"/>
        <v>0.87231047161219077</v>
      </c>
      <c r="AD97" s="10">
        <f t="shared" si="51"/>
        <v>-10.823248003204592</v>
      </c>
      <c r="AE97" s="10">
        <f t="shared" si="59"/>
        <v>-1</v>
      </c>
      <c r="AF97" s="10">
        <f t="shared" si="60"/>
        <v>0</v>
      </c>
      <c r="AI97" s="10">
        <f t="shared" si="61"/>
        <v>-1</v>
      </c>
      <c r="AJ97" s="10">
        <f t="shared" si="62"/>
        <v>1</v>
      </c>
      <c r="AK97" s="10">
        <f t="shared" si="63"/>
        <v>1</v>
      </c>
      <c r="BJ97" s="11"/>
      <c r="BK97" s="29"/>
      <c r="BL97" s="29"/>
      <c r="BM97" s="11"/>
    </row>
    <row r="98" spans="2:65" x14ac:dyDescent="0.25">
      <c r="B98" s="10">
        <f t="shared" si="52"/>
        <v>79</v>
      </c>
      <c r="C98">
        <v>-4.0746499507804401E-2</v>
      </c>
      <c r="D98">
        <v>1.1077895578637253</v>
      </c>
      <c r="E98">
        <v>5.0294503616443373E-2</v>
      </c>
      <c r="H98" s="18">
        <f>1</f>
        <v>1</v>
      </c>
      <c r="I98" s="19">
        <f t="shared" si="43"/>
        <v>6.1487220712836352</v>
      </c>
      <c r="J98" s="19">
        <f t="shared" si="44"/>
        <v>16.596449809989473</v>
      </c>
      <c r="K98" s="18">
        <f t="shared" si="45"/>
        <v>1</v>
      </c>
      <c r="L98" s="17"/>
      <c r="M98" s="17"/>
      <c r="N98" s="18">
        <f t="shared" si="53"/>
        <v>6.1487220712836352</v>
      </c>
      <c r="O98" s="18">
        <f t="shared" si="53"/>
        <v>16.596449809989473</v>
      </c>
      <c r="P98" s="18">
        <f t="shared" si="54"/>
        <v>-100</v>
      </c>
      <c r="Q98" s="18">
        <f t="shared" si="54"/>
        <v>-100</v>
      </c>
      <c r="S98" s="10">
        <f t="shared" si="55"/>
        <v>-174.86472161619508</v>
      </c>
      <c r="T98" s="10">
        <f t="shared" si="56"/>
        <v>-1</v>
      </c>
      <c r="U98" s="10">
        <f t="shared" si="57"/>
        <v>1</v>
      </c>
      <c r="V98" s="10">
        <f t="shared" si="58"/>
        <v>1</v>
      </c>
      <c r="Y98" s="10">
        <f t="shared" si="46"/>
        <v>0.70082399975499998</v>
      </c>
      <c r="Z98" s="10">
        <f t="shared" si="47"/>
        <v>4.3091719953788452</v>
      </c>
      <c r="AA98" s="10">
        <f t="shared" si="48"/>
        <v>11.631190337569931</v>
      </c>
      <c r="AB98" s="10">
        <f t="shared" si="49"/>
        <v>9.9999999999999978E-2</v>
      </c>
      <c r="AC98" s="10">
        <f t="shared" si="50"/>
        <v>5.181482466991036</v>
      </c>
      <c r="AD98" s="10">
        <f t="shared" si="51"/>
        <v>0.80794233436533958</v>
      </c>
      <c r="AE98" s="10">
        <f t="shared" si="59"/>
        <v>-1</v>
      </c>
      <c r="AF98" s="10">
        <f t="shared" si="60"/>
        <v>1</v>
      </c>
      <c r="AI98" s="10">
        <f t="shared" si="61"/>
        <v>-1</v>
      </c>
      <c r="AJ98" s="10">
        <f t="shared" si="62"/>
        <v>1</v>
      </c>
      <c r="AK98" s="10">
        <f t="shared" si="63"/>
        <v>1</v>
      </c>
      <c r="BJ98" s="11"/>
      <c r="BK98" s="29"/>
      <c r="BL98" s="29"/>
      <c r="BM98" s="11"/>
    </row>
    <row r="99" spans="2:65" x14ac:dyDescent="0.25">
      <c r="B99" s="10">
        <f t="shared" si="52"/>
        <v>80</v>
      </c>
      <c r="C99">
        <v>-0.92859409051015973</v>
      </c>
      <c r="D99">
        <v>-0.62198523664847016</v>
      </c>
      <c r="E99">
        <v>0.82689901425214396</v>
      </c>
      <c r="H99" s="18">
        <f>1</f>
        <v>1</v>
      </c>
      <c r="I99" s="19">
        <f t="shared" si="43"/>
        <v>4.8687442780355434</v>
      </c>
      <c r="J99" s="19">
        <f t="shared" si="44"/>
        <v>14.102695986998004</v>
      </c>
      <c r="K99" s="18">
        <f t="shared" si="45"/>
        <v>-1</v>
      </c>
      <c r="L99" s="17"/>
      <c r="M99" s="17"/>
      <c r="N99" s="18">
        <f t="shared" si="53"/>
        <v>-100</v>
      </c>
      <c r="O99" s="18">
        <f t="shared" si="53"/>
        <v>-100</v>
      </c>
      <c r="P99" s="18">
        <f t="shared" si="54"/>
        <v>4.8687442780355434</v>
      </c>
      <c r="Q99" s="18">
        <f t="shared" si="54"/>
        <v>14.102695986998004</v>
      </c>
      <c r="S99" s="10">
        <f t="shared" si="55"/>
        <v>36.721478229483978</v>
      </c>
      <c r="T99" s="10">
        <f t="shared" si="56"/>
        <v>1</v>
      </c>
      <c r="U99" s="10">
        <f t="shared" si="57"/>
        <v>-1</v>
      </c>
      <c r="V99" s="10">
        <f t="shared" si="58"/>
        <v>1</v>
      </c>
      <c r="X99" s="10">
        <f>SUM(V81:V99)</f>
        <v>9</v>
      </c>
      <c r="Y99" s="10">
        <f t="shared" si="46"/>
        <v>-0.70082399975499998</v>
      </c>
      <c r="Z99" s="10">
        <f t="shared" si="47"/>
        <v>-3.4121328387171395</v>
      </c>
      <c r="AA99" s="10">
        <f t="shared" si="48"/>
        <v>-9.883507808936729</v>
      </c>
      <c r="AB99" s="10">
        <f t="shared" si="49"/>
        <v>-0.600823999755</v>
      </c>
      <c r="AC99" s="10">
        <f t="shared" si="50"/>
        <v>1.7693496282738965</v>
      </c>
      <c r="AD99" s="10">
        <f t="shared" si="51"/>
        <v>-9.0755654745713894</v>
      </c>
      <c r="AE99" s="10">
        <f t="shared" si="59"/>
        <v>-1</v>
      </c>
      <c r="AF99" s="10">
        <f t="shared" si="60"/>
        <v>0</v>
      </c>
      <c r="AI99" s="10">
        <f t="shared" si="61"/>
        <v>-1</v>
      </c>
      <c r="AJ99" s="10">
        <f t="shared" si="62"/>
        <v>1</v>
      </c>
      <c r="AK99" s="10">
        <f t="shared" si="63"/>
        <v>1</v>
      </c>
      <c r="BJ99" s="11"/>
      <c r="BK99" s="29"/>
      <c r="BL99" s="29"/>
      <c r="BM99" s="11"/>
    </row>
    <row r="100" spans="2:65" x14ac:dyDescent="0.25">
      <c r="B100" s="10">
        <f t="shared" si="52"/>
        <v>81</v>
      </c>
      <c r="C100">
        <v>-0.68255531004979275</v>
      </c>
      <c r="D100">
        <v>-1.2974851415492594</v>
      </c>
      <c r="E100">
        <v>0.44276253547776728</v>
      </c>
      <c r="H100" s="18">
        <f>1</f>
        <v>1</v>
      </c>
      <c r="I100" s="19">
        <f t="shared" si="43"/>
        <v>5.2234494982316937</v>
      </c>
      <c r="J100" s="19">
        <f t="shared" si="44"/>
        <v>13.128852180497306</v>
      </c>
      <c r="K100" s="18">
        <f t="shared" si="45"/>
        <v>1</v>
      </c>
      <c r="L100" s="17"/>
      <c r="M100" s="17"/>
      <c r="N100" s="18">
        <f t="shared" si="53"/>
        <v>5.2234494982316937</v>
      </c>
      <c r="O100" s="18">
        <f t="shared" si="53"/>
        <v>13.128852180497306</v>
      </c>
      <c r="P100" s="18">
        <f t="shared" si="54"/>
        <v>-100</v>
      </c>
      <c r="Q100" s="18">
        <f t="shared" si="54"/>
        <v>-100</v>
      </c>
      <c r="S100" s="12">
        <f t="shared" si="55"/>
        <v>-110.51047314182395</v>
      </c>
      <c r="T100" s="12">
        <f t="shared" si="56"/>
        <v>-1</v>
      </c>
      <c r="U100" s="12">
        <f t="shared" si="57"/>
        <v>1</v>
      </c>
      <c r="V100" s="12">
        <f t="shared" si="58"/>
        <v>1</v>
      </c>
      <c r="W100" s="12"/>
      <c r="X100" s="12"/>
      <c r="Y100" s="10">
        <f t="shared" si="46"/>
        <v>0.70082399975499998</v>
      </c>
      <c r="Z100" s="10">
        <f t="shared" si="47"/>
        <v>3.6607187698689834</v>
      </c>
      <c r="AA100" s="10">
        <f t="shared" si="48"/>
        <v>9.2010146973282758</v>
      </c>
      <c r="AB100" s="10">
        <f t="shared" si="49"/>
        <v>9.9999999999999978E-2</v>
      </c>
      <c r="AC100" s="10">
        <f t="shared" si="50"/>
        <v>5.4300683981428799</v>
      </c>
      <c r="AD100" s="10">
        <f t="shared" si="51"/>
        <v>0.12544922275688641</v>
      </c>
      <c r="AE100" s="10">
        <f t="shared" si="59"/>
        <v>-1</v>
      </c>
      <c r="AF100" s="10">
        <f t="shared" si="60"/>
        <v>1</v>
      </c>
      <c r="AI100" s="10">
        <f t="shared" si="61"/>
        <v>-1</v>
      </c>
      <c r="AJ100" s="10">
        <f t="shared" si="62"/>
        <v>0</v>
      </c>
      <c r="AK100" s="10">
        <f t="shared" si="63"/>
        <v>0</v>
      </c>
      <c r="BJ100" s="11"/>
      <c r="BK100" s="29"/>
      <c r="BL100" s="29"/>
      <c r="BM100" s="11"/>
    </row>
    <row r="101" spans="2:65" x14ac:dyDescent="0.25">
      <c r="B101" s="10">
        <f t="shared" si="52"/>
        <v>82</v>
      </c>
      <c r="C101">
        <v>-1.8098762666340917</v>
      </c>
      <c r="D101">
        <v>0.45947444959892891</v>
      </c>
      <c r="E101">
        <v>0.13098544267097995</v>
      </c>
      <c r="H101" s="18">
        <f>1</f>
        <v>1</v>
      </c>
      <c r="I101" s="19">
        <f t="shared" si="43"/>
        <v>3.5982316062035666</v>
      </c>
      <c r="J101" s="19">
        <f t="shared" si="44"/>
        <v>15.661797342588715</v>
      </c>
      <c r="K101" s="18">
        <f t="shared" si="45"/>
        <v>1</v>
      </c>
      <c r="L101" s="17"/>
      <c r="M101" s="17"/>
      <c r="N101" s="18">
        <f t="shared" si="53"/>
        <v>3.5982316062035666</v>
      </c>
      <c r="O101" s="18">
        <f t="shared" si="53"/>
        <v>15.661797342588715</v>
      </c>
      <c r="P101" s="18">
        <f t="shared" si="54"/>
        <v>-100</v>
      </c>
      <c r="Q101" s="18">
        <f t="shared" si="54"/>
        <v>-100</v>
      </c>
      <c r="S101" s="10">
        <f t="shared" si="55"/>
        <v>21.603404037648506</v>
      </c>
      <c r="T101" s="10">
        <f t="shared" si="56"/>
        <v>1</v>
      </c>
      <c r="U101" s="10">
        <f t="shared" si="57"/>
        <v>0</v>
      </c>
      <c r="V101" s="10">
        <f t="shared" si="58"/>
        <v>0</v>
      </c>
      <c r="Y101" s="10">
        <f t="shared" si="46"/>
        <v>0</v>
      </c>
      <c r="Z101" s="10">
        <f t="shared" si="47"/>
        <v>0</v>
      </c>
      <c r="AA101" s="10">
        <f t="shared" si="48"/>
        <v>0</v>
      </c>
      <c r="AB101" s="10">
        <f t="shared" si="49"/>
        <v>9.9999999999999978E-2</v>
      </c>
      <c r="AC101" s="10">
        <f t="shared" si="50"/>
        <v>5.4300683981428799</v>
      </c>
      <c r="AD101" s="10">
        <f t="shared" si="51"/>
        <v>0.12544922275688641</v>
      </c>
      <c r="AE101" s="10">
        <f t="shared" si="59"/>
        <v>-1</v>
      </c>
      <c r="AF101" s="10">
        <f t="shared" si="60"/>
        <v>1</v>
      </c>
      <c r="AI101" s="10">
        <f t="shared" si="61"/>
        <v>-1</v>
      </c>
      <c r="AJ101" s="10">
        <f t="shared" si="62"/>
        <v>1</v>
      </c>
      <c r="AK101" s="10">
        <f t="shared" si="63"/>
        <v>1</v>
      </c>
      <c r="BJ101" s="11"/>
      <c r="BK101" s="29"/>
      <c r="BL101" s="29"/>
      <c r="BM101" s="11"/>
    </row>
    <row r="102" spans="2:65" x14ac:dyDescent="0.25">
      <c r="B102" s="10">
        <f t="shared" si="52"/>
        <v>83</v>
      </c>
      <c r="C102">
        <v>-1.1175916370120831</v>
      </c>
      <c r="D102">
        <v>1.1916336006834172</v>
      </c>
      <c r="E102">
        <v>0.8409680471205786</v>
      </c>
      <c r="H102" s="18">
        <f>1</f>
        <v>1</v>
      </c>
      <c r="I102" s="19">
        <f t="shared" si="43"/>
        <v>4.5962733438882504</v>
      </c>
      <c r="J102" s="19">
        <f t="shared" si="44"/>
        <v>16.717324737164969</v>
      </c>
      <c r="K102" s="18">
        <f t="shared" si="45"/>
        <v>-1</v>
      </c>
      <c r="L102" s="17"/>
      <c r="M102" s="17"/>
      <c r="N102" s="18">
        <f t="shared" si="53"/>
        <v>-100</v>
      </c>
      <c r="O102" s="18">
        <f t="shared" si="53"/>
        <v>-100</v>
      </c>
      <c r="P102" s="18">
        <f t="shared" si="54"/>
        <v>4.5962733438882504</v>
      </c>
      <c r="Q102" s="18">
        <f t="shared" si="54"/>
        <v>16.717324737164969</v>
      </c>
      <c r="S102" s="10">
        <f t="shared" si="55"/>
        <v>27.15525402872591</v>
      </c>
      <c r="T102" s="10">
        <f t="shared" si="56"/>
        <v>1</v>
      </c>
      <c r="U102" s="10">
        <f t="shared" si="57"/>
        <v>-1</v>
      </c>
      <c r="V102" s="10">
        <f t="shared" si="58"/>
        <v>1</v>
      </c>
      <c r="Y102" s="10">
        <f t="shared" si="46"/>
        <v>-0.70082399975499998</v>
      </c>
      <c r="Z102" s="10">
        <f t="shared" si="47"/>
        <v>-3.221178668831052</v>
      </c>
      <c r="AA102" s="10">
        <f t="shared" si="48"/>
        <v>-11.715902387503156</v>
      </c>
      <c r="AB102" s="10">
        <f t="shared" si="49"/>
        <v>-0.600823999755</v>
      </c>
      <c r="AC102" s="10">
        <f t="shared" si="50"/>
        <v>2.2088897293118279</v>
      </c>
      <c r="AD102" s="10">
        <f t="shared" si="51"/>
        <v>-11.59045316474627</v>
      </c>
      <c r="AE102" s="10">
        <f t="shared" si="59"/>
        <v>-1</v>
      </c>
      <c r="AF102" s="10">
        <f t="shared" si="60"/>
        <v>0</v>
      </c>
      <c r="AI102" s="10">
        <f t="shared" si="61"/>
        <v>-1</v>
      </c>
      <c r="AJ102" s="10">
        <f t="shared" si="62"/>
        <v>0</v>
      </c>
      <c r="AK102" s="10">
        <f t="shared" si="63"/>
        <v>0</v>
      </c>
      <c r="BJ102" s="11"/>
      <c r="BK102" s="29"/>
      <c r="BL102" s="29"/>
      <c r="BM102" s="11"/>
    </row>
    <row r="103" spans="2:65" x14ac:dyDescent="0.25">
      <c r="B103" s="10">
        <f t="shared" si="52"/>
        <v>84</v>
      </c>
      <c r="C103">
        <v>-2.3494794731959701</v>
      </c>
      <c r="D103">
        <v>0.86300588009180501</v>
      </c>
      <c r="E103">
        <v>0.74004333628345587</v>
      </c>
      <c r="H103" s="18">
        <f>1</f>
        <v>1</v>
      </c>
      <c r="I103" s="19">
        <f t="shared" si="43"/>
        <v>2.8203051596330369</v>
      </c>
      <c r="J103" s="19">
        <f t="shared" si="44"/>
        <v>16.243554025991315</v>
      </c>
      <c r="K103" s="18">
        <f t="shared" si="45"/>
        <v>-1</v>
      </c>
      <c r="L103" s="17"/>
      <c r="M103" s="17"/>
      <c r="N103" s="18">
        <f t="shared" si="53"/>
        <v>-100</v>
      </c>
      <c r="O103" s="18">
        <f t="shared" si="53"/>
        <v>-100</v>
      </c>
      <c r="P103" s="18">
        <f t="shared" si="54"/>
        <v>2.8203051596330369</v>
      </c>
      <c r="Q103" s="18">
        <f t="shared" si="54"/>
        <v>16.243554025991315</v>
      </c>
      <c r="S103" s="10">
        <f t="shared" si="55"/>
        <v>-182.64123306639451</v>
      </c>
      <c r="T103" s="10">
        <f t="shared" si="56"/>
        <v>-1</v>
      </c>
      <c r="U103" s="10">
        <f t="shared" si="57"/>
        <v>0</v>
      </c>
      <c r="V103" s="10">
        <f t="shared" si="58"/>
        <v>0</v>
      </c>
      <c r="Y103" s="10">
        <f t="shared" si="46"/>
        <v>0</v>
      </c>
      <c r="Z103" s="10">
        <f t="shared" si="47"/>
        <v>0</v>
      </c>
      <c r="AA103" s="10">
        <f t="shared" si="48"/>
        <v>0</v>
      </c>
      <c r="AB103" s="10">
        <f t="shared" si="49"/>
        <v>-0.600823999755</v>
      </c>
      <c r="AC103" s="10">
        <f t="shared" si="50"/>
        <v>2.2088897293118279</v>
      </c>
      <c r="AD103" s="10">
        <f t="shared" si="51"/>
        <v>-11.59045316474627</v>
      </c>
      <c r="AE103" s="10">
        <f t="shared" si="59"/>
        <v>-1</v>
      </c>
      <c r="AF103" s="10">
        <f t="shared" si="60"/>
        <v>0</v>
      </c>
      <c r="AI103" s="10">
        <f t="shared" si="61"/>
        <v>-1</v>
      </c>
      <c r="AJ103" s="10">
        <f t="shared" si="62"/>
        <v>1</v>
      </c>
      <c r="AK103" s="10">
        <f t="shared" si="63"/>
        <v>1</v>
      </c>
      <c r="BJ103" s="11"/>
      <c r="BK103" s="29"/>
      <c r="BL103" s="29"/>
      <c r="BM103" s="11"/>
    </row>
    <row r="104" spans="2:65" x14ac:dyDescent="0.25">
      <c r="B104" s="10">
        <f t="shared" si="52"/>
        <v>85</v>
      </c>
      <c r="C104">
        <v>-0.14080001164984424</v>
      </c>
      <c r="D104">
        <v>-0.55324449022009503</v>
      </c>
      <c r="E104">
        <v>0.39692373424481947</v>
      </c>
      <c r="H104" s="18">
        <f>1</f>
        <v>1</v>
      </c>
      <c r="I104" s="19">
        <f t="shared" si="43"/>
        <v>6.0044785378482333</v>
      </c>
      <c r="J104" s="19">
        <f t="shared" si="44"/>
        <v>14.201797037461276</v>
      </c>
      <c r="K104" s="18">
        <f t="shared" si="45"/>
        <v>1</v>
      </c>
      <c r="L104" s="17"/>
      <c r="M104" s="17"/>
      <c r="N104" s="18">
        <f t="shared" si="53"/>
        <v>6.0044785378482333</v>
      </c>
      <c r="O104" s="18">
        <f t="shared" si="53"/>
        <v>14.201797037461276</v>
      </c>
      <c r="P104" s="18">
        <f t="shared" si="54"/>
        <v>-100</v>
      </c>
      <c r="Q104" s="18">
        <f t="shared" si="54"/>
        <v>-100</v>
      </c>
      <c r="S104" s="10">
        <f t="shared" si="55"/>
        <v>-151.942856445556</v>
      </c>
      <c r="T104" s="10">
        <f t="shared" si="56"/>
        <v>-1</v>
      </c>
      <c r="U104" s="10">
        <f t="shared" si="57"/>
        <v>1</v>
      </c>
      <c r="V104" s="10">
        <f t="shared" si="58"/>
        <v>1</v>
      </c>
      <c r="Y104" s="10">
        <f t="shared" si="46"/>
        <v>0.70082399975499998</v>
      </c>
      <c r="Z104" s="10">
        <f t="shared" si="47"/>
        <v>4.2080826653378525</v>
      </c>
      <c r="AA104" s="10">
        <f t="shared" si="48"/>
        <v>9.9529602035023199</v>
      </c>
      <c r="AB104" s="10">
        <f t="shared" si="49"/>
        <v>9.9999999999999978E-2</v>
      </c>
      <c r="AC104" s="10">
        <f t="shared" si="50"/>
        <v>6.4169723946496804</v>
      </c>
      <c r="AD104" s="10">
        <f t="shared" si="51"/>
        <v>-1.6374929612439502</v>
      </c>
      <c r="AE104" s="10">
        <f t="shared" si="59"/>
        <v>-1</v>
      </c>
      <c r="AF104" s="10">
        <f t="shared" si="60"/>
        <v>1</v>
      </c>
      <c r="AI104" s="10">
        <f t="shared" si="61"/>
        <v>-1</v>
      </c>
      <c r="AJ104" s="10">
        <f t="shared" si="62"/>
        <v>1</v>
      </c>
      <c r="AK104" s="10">
        <f t="shared" si="63"/>
        <v>1</v>
      </c>
      <c r="BJ104" s="11"/>
      <c r="BK104" s="29"/>
      <c r="BL104" s="29"/>
      <c r="BM104" s="11"/>
    </row>
    <row r="105" spans="2:65" x14ac:dyDescent="0.25">
      <c r="B105" s="10">
        <f t="shared" si="52"/>
        <v>86</v>
      </c>
      <c r="C105">
        <v>-0.14783495316805784</v>
      </c>
      <c r="D105">
        <v>2.2607764549320564E-2</v>
      </c>
      <c r="E105">
        <v>0.54097109897152618</v>
      </c>
      <c r="H105" s="18">
        <f>1</f>
        <v>1</v>
      </c>
      <c r="I105" s="19">
        <f t="shared" si="43"/>
        <v>5.994336516839935</v>
      </c>
      <c r="J105" s="19">
        <f t="shared" si="44"/>
        <v>15.031982427123204</v>
      </c>
      <c r="K105" s="18">
        <f t="shared" si="45"/>
        <v>-1</v>
      </c>
      <c r="L105" s="17"/>
      <c r="M105" s="17"/>
      <c r="N105" s="18">
        <f t="shared" si="53"/>
        <v>-100</v>
      </c>
      <c r="O105" s="18">
        <f t="shared" si="53"/>
        <v>-100</v>
      </c>
      <c r="P105" s="18">
        <f t="shared" si="54"/>
        <v>5.994336516839935</v>
      </c>
      <c r="Q105" s="18">
        <f t="shared" si="54"/>
        <v>15.031982427123204</v>
      </c>
      <c r="S105" s="10">
        <f t="shared" si="55"/>
        <v>13.950726534845387</v>
      </c>
      <c r="T105" s="10">
        <f t="shared" si="56"/>
        <v>1</v>
      </c>
      <c r="U105" s="10">
        <f t="shared" si="57"/>
        <v>-1</v>
      </c>
      <c r="V105" s="10">
        <f t="shared" si="58"/>
        <v>1</v>
      </c>
      <c r="Y105" s="10">
        <f t="shared" si="46"/>
        <v>-0.70082399975499998</v>
      </c>
      <c r="Z105" s="10">
        <f t="shared" si="47"/>
        <v>-4.2009748936092182</v>
      </c>
      <c r="AA105" s="10">
        <f t="shared" si="48"/>
        <v>-10.534774048823357</v>
      </c>
      <c r="AB105" s="10">
        <f t="shared" si="49"/>
        <v>-0.600823999755</v>
      </c>
      <c r="AC105" s="10">
        <f t="shared" si="50"/>
        <v>2.2159975010404622</v>
      </c>
      <c r="AD105" s="10">
        <f t="shared" si="51"/>
        <v>-12.172267010067307</v>
      </c>
      <c r="AE105" s="10">
        <f t="shared" si="59"/>
        <v>-1</v>
      </c>
      <c r="AF105" s="10">
        <f t="shared" si="60"/>
        <v>0</v>
      </c>
      <c r="AI105" s="10">
        <f t="shared" si="61"/>
        <v>-1</v>
      </c>
      <c r="AJ105" s="10">
        <f t="shared" si="62"/>
        <v>0</v>
      </c>
      <c r="AK105" s="10">
        <f t="shared" si="63"/>
        <v>0</v>
      </c>
      <c r="BJ105" s="11"/>
      <c r="BK105" s="29"/>
      <c r="BL105" s="29"/>
      <c r="BM105" s="11"/>
    </row>
    <row r="106" spans="2:65" x14ac:dyDescent="0.25">
      <c r="B106" s="10">
        <f t="shared" si="52"/>
        <v>87</v>
      </c>
      <c r="C106">
        <v>-6.6257825892535038E-2</v>
      </c>
      <c r="D106">
        <v>-0.30415549190365709</v>
      </c>
      <c r="E106">
        <v>0.73308511612292859</v>
      </c>
      <c r="H106" s="18">
        <f>1</f>
        <v>1</v>
      </c>
      <c r="I106" s="19">
        <f t="shared" si="43"/>
        <v>6.1119433137810173</v>
      </c>
      <c r="J106" s="19">
        <f t="shared" si="44"/>
        <v>14.560899646533519</v>
      </c>
      <c r="K106" s="18">
        <f t="shared" si="45"/>
        <v>-1</v>
      </c>
      <c r="L106" s="17"/>
      <c r="M106" s="17"/>
      <c r="N106" s="18">
        <f t="shared" si="53"/>
        <v>-100</v>
      </c>
      <c r="O106" s="18">
        <f t="shared" si="53"/>
        <v>-100</v>
      </c>
      <c r="P106" s="18">
        <f t="shared" si="54"/>
        <v>6.1119433137810173</v>
      </c>
      <c r="Q106" s="18">
        <f t="shared" si="54"/>
        <v>14.560899646533519</v>
      </c>
      <c r="S106" s="10">
        <f t="shared" si="55"/>
        <v>-164.29593129431595</v>
      </c>
      <c r="T106" s="10">
        <f t="shared" si="56"/>
        <v>-1</v>
      </c>
      <c r="U106" s="10">
        <f t="shared" si="57"/>
        <v>0</v>
      </c>
      <c r="V106" s="10">
        <f t="shared" si="58"/>
        <v>0</v>
      </c>
      <c r="Y106" s="10">
        <f t="shared" si="46"/>
        <v>0</v>
      </c>
      <c r="Z106" s="10">
        <f t="shared" si="47"/>
        <v>0</v>
      </c>
      <c r="AA106" s="10">
        <f t="shared" si="48"/>
        <v>0</v>
      </c>
      <c r="AB106" s="10">
        <f t="shared" si="49"/>
        <v>-0.600823999755</v>
      </c>
      <c r="AC106" s="10">
        <f t="shared" si="50"/>
        <v>2.2159975010404622</v>
      </c>
      <c r="AD106" s="10">
        <f t="shared" si="51"/>
        <v>-12.172267010067307</v>
      </c>
      <c r="AE106" s="10">
        <f t="shared" si="59"/>
        <v>-1</v>
      </c>
      <c r="AF106" s="10">
        <f t="shared" si="60"/>
        <v>0</v>
      </c>
      <c r="AI106" s="10">
        <f t="shared" si="61"/>
        <v>-1</v>
      </c>
      <c r="AJ106" s="10">
        <f t="shared" si="62"/>
        <v>0</v>
      </c>
      <c r="AK106" s="10">
        <f t="shared" si="63"/>
        <v>0</v>
      </c>
      <c r="BJ106" s="11"/>
      <c r="BK106" s="29"/>
      <c r="BL106" s="29"/>
      <c r="BM106" s="11"/>
    </row>
    <row r="107" spans="2:65" x14ac:dyDescent="0.25">
      <c r="B107" s="10">
        <f t="shared" si="52"/>
        <v>88</v>
      </c>
      <c r="C107">
        <v>1.0170015229959972</v>
      </c>
      <c r="D107">
        <v>0.33547621569596231</v>
      </c>
      <c r="E107">
        <v>0.87939085055085908</v>
      </c>
      <c r="H107" s="18">
        <f>1</f>
        <v>1</v>
      </c>
      <c r="I107" s="19">
        <f t="shared" si="43"/>
        <v>7.6736391779780853</v>
      </c>
      <c r="J107" s="19">
        <f t="shared" si="44"/>
        <v>15.483033568934054</v>
      </c>
      <c r="K107" s="18">
        <f t="shared" si="45"/>
        <v>-1</v>
      </c>
      <c r="L107" s="17"/>
      <c r="M107" s="17"/>
      <c r="N107" s="18">
        <f t="shared" si="53"/>
        <v>-100</v>
      </c>
      <c r="O107" s="18">
        <f t="shared" si="53"/>
        <v>-100</v>
      </c>
      <c r="P107" s="18">
        <f t="shared" si="54"/>
        <v>7.6736391779780853</v>
      </c>
      <c r="Q107" s="18">
        <f t="shared" si="54"/>
        <v>15.483033568934054</v>
      </c>
      <c r="S107" s="10">
        <f t="shared" si="55"/>
        <v>-172.05967748437004</v>
      </c>
      <c r="T107" s="10">
        <f t="shared" si="56"/>
        <v>-1</v>
      </c>
      <c r="U107" s="10">
        <f t="shared" si="57"/>
        <v>0</v>
      </c>
      <c r="V107" s="10">
        <f t="shared" si="58"/>
        <v>0</v>
      </c>
      <c r="Y107" s="10">
        <f t="shared" si="46"/>
        <v>0</v>
      </c>
      <c r="Z107" s="10">
        <f t="shared" si="47"/>
        <v>0</v>
      </c>
      <c r="AA107" s="10">
        <f t="shared" si="48"/>
        <v>0</v>
      </c>
      <c r="AB107" s="10">
        <f t="shared" si="49"/>
        <v>-0.600823999755</v>
      </c>
      <c r="AC107" s="10">
        <f t="shared" si="50"/>
        <v>2.2159975010404622</v>
      </c>
      <c r="AD107" s="10">
        <f t="shared" si="51"/>
        <v>-12.172267010067307</v>
      </c>
      <c r="AE107" s="10">
        <f t="shared" si="59"/>
        <v>-1</v>
      </c>
      <c r="AF107" s="10">
        <f t="shared" si="60"/>
        <v>0</v>
      </c>
      <c r="AI107" s="10">
        <f t="shared" si="61"/>
        <v>-1</v>
      </c>
      <c r="AJ107" s="10">
        <f t="shared" si="62"/>
        <v>1</v>
      </c>
      <c r="AK107" s="10">
        <f t="shared" si="63"/>
        <v>1</v>
      </c>
      <c r="BJ107" s="11"/>
      <c r="BK107" s="29"/>
      <c r="BL107" s="29"/>
      <c r="BM107" s="11"/>
    </row>
    <row r="108" spans="2:65" x14ac:dyDescent="0.25">
      <c r="B108" s="10">
        <f t="shared" si="52"/>
        <v>89</v>
      </c>
      <c r="C108">
        <v>-2.09610334422905</v>
      </c>
      <c r="D108">
        <v>-0.6292407306318637</v>
      </c>
      <c r="E108">
        <v>0.98690755943479724</v>
      </c>
      <c r="H108" s="18">
        <f>1</f>
        <v>1</v>
      </c>
      <c r="I108" s="19">
        <f t="shared" si="43"/>
        <v>3.1855883700663488</v>
      </c>
      <c r="J108" s="19">
        <f t="shared" si="44"/>
        <v>14.092236003469408</v>
      </c>
      <c r="K108" s="18">
        <f t="shared" si="45"/>
        <v>-1</v>
      </c>
      <c r="L108" s="17"/>
      <c r="M108" s="17"/>
      <c r="N108" s="18">
        <f t="shared" si="53"/>
        <v>-100</v>
      </c>
      <c r="O108" s="18">
        <f t="shared" si="53"/>
        <v>-100</v>
      </c>
      <c r="P108" s="18">
        <f t="shared" si="54"/>
        <v>3.1855883700663488</v>
      </c>
      <c r="Q108" s="18">
        <f t="shared" si="54"/>
        <v>14.092236003469408</v>
      </c>
      <c r="S108" s="10">
        <f t="shared" si="55"/>
        <v>-165.07602753545785</v>
      </c>
      <c r="T108" s="10">
        <f t="shared" si="56"/>
        <v>-1</v>
      </c>
      <c r="U108" s="10">
        <f t="shared" si="57"/>
        <v>0</v>
      </c>
      <c r="V108" s="10">
        <f t="shared" si="58"/>
        <v>0</v>
      </c>
      <c r="Y108" s="10">
        <f t="shared" si="46"/>
        <v>0</v>
      </c>
      <c r="Z108" s="10">
        <f t="shared" si="47"/>
        <v>0</v>
      </c>
      <c r="AA108" s="10">
        <f t="shared" si="48"/>
        <v>0</v>
      </c>
      <c r="AB108" s="10">
        <f t="shared" si="49"/>
        <v>-0.600823999755</v>
      </c>
      <c r="AC108" s="10">
        <f t="shared" si="50"/>
        <v>2.2159975010404622</v>
      </c>
      <c r="AD108" s="10">
        <f t="shared" si="51"/>
        <v>-12.172267010067307</v>
      </c>
      <c r="AE108" s="10">
        <f t="shared" si="59"/>
        <v>-1</v>
      </c>
      <c r="AF108" s="10">
        <f t="shared" si="60"/>
        <v>0</v>
      </c>
      <c r="AI108" s="10">
        <f t="shared" si="61"/>
        <v>-1</v>
      </c>
      <c r="AJ108" s="10">
        <f t="shared" si="62"/>
        <v>0</v>
      </c>
      <c r="AK108" s="10">
        <f t="shared" si="63"/>
        <v>0</v>
      </c>
      <c r="BJ108" s="11"/>
      <c r="BK108" s="29"/>
      <c r="BL108" s="29"/>
      <c r="BM108" s="11"/>
    </row>
    <row r="109" spans="2:65" x14ac:dyDescent="0.25">
      <c r="B109" s="10">
        <f t="shared" si="52"/>
        <v>90</v>
      </c>
      <c r="C109">
        <v>1.1983502190560102</v>
      </c>
      <c r="D109">
        <v>0.54435076890513301</v>
      </c>
      <c r="E109">
        <v>0.38212225714896086</v>
      </c>
      <c r="H109" s="18">
        <f>1</f>
        <v>1</v>
      </c>
      <c r="I109" s="19">
        <f t="shared" si="43"/>
        <v>7.9350830408028461</v>
      </c>
      <c r="J109" s="19">
        <f t="shared" si="44"/>
        <v>15.784160465477774</v>
      </c>
      <c r="K109" s="18">
        <f t="shared" si="45"/>
        <v>1</v>
      </c>
      <c r="L109" s="17"/>
      <c r="M109" s="17"/>
      <c r="N109" s="18">
        <f t="shared" si="53"/>
        <v>7.9350830408028461</v>
      </c>
      <c r="O109" s="18">
        <f t="shared" si="53"/>
        <v>15.784160465477774</v>
      </c>
      <c r="P109" s="18">
        <f t="shared" si="54"/>
        <v>-100</v>
      </c>
      <c r="Q109" s="18">
        <f t="shared" si="54"/>
        <v>-100</v>
      </c>
      <c r="S109" s="10">
        <f t="shared" si="55"/>
        <v>-175.14571552633106</v>
      </c>
      <c r="T109" s="10">
        <f t="shared" si="56"/>
        <v>-1</v>
      </c>
      <c r="U109" s="10">
        <f t="shared" si="57"/>
        <v>1</v>
      </c>
      <c r="V109" s="10">
        <f t="shared" si="58"/>
        <v>1</v>
      </c>
      <c r="Y109" s="10">
        <f t="shared" si="46"/>
        <v>0.70082399975499998</v>
      </c>
      <c r="Z109" s="10">
        <f t="shared" si="47"/>
        <v>5.5610966350435183</v>
      </c>
      <c r="AA109" s="10">
        <f t="shared" si="48"/>
        <v>11.061918470190875</v>
      </c>
      <c r="AB109" s="10">
        <f t="shared" si="49"/>
        <v>9.9999999999999978E-2</v>
      </c>
      <c r="AC109" s="10">
        <f t="shared" si="50"/>
        <v>7.7770941360839805</v>
      </c>
      <c r="AD109" s="10">
        <f t="shared" si="51"/>
        <v>-1.1103485398764317</v>
      </c>
      <c r="AE109" s="10">
        <f t="shared" si="59"/>
        <v>-1</v>
      </c>
      <c r="AF109" s="10">
        <f t="shared" si="60"/>
        <v>1</v>
      </c>
      <c r="AI109" s="10">
        <f t="shared" si="61"/>
        <v>-1</v>
      </c>
      <c r="AJ109" s="10">
        <f t="shared" si="62"/>
        <v>0</v>
      </c>
      <c r="AK109" s="10">
        <f t="shared" si="63"/>
        <v>0</v>
      </c>
      <c r="BJ109" s="11"/>
      <c r="BK109" s="29"/>
      <c r="BL109" s="29"/>
      <c r="BM109" s="11"/>
    </row>
    <row r="110" spans="2:65" x14ac:dyDescent="0.25">
      <c r="B110" s="10">
        <f t="shared" si="52"/>
        <v>91</v>
      </c>
      <c r="C110">
        <v>-0.2284457423229469</v>
      </c>
      <c r="D110">
        <v>0.36786559576285072</v>
      </c>
      <c r="E110">
        <v>0.47218237861262857</v>
      </c>
      <c r="H110" s="18">
        <f>1</f>
        <v>1</v>
      </c>
      <c r="I110" s="19">
        <f t="shared" si="43"/>
        <v>5.8781228546527409</v>
      </c>
      <c r="J110" s="19">
        <f t="shared" si="44"/>
        <v>15.529728167920222</v>
      </c>
      <c r="K110" s="18">
        <f t="shared" si="45"/>
        <v>1</v>
      </c>
      <c r="L110" s="17"/>
      <c r="M110" s="17"/>
      <c r="N110" s="18">
        <f t="shared" si="53"/>
        <v>5.8781228546527409</v>
      </c>
      <c r="O110" s="18">
        <f t="shared" si="53"/>
        <v>15.529728167920222</v>
      </c>
      <c r="P110" s="18">
        <f t="shared" si="54"/>
        <v>-100</v>
      </c>
      <c r="Q110" s="18">
        <f t="shared" si="54"/>
        <v>-100</v>
      </c>
      <c r="S110" s="10">
        <f t="shared" si="55"/>
        <v>28.571303788172951</v>
      </c>
      <c r="T110" s="10">
        <f t="shared" si="56"/>
        <v>1</v>
      </c>
      <c r="U110" s="10">
        <f t="shared" si="57"/>
        <v>0</v>
      </c>
      <c r="V110" s="10">
        <f t="shared" si="58"/>
        <v>0</v>
      </c>
      <c r="Y110" s="10">
        <f t="shared" si="46"/>
        <v>0</v>
      </c>
      <c r="Z110" s="10">
        <f t="shared" si="47"/>
        <v>0</v>
      </c>
      <c r="AA110" s="10">
        <f t="shared" si="48"/>
        <v>0</v>
      </c>
      <c r="AB110" s="10">
        <f t="shared" si="49"/>
        <v>9.9999999999999978E-2</v>
      </c>
      <c r="AC110" s="10">
        <f t="shared" si="50"/>
        <v>7.7770941360839805</v>
      </c>
      <c r="AD110" s="10">
        <f t="shared" si="51"/>
        <v>-1.1103485398764317</v>
      </c>
      <c r="AE110" s="10">
        <f t="shared" si="59"/>
        <v>-1</v>
      </c>
      <c r="AF110" s="10">
        <f t="shared" si="60"/>
        <v>1</v>
      </c>
      <c r="AI110" s="10">
        <f t="shared" si="61"/>
        <v>-1</v>
      </c>
      <c r="AJ110" s="10">
        <f t="shared" si="62"/>
        <v>0</v>
      </c>
      <c r="AK110" s="10">
        <f t="shared" si="63"/>
        <v>0</v>
      </c>
      <c r="BJ110" s="11"/>
      <c r="BK110" s="29"/>
      <c r="BL110" s="29"/>
      <c r="BM110" s="11"/>
    </row>
    <row r="111" spans="2:65" x14ac:dyDescent="0.25">
      <c r="B111" s="10">
        <f t="shared" si="52"/>
        <v>92</v>
      </c>
      <c r="C111">
        <v>1.0902977010118775</v>
      </c>
      <c r="D111">
        <v>-1.253151822311338</v>
      </c>
      <c r="E111">
        <v>0.58708456678975796</v>
      </c>
      <c r="H111" s="18">
        <f>1</f>
        <v>1</v>
      </c>
      <c r="I111" s="19">
        <f t="shared" si="43"/>
        <v>7.7793076295693862</v>
      </c>
      <c r="J111" s="19">
        <f t="shared" si="44"/>
        <v>13.192765925041517</v>
      </c>
      <c r="K111" s="18">
        <f t="shared" si="45"/>
        <v>-1</v>
      </c>
      <c r="L111" s="17"/>
      <c r="M111" s="17"/>
      <c r="N111" s="18">
        <f t="shared" si="53"/>
        <v>-100</v>
      </c>
      <c r="O111" s="18">
        <f t="shared" si="53"/>
        <v>-100</v>
      </c>
      <c r="P111" s="18">
        <f t="shared" si="54"/>
        <v>7.7793076295693862</v>
      </c>
      <c r="Q111" s="18">
        <f t="shared" si="54"/>
        <v>13.192765925041517</v>
      </c>
      <c r="S111" s="10">
        <f t="shared" si="55"/>
        <v>45.951839366916055</v>
      </c>
      <c r="T111" s="10">
        <f t="shared" si="56"/>
        <v>1</v>
      </c>
      <c r="U111" s="10">
        <f t="shared" si="57"/>
        <v>-1</v>
      </c>
      <c r="V111" s="10">
        <f t="shared" si="58"/>
        <v>1</v>
      </c>
      <c r="Y111" s="10">
        <f t="shared" si="46"/>
        <v>-0.70082399975499998</v>
      </c>
      <c r="Z111" s="10">
        <f t="shared" si="47"/>
        <v>-5.4519254882794046</v>
      </c>
      <c r="AA111" s="10">
        <f t="shared" si="48"/>
        <v>-9.2458069834190688</v>
      </c>
      <c r="AB111" s="10">
        <f t="shared" si="49"/>
        <v>-0.600823999755</v>
      </c>
      <c r="AC111" s="10">
        <f t="shared" si="50"/>
        <v>2.3251686478045759</v>
      </c>
      <c r="AD111" s="10">
        <f t="shared" si="51"/>
        <v>-10.3561555232955</v>
      </c>
      <c r="AE111" s="10">
        <f t="shared" si="59"/>
        <v>-1</v>
      </c>
      <c r="AF111" s="10">
        <f t="shared" si="60"/>
        <v>0</v>
      </c>
      <c r="AI111" s="10">
        <f t="shared" si="61"/>
        <v>-1</v>
      </c>
      <c r="AJ111" s="10">
        <f t="shared" si="62"/>
        <v>0</v>
      </c>
      <c r="AK111" s="10">
        <f t="shared" si="63"/>
        <v>0</v>
      </c>
      <c r="BJ111" s="11"/>
      <c r="BK111" s="29"/>
      <c r="BL111" s="29"/>
      <c r="BM111" s="11"/>
    </row>
    <row r="112" spans="2:65" x14ac:dyDescent="0.25">
      <c r="B112" s="10">
        <f t="shared" si="52"/>
        <v>93</v>
      </c>
      <c r="C112">
        <v>-0.83981376519659534</v>
      </c>
      <c r="D112">
        <v>-0.30856540433887858</v>
      </c>
      <c r="E112">
        <v>0.95007171849726857</v>
      </c>
      <c r="H112" s="18">
        <f>1</f>
        <v>1</v>
      </c>
      <c r="I112" s="19">
        <f t="shared" si="43"/>
        <v>4.9967356653303057</v>
      </c>
      <c r="J112" s="19">
        <f t="shared" si="44"/>
        <v>14.554542035109604</v>
      </c>
      <c r="K112" s="18">
        <f t="shared" si="45"/>
        <v>-1</v>
      </c>
      <c r="L112" s="17"/>
      <c r="M112" s="17"/>
      <c r="N112" s="18">
        <f t="shared" si="53"/>
        <v>-100</v>
      </c>
      <c r="O112" s="18">
        <f t="shared" si="53"/>
        <v>-100</v>
      </c>
      <c r="P112" s="18">
        <f t="shared" si="54"/>
        <v>4.9967356653303057</v>
      </c>
      <c r="Q112" s="18">
        <f t="shared" si="54"/>
        <v>14.554542035109604</v>
      </c>
      <c r="S112" s="10">
        <f t="shared" si="55"/>
        <v>-139.71167177529887</v>
      </c>
      <c r="T112" s="10">
        <f t="shared" si="56"/>
        <v>-1</v>
      </c>
      <c r="U112" s="10">
        <f t="shared" si="57"/>
        <v>0</v>
      </c>
      <c r="V112" s="10">
        <f t="shared" si="58"/>
        <v>0</v>
      </c>
      <c r="Y112" s="10">
        <f t="shared" si="46"/>
        <v>0</v>
      </c>
      <c r="Z112" s="10">
        <f t="shared" si="47"/>
        <v>0</v>
      </c>
      <c r="AA112" s="10">
        <f t="shared" si="48"/>
        <v>0</v>
      </c>
      <c r="AB112" s="10">
        <f t="shared" si="49"/>
        <v>-0.600823999755</v>
      </c>
      <c r="AC112" s="10">
        <f t="shared" si="50"/>
        <v>2.3251686478045759</v>
      </c>
      <c r="AD112" s="10">
        <f t="shared" si="51"/>
        <v>-10.3561555232955</v>
      </c>
      <c r="AE112" s="10">
        <f t="shared" si="59"/>
        <v>-1</v>
      </c>
      <c r="AF112" s="10">
        <f t="shared" si="60"/>
        <v>0</v>
      </c>
      <c r="AI112" s="10">
        <f t="shared" si="61"/>
        <v>-1</v>
      </c>
      <c r="AJ112" s="10">
        <f t="shared" si="62"/>
        <v>1</v>
      </c>
      <c r="AK112" s="10">
        <f t="shared" si="63"/>
        <v>1</v>
      </c>
      <c r="BJ112" s="11"/>
      <c r="BK112" s="29"/>
      <c r="BL112" s="29"/>
      <c r="BM112" s="11"/>
    </row>
    <row r="113" spans="2:65" x14ac:dyDescent="0.25">
      <c r="B113" s="10">
        <f t="shared" si="52"/>
        <v>94</v>
      </c>
      <c r="C113">
        <v>-1.0847702469618525</v>
      </c>
      <c r="D113">
        <v>-0.23740653887216467</v>
      </c>
      <c r="E113">
        <v>0.6496475112155522</v>
      </c>
      <c r="H113" s="18">
        <f>1</f>
        <v>1</v>
      </c>
      <c r="I113" s="19">
        <f t="shared" si="43"/>
        <v>4.6435907560585079</v>
      </c>
      <c r="J113" s="19">
        <f t="shared" si="44"/>
        <v>14.65712920042172</v>
      </c>
      <c r="K113" s="18">
        <f t="shared" si="45"/>
        <v>-1</v>
      </c>
      <c r="L113" s="17"/>
      <c r="M113" s="17"/>
      <c r="N113" s="18">
        <f t="shared" si="53"/>
        <v>-100</v>
      </c>
      <c r="O113" s="18">
        <f t="shared" si="53"/>
        <v>-100</v>
      </c>
      <c r="P113" s="18">
        <f t="shared" si="54"/>
        <v>4.6435907560585079</v>
      </c>
      <c r="Q113" s="18">
        <f t="shared" si="54"/>
        <v>14.65712920042172</v>
      </c>
      <c r="S113" s="10">
        <f t="shared" si="55"/>
        <v>-141.59520188513576</v>
      </c>
      <c r="T113" s="10">
        <f t="shared" si="56"/>
        <v>-1</v>
      </c>
      <c r="U113" s="10">
        <f t="shared" si="57"/>
        <v>0</v>
      </c>
      <c r="V113" s="10">
        <f t="shared" si="58"/>
        <v>0</v>
      </c>
      <c r="Y113" s="10">
        <f t="shared" si="46"/>
        <v>0</v>
      </c>
      <c r="Z113" s="10">
        <f t="shared" si="47"/>
        <v>0</v>
      </c>
      <c r="AA113" s="10">
        <f t="shared" si="48"/>
        <v>0</v>
      </c>
      <c r="AB113" s="10">
        <f t="shared" si="49"/>
        <v>-0.600823999755</v>
      </c>
      <c r="AC113" s="10">
        <f t="shared" si="50"/>
        <v>2.3251686478045759</v>
      </c>
      <c r="AD113" s="10">
        <f t="shared" si="51"/>
        <v>-10.3561555232955</v>
      </c>
      <c r="AE113" s="10">
        <f t="shared" si="59"/>
        <v>-1</v>
      </c>
      <c r="AF113" s="10">
        <f t="shared" si="60"/>
        <v>0</v>
      </c>
      <c r="AI113" s="10">
        <f t="shared" si="61"/>
        <v>-1</v>
      </c>
      <c r="AJ113" s="10">
        <f t="shared" si="62"/>
        <v>1</v>
      </c>
      <c r="AK113" s="10">
        <f t="shared" si="63"/>
        <v>1</v>
      </c>
      <c r="BJ113" s="11"/>
      <c r="BK113" s="29"/>
      <c r="BL113" s="29"/>
      <c r="BM113" s="11"/>
    </row>
    <row r="114" spans="2:65" x14ac:dyDescent="0.25">
      <c r="B114" s="10">
        <f t="shared" si="52"/>
        <v>95</v>
      </c>
      <c r="C114">
        <v>-0.9849350135482382</v>
      </c>
      <c r="D114">
        <v>-1.1803490451711696</v>
      </c>
      <c r="E114">
        <v>0.95037690359202853</v>
      </c>
      <c r="H114" s="18">
        <f>1</f>
        <v>1</v>
      </c>
      <c r="I114" s="19">
        <f t="shared" si="43"/>
        <v>4.7875196049377378</v>
      </c>
      <c r="J114" s="19">
        <f t="shared" si="44"/>
        <v>13.297723058417304</v>
      </c>
      <c r="K114" s="18">
        <f t="shared" si="45"/>
        <v>-1</v>
      </c>
      <c r="L114" s="17"/>
      <c r="M114" s="17"/>
      <c r="N114" s="18">
        <f t="shared" si="53"/>
        <v>-100</v>
      </c>
      <c r="O114" s="18">
        <f t="shared" si="53"/>
        <v>-100</v>
      </c>
      <c r="P114" s="18">
        <f t="shared" si="54"/>
        <v>4.7875196049377378</v>
      </c>
      <c r="Q114" s="18">
        <f t="shared" si="54"/>
        <v>13.297723058417304</v>
      </c>
      <c r="S114" s="10">
        <f t="shared" si="55"/>
        <v>-127.18232161228633</v>
      </c>
      <c r="T114" s="10">
        <f t="shared" si="56"/>
        <v>-1</v>
      </c>
      <c r="U114" s="10">
        <f t="shared" si="57"/>
        <v>0</v>
      </c>
      <c r="V114" s="10">
        <f t="shared" si="58"/>
        <v>0</v>
      </c>
      <c r="Y114" s="10">
        <f t="shared" si="46"/>
        <v>0</v>
      </c>
      <c r="Z114" s="10">
        <f t="shared" si="47"/>
        <v>0</v>
      </c>
      <c r="AA114" s="10">
        <f t="shared" si="48"/>
        <v>0</v>
      </c>
      <c r="AB114" s="10">
        <f t="shared" si="49"/>
        <v>-0.600823999755</v>
      </c>
      <c r="AC114" s="10">
        <f t="shared" si="50"/>
        <v>2.3251686478045759</v>
      </c>
      <c r="AD114" s="10">
        <f t="shared" si="51"/>
        <v>-10.3561555232955</v>
      </c>
      <c r="AE114" s="10">
        <f t="shared" si="59"/>
        <v>-1</v>
      </c>
      <c r="AF114" s="10">
        <f t="shared" si="60"/>
        <v>0</v>
      </c>
      <c r="AI114" s="10">
        <f t="shared" si="61"/>
        <v>-1</v>
      </c>
      <c r="AJ114" s="10">
        <f t="shared" si="62"/>
        <v>0</v>
      </c>
      <c r="AK114" s="10">
        <f t="shared" si="63"/>
        <v>0</v>
      </c>
      <c r="BJ114" s="11"/>
      <c r="BK114" s="29"/>
      <c r="BL114" s="29"/>
      <c r="BM114" s="11"/>
    </row>
    <row r="115" spans="2:65" x14ac:dyDescent="0.25">
      <c r="B115" s="10">
        <f t="shared" si="52"/>
        <v>96</v>
      </c>
      <c r="C115">
        <v>-0.30551746021956205</v>
      </c>
      <c r="D115">
        <v>-0.56558974392828532</v>
      </c>
      <c r="E115">
        <v>5.4506057924130984E-2</v>
      </c>
      <c r="H115" s="18">
        <f>1</f>
        <v>1</v>
      </c>
      <c r="I115" s="19">
        <f t="shared" si="43"/>
        <v>5.7670113436288997</v>
      </c>
      <c r="J115" s="19">
        <f t="shared" si="44"/>
        <v>14.183999331234851</v>
      </c>
      <c r="K115" s="18">
        <f t="shared" si="45"/>
        <v>1</v>
      </c>
      <c r="L115" s="17"/>
      <c r="M115" s="17"/>
      <c r="N115" s="18">
        <f t="shared" si="53"/>
        <v>5.7670113436288997</v>
      </c>
      <c r="O115" s="18">
        <f t="shared" si="53"/>
        <v>14.183999331234851</v>
      </c>
      <c r="P115" s="18">
        <f t="shared" si="54"/>
        <v>-100</v>
      </c>
      <c r="Q115" s="18">
        <f t="shared" si="54"/>
        <v>-100</v>
      </c>
      <c r="S115" s="10">
        <f t="shared" si="55"/>
        <v>-134.08325304860324</v>
      </c>
      <c r="T115" s="10">
        <f t="shared" si="56"/>
        <v>-1</v>
      </c>
      <c r="U115" s="10">
        <f t="shared" si="57"/>
        <v>1</v>
      </c>
      <c r="V115" s="10">
        <f t="shared" si="58"/>
        <v>1</v>
      </c>
      <c r="Y115" s="10">
        <f t="shared" si="46"/>
        <v>0.70082399975499998</v>
      </c>
      <c r="Z115" s="10">
        <f t="shared" si="47"/>
        <v>4.0416599564744624</v>
      </c>
      <c r="AA115" s="10">
        <f t="shared" si="48"/>
        <v>9.9404871438382525</v>
      </c>
      <c r="AB115" s="10">
        <f t="shared" si="49"/>
        <v>9.9999999999999978E-2</v>
      </c>
      <c r="AC115" s="10">
        <f t="shared" si="50"/>
        <v>6.3668286042790383</v>
      </c>
      <c r="AD115" s="10">
        <f t="shared" si="51"/>
        <v>-0.41566837945724799</v>
      </c>
      <c r="AE115" s="10">
        <f t="shared" si="59"/>
        <v>-1</v>
      </c>
      <c r="AF115" s="10">
        <f t="shared" si="60"/>
        <v>1</v>
      </c>
      <c r="AI115" s="10">
        <f t="shared" si="61"/>
        <v>-1</v>
      </c>
      <c r="AJ115" s="10">
        <f t="shared" si="62"/>
        <v>0</v>
      </c>
      <c r="AK115" s="10">
        <f t="shared" si="63"/>
        <v>0</v>
      </c>
      <c r="BJ115" s="11"/>
      <c r="BK115" s="29"/>
      <c r="BL115" s="29"/>
      <c r="BM115" s="11"/>
    </row>
    <row r="116" spans="2:65" x14ac:dyDescent="0.25">
      <c r="B116" s="10">
        <f t="shared" si="52"/>
        <v>97</v>
      </c>
      <c r="C116">
        <v>0.69564976001856849</v>
      </c>
      <c r="D116">
        <v>3.2019897844293155E-2</v>
      </c>
      <c r="E116">
        <v>0.60939359721671194</v>
      </c>
      <c r="H116" s="18">
        <f>1</f>
        <v>1</v>
      </c>
      <c r="I116" s="19">
        <f t="shared" ref="I116:I147" si="64">IF(K116=1, C116*$C$7+$C$5,C116*$C$10+$C$8)</f>
        <v>7.2103579520101677</v>
      </c>
      <c r="J116" s="19">
        <f t="shared" ref="J116:J147" si="65">IF(K116=1,D116*$C$7+$C$6,D116*$C$10+$C$9)</f>
        <v>15.045551559626062</v>
      </c>
      <c r="K116" s="18">
        <f t="shared" ref="K116:K147" si="66">IF(E116&lt;$C$11,1,-1)</f>
        <v>-1</v>
      </c>
      <c r="L116" s="17"/>
      <c r="M116" s="17"/>
      <c r="N116" s="18">
        <f t="shared" si="53"/>
        <v>-100</v>
      </c>
      <c r="O116" s="18">
        <f t="shared" si="53"/>
        <v>-100</v>
      </c>
      <c r="P116" s="18">
        <f t="shared" si="54"/>
        <v>7.2103579520101677</v>
      </c>
      <c r="Q116" s="18">
        <f t="shared" si="54"/>
        <v>15.045551559626062</v>
      </c>
      <c r="S116" s="10">
        <f t="shared" si="55"/>
        <v>39.753153221118929</v>
      </c>
      <c r="T116" s="10">
        <f t="shared" si="56"/>
        <v>1</v>
      </c>
      <c r="U116" s="10">
        <f t="shared" si="57"/>
        <v>-1</v>
      </c>
      <c r="V116" s="10">
        <f t="shared" si="58"/>
        <v>1</v>
      </c>
      <c r="Y116" s="10">
        <f t="shared" ref="Y116:Y147" si="67">IF(U116=0,0,$C$12*(U116)*H116)</f>
        <v>-0.70082399975499998</v>
      </c>
      <c r="Z116" s="10">
        <f t="shared" ref="Z116:Z147" si="68">IF(U116=0,0,$C$12*(U116)*I116)</f>
        <v>-5.0531918995930356</v>
      </c>
      <c r="AA116" s="10">
        <f t="shared" ref="AA116:AA147" si="69">IF(U116=0,0,$C$12*(U116)*J116)</f>
        <v>-10.544283622537215</v>
      </c>
      <c r="AB116" s="10">
        <f t="shared" ref="AB116:AB147" si="70">IF(U116=0,AB115,AB115+$C$12*(U116)*H116)</f>
        <v>-0.600823999755</v>
      </c>
      <c r="AC116" s="10">
        <f t="shared" ref="AC116:AC147" si="71">IF(U116=0,AC115,AC115+$C$12*(U116)*I116)</f>
        <v>1.3136367046860027</v>
      </c>
      <c r="AD116" s="10">
        <f t="shared" ref="AD116:AD147" si="72">IF(U116=0,AD115,AD115+$C$12*(U116)*J116)</f>
        <v>-10.959952001994463</v>
      </c>
      <c r="AE116" s="10">
        <f t="shared" si="59"/>
        <v>-1</v>
      </c>
      <c r="AF116" s="10">
        <f t="shared" si="60"/>
        <v>0</v>
      </c>
      <c r="AI116" s="10">
        <f t="shared" si="61"/>
        <v>-1</v>
      </c>
      <c r="AJ116" s="10">
        <f t="shared" si="62"/>
        <v>0</v>
      </c>
      <c r="AK116" s="10">
        <f t="shared" si="63"/>
        <v>0</v>
      </c>
      <c r="BJ116" s="11"/>
      <c r="BK116" s="29"/>
      <c r="BL116" s="29"/>
      <c r="BM116" s="11"/>
    </row>
    <row r="117" spans="2:65" x14ac:dyDescent="0.25">
      <c r="B117" s="10">
        <f t="shared" si="52"/>
        <v>98</v>
      </c>
      <c r="C117">
        <v>-1.7860020307125524</v>
      </c>
      <c r="D117">
        <v>0.49964000936597586</v>
      </c>
      <c r="E117">
        <v>0.18390453810235907</v>
      </c>
      <c r="H117" s="18">
        <f>1</f>
        <v>1</v>
      </c>
      <c r="I117" s="19">
        <f t="shared" si="64"/>
        <v>3.6326502295348937</v>
      </c>
      <c r="J117" s="19">
        <f t="shared" si="65"/>
        <v>15.719702578888514</v>
      </c>
      <c r="K117" s="18">
        <f t="shared" si="66"/>
        <v>1</v>
      </c>
      <c r="L117" s="17"/>
      <c r="M117" s="17"/>
      <c r="N117" s="18">
        <f t="shared" si="53"/>
        <v>3.6326502295348937</v>
      </c>
      <c r="O117" s="18">
        <f t="shared" si="53"/>
        <v>15.719702578888514</v>
      </c>
      <c r="P117" s="18">
        <f t="shared" si="54"/>
        <v>-100</v>
      </c>
      <c r="Q117" s="18">
        <f t="shared" si="54"/>
        <v>-100</v>
      </c>
      <c r="S117" s="10">
        <f t="shared" si="55"/>
        <v>-168.11602707319861</v>
      </c>
      <c r="T117" s="10">
        <f t="shared" si="56"/>
        <v>-1</v>
      </c>
      <c r="U117" s="10">
        <f t="shared" si="57"/>
        <v>1</v>
      </c>
      <c r="V117" s="10">
        <f t="shared" si="58"/>
        <v>1</v>
      </c>
      <c r="Y117" s="10">
        <f t="shared" si="67"/>
        <v>0.70082399975499998</v>
      </c>
      <c r="Z117" s="10">
        <f t="shared" si="68"/>
        <v>2.545848463573563</v>
      </c>
      <c r="AA117" s="10">
        <f t="shared" si="69"/>
        <v>11.016744836295636</v>
      </c>
      <c r="AB117" s="10">
        <f t="shared" si="70"/>
        <v>9.9999999999999978E-2</v>
      </c>
      <c r="AC117" s="10">
        <f t="shared" si="71"/>
        <v>3.8594851682595657</v>
      </c>
      <c r="AD117" s="10">
        <f t="shared" si="72"/>
        <v>5.6792834301173656E-2</v>
      </c>
      <c r="AE117" s="10">
        <f t="shared" si="59"/>
        <v>-1</v>
      </c>
      <c r="AF117" s="10">
        <f t="shared" si="60"/>
        <v>1</v>
      </c>
      <c r="AI117" s="10">
        <f t="shared" si="61"/>
        <v>-1</v>
      </c>
      <c r="AJ117" s="10">
        <f t="shared" si="62"/>
        <v>0</v>
      </c>
      <c r="AK117" s="10">
        <f t="shared" si="63"/>
        <v>0</v>
      </c>
      <c r="BJ117" s="11"/>
      <c r="BK117" s="29"/>
      <c r="BL117" s="29"/>
      <c r="BM117" s="11"/>
    </row>
    <row r="118" spans="2:65" x14ac:dyDescent="0.25">
      <c r="B118" s="10">
        <f t="shared" si="52"/>
        <v>99</v>
      </c>
      <c r="C118">
        <v>0.61975924836588092</v>
      </c>
      <c r="D118">
        <v>-1.7158799892058596</v>
      </c>
      <c r="E118">
        <v>0.71916867580187382</v>
      </c>
      <c r="H118" s="18">
        <f>1</f>
        <v>1</v>
      </c>
      <c r="I118" s="19">
        <f t="shared" si="64"/>
        <v>7.1009493433501953</v>
      </c>
      <c r="J118" s="19">
        <f t="shared" si="65"/>
        <v>12.525667445597861</v>
      </c>
      <c r="K118" s="18">
        <f t="shared" si="66"/>
        <v>-1</v>
      </c>
      <c r="L118" s="17"/>
      <c r="M118" s="17"/>
      <c r="N118" s="18">
        <f t="shared" si="53"/>
        <v>-100</v>
      </c>
      <c r="O118" s="18">
        <f t="shared" si="53"/>
        <v>-100</v>
      </c>
      <c r="P118" s="18">
        <f t="shared" si="54"/>
        <v>7.1009493433501953</v>
      </c>
      <c r="Q118" s="18">
        <f t="shared" si="54"/>
        <v>12.525667445597861</v>
      </c>
      <c r="S118" s="10">
        <f t="shared" si="55"/>
        <v>28.217376826972025</v>
      </c>
      <c r="T118" s="10">
        <f t="shared" si="56"/>
        <v>1</v>
      </c>
      <c r="U118" s="10">
        <f t="shared" si="57"/>
        <v>-1</v>
      </c>
      <c r="V118" s="10">
        <f t="shared" si="58"/>
        <v>1</v>
      </c>
      <c r="Y118" s="10">
        <f t="shared" si="67"/>
        <v>-0.70082399975499998</v>
      </c>
      <c r="Z118" s="10">
        <f t="shared" si="68"/>
        <v>-4.9765157208643247</v>
      </c>
      <c r="AA118" s="10">
        <f t="shared" si="69"/>
        <v>-8.7782883588248861</v>
      </c>
      <c r="AB118" s="10">
        <f t="shared" si="70"/>
        <v>-0.600823999755</v>
      </c>
      <c r="AC118" s="10">
        <f t="shared" si="71"/>
        <v>-1.117030552604759</v>
      </c>
      <c r="AD118" s="10">
        <f t="shared" si="72"/>
        <v>-8.7214955245237125</v>
      </c>
      <c r="AE118" s="10">
        <f t="shared" si="59"/>
        <v>-1</v>
      </c>
      <c r="AF118" s="10">
        <f t="shared" si="60"/>
        <v>0</v>
      </c>
      <c r="AI118" s="10">
        <f t="shared" si="61"/>
        <v>-1</v>
      </c>
      <c r="AJ118" s="10">
        <f t="shared" si="62"/>
        <v>1</v>
      </c>
      <c r="AK118" s="10">
        <f t="shared" si="63"/>
        <v>1</v>
      </c>
      <c r="BJ118" s="11"/>
      <c r="BK118" s="29"/>
      <c r="BL118" s="29"/>
      <c r="BM118" s="11"/>
    </row>
    <row r="119" spans="2:65" x14ac:dyDescent="0.25">
      <c r="B119" s="10">
        <f t="shared" si="52"/>
        <v>100</v>
      </c>
      <c r="C119">
        <v>1.9610979506978765</v>
      </c>
      <c r="D119">
        <v>0.2260117071273271</v>
      </c>
      <c r="E119">
        <v>0.90878017517624443</v>
      </c>
      <c r="H119" s="18">
        <f>1</f>
        <v>1</v>
      </c>
      <c r="I119" s="19">
        <f t="shared" si="64"/>
        <v>9.0347088867768477</v>
      </c>
      <c r="J119" s="19">
        <f t="shared" si="65"/>
        <v>15.325222541977856</v>
      </c>
      <c r="K119" s="18">
        <f t="shared" si="66"/>
        <v>-1</v>
      </c>
      <c r="L119" s="17"/>
      <c r="M119" s="17"/>
      <c r="N119" s="18">
        <f t="shared" si="53"/>
        <v>-100</v>
      </c>
      <c r="O119" s="18">
        <f t="shared" si="53"/>
        <v>-100</v>
      </c>
      <c r="P119" s="18">
        <f t="shared" si="54"/>
        <v>9.0347088867768477</v>
      </c>
      <c r="Q119" s="18">
        <f t="shared" si="54"/>
        <v>15.325222541977856</v>
      </c>
      <c r="S119" s="10">
        <f t="shared" si="55"/>
        <v>-144.35172967236426</v>
      </c>
      <c r="T119" s="10">
        <f t="shared" si="56"/>
        <v>-1</v>
      </c>
      <c r="U119" s="10">
        <f t="shared" si="57"/>
        <v>0</v>
      </c>
      <c r="V119" s="10">
        <f t="shared" si="58"/>
        <v>0</v>
      </c>
      <c r="X119" s="10">
        <f>SUM(V101:V119)</f>
        <v>9</v>
      </c>
      <c r="Y119" s="10">
        <f t="shared" si="67"/>
        <v>0</v>
      </c>
      <c r="Z119" s="10">
        <f t="shared" si="68"/>
        <v>0</v>
      </c>
      <c r="AA119" s="10">
        <f t="shared" si="69"/>
        <v>0</v>
      </c>
      <c r="AB119" s="10">
        <f t="shared" si="70"/>
        <v>-0.600823999755</v>
      </c>
      <c r="AC119" s="10">
        <f t="shared" si="71"/>
        <v>-1.117030552604759</v>
      </c>
      <c r="AD119" s="10">
        <f t="shared" si="72"/>
        <v>-8.7214955245237125</v>
      </c>
      <c r="AE119" s="10">
        <f t="shared" si="59"/>
        <v>-1</v>
      </c>
      <c r="AF119" s="10">
        <f t="shared" si="60"/>
        <v>0</v>
      </c>
      <c r="AI119" s="10">
        <f t="shared" si="61"/>
        <v>-1</v>
      </c>
      <c r="AJ119" s="10">
        <f t="shared" si="62"/>
        <v>0</v>
      </c>
      <c r="AK119" s="10">
        <f t="shared" si="63"/>
        <v>0</v>
      </c>
      <c r="BJ119" s="11"/>
      <c r="BK119" s="29"/>
      <c r="BL119" s="29"/>
      <c r="BM119" s="11"/>
    </row>
    <row r="120" spans="2:65" x14ac:dyDescent="0.25">
      <c r="B120" s="10">
        <f t="shared" si="52"/>
        <v>101</v>
      </c>
      <c r="C120">
        <v>-2.5392728275619447</v>
      </c>
      <c r="D120">
        <v>-2.3282700567506254</v>
      </c>
      <c r="E120">
        <v>0.73851741080965605</v>
      </c>
      <c r="H120" s="18">
        <f>1</f>
        <v>1</v>
      </c>
      <c r="I120" s="19">
        <f t="shared" si="64"/>
        <v>2.5466869380413666</v>
      </c>
      <c r="J120" s="19">
        <f t="shared" si="65"/>
        <v>11.642806811400431</v>
      </c>
      <c r="K120" s="18">
        <f t="shared" si="66"/>
        <v>-1</v>
      </c>
      <c r="L120" s="17"/>
      <c r="M120" s="17"/>
      <c r="N120" s="18">
        <f t="shared" si="53"/>
        <v>-100</v>
      </c>
      <c r="O120" s="18">
        <f t="shared" si="53"/>
        <v>-100</v>
      </c>
      <c r="P120" s="18">
        <f t="shared" si="54"/>
        <v>2.5466869380413666</v>
      </c>
      <c r="Q120" s="18">
        <f t="shared" si="54"/>
        <v>11.642806811400431</v>
      </c>
      <c r="S120" s="12">
        <f t="shared" si="55"/>
        <v>-104.98823861598973</v>
      </c>
      <c r="T120" s="12">
        <f t="shared" si="56"/>
        <v>-1</v>
      </c>
      <c r="U120" s="12">
        <f t="shared" si="57"/>
        <v>0</v>
      </c>
      <c r="V120" s="12">
        <f t="shared" si="58"/>
        <v>0</v>
      </c>
      <c r="W120" s="12"/>
      <c r="X120" s="12"/>
      <c r="Y120" s="10">
        <f t="shared" si="67"/>
        <v>0</v>
      </c>
      <c r="Z120" s="10">
        <f t="shared" si="68"/>
        <v>0</v>
      </c>
      <c r="AA120" s="10">
        <f t="shared" si="69"/>
        <v>0</v>
      </c>
      <c r="AB120" s="10">
        <f t="shared" si="70"/>
        <v>-0.600823999755</v>
      </c>
      <c r="AC120" s="10">
        <f t="shared" si="71"/>
        <v>-1.117030552604759</v>
      </c>
      <c r="AD120" s="10">
        <f t="shared" si="72"/>
        <v>-8.7214955245237125</v>
      </c>
      <c r="AE120" s="10">
        <f t="shared" si="59"/>
        <v>-1</v>
      </c>
      <c r="AF120" s="10">
        <f t="shared" si="60"/>
        <v>0</v>
      </c>
      <c r="AI120" s="10">
        <f t="shared" si="61"/>
        <v>-1</v>
      </c>
      <c r="AJ120" s="10">
        <f t="shared" si="62"/>
        <v>1</v>
      </c>
      <c r="AK120" s="10">
        <f t="shared" si="63"/>
        <v>1</v>
      </c>
      <c r="BJ120" s="11"/>
      <c r="BK120" s="29"/>
      <c r="BL120" s="29"/>
      <c r="BM120" s="11"/>
    </row>
    <row r="121" spans="2:65" x14ac:dyDescent="0.25">
      <c r="B121" s="10">
        <f t="shared" si="52"/>
        <v>102</v>
      </c>
      <c r="C121">
        <v>0.37392965168692172</v>
      </c>
      <c r="D121">
        <v>-1.4890338206896558</v>
      </c>
      <c r="E121">
        <v>0.19949949644459364</v>
      </c>
      <c r="H121" s="18">
        <f>1</f>
        <v>1</v>
      </c>
      <c r="I121" s="19">
        <f t="shared" si="64"/>
        <v>6.74654569585371</v>
      </c>
      <c r="J121" s="19">
        <f t="shared" si="65"/>
        <v>12.852703370599752</v>
      </c>
      <c r="K121" s="18">
        <f t="shared" si="66"/>
        <v>1</v>
      </c>
      <c r="L121" s="17"/>
      <c r="M121" s="17"/>
      <c r="N121" s="18">
        <f t="shared" si="53"/>
        <v>6.74654569585371</v>
      </c>
      <c r="O121" s="18">
        <f t="shared" si="53"/>
        <v>12.852703370599752</v>
      </c>
      <c r="P121" s="18">
        <f t="shared" si="54"/>
        <v>-100</v>
      </c>
      <c r="Q121" s="18">
        <f t="shared" si="54"/>
        <v>-100</v>
      </c>
      <c r="S121" s="10">
        <f t="shared" si="55"/>
        <v>-120.2317165912843</v>
      </c>
      <c r="T121" s="10">
        <f t="shared" si="56"/>
        <v>-1</v>
      </c>
      <c r="U121" s="10">
        <f t="shared" si="57"/>
        <v>1</v>
      </c>
      <c r="V121" s="10">
        <f t="shared" si="58"/>
        <v>1</v>
      </c>
      <c r="Y121" s="10">
        <f t="shared" si="67"/>
        <v>0.70082399975499998</v>
      </c>
      <c r="Z121" s="10">
        <f t="shared" si="68"/>
        <v>4.728141139098077</v>
      </c>
      <c r="AA121" s="10">
        <f t="shared" si="69"/>
        <v>9.0074829838482877</v>
      </c>
      <c r="AB121" s="10">
        <f t="shared" si="70"/>
        <v>9.9999999999999978E-2</v>
      </c>
      <c r="AC121" s="10">
        <f t="shared" si="71"/>
        <v>3.611110586493318</v>
      </c>
      <c r="AD121" s="10">
        <f t="shared" si="72"/>
        <v>0.28598745932457525</v>
      </c>
      <c r="AE121" s="10">
        <f t="shared" si="59"/>
        <v>-1</v>
      </c>
      <c r="AF121" s="10">
        <f t="shared" si="60"/>
        <v>1</v>
      </c>
      <c r="AI121" s="10">
        <f t="shared" si="61"/>
        <v>-1</v>
      </c>
      <c r="AJ121" s="10">
        <f t="shared" si="62"/>
        <v>0</v>
      </c>
      <c r="AK121" s="10">
        <f t="shared" si="63"/>
        <v>0</v>
      </c>
      <c r="BJ121" s="11"/>
      <c r="BK121" s="29"/>
      <c r="BL121" s="29"/>
      <c r="BM121" s="11"/>
    </row>
    <row r="122" spans="2:65" x14ac:dyDescent="0.25">
      <c r="B122" s="10">
        <f t="shared" si="52"/>
        <v>103</v>
      </c>
      <c r="C122">
        <v>-4.8634092308930121E-2</v>
      </c>
      <c r="D122">
        <v>0.51259576139273122</v>
      </c>
      <c r="E122">
        <v>2.7832880642109439E-2</v>
      </c>
      <c r="H122" s="18">
        <f>1</f>
        <v>1</v>
      </c>
      <c r="I122" s="19">
        <f t="shared" si="64"/>
        <v>6.1373508137277897</v>
      </c>
      <c r="J122" s="19">
        <f t="shared" si="65"/>
        <v>15.738380418482981</v>
      </c>
      <c r="K122" s="18">
        <f t="shared" si="66"/>
        <v>1</v>
      </c>
      <c r="L122" s="17"/>
      <c r="M122" s="17"/>
      <c r="N122" s="18">
        <f t="shared" si="53"/>
        <v>6.1373508137277897</v>
      </c>
      <c r="O122" s="18">
        <f t="shared" si="53"/>
        <v>15.738380418482981</v>
      </c>
      <c r="P122" s="18">
        <f t="shared" si="54"/>
        <v>-100</v>
      </c>
      <c r="Q122" s="18">
        <f t="shared" si="54"/>
        <v>-100</v>
      </c>
      <c r="S122" s="10">
        <f t="shared" si="55"/>
        <v>26.763631926241395</v>
      </c>
      <c r="T122" s="10">
        <f t="shared" si="56"/>
        <v>1</v>
      </c>
      <c r="U122" s="10">
        <f t="shared" si="57"/>
        <v>0</v>
      </c>
      <c r="V122" s="10">
        <f t="shared" si="58"/>
        <v>0</v>
      </c>
      <c r="Y122" s="10">
        <f t="shared" si="67"/>
        <v>0</v>
      </c>
      <c r="Z122" s="10">
        <f t="shared" si="68"/>
        <v>0</v>
      </c>
      <c r="AA122" s="10">
        <f t="shared" si="69"/>
        <v>0</v>
      </c>
      <c r="AB122" s="10">
        <f t="shared" si="70"/>
        <v>9.9999999999999978E-2</v>
      </c>
      <c r="AC122" s="10">
        <f t="shared" si="71"/>
        <v>3.611110586493318</v>
      </c>
      <c r="AD122" s="10">
        <f t="shared" si="72"/>
        <v>0.28598745932457525</v>
      </c>
      <c r="AE122" s="10">
        <f t="shared" si="59"/>
        <v>-1</v>
      </c>
      <c r="AF122" s="10">
        <f t="shared" si="60"/>
        <v>1</v>
      </c>
      <c r="AI122" s="10">
        <f t="shared" si="61"/>
        <v>-1</v>
      </c>
      <c r="AJ122" s="10">
        <f t="shared" si="62"/>
        <v>0</v>
      </c>
      <c r="AK122" s="10">
        <f t="shared" si="63"/>
        <v>0</v>
      </c>
      <c r="BJ122" s="11"/>
      <c r="BK122" s="29"/>
      <c r="BL122" s="29"/>
      <c r="BM122" s="11"/>
    </row>
    <row r="123" spans="2:65" x14ac:dyDescent="0.25">
      <c r="B123" s="10">
        <f t="shared" si="52"/>
        <v>104</v>
      </c>
      <c r="C123">
        <v>0.57657530305732507</v>
      </c>
      <c r="D123">
        <v>-1.4485431165667251</v>
      </c>
      <c r="E123">
        <v>0.22287667470320749</v>
      </c>
      <c r="H123" s="18">
        <f>1</f>
        <v>1</v>
      </c>
      <c r="I123" s="19">
        <f t="shared" si="64"/>
        <v>7.0386926096720783</v>
      </c>
      <c r="J123" s="19">
        <f t="shared" si="65"/>
        <v>12.911077355769683</v>
      </c>
      <c r="K123" s="18">
        <f t="shared" si="66"/>
        <v>1</v>
      </c>
      <c r="L123" s="17"/>
      <c r="M123" s="17"/>
      <c r="N123" s="18">
        <f t="shared" si="53"/>
        <v>7.0386926096720783</v>
      </c>
      <c r="O123" s="18">
        <f t="shared" si="53"/>
        <v>12.911077355769683</v>
      </c>
      <c r="P123" s="18">
        <f t="shared" si="54"/>
        <v>-100</v>
      </c>
      <c r="Q123" s="18">
        <f t="shared" si="54"/>
        <v>-100</v>
      </c>
      <c r="S123" s="10">
        <f t="shared" si="55"/>
        <v>29.209903607978752</v>
      </c>
      <c r="T123" s="10">
        <f t="shared" si="56"/>
        <v>1</v>
      </c>
      <c r="U123" s="10">
        <f t="shared" si="57"/>
        <v>0</v>
      </c>
      <c r="V123" s="10">
        <f t="shared" si="58"/>
        <v>0</v>
      </c>
      <c r="Y123" s="10">
        <f t="shared" si="67"/>
        <v>0</v>
      </c>
      <c r="Z123" s="10">
        <f t="shared" si="68"/>
        <v>0</v>
      </c>
      <c r="AA123" s="10">
        <f t="shared" si="69"/>
        <v>0</v>
      </c>
      <c r="AB123" s="10">
        <f t="shared" si="70"/>
        <v>9.9999999999999978E-2</v>
      </c>
      <c r="AC123" s="10">
        <f t="shared" si="71"/>
        <v>3.611110586493318</v>
      </c>
      <c r="AD123" s="10">
        <f t="shared" si="72"/>
        <v>0.28598745932457525</v>
      </c>
      <c r="AE123" s="10">
        <f t="shared" si="59"/>
        <v>-1</v>
      </c>
      <c r="AF123" s="10">
        <f t="shared" si="60"/>
        <v>1</v>
      </c>
      <c r="AI123" s="10">
        <f t="shared" si="61"/>
        <v>-1</v>
      </c>
      <c r="AJ123" s="10">
        <f t="shared" si="62"/>
        <v>0</v>
      </c>
      <c r="AK123" s="10">
        <f t="shared" si="63"/>
        <v>0</v>
      </c>
      <c r="BJ123" s="11"/>
      <c r="BK123" s="29"/>
      <c r="BL123" s="29"/>
      <c r="BM123" s="11"/>
    </row>
    <row r="124" spans="2:65" x14ac:dyDescent="0.25">
      <c r="B124" s="10">
        <f t="shared" si="52"/>
        <v>105</v>
      </c>
      <c r="C124">
        <v>1.8079117580782622</v>
      </c>
      <c r="D124">
        <v>-0.69389670898090117</v>
      </c>
      <c r="E124">
        <v>0.15576647236548968</v>
      </c>
      <c r="H124" s="18">
        <f>1</f>
        <v>1</v>
      </c>
      <c r="I124" s="19">
        <f t="shared" si="64"/>
        <v>8.8138658876265445</v>
      </c>
      <c r="J124" s="19">
        <f t="shared" si="65"/>
        <v>13.999023815559919</v>
      </c>
      <c r="K124" s="18">
        <f t="shared" si="66"/>
        <v>1</v>
      </c>
      <c r="L124" s="17"/>
      <c r="M124" s="17"/>
      <c r="N124" s="18">
        <f t="shared" si="53"/>
        <v>8.8138658876265445</v>
      </c>
      <c r="O124" s="18">
        <f t="shared" si="53"/>
        <v>13.999023815559919</v>
      </c>
      <c r="P124" s="18">
        <f t="shared" si="54"/>
        <v>-100</v>
      </c>
      <c r="Q124" s="18">
        <f t="shared" si="54"/>
        <v>-100</v>
      </c>
      <c r="S124" s="10">
        <f t="shared" si="55"/>
        <v>35.931389668776745</v>
      </c>
      <c r="T124" s="10">
        <f t="shared" si="56"/>
        <v>1</v>
      </c>
      <c r="U124" s="10">
        <f t="shared" si="57"/>
        <v>0</v>
      </c>
      <c r="V124" s="10">
        <f t="shared" si="58"/>
        <v>0</v>
      </c>
      <c r="Y124" s="10">
        <f t="shared" si="67"/>
        <v>0</v>
      </c>
      <c r="Z124" s="10">
        <f t="shared" si="68"/>
        <v>0</v>
      </c>
      <c r="AA124" s="10">
        <f t="shared" si="69"/>
        <v>0</v>
      </c>
      <c r="AB124" s="10">
        <f t="shared" si="70"/>
        <v>9.9999999999999978E-2</v>
      </c>
      <c r="AC124" s="10">
        <f t="shared" si="71"/>
        <v>3.611110586493318</v>
      </c>
      <c r="AD124" s="10">
        <f t="shared" si="72"/>
        <v>0.28598745932457525</v>
      </c>
      <c r="AE124" s="10">
        <f t="shared" si="59"/>
        <v>-1</v>
      </c>
      <c r="AF124" s="10">
        <f t="shared" si="60"/>
        <v>1</v>
      </c>
      <c r="AI124" s="10">
        <f t="shared" si="61"/>
        <v>-1</v>
      </c>
      <c r="AJ124" s="10">
        <f t="shared" si="62"/>
        <v>1</v>
      </c>
      <c r="AK124" s="10">
        <f t="shared" si="63"/>
        <v>1</v>
      </c>
      <c r="BJ124" s="11"/>
      <c r="BK124" s="29"/>
      <c r="BL124" s="29"/>
      <c r="BM124" s="11"/>
    </row>
    <row r="125" spans="2:65" x14ac:dyDescent="0.25">
      <c r="B125" s="10">
        <f t="shared" si="52"/>
        <v>106</v>
      </c>
      <c r="C125">
        <v>0.16991407392197289</v>
      </c>
      <c r="D125">
        <v>0.15619207260897383</v>
      </c>
      <c r="E125">
        <v>0.62868129520554217</v>
      </c>
      <c r="H125" s="18">
        <f>1</f>
        <v>1</v>
      </c>
      <c r="I125" s="19">
        <f t="shared" si="64"/>
        <v>6.4524238086489492</v>
      </c>
      <c r="J125" s="19">
        <f t="shared" si="65"/>
        <v>15.224566097536423</v>
      </c>
      <c r="K125" s="18">
        <f t="shared" si="66"/>
        <v>-1</v>
      </c>
      <c r="L125" s="17"/>
      <c r="M125" s="17"/>
      <c r="N125" s="18">
        <f t="shared" si="53"/>
        <v>-100</v>
      </c>
      <c r="O125" s="18">
        <f t="shared" si="53"/>
        <v>-100</v>
      </c>
      <c r="P125" s="18">
        <f t="shared" si="54"/>
        <v>6.4524238086489492</v>
      </c>
      <c r="Q125" s="18">
        <f t="shared" si="54"/>
        <v>15.224566097536423</v>
      </c>
      <c r="S125" s="10">
        <f t="shared" si="55"/>
        <v>27.754450901507262</v>
      </c>
      <c r="T125" s="10">
        <f t="shared" si="56"/>
        <v>1</v>
      </c>
      <c r="U125" s="10">
        <f t="shared" si="57"/>
        <v>-1</v>
      </c>
      <c r="V125" s="10">
        <f t="shared" si="58"/>
        <v>1</v>
      </c>
      <c r="Y125" s="10">
        <f t="shared" si="67"/>
        <v>-0.70082399975499998</v>
      </c>
      <c r="Z125" s="10">
        <f t="shared" si="68"/>
        <v>-4.5220134616917473</v>
      </c>
      <c r="AA125" s="10">
        <f t="shared" si="69"/>
        <v>-10.669741307009847</v>
      </c>
      <c r="AB125" s="10">
        <f t="shared" si="70"/>
        <v>-0.600823999755</v>
      </c>
      <c r="AC125" s="10">
        <f t="shared" si="71"/>
        <v>-0.91090287519842938</v>
      </c>
      <c r="AD125" s="10">
        <f t="shared" si="72"/>
        <v>-10.383753847685272</v>
      </c>
      <c r="AE125" s="10">
        <f t="shared" si="59"/>
        <v>-1</v>
      </c>
      <c r="AF125" s="10">
        <f t="shared" si="60"/>
        <v>0</v>
      </c>
      <c r="AI125" s="10">
        <f t="shared" si="61"/>
        <v>-1</v>
      </c>
      <c r="AJ125" s="10">
        <f t="shared" si="62"/>
        <v>1</v>
      </c>
      <c r="AK125" s="10">
        <f t="shared" si="63"/>
        <v>1</v>
      </c>
      <c r="BJ125" s="11"/>
      <c r="BK125" s="29"/>
      <c r="BL125" s="29"/>
      <c r="BM125" s="11"/>
    </row>
    <row r="126" spans="2:65" x14ac:dyDescent="0.25">
      <c r="B126" s="10">
        <f t="shared" si="52"/>
        <v>107</v>
      </c>
      <c r="C126">
        <v>0.9781251719687134</v>
      </c>
      <c r="D126">
        <v>-0.58390810409036931</v>
      </c>
      <c r="E126">
        <v>0.41816461684011352</v>
      </c>
      <c r="H126" s="18">
        <f>1</f>
        <v>1</v>
      </c>
      <c r="I126" s="19">
        <f t="shared" si="64"/>
        <v>7.6175925473381767</v>
      </c>
      <c r="J126" s="19">
        <f t="shared" si="65"/>
        <v>14.157590413247345</v>
      </c>
      <c r="K126" s="18">
        <f t="shared" si="66"/>
        <v>1</v>
      </c>
      <c r="L126" s="17"/>
      <c r="M126" s="17"/>
      <c r="N126" s="18">
        <f t="shared" si="53"/>
        <v>7.6175925473381767</v>
      </c>
      <c r="O126" s="18">
        <f t="shared" si="53"/>
        <v>14.157590413247345</v>
      </c>
      <c r="P126" s="18">
        <f t="shared" si="54"/>
        <v>-100</v>
      </c>
      <c r="Q126" s="18">
        <f t="shared" si="54"/>
        <v>-100</v>
      </c>
      <c r="S126" s="10">
        <f t="shared" si="55"/>
        <v>-154.54864488072468</v>
      </c>
      <c r="T126" s="10">
        <f t="shared" si="56"/>
        <v>-1</v>
      </c>
      <c r="U126" s="10">
        <f t="shared" si="57"/>
        <v>1</v>
      </c>
      <c r="V126" s="10">
        <f t="shared" si="58"/>
        <v>1</v>
      </c>
      <c r="Y126" s="10">
        <f t="shared" si="67"/>
        <v>0.70082399975499998</v>
      </c>
      <c r="Z126" s="10">
        <f t="shared" si="68"/>
        <v>5.3385916775294202</v>
      </c>
      <c r="AA126" s="10">
        <f t="shared" si="69"/>
        <v>9.9219791403050479</v>
      </c>
      <c r="AB126" s="10">
        <f t="shared" si="70"/>
        <v>9.9999999999999978E-2</v>
      </c>
      <c r="AC126" s="10">
        <f t="shared" si="71"/>
        <v>4.4276888023309908</v>
      </c>
      <c r="AD126" s="10">
        <f t="shared" si="72"/>
        <v>-0.46177470738022386</v>
      </c>
      <c r="AE126" s="10">
        <f t="shared" si="59"/>
        <v>-1</v>
      </c>
      <c r="AF126" s="10">
        <f t="shared" si="60"/>
        <v>1</v>
      </c>
      <c r="AI126" s="10">
        <f t="shared" si="61"/>
        <v>-1</v>
      </c>
      <c r="AJ126" s="10">
        <f t="shared" si="62"/>
        <v>1</v>
      </c>
      <c r="AK126" s="10">
        <f t="shared" si="63"/>
        <v>1</v>
      </c>
      <c r="BJ126" s="11"/>
      <c r="BK126" s="29"/>
      <c r="BL126" s="29"/>
      <c r="BM126" s="11"/>
    </row>
    <row r="127" spans="2:65" x14ac:dyDescent="0.25">
      <c r="B127" s="10">
        <f t="shared" si="52"/>
        <v>108</v>
      </c>
      <c r="C127">
        <v>9.1812353275599889E-2</v>
      </c>
      <c r="D127">
        <v>-0.38741859498259146</v>
      </c>
      <c r="E127">
        <v>0.85647144993438518</v>
      </c>
      <c r="H127" s="18">
        <f>1</f>
        <v>1</v>
      </c>
      <c r="I127" s="19">
        <f t="shared" si="64"/>
        <v>6.339827379875671</v>
      </c>
      <c r="J127" s="19">
        <f t="shared" si="65"/>
        <v>14.44086223919242</v>
      </c>
      <c r="K127" s="18">
        <f t="shared" si="66"/>
        <v>-1</v>
      </c>
      <c r="L127" s="17"/>
      <c r="M127" s="17"/>
      <c r="N127" s="18">
        <f t="shared" si="53"/>
        <v>-100</v>
      </c>
      <c r="O127" s="18">
        <f t="shared" si="53"/>
        <v>-100</v>
      </c>
      <c r="P127" s="18">
        <f t="shared" si="54"/>
        <v>6.339827379875671</v>
      </c>
      <c r="Q127" s="18">
        <f t="shared" si="54"/>
        <v>14.44086223919242</v>
      </c>
      <c r="S127" s="10">
        <f t="shared" si="55"/>
        <v>21.50235776376573</v>
      </c>
      <c r="T127" s="10">
        <f t="shared" si="56"/>
        <v>1</v>
      </c>
      <c r="U127" s="10">
        <f t="shared" si="57"/>
        <v>-1</v>
      </c>
      <c r="V127" s="10">
        <f t="shared" si="58"/>
        <v>1</v>
      </c>
      <c r="Y127" s="10">
        <f t="shared" si="67"/>
        <v>-0.70082399975499998</v>
      </c>
      <c r="Z127" s="10">
        <f t="shared" si="68"/>
        <v>-4.4431031821207299</v>
      </c>
      <c r="AA127" s="10">
        <f t="shared" si="69"/>
        <v>-10.120502834381776</v>
      </c>
      <c r="AB127" s="10">
        <f t="shared" si="70"/>
        <v>-0.600823999755</v>
      </c>
      <c r="AC127" s="10">
        <f t="shared" si="71"/>
        <v>-1.541437978973903E-2</v>
      </c>
      <c r="AD127" s="10">
        <f t="shared" si="72"/>
        <v>-10.582277541762</v>
      </c>
      <c r="AE127" s="10">
        <f t="shared" si="59"/>
        <v>-1</v>
      </c>
      <c r="AF127" s="10">
        <f t="shared" si="60"/>
        <v>0</v>
      </c>
      <c r="AI127" s="10">
        <f t="shared" si="61"/>
        <v>1</v>
      </c>
      <c r="AJ127" s="10">
        <f t="shared" si="62"/>
        <v>0</v>
      </c>
      <c r="AK127" s="10">
        <f t="shared" si="63"/>
        <v>0</v>
      </c>
      <c r="BJ127" s="11"/>
      <c r="BK127" s="29"/>
      <c r="BL127" s="29"/>
      <c r="BM127" s="11"/>
    </row>
    <row r="128" spans="2:65" x14ac:dyDescent="0.25">
      <c r="B128" s="10">
        <f t="shared" si="52"/>
        <v>109</v>
      </c>
      <c r="C128">
        <v>0.30375531423487701</v>
      </c>
      <c r="D128">
        <v>0.87505668489029631</v>
      </c>
      <c r="E128">
        <v>0.32782982879116185</v>
      </c>
      <c r="H128" s="18">
        <f>1</f>
        <v>1</v>
      </c>
      <c r="I128" s="19">
        <f t="shared" si="64"/>
        <v>6.645377889008496</v>
      </c>
      <c r="J128" s="19">
        <f t="shared" si="65"/>
        <v>16.260927235863317</v>
      </c>
      <c r="K128" s="18">
        <f t="shared" si="66"/>
        <v>1</v>
      </c>
      <c r="L128" s="17"/>
      <c r="M128" s="17"/>
      <c r="N128" s="18">
        <f t="shared" si="53"/>
        <v>6.645377889008496</v>
      </c>
      <c r="O128" s="18">
        <f t="shared" si="53"/>
        <v>16.260927235863317</v>
      </c>
      <c r="P128" s="18">
        <f t="shared" si="54"/>
        <v>-100</v>
      </c>
      <c r="Q128" s="18">
        <f t="shared" si="54"/>
        <v>-100</v>
      </c>
      <c r="S128" s="10">
        <f t="shared" si="55"/>
        <v>-172.78090347468492</v>
      </c>
      <c r="T128" s="10">
        <f t="shared" si="56"/>
        <v>-1</v>
      </c>
      <c r="U128" s="10">
        <f t="shared" si="57"/>
        <v>1</v>
      </c>
      <c r="V128" s="10">
        <f t="shared" si="58"/>
        <v>1</v>
      </c>
      <c r="Y128" s="10">
        <f t="shared" si="67"/>
        <v>0.70082399975499998</v>
      </c>
      <c r="Z128" s="10">
        <f t="shared" si="68"/>
        <v>4.6572403120583727</v>
      </c>
      <c r="AA128" s="10">
        <f t="shared" si="69"/>
        <v>11.396048065162745</v>
      </c>
      <c r="AB128" s="10">
        <f t="shared" si="70"/>
        <v>9.9999999999999978E-2</v>
      </c>
      <c r="AC128" s="10">
        <f t="shared" si="71"/>
        <v>4.6418259322686337</v>
      </c>
      <c r="AD128" s="10">
        <f t="shared" si="72"/>
        <v>0.81377052340074485</v>
      </c>
      <c r="AE128" s="10">
        <f t="shared" si="59"/>
        <v>-1</v>
      </c>
      <c r="AF128" s="10">
        <f t="shared" si="60"/>
        <v>1</v>
      </c>
      <c r="AI128" s="10">
        <f t="shared" si="61"/>
        <v>-1</v>
      </c>
      <c r="AJ128" s="10">
        <f t="shared" si="62"/>
        <v>0</v>
      </c>
      <c r="AK128" s="10">
        <f t="shared" si="63"/>
        <v>0</v>
      </c>
      <c r="BJ128" s="11"/>
      <c r="BK128" s="29"/>
      <c r="BL128" s="29"/>
      <c r="BM128" s="11"/>
    </row>
    <row r="129" spans="2:65" x14ac:dyDescent="0.25">
      <c r="B129" s="10">
        <f t="shared" si="52"/>
        <v>110</v>
      </c>
      <c r="C129">
        <v>-0.34382310332148336</v>
      </c>
      <c r="D129">
        <v>-0.15193563740467653</v>
      </c>
      <c r="E129">
        <v>0.43528550065614796</v>
      </c>
      <c r="H129" s="18">
        <f>1</f>
        <v>1</v>
      </c>
      <c r="I129" s="19">
        <f t="shared" si="64"/>
        <v>5.7117874819848176</v>
      </c>
      <c r="J129" s="19">
        <f t="shared" si="65"/>
        <v>14.780349510929934</v>
      </c>
      <c r="K129" s="18">
        <f t="shared" si="66"/>
        <v>1</v>
      </c>
      <c r="L129" s="17"/>
      <c r="M129" s="17"/>
      <c r="N129" s="18">
        <f t="shared" si="53"/>
        <v>5.7117874819848176</v>
      </c>
      <c r="O129" s="18">
        <f t="shared" si="53"/>
        <v>14.780349510929934</v>
      </c>
      <c r="P129" s="18">
        <f t="shared" si="54"/>
        <v>-100</v>
      </c>
      <c r="Q129" s="18">
        <f t="shared" si="54"/>
        <v>-100</v>
      </c>
      <c r="S129" s="10">
        <f t="shared" si="55"/>
        <v>38.640936011039884</v>
      </c>
      <c r="T129" s="10">
        <f t="shared" si="56"/>
        <v>1</v>
      </c>
      <c r="U129" s="10">
        <f t="shared" si="57"/>
        <v>0</v>
      </c>
      <c r="V129" s="10">
        <f t="shared" si="58"/>
        <v>0</v>
      </c>
      <c r="Y129" s="10">
        <f t="shared" si="67"/>
        <v>0</v>
      </c>
      <c r="Z129" s="10">
        <f t="shared" si="68"/>
        <v>0</v>
      </c>
      <c r="AA129" s="10">
        <f t="shared" si="69"/>
        <v>0</v>
      </c>
      <c r="AB129" s="10">
        <f t="shared" si="70"/>
        <v>9.9999999999999978E-2</v>
      </c>
      <c r="AC129" s="10">
        <f t="shared" si="71"/>
        <v>4.6418259322686337</v>
      </c>
      <c r="AD129" s="10">
        <f t="shared" si="72"/>
        <v>0.81377052340074485</v>
      </c>
      <c r="AE129" s="10">
        <f t="shared" si="59"/>
        <v>-1</v>
      </c>
      <c r="AF129" s="10">
        <f t="shared" si="60"/>
        <v>1</v>
      </c>
      <c r="AI129" s="10">
        <f t="shared" si="61"/>
        <v>-1</v>
      </c>
      <c r="AJ129" s="10">
        <f t="shared" si="62"/>
        <v>1</v>
      </c>
      <c r="AK129" s="10">
        <f t="shared" si="63"/>
        <v>1</v>
      </c>
      <c r="BJ129" s="11"/>
      <c r="BK129" s="29"/>
      <c r="BL129" s="29"/>
      <c r="BM129" s="11"/>
    </row>
    <row r="130" spans="2:65" x14ac:dyDescent="0.25">
      <c r="B130" s="10">
        <f t="shared" si="52"/>
        <v>111</v>
      </c>
      <c r="C130">
        <v>-1.1428028301452287</v>
      </c>
      <c r="D130">
        <v>-0.1938690274982946</v>
      </c>
      <c r="E130">
        <v>0.40711691640980252</v>
      </c>
      <c r="H130" s="18">
        <f>1</f>
        <v>1</v>
      </c>
      <c r="I130" s="19">
        <f t="shared" si="64"/>
        <v>4.5599272776503685</v>
      </c>
      <c r="J130" s="19">
        <f t="shared" si="65"/>
        <v>14.719895657521553</v>
      </c>
      <c r="K130" s="18">
        <f t="shared" si="66"/>
        <v>1</v>
      </c>
      <c r="L130" s="17"/>
      <c r="M130" s="17"/>
      <c r="N130" s="18">
        <f t="shared" si="53"/>
        <v>4.5599272776503685</v>
      </c>
      <c r="O130" s="18">
        <f t="shared" si="53"/>
        <v>14.719895657521553</v>
      </c>
      <c r="P130" s="18">
        <f t="shared" si="54"/>
        <v>-100</v>
      </c>
      <c r="Q130" s="18">
        <f t="shared" si="54"/>
        <v>-100</v>
      </c>
      <c r="S130" s="10">
        <f t="shared" si="55"/>
        <v>33.245005880282264</v>
      </c>
      <c r="T130" s="10">
        <f t="shared" si="56"/>
        <v>1</v>
      </c>
      <c r="U130" s="10">
        <f t="shared" si="57"/>
        <v>0</v>
      </c>
      <c r="V130" s="10">
        <f t="shared" si="58"/>
        <v>0</v>
      </c>
      <c r="Y130" s="10">
        <f t="shared" si="67"/>
        <v>0</v>
      </c>
      <c r="Z130" s="10">
        <f t="shared" si="68"/>
        <v>0</v>
      </c>
      <c r="AA130" s="10">
        <f t="shared" si="69"/>
        <v>0</v>
      </c>
      <c r="AB130" s="10">
        <f t="shared" si="70"/>
        <v>9.9999999999999978E-2</v>
      </c>
      <c r="AC130" s="10">
        <f t="shared" si="71"/>
        <v>4.6418259322686337</v>
      </c>
      <c r="AD130" s="10">
        <f t="shared" si="72"/>
        <v>0.81377052340074485</v>
      </c>
      <c r="AE130" s="10">
        <f t="shared" si="59"/>
        <v>-1</v>
      </c>
      <c r="AF130" s="10">
        <f t="shared" si="60"/>
        <v>1</v>
      </c>
      <c r="AI130" s="10">
        <f t="shared" si="61"/>
        <v>-1</v>
      </c>
      <c r="AJ130" s="10">
        <f t="shared" si="62"/>
        <v>0</v>
      </c>
      <c r="AK130" s="10">
        <f t="shared" si="63"/>
        <v>0</v>
      </c>
      <c r="BJ130" s="11"/>
      <c r="BK130" s="29"/>
      <c r="BL130" s="29"/>
      <c r="BM130" s="11"/>
    </row>
    <row r="131" spans="2:65" x14ac:dyDescent="0.25">
      <c r="B131" s="10">
        <f t="shared" si="52"/>
        <v>112</v>
      </c>
      <c r="C131">
        <v>0.53885969464317895</v>
      </c>
      <c r="D131">
        <v>-1.2068630894646049</v>
      </c>
      <c r="E131">
        <v>0.53236487929929499</v>
      </c>
      <c r="H131" s="18">
        <f>1</f>
        <v>1</v>
      </c>
      <c r="I131" s="19">
        <f t="shared" si="64"/>
        <v>6.9843193797188983</v>
      </c>
      <c r="J131" s="19">
        <f t="shared" si="65"/>
        <v>13.25949871873477</v>
      </c>
      <c r="K131" s="18">
        <f t="shared" si="66"/>
        <v>-1</v>
      </c>
      <c r="L131" s="17"/>
      <c r="M131" s="17"/>
      <c r="N131" s="18">
        <f t="shared" si="53"/>
        <v>-100</v>
      </c>
      <c r="O131" s="18">
        <f t="shared" si="53"/>
        <v>-100</v>
      </c>
      <c r="P131" s="18">
        <f t="shared" si="54"/>
        <v>6.9843193797188983</v>
      </c>
      <c r="Q131" s="18">
        <f t="shared" si="54"/>
        <v>13.25949871873477</v>
      </c>
      <c r="S131" s="10">
        <f t="shared" si="55"/>
        <v>43.310184028401856</v>
      </c>
      <c r="T131" s="10">
        <f t="shared" si="56"/>
        <v>1</v>
      </c>
      <c r="U131" s="10">
        <f t="shared" si="57"/>
        <v>-1</v>
      </c>
      <c r="V131" s="10">
        <f t="shared" si="58"/>
        <v>1</v>
      </c>
      <c r="Y131" s="10">
        <f t="shared" si="67"/>
        <v>-0.70082399975499998</v>
      </c>
      <c r="Z131" s="10">
        <f t="shared" si="68"/>
        <v>-4.8947786432609588</v>
      </c>
      <c r="AA131" s="10">
        <f t="shared" si="69"/>
        <v>-9.2925749268099995</v>
      </c>
      <c r="AB131" s="10">
        <f t="shared" si="70"/>
        <v>-0.600823999755</v>
      </c>
      <c r="AC131" s="10">
        <f t="shared" si="71"/>
        <v>-0.25295271099232508</v>
      </c>
      <c r="AD131" s="10">
        <f t="shared" si="72"/>
        <v>-8.4788044034092547</v>
      </c>
      <c r="AE131" s="10">
        <f t="shared" si="59"/>
        <v>-1</v>
      </c>
      <c r="AF131" s="10">
        <f t="shared" si="60"/>
        <v>0</v>
      </c>
      <c r="AI131" s="10">
        <f t="shared" si="61"/>
        <v>-1</v>
      </c>
      <c r="AJ131" s="10">
        <f t="shared" si="62"/>
        <v>1</v>
      </c>
      <c r="AK131" s="10">
        <f t="shared" si="63"/>
        <v>1</v>
      </c>
      <c r="BJ131" s="11"/>
      <c r="BK131" s="29"/>
      <c r="BL131" s="29"/>
      <c r="BM131" s="11"/>
    </row>
    <row r="132" spans="2:65" x14ac:dyDescent="0.25">
      <c r="B132" s="10">
        <f t="shared" si="52"/>
        <v>113</v>
      </c>
      <c r="C132">
        <v>-0.4752598670165753</v>
      </c>
      <c r="D132">
        <v>-0.41652924664958846</v>
      </c>
      <c r="E132">
        <v>0.76421399578844573</v>
      </c>
      <c r="H132" s="18">
        <f>1</f>
        <v>1</v>
      </c>
      <c r="I132" s="19">
        <f t="shared" si="64"/>
        <v>5.5222998486893538</v>
      </c>
      <c r="J132" s="19">
        <f t="shared" si="65"/>
        <v>14.398894464477088</v>
      </c>
      <c r="K132" s="18">
        <f t="shared" si="66"/>
        <v>-1</v>
      </c>
      <c r="L132" s="17"/>
      <c r="M132" s="17"/>
      <c r="N132" s="18">
        <f t="shared" si="53"/>
        <v>-100</v>
      </c>
      <c r="O132" s="18">
        <f t="shared" si="53"/>
        <v>-100</v>
      </c>
      <c r="P132" s="18">
        <f t="shared" si="54"/>
        <v>5.5222998486893538</v>
      </c>
      <c r="Q132" s="18">
        <f t="shared" si="54"/>
        <v>14.398894464477088</v>
      </c>
      <c r="S132" s="10">
        <f t="shared" si="55"/>
        <v>-124.08311450702695</v>
      </c>
      <c r="T132" s="10">
        <f t="shared" si="56"/>
        <v>-1</v>
      </c>
      <c r="U132" s="10">
        <f t="shared" si="57"/>
        <v>0</v>
      </c>
      <c r="V132" s="10">
        <f t="shared" si="58"/>
        <v>0</v>
      </c>
      <c r="Y132" s="10">
        <f t="shared" si="67"/>
        <v>0</v>
      </c>
      <c r="Z132" s="10">
        <f t="shared" si="68"/>
        <v>0</v>
      </c>
      <c r="AA132" s="10">
        <f t="shared" si="69"/>
        <v>0</v>
      </c>
      <c r="AB132" s="10">
        <f t="shared" si="70"/>
        <v>-0.600823999755</v>
      </c>
      <c r="AC132" s="10">
        <f t="shared" si="71"/>
        <v>-0.25295271099232508</v>
      </c>
      <c r="AD132" s="10">
        <f t="shared" si="72"/>
        <v>-8.4788044034092547</v>
      </c>
      <c r="AE132" s="10">
        <f t="shared" si="59"/>
        <v>-1</v>
      </c>
      <c r="AF132" s="10">
        <f t="shared" si="60"/>
        <v>0</v>
      </c>
      <c r="AI132" s="10">
        <f t="shared" si="61"/>
        <v>-1</v>
      </c>
      <c r="AJ132" s="10">
        <f t="shared" si="62"/>
        <v>1</v>
      </c>
      <c r="AK132" s="10">
        <f t="shared" si="63"/>
        <v>1</v>
      </c>
      <c r="BJ132" s="11"/>
      <c r="BK132" s="29"/>
      <c r="BL132" s="29"/>
      <c r="BM132" s="11"/>
    </row>
    <row r="133" spans="2:65" x14ac:dyDescent="0.25">
      <c r="B133" s="10">
        <f t="shared" si="52"/>
        <v>114</v>
      </c>
      <c r="C133">
        <v>-1.2000782589893788</v>
      </c>
      <c r="D133">
        <v>0.14435499906539917</v>
      </c>
      <c r="E133">
        <v>0.55595568712424082</v>
      </c>
      <c r="H133" s="18">
        <f>1</f>
        <v>1</v>
      </c>
      <c r="I133" s="19">
        <f t="shared" si="64"/>
        <v>4.4773553612964516</v>
      </c>
      <c r="J133" s="19">
        <f t="shared" si="65"/>
        <v>15.207501016292337</v>
      </c>
      <c r="K133" s="18">
        <f t="shared" si="66"/>
        <v>-1</v>
      </c>
      <c r="L133" s="17"/>
      <c r="M133" s="17"/>
      <c r="N133" s="18">
        <f t="shared" si="53"/>
        <v>-100</v>
      </c>
      <c r="O133" s="18">
        <f t="shared" si="53"/>
        <v>-100</v>
      </c>
      <c r="P133" s="18">
        <f t="shared" si="54"/>
        <v>4.4773553612964516</v>
      </c>
      <c r="Q133" s="18">
        <f t="shared" si="54"/>
        <v>15.207501016292337</v>
      </c>
      <c r="S133" s="10">
        <f t="shared" si="55"/>
        <v>-130.67480975826115</v>
      </c>
      <c r="T133" s="10">
        <f t="shared" si="56"/>
        <v>-1</v>
      </c>
      <c r="U133" s="10">
        <f t="shared" si="57"/>
        <v>0</v>
      </c>
      <c r="V133" s="10">
        <f t="shared" si="58"/>
        <v>0</v>
      </c>
      <c r="Y133" s="10">
        <f t="shared" si="67"/>
        <v>0</v>
      </c>
      <c r="Z133" s="10">
        <f t="shared" si="68"/>
        <v>0</v>
      </c>
      <c r="AA133" s="10">
        <f t="shared" si="69"/>
        <v>0</v>
      </c>
      <c r="AB133" s="10">
        <f t="shared" si="70"/>
        <v>-0.600823999755</v>
      </c>
      <c r="AC133" s="10">
        <f t="shared" si="71"/>
        <v>-0.25295271099232508</v>
      </c>
      <c r="AD133" s="10">
        <f t="shared" si="72"/>
        <v>-8.4788044034092547</v>
      </c>
      <c r="AE133" s="10">
        <f t="shared" si="59"/>
        <v>-1</v>
      </c>
      <c r="AF133" s="10">
        <f t="shared" si="60"/>
        <v>0</v>
      </c>
      <c r="AI133" s="10">
        <f t="shared" si="61"/>
        <v>-1</v>
      </c>
      <c r="AJ133" s="10">
        <f t="shared" si="62"/>
        <v>1</v>
      </c>
      <c r="AK133" s="10">
        <f t="shared" si="63"/>
        <v>1</v>
      </c>
      <c r="BJ133" s="11"/>
      <c r="BK133" s="29"/>
      <c r="BL133" s="29"/>
      <c r="BM133" s="11"/>
    </row>
    <row r="134" spans="2:65" x14ac:dyDescent="0.25">
      <c r="B134" s="10">
        <f t="shared" si="52"/>
        <v>115</v>
      </c>
      <c r="C134">
        <v>9.3118615041021258E-2</v>
      </c>
      <c r="D134">
        <v>-0.49470600060885772</v>
      </c>
      <c r="E134">
        <v>0.28885769219031343</v>
      </c>
      <c r="H134" s="18">
        <f>1</f>
        <v>1</v>
      </c>
      <c r="I134" s="19">
        <f t="shared" si="64"/>
        <v>6.3417105702665131</v>
      </c>
      <c r="J134" s="19">
        <f t="shared" si="65"/>
        <v>14.286189862887626</v>
      </c>
      <c r="K134" s="18">
        <f t="shared" si="66"/>
        <v>1</v>
      </c>
      <c r="L134" s="17"/>
      <c r="M134" s="17"/>
      <c r="N134" s="18">
        <f t="shared" si="53"/>
        <v>6.3417105702665131</v>
      </c>
      <c r="O134" s="18">
        <f t="shared" si="53"/>
        <v>14.286189862887626</v>
      </c>
      <c r="P134" s="18">
        <f t="shared" si="54"/>
        <v>-100</v>
      </c>
      <c r="Q134" s="18">
        <f t="shared" si="54"/>
        <v>-100</v>
      </c>
      <c r="S134" s="10">
        <f t="shared" si="55"/>
        <v>-123.33478639822486</v>
      </c>
      <c r="T134" s="10">
        <f t="shared" si="56"/>
        <v>-1</v>
      </c>
      <c r="U134" s="10">
        <f t="shared" si="57"/>
        <v>1</v>
      </c>
      <c r="V134" s="10">
        <f t="shared" si="58"/>
        <v>1</v>
      </c>
      <c r="Y134" s="10">
        <f t="shared" si="67"/>
        <v>0.70082399975499998</v>
      </c>
      <c r="Z134" s="10">
        <f t="shared" si="68"/>
        <v>4.4444229671427395</v>
      </c>
      <c r="AA134" s="10">
        <f t="shared" si="69"/>
        <v>10.012104720968241</v>
      </c>
      <c r="AB134" s="10">
        <f t="shared" si="70"/>
        <v>9.9999999999999978E-2</v>
      </c>
      <c r="AC134" s="10">
        <f t="shared" si="71"/>
        <v>4.1914702561504145</v>
      </c>
      <c r="AD134" s="10">
        <f t="shared" si="72"/>
        <v>1.5333003175589859</v>
      </c>
      <c r="AE134" s="10">
        <f t="shared" si="59"/>
        <v>-1</v>
      </c>
      <c r="AF134" s="10">
        <f t="shared" si="60"/>
        <v>1</v>
      </c>
      <c r="AI134" s="10">
        <f t="shared" si="61"/>
        <v>-1</v>
      </c>
      <c r="AJ134" s="10">
        <f t="shared" si="62"/>
        <v>0</v>
      </c>
      <c r="AK134" s="10">
        <f t="shared" si="63"/>
        <v>0</v>
      </c>
      <c r="BJ134" s="11"/>
      <c r="BK134" s="29"/>
      <c r="BL134" s="29"/>
      <c r="BM134" s="11"/>
    </row>
    <row r="135" spans="2:65" x14ac:dyDescent="0.25">
      <c r="B135" s="10">
        <f t="shared" si="52"/>
        <v>116</v>
      </c>
      <c r="C135">
        <v>-0.11018983059329912</v>
      </c>
      <c r="D135">
        <v>-0.48780066208564676</v>
      </c>
      <c r="E135">
        <v>0.55619983520004879</v>
      </c>
      <c r="H135" s="18">
        <f>1</f>
        <v>1</v>
      </c>
      <c r="I135" s="19">
        <f t="shared" si="64"/>
        <v>6.048608129905185</v>
      </c>
      <c r="J135" s="19">
        <f t="shared" si="65"/>
        <v>14.296145039940697</v>
      </c>
      <c r="K135" s="18">
        <f t="shared" si="66"/>
        <v>-1</v>
      </c>
      <c r="L135" s="17"/>
      <c r="M135" s="17"/>
      <c r="N135" s="18">
        <f t="shared" si="53"/>
        <v>-100</v>
      </c>
      <c r="O135" s="18">
        <f t="shared" si="53"/>
        <v>-100</v>
      </c>
      <c r="P135" s="18">
        <f t="shared" si="54"/>
        <v>6.048608129905185</v>
      </c>
      <c r="Q135" s="18">
        <f t="shared" si="54"/>
        <v>14.296145039940697</v>
      </c>
      <c r="S135" s="10">
        <f t="shared" si="55"/>
        <v>47.37284479721756</v>
      </c>
      <c r="T135" s="10">
        <f t="shared" si="56"/>
        <v>1</v>
      </c>
      <c r="U135" s="10">
        <f t="shared" si="57"/>
        <v>-1</v>
      </c>
      <c r="V135" s="10">
        <f t="shared" si="58"/>
        <v>1</v>
      </c>
      <c r="Y135" s="10">
        <f t="shared" si="67"/>
        <v>-0.70082399975499998</v>
      </c>
      <c r="Z135" s="10">
        <f t="shared" si="68"/>
        <v>-4.2390097425507625</v>
      </c>
      <c r="AA135" s="10">
        <f t="shared" si="69"/>
        <v>-10.019081547968844</v>
      </c>
      <c r="AB135" s="10">
        <f t="shared" si="70"/>
        <v>-0.600823999755</v>
      </c>
      <c r="AC135" s="10">
        <f t="shared" si="71"/>
        <v>-4.7539486400347997E-2</v>
      </c>
      <c r="AD135" s="10">
        <f t="shared" si="72"/>
        <v>-8.4857812304098577</v>
      </c>
      <c r="AE135" s="10">
        <f t="shared" si="59"/>
        <v>-1</v>
      </c>
      <c r="AF135" s="10">
        <f t="shared" si="60"/>
        <v>0</v>
      </c>
      <c r="AI135" s="10">
        <f t="shared" si="61"/>
        <v>-1</v>
      </c>
      <c r="AJ135" s="10">
        <f t="shared" si="62"/>
        <v>0</v>
      </c>
      <c r="AK135" s="10">
        <f t="shared" si="63"/>
        <v>0</v>
      </c>
      <c r="BJ135" s="11"/>
      <c r="BK135" s="29"/>
      <c r="BL135" s="29"/>
      <c r="BM135" s="11"/>
    </row>
    <row r="136" spans="2:65" x14ac:dyDescent="0.25">
      <c r="B136" s="10">
        <f t="shared" si="52"/>
        <v>117</v>
      </c>
      <c r="C136">
        <v>-0.55833311307651456</v>
      </c>
      <c r="D136">
        <v>1.5835985323064961</v>
      </c>
      <c r="E136">
        <v>0.48435926389355144</v>
      </c>
      <c r="H136" s="18">
        <f>1</f>
        <v>1</v>
      </c>
      <c r="I136" s="19">
        <f t="shared" si="64"/>
        <v>5.4025361513528427</v>
      </c>
      <c r="J136" s="19">
        <f t="shared" si="65"/>
        <v>17.28240641705457</v>
      </c>
      <c r="K136" s="18">
        <f t="shared" si="66"/>
        <v>1</v>
      </c>
      <c r="L136" s="17"/>
      <c r="M136" s="17"/>
      <c r="N136" s="18">
        <f t="shared" si="53"/>
        <v>5.4025361513528427</v>
      </c>
      <c r="O136" s="18">
        <f t="shared" si="53"/>
        <v>17.28240641705457</v>
      </c>
      <c r="P136" s="18">
        <f t="shared" si="54"/>
        <v>-100</v>
      </c>
      <c r="Q136" s="18">
        <f t="shared" si="54"/>
        <v>-100</v>
      </c>
      <c r="S136" s="10">
        <f t="shared" si="55"/>
        <v>-147.51237778380619</v>
      </c>
      <c r="T136" s="10">
        <f t="shared" si="56"/>
        <v>-1</v>
      </c>
      <c r="U136" s="10">
        <f t="shared" si="57"/>
        <v>1</v>
      </c>
      <c r="V136" s="10">
        <f t="shared" si="58"/>
        <v>1</v>
      </c>
      <c r="Y136" s="10">
        <f t="shared" si="67"/>
        <v>0.70082399975499998</v>
      </c>
      <c r="Z136" s="10">
        <f t="shared" si="68"/>
        <v>3.786226994412083</v>
      </c>
      <c r="AA136" s="10">
        <f t="shared" si="69"/>
        <v>12.111925190591663</v>
      </c>
      <c r="AB136" s="10">
        <f t="shared" si="70"/>
        <v>9.9999999999999978E-2</v>
      </c>
      <c r="AC136" s="10">
        <f t="shared" si="71"/>
        <v>3.738687508011735</v>
      </c>
      <c r="AD136" s="10">
        <f t="shared" si="72"/>
        <v>3.6261439601818051</v>
      </c>
      <c r="AE136" s="10">
        <f t="shared" si="59"/>
        <v>-1</v>
      </c>
      <c r="AF136" s="10">
        <f t="shared" si="60"/>
        <v>1</v>
      </c>
      <c r="AI136" s="10">
        <f t="shared" si="61"/>
        <v>-1</v>
      </c>
      <c r="AJ136" s="10">
        <f t="shared" si="62"/>
        <v>0</v>
      </c>
      <c r="AK136" s="10">
        <f t="shared" si="63"/>
        <v>0</v>
      </c>
      <c r="BJ136" s="11"/>
      <c r="BK136" s="29"/>
      <c r="BL136" s="29"/>
      <c r="BM136" s="11"/>
    </row>
    <row r="137" spans="2:65" x14ac:dyDescent="0.25">
      <c r="B137" s="10">
        <f t="shared" si="52"/>
        <v>118</v>
      </c>
      <c r="C137">
        <v>-1.4115403246250935</v>
      </c>
      <c r="D137">
        <v>-0.4294133759685792</v>
      </c>
      <c r="E137">
        <v>0.62425611133152259</v>
      </c>
      <c r="H137" s="18">
        <f>1</f>
        <v>1</v>
      </c>
      <c r="I137" s="19">
        <f t="shared" si="64"/>
        <v>4.1724981415764431</v>
      </c>
      <c r="J137" s="19">
        <f t="shared" si="65"/>
        <v>14.380319880752616</v>
      </c>
      <c r="K137" s="18">
        <f t="shared" si="66"/>
        <v>-1</v>
      </c>
      <c r="L137" s="17"/>
      <c r="M137" s="17"/>
      <c r="N137" s="18">
        <f t="shared" si="53"/>
        <v>-100</v>
      </c>
      <c r="O137" s="18">
        <f t="shared" si="53"/>
        <v>-100</v>
      </c>
      <c r="P137" s="18">
        <f t="shared" si="54"/>
        <v>4.1724981415764431</v>
      </c>
      <c r="Q137" s="18">
        <f t="shared" si="54"/>
        <v>14.380319880752616</v>
      </c>
      <c r="S137" s="10">
        <f t="shared" si="55"/>
        <v>67.844776760187457</v>
      </c>
      <c r="T137" s="10">
        <f t="shared" si="56"/>
        <v>1</v>
      </c>
      <c r="U137" s="10">
        <f t="shared" si="57"/>
        <v>-1</v>
      </c>
      <c r="V137" s="10">
        <f t="shared" si="58"/>
        <v>1</v>
      </c>
      <c r="Y137" s="10">
        <f t="shared" si="67"/>
        <v>-0.70082399975499998</v>
      </c>
      <c r="Z137" s="10">
        <f t="shared" si="68"/>
        <v>-2.9241868365499069</v>
      </c>
      <c r="AA137" s="10">
        <f t="shared" si="69"/>
        <v>-10.078073296585393</v>
      </c>
      <c r="AB137" s="10">
        <f t="shared" si="70"/>
        <v>-0.600823999755</v>
      </c>
      <c r="AC137" s="10">
        <f t="shared" si="71"/>
        <v>0.81450067146182814</v>
      </c>
      <c r="AD137" s="10">
        <f t="shared" si="72"/>
        <v>-6.4519293364035875</v>
      </c>
      <c r="AE137" s="10">
        <f t="shared" si="59"/>
        <v>-1</v>
      </c>
      <c r="AF137" s="10">
        <f t="shared" si="60"/>
        <v>0</v>
      </c>
      <c r="AI137" s="10">
        <f t="shared" si="61"/>
        <v>-1</v>
      </c>
      <c r="AJ137" s="10">
        <f t="shared" si="62"/>
        <v>1</v>
      </c>
      <c r="AK137" s="10">
        <f t="shared" si="63"/>
        <v>1</v>
      </c>
      <c r="BJ137" s="11"/>
      <c r="BK137" s="29"/>
      <c r="BL137" s="29"/>
      <c r="BM137" s="11"/>
    </row>
    <row r="138" spans="2:65" x14ac:dyDescent="0.25">
      <c r="B138" s="10">
        <f t="shared" si="52"/>
        <v>119</v>
      </c>
      <c r="C138">
        <v>-0.87460875874967314</v>
      </c>
      <c r="D138">
        <v>-0.16432863958470989</v>
      </c>
      <c r="E138">
        <v>0.58699301126132997</v>
      </c>
      <c r="H138" s="18">
        <f>1</f>
        <v>1</v>
      </c>
      <c r="I138" s="19">
        <f t="shared" si="64"/>
        <v>4.946572980297991</v>
      </c>
      <c r="J138" s="19">
        <f t="shared" si="65"/>
        <v>14.762482967456847</v>
      </c>
      <c r="K138" s="18">
        <f t="shared" si="66"/>
        <v>-1</v>
      </c>
      <c r="L138" s="17"/>
      <c r="M138" s="17"/>
      <c r="N138" s="18">
        <f t="shared" si="53"/>
        <v>-100</v>
      </c>
      <c r="O138" s="18">
        <f t="shared" si="53"/>
        <v>-100</v>
      </c>
      <c r="P138" s="18">
        <f t="shared" si="54"/>
        <v>4.946572980297991</v>
      </c>
      <c r="Q138" s="18">
        <f t="shared" si="54"/>
        <v>14.762482967456847</v>
      </c>
      <c r="S138" s="10">
        <f t="shared" si="55"/>
        <v>-91.81833392176047</v>
      </c>
      <c r="T138" s="10">
        <f t="shared" si="56"/>
        <v>-1</v>
      </c>
      <c r="U138" s="10">
        <f t="shared" si="57"/>
        <v>0</v>
      </c>
      <c r="V138" s="10">
        <f t="shared" si="58"/>
        <v>0</v>
      </c>
      <c r="Y138" s="10">
        <f t="shared" si="67"/>
        <v>0</v>
      </c>
      <c r="Z138" s="10">
        <f t="shared" si="68"/>
        <v>0</v>
      </c>
      <c r="AA138" s="10">
        <f t="shared" si="69"/>
        <v>0</v>
      </c>
      <c r="AB138" s="10">
        <f t="shared" si="70"/>
        <v>-0.600823999755</v>
      </c>
      <c r="AC138" s="10">
        <f t="shared" si="71"/>
        <v>0.81450067146182814</v>
      </c>
      <c r="AD138" s="10">
        <f t="shared" si="72"/>
        <v>-6.4519293364035875</v>
      </c>
      <c r="AE138" s="10">
        <f t="shared" si="59"/>
        <v>-1</v>
      </c>
      <c r="AF138" s="10">
        <f t="shared" si="60"/>
        <v>0</v>
      </c>
      <c r="AI138" s="10">
        <f t="shared" si="61"/>
        <v>-1</v>
      </c>
      <c r="AJ138" s="10">
        <f t="shared" si="62"/>
        <v>0</v>
      </c>
      <c r="AK138" s="10">
        <f t="shared" si="63"/>
        <v>0</v>
      </c>
      <c r="BJ138" s="11"/>
      <c r="BK138" s="29"/>
      <c r="BL138" s="29"/>
      <c r="BM138" s="11"/>
    </row>
    <row r="139" spans="2:65" x14ac:dyDescent="0.25">
      <c r="B139" s="10">
        <f t="shared" si="52"/>
        <v>120</v>
      </c>
      <c r="C139">
        <v>0.58390810409036931</v>
      </c>
      <c r="D139">
        <v>1.4389979696716182</v>
      </c>
      <c r="E139">
        <v>0.5842463454084903</v>
      </c>
      <c r="H139" s="18">
        <f>1</f>
        <v>1</v>
      </c>
      <c r="I139" s="19">
        <f t="shared" si="64"/>
        <v>7.0492640439809859</v>
      </c>
      <c r="J139" s="19">
        <f t="shared" si="65"/>
        <v>17.07394101044704</v>
      </c>
      <c r="K139" s="18">
        <f t="shared" si="66"/>
        <v>-1</v>
      </c>
      <c r="L139" s="17"/>
      <c r="M139" s="17"/>
      <c r="N139" s="18">
        <f t="shared" si="53"/>
        <v>-100</v>
      </c>
      <c r="O139" s="18">
        <f t="shared" si="53"/>
        <v>-100</v>
      </c>
      <c r="P139" s="18">
        <f t="shared" si="54"/>
        <v>7.0492640439809859</v>
      </c>
      <c r="Q139" s="18">
        <f t="shared" si="54"/>
        <v>17.07394101044704</v>
      </c>
      <c r="S139" s="10">
        <f t="shared" si="55"/>
        <v>-105.01905459594835</v>
      </c>
      <c r="T139" s="10">
        <f t="shared" si="56"/>
        <v>-1</v>
      </c>
      <c r="U139" s="10">
        <f t="shared" si="57"/>
        <v>0</v>
      </c>
      <c r="V139" s="10">
        <f t="shared" si="58"/>
        <v>0</v>
      </c>
      <c r="X139" s="10">
        <f>SUM(V120:V139)</f>
        <v>10</v>
      </c>
      <c r="Y139" s="10">
        <f t="shared" si="67"/>
        <v>0</v>
      </c>
      <c r="Z139" s="10">
        <f t="shared" si="68"/>
        <v>0</v>
      </c>
      <c r="AA139" s="10">
        <f t="shared" si="69"/>
        <v>0</v>
      </c>
      <c r="AB139" s="10">
        <f t="shared" si="70"/>
        <v>-0.600823999755</v>
      </c>
      <c r="AC139" s="10">
        <f t="shared" si="71"/>
        <v>0.81450067146182814</v>
      </c>
      <c r="AD139" s="10">
        <f t="shared" si="72"/>
        <v>-6.4519293364035875</v>
      </c>
      <c r="AE139" s="10">
        <f t="shared" si="59"/>
        <v>-1</v>
      </c>
      <c r="AF139" s="10">
        <f t="shared" si="60"/>
        <v>0</v>
      </c>
      <c r="AI139" s="10">
        <f t="shared" si="61"/>
        <v>-1</v>
      </c>
      <c r="AJ139" s="10">
        <f t="shared" si="62"/>
        <v>1</v>
      </c>
      <c r="AK139" s="10">
        <f t="shared" si="63"/>
        <v>1</v>
      </c>
      <c r="BJ139" s="11"/>
      <c r="BK139" s="29"/>
      <c r="BL139" s="29"/>
      <c r="BM139" s="11"/>
    </row>
    <row r="140" spans="2:65" x14ac:dyDescent="0.25">
      <c r="B140" s="10">
        <f t="shared" si="52"/>
        <v>121</v>
      </c>
      <c r="C140">
        <v>-0.5576180228672456</v>
      </c>
      <c r="D140">
        <v>-0.58028263083542697</v>
      </c>
      <c r="E140">
        <v>0.3380230109561449</v>
      </c>
      <c r="H140" s="18">
        <f>1</f>
        <v>1</v>
      </c>
      <c r="I140" s="19">
        <f t="shared" si="64"/>
        <v>5.4035670710707189</v>
      </c>
      <c r="J140" s="19">
        <f t="shared" si="65"/>
        <v>14.162817127047516</v>
      </c>
      <c r="K140" s="18">
        <f t="shared" si="66"/>
        <v>1</v>
      </c>
      <c r="L140" s="17"/>
      <c r="M140" s="17"/>
      <c r="N140" s="18">
        <f t="shared" si="53"/>
        <v>5.4035670710707189</v>
      </c>
      <c r="O140" s="18">
        <f t="shared" si="53"/>
        <v>14.162817127047516</v>
      </c>
      <c r="P140" s="18">
        <f t="shared" si="54"/>
        <v>-100</v>
      </c>
      <c r="Q140" s="18">
        <f t="shared" si="54"/>
        <v>-100</v>
      </c>
      <c r="S140" s="12">
        <f t="shared" si="55"/>
        <v>-87.577110300195926</v>
      </c>
      <c r="T140" s="12">
        <f t="shared" si="56"/>
        <v>-1</v>
      </c>
      <c r="U140" s="12">
        <f t="shared" si="57"/>
        <v>1</v>
      </c>
      <c r="V140" s="12">
        <f t="shared" si="58"/>
        <v>1</v>
      </c>
      <c r="W140" s="12"/>
      <c r="X140" s="12"/>
      <c r="Y140" s="10">
        <f t="shared" si="67"/>
        <v>0.70082399975499998</v>
      </c>
      <c r="Z140" s="10">
        <f t="shared" si="68"/>
        <v>3.7869494876921914</v>
      </c>
      <c r="AA140" s="10">
        <f t="shared" si="69"/>
        <v>9.9256421467760578</v>
      </c>
      <c r="AB140" s="10">
        <f t="shared" si="70"/>
        <v>9.9999999999999978E-2</v>
      </c>
      <c r="AC140" s="10">
        <f t="shared" si="71"/>
        <v>4.6014501591540196</v>
      </c>
      <c r="AD140" s="10">
        <f t="shared" si="72"/>
        <v>3.4737128103724704</v>
      </c>
      <c r="AE140" s="10">
        <f t="shared" si="59"/>
        <v>-1</v>
      </c>
      <c r="AF140" s="10">
        <f t="shared" si="60"/>
        <v>1</v>
      </c>
      <c r="AI140" s="10">
        <f t="shared" si="61"/>
        <v>-1</v>
      </c>
      <c r="AJ140" s="10">
        <f t="shared" si="62"/>
        <v>0</v>
      </c>
      <c r="AK140" s="10">
        <f t="shared" si="63"/>
        <v>0</v>
      </c>
      <c r="BJ140" s="11"/>
      <c r="BK140" s="29"/>
      <c r="BL140" s="29"/>
      <c r="BM140" s="11"/>
    </row>
    <row r="141" spans="2:65" x14ac:dyDescent="0.25">
      <c r="B141" s="10">
        <f t="shared" si="52"/>
        <v>122</v>
      </c>
      <c r="C141">
        <v>2.1765345081803389E-2</v>
      </c>
      <c r="D141">
        <v>-0.39278347685467452</v>
      </c>
      <c r="E141">
        <v>0.13446455275124364</v>
      </c>
      <c r="H141" s="18">
        <f>1</f>
        <v>1</v>
      </c>
      <c r="I141" s="19">
        <f t="shared" si="64"/>
        <v>6.2388431390215571</v>
      </c>
      <c r="J141" s="19">
        <f t="shared" si="65"/>
        <v>14.433127882835251</v>
      </c>
      <c r="K141" s="18">
        <f t="shared" si="66"/>
        <v>1</v>
      </c>
      <c r="L141" s="17"/>
      <c r="M141" s="17"/>
      <c r="N141" s="18">
        <f t="shared" si="53"/>
        <v>6.2388431390215571</v>
      </c>
      <c r="O141" s="18">
        <f t="shared" si="53"/>
        <v>14.433127882835251</v>
      </c>
      <c r="P141" s="18">
        <f t="shared" si="54"/>
        <v>-100</v>
      </c>
      <c r="Q141" s="18">
        <f t="shared" si="54"/>
        <v>-100</v>
      </c>
      <c r="S141" s="10">
        <f t="shared" si="55"/>
        <v>78.944266975336603</v>
      </c>
      <c r="T141" s="10">
        <f t="shared" si="56"/>
        <v>1</v>
      </c>
      <c r="U141" s="10">
        <f t="shared" si="57"/>
        <v>0</v>
      </c>
      <c r="V141" s="10">
        <f t="shared" si="58"/>
        <v>0</v>
      </c>
      <c r="Y141" s="10">
        <f t="shared" si="67"/>
        <v>0</v>
      </c>
      <c r="Z141" s="10">
        <f t="shared" si="68"/>
        <v>0</v>
      </c>
      <c r="AA141" s="10">
        <f t="shared" si="69"/>
        <v>0</v>
      </c>
      <c r="AB141" s="10">
        <f t="shared" si="70"/>
        <v>9.9999999999999978E-2</v>
      </c>
      <c r="AC141" s="10">
        <f t="shared" si="71"/>
        <v>4.6014501591540196</v>
      </c>
      <c r="AD141" s="10">
        <f t="shared" si="72"/>
        <v>3.4737128103724704</v>
      </c>
      <c r="AE141" s="10">
        <f t="shared" si="59"/>
        <v>-1</v>
      </c>
      <c r="AF141" s="10">
        <f t="shared" si="60"/>
        <v>1</v>
      </c>
      <c r="AI141" s="10">
        <f t="shared" si="61"/>
        <v>-1</v>
      </c>
      <c r="AJ141" s="10">
        <f t="shared" si="62"/>
        <v>0</v>
      </c>
      <c r="AK141" s="10">
        <f t="shared" si="63"/>
        <v>0</v>
      </c>
      <c r="BJ141" s="11"/>
      <c r="BK141" s="29"/>
      <c r="BL141" s="29"/>
      <c r="BM141" s="11"/>
    </row>
    <row r="142" spans="2:65" x14ac:dyDescent="0.25">
      <c r="B142" s="10">
        <f t="shared" si="52"/>
        <v>123</v>
      </c>
      <c r="C142">
        <v>-0.3665559233922977</v>
      </c>
      <c r="D142">
        <v>2.0042352844029665</v>
      </c>
      <c r="E142">
        <v>0.18832972197637868</v>
      </c>
      <c r="H142" s="18">
        <f>1</f>
        <v>1</v>
      </c>
      <c r="I142" s="19">
        <f t="shared" si="64"/>
        <v>5.6790143966451403</v>
      </c>
      <c r="J142" s="19">
        <f t="shared" si="65"/>
        <v>17.888823224583035</v>
      </c>
      <c r="K142" s="18">
        <f t="shared" si="66"/>
        <v>1</v>
      </c>
      <c r="L142" s="17"/>
      <c r="M142" s="17"/>
      <c r="N142" s="18">
        <f t="shared" si="53"/>
        <v>5.6790143966451403</v>
      </c>
      <c r="O142" s="18">
        <f t="shared" si="53"/>
        <v>17.888823224583035</v>
      </c>
      <c r="P142" s="18">
        <f t="shared" si="54"/>
        <v>-100</v>
      </c>
      <c r="Q142" s="18">
        <f t="shared" si="54"/>
        <v>-100</v>
      </c>
      <c r="S142" s="10">
        <f t="shared" si="55"/>
        <v>88.372336097003398</v>
      </c>
      <c r="T142" s="10">
        <f t="shared" si="56"/>
        <v>1</v>
      </c>
      <c r="U142" s="10">
        <f t="shared" si="57"/>
        <v>0</v>
      </c>
      <c r="V142" s="10">
        <f t="shared" si="58"/>
        <v>0</v>
      </c>
      <c r="Y142" s="10">
        <f t="shared" si="67"/>
        <v>0</v>
      </c>
      <c r="Z142" s="10">
        <f t="shared" si="68"/>
        <v>0</v>
      </c>
      <c r="AA142" s="10">
        <f t="shared" si="69"/>
        <v>0</v>
      </c>
      <c r="AB142" s="10">
        <f t="shared" si="70"/>
        <v>9.9999999999999978E-2</v>
      </c>
      <c r="AC142" s="10">
        <f t="shared" si="71"/>
        <v>4.6014501591540196</v>
      </c>
      <c r="AD142" s="10">
        <f t="shared" si="72"/>
        <v>3.4737128103724704</v>
      </c>
      <c r="AE142" s="10">
        <f t="shared" si="59"/>
        <v>-1</v>
      </c>
      <c r="AF142" s="10">
        <f t="shared" si="60"/>
        <v>1</v>
      </c>
      <c r="AI142" s="10">
        <f t="shared" si="61"/>
        <v>-1</v>
      </c>
      <c r="AJ142" s="10">
        <f t="shared" si="62"/>
        <v>0</v>
      </c>
      <c r="AK142" s="10">
        <f t="shared" si="63"/>
        <v>0</v>
      </c>
      <c r="BJ142" s="11"/>
      <c r="BK142" s="29"/>
      <c r="BL142" s="29"/>
      <c r="BM142" s="11"/>
    </row>
    <row r="143" spans="2:65" x14ac:dyDescent="0.25">
      <c r="B143" s="10">
        <f t="shared" si="52"/>
        <v>124</v>
      </c>
      <c r="C143">
        <v>2.2824679035693407</v>
      </c>
      <c r="D143">
        <v>-0.32828211260493845</v>
      </c>
      <c r="E143">
        <v>0.34702597125156409</v>
      </c>
      <c r="H143" s="18">
        <f>1</f>
        <v>1</v>
      </c>
      <c r="I143" s="19">
        <f t="shared" si="64"/>
        <v>9.4980163364577788</v>
      </c>
      <c r="J143" s="19">
        <f t="shared" si="65"/>
        <v>14.526117169184117</v>
      </c>
      <c r="K143" s="18">
        <f t="shared" si="66"/>
        <v>1</v>
      </c>
      <c r="L143" s="17"/>
      <c r="M143" s="17"/>
      <c r="N143" s="18">
        <f t="shared" si="53"/>
        <v>9.4980163364577788</v>
      </c>
      <c r="O143" s="18">
        <f t="shared" si="53"/>
        <v>14.526117169184117</v>
      </c>
      <c r="P143" s="18">
        <f t="shared" si="54"/>
        <v>-100</v>
      </c>
      <c r="Q143" s="18">
        <f t="shared" si="54"/>
        <v>-100</v>
      </c>
      <c r="S143" s="10">
        <f t="shared" si="55"/>
        <v>94.264208078607481</v>
      </c>
      <c r="T143" s="10">
        <f t="shared" si="56"/>
        <v>1</v>
      </c>
      <c r="U143" s="10">
        <f t="shared" si="57"/>
        <v>0</v>
      </c>
      <c r="V143" s="10">
        <f t="shared" si="58"/>
        <v>0</v>
      </c>
      <c r="Y143" s="10">
        <f t="shared" si="67"/>
        <v>0</v>
      </c>
      <c r="Z143" s="10">
        <f t="shared" si="68"/>
        <v>0</v>
      </c>
      <c r="AA143" s="10">
        <f t="shared" si="69"/>
        <v>0</v>
      </c>
      <c r="AB143" s="10">
        <f t="shared" si="70"/>
        <v>9.9999999999999978E-2</v>
      </c>
      <c r="AC143" s="10">
        <f t="shared" si="71"/>
        <v>4.6014501591540196</v>
      </c>
      <c r="AD143" s="10">
        <f t="shared" si="72"/>
        <v>3.4737128103724704</v>
      </c>
      <c r="AE143" s="10">
        <f t="shared" si="59"/>
        <v>-1</v>
      </c>
      <c r="AF143" s="10">
        <f t="shared" si="60"/>
        <v>1</v>
      </c>
      <c r="AI143" s="10">
        <f t="shared" si="61"/>
        <v>-1</v>
      </c>
      <c r="AJ143" s="10">
        <f t="shared" si="62"/>
        <v>1</v>
      </c>
      <c r="AK143" s="10">
        <f t="shared" si="63"/>
        <v>1</v>
      </c>
      <c r="BJ143" s="11"/>
      <c r="BK143" s="29"/>
      <c r="BL143" s="29"/>
      <c r="BM143" s="11"/>
    </row>
    <row r="144" spans="2:65" x14ac:dyDescent="0.25">
      <c r="B144" s="10">
        <f t="shared" si="52"/>
        <v>125</v>
      </c>
      <c r="C144">
        <v>-0.33110950425907504</v>
      </c>
      <c r="D144">
        <v>-0.68981535150669515</v>
      </c>
      <c r="E144">
        <v>0.46046327097384565</v>
      </c>
      <c r="H144" s="18">
        <f>1</f>
        <v>1</v>
      </c>
      <c r="I144" s="19">
        <f t="shared" si="64"/>
        <v>5.7301162183997807</v>
      </c>
      <c r="J144" s="19">
        <f t="shared" si="65"/>
        <v>14.004907761167512</v>
      </c>
      <c r="K144" s="18">
        <f t="shared" si="66"/>
        <v>1</v>
      </c>
      <c r="L144" s="17"/>
      <c r="M144" s="17"/>
      <c r="N144" s="18">
        <f t="shared" si="53"/>
        <v>5.7301162183997807</v>
      </c>
      <c r="O144" s="18">
        <f t="shared" si="53"/>
        <v>14.004907761167512</v>
      </c>
      <c r="P144" s="18">
        <f t="shared" si="54"/>
        <v>-100</v>
      </c>
      <c r="Q144" s="18">
        <f t="shared" si="54"/>
        <v>-100</v>
      </c>
      <c r="S144" s="10">
        <f t="shared" si="55"/>
        <v>75.115871683179122</v>
      </c>
      <c r="T144" s="10">
        <f t="shared" si="56"/>
        <v>1</v>
      </c>
      <c r="U144" s="10">
        <f t="shared" si="57"/>
        <v>0</v>
      </c>
      <c r="V144" s="10">
        <f t="shared" si="58"/>
        <v>0</v>
      </c>
      <c r="Y144" s="10">
        <f t="shared" si="67"/>
        <v>0</v>
      </c>
      <c r="Z144" s="10">
        <f t="shared" si="68"/>
        <v>0</v>
      </c>
      <c r="AA144" s="10">
        <f t="shared" si="69"/>
        <v>0</v>
      </c>
      <c r="AB144" s="10">
        <f t="shared" si="70"/>
        <v>9.9999999999999978E-2</v>
      </c>
      <c r="AC144" s="10">
        <f t="shared" si="71"/>
        <v>4.6014501591540196</v>
      </c>
      <c r="AD144" s="10">
        <f t="shared" si="72"/>
        <v>3.4737128103724704</v>
      </c>
      <c r="AE144" s="10">
        <f t="shared" si="59"/>
        <v>-1</v>
      </c>
      <c r="AF144" s="10">
        <f t="shared" si="60"/>
        <v>1</v>
      </c>
      <c r="AI144" s="10">
        <f t="shared" si="61"/>
        <v>-1</v>
      </c>
      <c r="AJ144" s="10">
        <f t="shared" si="62"/>
        <v>1</v>
      </c>
      <c r="AK144" s="10">
        <f t="shared" si="63"/>
        <v>1</v>
      </c>
      <c r="BJ144" s="11"/>
      <c r="BK144" s="29"/>
      <c r="BL144" s="29"/>
      <c r="BM144" s="11"/>
    </row>
    <row r="145" spans="2:65" x14ac:dyDescent="0.25">
      <c r="B145" s="10">
        <f t="shared" si="52"/>
        <v>126</v>
      </c>
      <c r="C145">
        <v>0.17472757463110611</v>
      </c>
      <c r="D145">
        <v>0.14706074580317363</v>
      </c>
      <c r="E145">
        <v>0.20090334788048952</v>
      </c>
      <c r="H145" s="18">
        <f>1</f>
        <v>1</v>
      </c>
      <c r="I145" s="19">
        <f t="shared" si="64"/>
        <v>6.4593632587053698</v>
      </c>
      <c r="J145" s="19">
        <f t="shared" si="65"/>
        <v>15.211401793603221</v>
      </c>
      <c r="K145" s="18">
        <f t="shared" si="66"/>
        <v>1</v>
      </c>
      <c r="L145" s="17"/>
      <c r="M145" s="17"/>
      <c r="N145" s="18">
        <f t="shared" si="53"/>
        <v>6.4593632587053698</v>
      </c>
      <c r="O145" s="18">
        <f t="shared" si="53"/>
        <v>15.211401793603221</v>
      </c>
      <c r="P145" s="18">
        <f t="shared" si="54"/>
        <v>-100</v>
      </c>
      <c r="Q145" s="18">
        <f t="shared" si="54"/>
        <v>-100</v>
      </c>
      <c r="S145" s="10">
        <f t="shared" si="55"/>
        <v>82.662479368965734</v>
      </c>
      <c r="T145" s="10">
        <f t="shared" si="56"/>
        <v>1</v>
      </c>
      <c r="U145" s="10">
        <f t="shared" si="57"/>
        <v>0</v>
      </c>
      <c r="V145" s="10">
        <f t="shared" si="58"/>
        <v>0</v>
      </c>
      <c r="Y145" s="10">
        <f t="shared" si="67"/>
        <v>0</v>
      </c>
      <c r="Z145" s="10">
        <f t="shared" si="68"/>
        <v>0</v>
      </c>
      <c r="AA145" s="10">
        <f t="shared" si="69"/>
        <v>0</v>
      </c>
      <c r="AB145" s="10">
        <f t="shared" si="70"/>
        <v>9.9999999999999978E-2</v>
      </c>
      <c r="AC145" s="10">
        <f t="shared" si="71"/>
        <v>4.6014501591540196</v>
      </c>
      <c r="AD145" s="10">
        <f t="shared" si="72"/>
        <v>3.4737128103724704</v>
      </c>
      <c r="AE145" s="10">
        <f t="shared" si="59"/>
        <v>-1</v>
      </c>
      <c r="AF145" s="10">
        <f t="shared" si="60"/>
        <v>1</v>
      </c>
      <c r="AI145" s="10">
        <f t="shared" si="61"/>
        <v>-1</v>
      </c>
      <c r="AJ145" s="10">
        <f t="shared" si="62"/>
        <v>1</v>
      </c>
      <c r="AK145" s="10">
        <f t="shared" si="63"/>
        <v>1</v>
      </c>
      <c r="BJ145" s="11"/>
      <c r="BK145" s="29"/>
      <c r="BL145" s="29"/>
      <c r="BM145" s="11"/>
    </row>
    <row r="146" spans="2:65" x14ac:dyDescent="0.25">
      <c r="B146" s="10">
        <f t="shared" si="52"/>
        <v>127</v>
      </c>
      <c r="C146">
        <v>0.77877984949736856</v>
      </c>
      <c r="D146">
        <v>0.88542492449050769</v>
      </c>
      <c r="E146">
        <v>0.68996246223334456</v>
      </c>
      <c r="H146" s="18">
        <f>1</f>
        <v>1</v>
      </c>
      <c r="I146" s="19">
        <f t="shared" si="64"/>
        <v>7.3302035984498488</v>
      </c>
      <c r="J146" s="19">
        <f t="shared" si="65"/>
        <v>16.275874752281492</v>
      </c>
      <c r="K146" s="18">
        <f t="shared" si="66"/>
        <v>-1</v>
      </c>
      <c r="L146" s="17"/>
      <c r="M146" s="17"/>
      <c r="N146" s="18">
        <f t="shared" si="53"/>
        <v>-100</v>
      </c>
      <c r="O146" s="18">
        <f t="shared" si="53"/>
        <v>-100</v>
      </c>
      <c r="P146" s="18">
        <f t="shared" si="54"/>
        <v>7.3302035984498488</v>
      </c>
      <c r="Q146" s="18">
        <f t="shared" si="54"/>
        <v>16.275874752281492</v>
      </c>
      <c r="S146" s="10">
        <f t="shared" si="55"/>
        <v>90.367281141736498</v>
      </c>
      <c r="T146" s="10">
        <f t="shared" si="56"/>
        <v>1</v>
      </c>
      <c r="U146" s="10">
        <f t="shared" si="57"/>
        <v>-1</v>
      </c>
      <c r="V146" s="10">
        <f t="shared" si="58"/>
        <v>1</v>
      </c>
      <c r="Y146" s="10">
        <f t="shared" si="67"/>
        <v>-0.70082399975499998</v>
      </c>
      <c r="Z146" s="10">
        <f t="shared" si="68"/>
        <v>-5.1371826048841172</v>
      </c>
      <c r="AA146" s="10">
        <f t="shared" si="69"/>
        <v>-11.406523643405334</v>
      </c>
      <c r="AB146" s="10">
        <f t="shared" si="70"/>
        <v>-0.600823999755</v>
      </c>
      <c r="AC146" s="10">
        <f t="shared" si="71"/>
        <v>-0.5357324457300976</v>
      </c>
      <c r="AD146" s="10">
        <f t="shared" si="72"/>
        <v>-7.9328108330328639</v>
      </c>
      <c r="AE146" s="10">
        <f t="shared" si="59"/>
        <v>-1</v>
      </c>
      <c r="AF146" s="10">
        <f t="shared" si="60"/>
        <v>0</v>
      </c>
      <c r="AI146" s="10">
        <f t="shared" si="61"/>
        <v>1</v>
      </c>
      <c r="AJ146" s="10">
        <f t="shared" si="62"/>
        <v>0</v>
      </c>
      <c r="AK146" s="10">
        <f t="shared" si="63"/>
        <v>0</v>
      </c>
      <c r="BJ146" s="11"/>
      <c r="BK146" s="29"/>
      <c r="BL146" s="29"/>
      <c r="BM146" s="11"/>
    </row>
    <row r="147" spans="2:65" x14ac:dyDescent="0.25">
      <c r="B147" s="10">
        <f t="shared" si="52"/>
        <v>128</v>
      </c>
      <c r="C147">
        <v>-0.52081304602324963</v>
      </c>
      <c r="D147">
        <v>0.1299918039876502</v>
      </c>
      <c r="E147">
        <v>0.73372600482192452</v>
      </c>
      <c r="H147" s="18">
        <f>1</f>
        <v>1</v>
      </c>
      <c r="I147" s="19">
        <f t="shared" si="64"/>
        <v>5.4566274763911187</v>
      </c>
      <c r="J147" s="19">
        <f t="shared" si="65"/>
        <v>15.186794116903386</v>
      </c>
      <c r="K147" s="18">
        <f t="shared" si="66"/>
        <v>-1</v>
      </c>
      <c r="L147" s="17"/>
      <c r="M147" s="17"/>
      <c r="N147" s="18">
        <f t="shared" si="53"/>
        <v>-100</v>
      </c>
      <c r="O147" s="18">
        <f t="shared" si="53"/>
        <v>-100</v>
      </c>
      <c r="P147" s="18">
        <f t="shared" si="54"/>
        <v>5.4566274763911187</v>
      </c>
      <c r="Q147" s="18">
        <f t="shared" si="54"/>
        <v>15.186794116903386</v>
      </c>
      <c r="S147" s="10">
        <f t="shared" si="55"/>
        <v>-123.998081272731</v>
      </c>
      <c r="T147" s="10">
        <f t="shared" si="56"/>
        <v>-1</v>
      </c>
      <c r="U147" s="10">
        <f t="shared" si="57"/>
        <v>0</v>
      </c>
      <c r="V147" s="10">
        <f t="shared" si="58"/>
        <v>0</v>
      </c>
      <c r="Y147" s="10">
        <f t="shared" si="67"/>
        <v>0</v>
      </c>
      <c r="Z147" s="10">
        <f t="shared" si="68"/>
        <v>0</v>
      </c>
      <c r="AA147" s="10">
        <f t="shared" si="69"/>
        <v>0</v>
      </c>
      <c r="AB147" s="10">
        <f t="shared" si="70"/>
        <v>-0.600823999755</v>
      </c>
      <c r="AC147" s="10">
        <f t="shared" si="71"/>
        <v>-0.5357324457300976</v>
      </c>
      <c r="AD147" s="10">
        <f t="shared" si="72"/>
        <v>-7.9328108330328639</v>
      </c>
      <c r="AE147" s="10">
        <f t="shared" si="59"/>
        <v>-1</v>
      </c>
      <c r="AF147" s="10">
        <f t="shared" si="60"/>
        <v>0</v>
      </c>
      <c r="AI147" s="10">
        <f t="shared" si="61"/>
        <v>-1</v>
      </c>
      <c r="AJ147" s="10">
        <f t="shared" si="62"/>
        <v>1</v>
      </c>
      <c r="AK147" s="10">
        <f t="shared" si="63"/>
        <v>1</v>
      </c>
      <c r="BJ147" s="11"/>
      <c r="BK147" s="29"/>
      <c r="BL147" s="29"/>
      <c r="BM147" s="11"/>
    </row>
    <row r="148" spans="2:65" x14ac:dyDescent="0.25">
      <c r="B148" s="10">
        <f t="shared" si="52"/>
        <v>129</v>
      </c>
      <c r="C148">
        <v>0.75975435720465612</v>
      </c>
      <c r="D148">
        <v>-0.57206534620490856</v>
      </c>
      <c r="E148">
        <v>0.64357432782982882</v>
      </c>
      <c r="H148" s="18">
        <f>1</f>
        <v>1</v>
      </c>
      <c r="I148" s="19">
        <f t="shared" ref="I148:I179" si="73">IF(K148=1, C148*$C$7+$C$5,C148*$C$10+$C$8)</f>
        <v>7.3027752336189078</v>
      </c>
      <c r="J148" s="19">
        <f t="shared" ref="J148:J179" si="74">IF(K148=1,D148*$C$7+$C$6,D148*$C$10+$C$9)</f>
        <v>14.174663689401745</v>
      </c>
      <c r="K148" s="18">
        <f t="shared" ref="K148:K179" si="75">IF(E148&lt;$C$11,1,-1)</f>
        <v>-1</v>
      </c>
      <c r="L148" s="17"/>
      <c r="M148" s="17"/>
      <c r="N148" s="18">
        <f t="shared" si="53"/>
        <v>-100</v>
      </c>
      <c r="O148" s="18">
        <f t="shared" si="53"/>
        <v>-100</v>
      </c>
      <c r="P148" s="18">
        <f t="shared" si="54"/>
        <v>7.3027752336189078</v>
      </c>
      <c r="Q148" s="18">
        <f t="shared" si="54"/>
        <v>14.174663689401745</v>
      </c>
      <c r="S148" s="10">
        <f t="shared" si="55"/>
        <v>-116.95808330616259</v>
      </c>
      <c r="T148" s="10">
        <f t="shared" si="56"/>
        <v>-1</v>
      </c>
      <c r="U148" s="10">
        <f t="shared" si="57"/>
        <v>0</v>
      </c>
      <c r="V148" s="10">
        <f t="shared" si="58"/>
        <v>0</v>
      </c>
      <c r="Y148" s="10">
        <f t="shared" ref="Y148:Y179" si="76">IF(U148=0,0,$C$12*(U148)*H148)</f>
        <v>0</v>
      </c>
      <c r="Z148" s="10">
        <f t="shared" ref="Z148:Z179" si="77">IF(U148=0,0,$C$12*(U148)*I148)</f>
        <v>0</v>
      </c>
      <c r="AA148" s="10">
        <f t="shared" ref="AA148:AA179" si="78">IF(U148=0,0,$C$12*(U148)*J148)</f>
        <v>0</v>
      </c>
      <c r="AB148" s="10">
        <f t="shared" ref="AB148:AB179" si="79">IF(U148=0,AB147,AB147+$C$12*(U148)*H148)</f>
        <v>-0.600823999755</v>
      </c>
      <c r="AC148" s="10">
        <f t="shared" ref="AC148:AC179" si="80">IF(U148=0,AC147,AC147+$C$12*(U148)*I148)</f>
        <v>-0.5357324457300976</v>
      </c>
      <c r="AD148" s="10">
        <f t="shared" ref="AD148:AD179" si="81">IF(U148=0,AD147,AD147+$C$12*(U148)*J148)</f>
        <v>-7.9328108330328639</v>
      </c>
      <c r="AE148" s="10">
        <f t="shared" si="59"/>
        <v>-1</v>
      </c>
      <c r="AF148" s="10">
        <f t="shared" si="60"/>
        <v>0</v>
      </c>
      <c r="AI148" s="10">
        <f t="shared" si="61"/>
        <v>-1</v>
      </c>
      <c r="AJ148" s="10">
        <f t="shared" si="62"/>
        <v>1</v>
      </c>
      <c r="AK148" s="10">
        <f t="shared" si="63"/>
        <v>1</v>
      </c>
      <c r="BJ148" s="11"/>
      <c r="BK148" s="29"/>
      <c r="BL148" s="29"/>
      <c r="BM148" s="11"/>
    </row>
    <row r="149" spans="2:65" x14ac:dyDescent="0.25">
      <c r="B149" s="10">
        <f t="shared" ref="B149:B212" si="82">B148+1</f>
        <v>130</v>
      </c>
      <c r="C149">
        <v>-0.27543364922166802</v>
      </c>
      <c r="D149">
        <v>-1.0015969564847182</v>
      </c>
      <c r="E149">
        <v>0.56929227576525165</v>
      </c>
      <c r="H149" s="18">
        <f>1</f>
        <v>1</v>
      </c>
      <c r="I149" s="19">
        <f t="shared" si="73"/>
        <v>5.810382086990499</v>
      </c>
      <c r="J149" s="19">
        <f t="shared" si="74"/>
        <v>13.555423486209268</v>
      </c>
      <c r="K149" s="18">
        <f t="shared" si="75"/>
        <v>-1</v>
      </c>
      <c r="L149" s="17"/>
      <c r="M149" s="17"/>
      <c r="N149" s="18">
        <f t="shared" ref="N149:O212" si="83">IF($K149=1,I149,-100)</f>
        <v>-100</v>
      </c>
      <c r="O149" s="18">
        <f t="shared" si="83"/>
        <v>-100</v>
      </c>
      <c r="P149" s="18">
        <f t="shared" ref="P149:Q212" si="84">IF($K149=-1,I149,-100)</f>
        <v>5.810382086990499</v>
      </c>
      <c r="Q149" s="18">
        <f t="shared" si="84"/>
        <v>13.555423486209268</v>
      </c>
      <c r="S149" s="10">
        <f t="shared" ref="S149:S212" si="85">SUMPRODUCT(H149:J149,AB148:AD148)</f>
        <v>-111.24624448359376</v>
      </c>
      <c r="T149" s="10">
        <f t="shared" ref="T149:T212" si="86">IF(S149&gt;=0,1,-1)</f>
        <v>-1</v>
      </c>
      <c r="U149" s="10">
        <f t="shared" ref="U149:U212" si="87">(K149-T149)/2</f>
        <v>0</v>
      </c>
      <c r="V149" s="10">
        <f t="shared" ref="V149:V212" si="88">IF(U149&lt;&gt;0,1,0)</f>
        <v>0</v>
      </c>
      <c r="Y149" s="10">
        <f t="shared" si="76"/>
        <v>0</v>
      </c>
      <c r="Z149" s="10">
        <f t="shared" si="77"/>
        <v>0</v>
      </c>
      <c r="AA149" s="10">
        <f t="shared" si="78"/>
        <v>0</v>
      </c>
      <c r="AB149" s="10">
        <f t="shared" si="79"/>
        <v>-0.600823999755</v>
      </c>
      <c r="AC149" s="10">
        <f t="shared" si="80"/>
        <v>-0.5357324457300976</v>
      </c>
      <c r="AD149" s="10">
        <f t="shared" si="81"/>
        <v>-7.9328108330328639</v>
      </c>
      <c r="AE149" s="10">
        <f t="shared" ref="AE149:AE212" si="89">IF(SUMPRODUCT(H149:J149,$AR$29:$AT$29)&gt;=0,1,-1)</f>
        <v>-1</v>
      </c>
      <c r="AF149" s="10">
        <f t="shared" ref="AF149:AF212" si="90">IF(K149=AE149,0,1)</f>
        <v>0</v>
      </c>
      <c r="AI149" s="10">
        <f t="shared" si="61"/>
        <v>-1</v>
      </c>
      <c r="AJ149" s="10">
        <f t="shared" si="62"/>
        <v>0</v>
      </c>
      <c r="AK149" s="10">
        <f t="shared" si="63"/>
        <v>0</v>
      </c>
      <c r="BJ149" s="11"/>
      <c r="BK149" s="29"/>
      <c r="BL149" s="29"/>
      <c r="BM149" s="11"/>
    </row>
    <row r="150" spans="2:65" x14ac:dyDescent="0.25">
      <c r="B150" s="10">
        <f t="shared" si="82"/>
        <v>131</v>
      </c>
      <c r="C150">
        <v>-1.0488224688742775</v>
      </c>
      <c r="D150">
        <v>-1.1138854461023584</v>
      </c>
      <c r="E150">
        <v>0.98986785485396889</v>
      </c>
      <c r="H150" s="18">
        <f>1</f>
        <v>1</v>
      </c>
      <c r="I150" s="19">
        <f t="shared" si="73"/>
        <v>4.6954153689031068</v>
      </c>
      <c r="J150" s="19">
        <f t="shared" si="74"/>
        <v>13.393541227807592</v>
      </c>
      <c r="K150" s="18">
        <f t="shared" si="75"/>
        <v>-1</v>
      </c>
      <c r="L150" s="17"/>
      <c r="M150" s="17"/>
      <c r="N150" s="18">
        <f t="shared" si="83"/>
        <v>-100</v>
      </c>
      <c r="O150" s="18">
        <f t="shared" si="83"/>
        <v>-100</v>
      </c>
      <c r="P150" s="18">
        <f t="shared" si="84"/>
        <v>4.6954153689031068</v>
      </c>
      <c r="Q150" s="18">
        <f t="shared" si="84"/>
        <v>13.393541227807592</v>
      </c>
      <c r="S150" s="10">
        <f t="shared" si="85"/>
        <v>-109.36473930368049</v>
      </c>
      <c r="T150" s="10">
        <f t="shared" si="86"/>
        <v>-1</v>
      </c>
      <c r="U150" s="10">
        <f t="shared" si="87"/>
        <v>0</v>
      </c>
      <c r="V150" s="10">
        <f t="shared" si="88"/>
        <v>0</v>
      </c>
      <c r="Y150" s="10">
        <f t="shared" si="76"/>
        <v>0</v>
      </c>
      <c r="Z150" s="10">
        <f t="shared" si="77"/>
        <v>0</v>
      </c>
      <c r="AA150" s="10">
        <f t="shared" si="78"/>
        <v>0</v>
      </c>
      <c r="AB150" s="10">
        <f t="shared" si="79"/>
        <v>-0.600823999755</v>
      </c>
      <c r="AC150" s="10">
        <f t="shared" si="80"/>
        <v>-0.5357324457300976</v>
      </c>
      <c r="AD150" s="10">
        <f t="shared" si="81"/>
        <v>-7.9328108330328639</v>
      </c>
      <c r="AE150" s="10">
        <f t="shared" si="89"/>
        <v>-1</v>
      </c>
      <c r="AF150" s="10">
        <f t="shared" si="90"/>
        <v>0</v>
      </c>
      <c r="AI150" s="10">
        <f t="shared" si="61"/>
        <v>-1</v>
      </c>
      <c r="AJ150" s="10">
        <f t="shared" si="62"/>
        <v>0</v>
      </c>
      <c r="AK150" s="10">
        <f t="shared" si="63"/>
        <v>0</v>
      </c>
      <c r="BJ150" s="11"/>
      <c r="BK150" s="29"/>
      <c r="BL150" s="29"/>
      <c r="BM150" s="11"/>
    </row>
    <row r="151" spans="2:65" x14ac:dyDescent="0.25">
      <c r="B151" s="10">
        <f t="shared" si="82"/>
        <v>132</v>
      </c>
      <c r="C151">
        <v>-0.35806124287773855</v>
      </c>
      <c r="D151">
        <v>9.524683264316991E-3</v>
      </c>
      <c r="E151">
        <v>0.14435254982146672</v>
      </c>
      <c r="H151" s="18">
        <f>1</f>
        <v>1</v>
      </c>
      <c r="I151" s="19">
        <f t="shared" si="73"/>
        <v>5.6912608706228394</v>
      </c>
      <c r="J151" s="19">
        <f t="shared" si="74"/>
        <v>15.013121021537636</v>
      </c>
      <c r="K151" s="18">
        <f t="shared" si="75"/>
        <v>1</v>
      </c>
      <c r="L151" s="17"/>
      <c r="M151" s="17"/>
      <c r="N151" s="18">
        <f t="shared" si="83"/>
        <v>5.6912608706228394</v>
      </c>
      <c r="O151" s="18">
        <f t="shared" si="83"/>
        <v>15.013121021537636</v>
      </c>
      <c r="P151" s="18">
        <f t="shared" si="84"/>
        <v>-100</v>
      </c>
      <c r="Q151" s="18">
        <f t="shared" si="84"/>
        <v>-100</v>
      </c>
      <c r="S151" s="10">
        <f t="shared" si="85"/>
        <v>-122.74606618254894</v>
      </c>
      <c r="T151" s="10">
        <f t="shared" si="86"/>
        <v>-1</v>
      </c>
      <c r="U151" s="10">
        <f t="shared" si="87"/>
        <v>1</v>
      </c>
      <c r="V151" s="10">
        <f t="shared" si="88"/>
        <v>1</v>
      </c>
      <c r="Y151" s="10">
        <f t="shared" si="76"/>
        <v>0.70082399975499998</v>
      </c>
      <c r="Z151" s="10">
        <f t="shared" si="77"/>
        <v>3.9885722069990219</v>
      </c>
      <c r="AA151" s="10">
        <f t="shared" si="78"/>
        <v>10.521555523119877</v>
      </c>
      <c r="AB151" s="10">
        <f t="shared" si="79"/>
        <v>9.9999999999999978E-2</v>
      </c>
      <c r="AC151" s="10">
        <f t="shared" si="80"/>
        <v>3.4528397612689243</v>
      </c>
      <c r="AD151" s="10">
        <f t="shared" si="81"/>
        <v>2.5887446900870135</v>
      </c>
      <c r="AE151" s="10">
        <f t="shared" si="89"/>
        <v>-1</v>
      </c>
      <c r="AF151" s="10">
        <f t="shared" si="90"/>
        <v>1</v>
      </c>
      <c r="AI151" s="10">
        <f t="shared" si="61"/>
        <v>-1</v>
      </c>
      <c r="AJ151" s="10">
        <f t="shared" si="62"/>
        <v>0</v>
      </c>
      <c r="AK151" s="10">
        <f t="shared" si="63"/>
        <v>0</v>
      </c>
      <c r="BJ151" s="11"/>
      <c r="BK151" s="29"/>
      <c r="BL151" s="29"/>
      <c r="BM151" s="11"/>
    </row>
    <row r="152" spans="2:65" x14ac:dyDescent="0.25">
      <c r="B152" s="10">
        <f t="shared" si="82"/>
        <v>133</v>
      </c>
      <c r="C152">
        <v>1.7442334865336306</v>
      </c>
      <c r="D152">
        <v>-0.41661223804112524</v>
      </c>
      <c r="E152">
        <v>0.90453810235908083</v>
      </c>
      <c r="H152" s="18">
        <f>1</f>
        <v>1</v>
      </c>
      <c r="I152" s="19">
        <f t="shared" si="73"/>
        <v>8.7220632242915777</v>
      </c>
      <c r="J152" s="19">
        <f t="shared" si="74"/>
        <v>14.39877481878646</v>
      </c>
      <c r="K152" s="18">
        <f t="shared" si="75"/>
        <v>-1</v>
      </c>
      <c r="L152" s="17"/>
      <c r="M152" s="17"/>
      <c r="N152" s="18">
        <f t="shared" si="83"/>
        <v>-100</v>
      </c>
      <c r="O152" s="18">
        <f t="shared" si="83"/>
        <v>-100</v>
      </c>
      <c r="P152" s="18">
        <f t="shared" si="84"/>
        <v>8.7220632242915777</v>
      </c>
      <c r="Q152" s="18">
        <f t="shared" si="84"/>
        <v>14.39877481878646</v>
      </c>
      <c r="S152" s="10">
        <f t="shared" si="85"/>
        <v>67.490638557027438</v>
      </c>
      <c r="T152" s="10">
        <f t="shared" si="86"/>
        <v>1</v>
      </c>
      <c r="U152" s="10">
        <f t="shared" si="87"/>
        <v>-1</v>
      </c>
      <c r="V152" s="10">
        <f t="shared" si="88"/>
        <v>1</v>
      </c>
      <c r="Y152" s="10">
        <f t="shared" si="76"/>
        <v>-0.70082399975499998</v>
      </c>
      <c r="Z152" s="10">
        <f t="shared" si="77"/>
        <v>-6.1126312349640148</v>
      </c>
      <c r="AA152" s="10">
        <f t="shared" si="78"/>
        <v>-10.091006960073502</v>
      </c>
      <c r="AB152" s="10">
        <f t="shared" si="79"/>
        <v>-0.600823999755</v>
      </c>
      <c r="AC152" s="10">
        <f t="shared" si="80"/>
        <v>-2.6597914736950905</v>
      </c>
      <c r="AD152" s="10">
        <f t="shared" si="81"/>
        <v>-7.5022622699864883</v>
      </c>
      <c r="AE152" s="10">
        <f t="shared" si="89"/>
        <v>-1</v>
      </c>
      <c r="AF152" s="10">
        <f t="shared" si="90"/>
        <v>0</v>
      </c>
      <c r="AI152" s="10">
        <f t="shared" ref="AI152:AI215" si="91">IF(SUMPRODUCT(H149:J149,$AI$17:$AK$17)&gt;=0,1,-1)</f>
        <v>-1</v>
      </c>
      <c r="AJ152" s="10">
        <f t="shared" ref="AJ152:AJ215" si="92">(K149-AI152)/2</f>
        <v>0</v>
      </c>
      <c r="AK152" s="10">
        <f t="shared" ref="AK152:AK215" si="93">IF(AJ152&lt;&gt;0,1,0)</f>
        <v>0</v>
      </c>
      <c r="BJ152" s="11"/>
      <c r="BK152" s="29"/>
      <c r="BL152" s="29"/>
      <c r="BM152" s="11"/>
    </row>
    <row r="153" spans="2:65" x14ac:dyDescent="0.25">
      <c r="B153" s="10">
        <f t="shared" si="82"/>
        <v>134</v>
      </c>
      <c r="C153">
        <v>-0.68651843321276829</v>
      </c>
      <c r="D153">
        <v>-1.7470392776886001</v>
      </c>
      <c r="E153">
        <v>3.6286507766960664E-2</v>
      </c>
      <c r="H153" s="18">
        <f>1</f>
        <v>1</v>
      </c>
      <c r="I153" s="19">
        <f t="shared" si="73"/>
        <v>5.2177360067586935</v>
      </c>
      <c r="J153" s="19">
        <f t="shared" si="74"/>
        <v>12.480746225204289</v>
      </c>
      <c r="K153" s="18">
        <f t="shared" si="75"/>
        <v>1</v>
      </c>
      <c r="L153" s="17"/>
      <c r="M153" s="17"/>
      <c r="N153" s="18">
        <f t="shared" si="83"/>
        <v>5.2177360067586935</v>
      </c>
      <c r="O153" s="18">
        <f t="shared" si="83"/>
        <v>12.480746225204289</v>
      </c>
      <c r="P153" s="18">
        <f t="shared" si="84"/>
        <v>-100</v>
      </c>
      <c r="Q153" s="18">
        <f t="shared" si="84"/>
        <v>-100</v>
      </c>
      <c r="S153" s="10">
        <f t="shared" si="85"/>
        <v>-108.11274524915007</v>
      </c>
      <c r="T153" s="10">
        <f t="shared" si="86"/>
        <v>-1</v>
      </c>
      <c r="U153" s="10">
        <f t="shared" si="87"/>
        <v>1</v>
      </c>
      <c r="V153" s="10">
        <f t="shared" si="88"/>
        <v>1</v>
      </c>
      <c r="Y153" s="10">
        <f t="shared" si="76"/>
        <v>0.70082399975499998</v>
      </c>
      <c r="Z153" s="10">
        <f t="shared" si="77"/>
        <v>3.6567146179223093</v>
      </c>
      <c r="AA153" s="10">
        <f t="shared" si="78"/>
        <v>8.7468064894747872</v>
      </c>
      <c r="AB153" s="10">
        <f t="shared" si="79"/>
        <v>9.9999999999999978E-2</v>
      </c>
      <c r="AC153" s="10">
        <f t="shared" si="80"/>
        <v>0.99692314422721884</v>
      </c>
      <c r="AD153" s="10">
        <f t="shared" si="81"/>
        <v>1.244544219488299</v>
      </c>
      <c r="AE153" s="10">
        <f t="shared" si="89"/>
        <v>-1</v>
      </c>
      <c r="AF153" s="10">
        <f t="shared" si="90"/>
        <v>1</v>
      </c>
      <c r="AI153" s="10">
        <f t="shared" si="91"/>
        <v>-1</v>
      </c>
      <c r="AJ153" s="10">
        <f t="shared" si="92"/>
        <v>0</v>
      </c>
      <c r="AK153" s="10">
        <f t="shared" si="93"/>
        <v>0</v>
      </c>
      <c r="BJ153" s="11"/>
      <c r="BK153" s="29"/>
      <c r="BL153" s="29"/>
      <c r="BM153" s="11"/>
    </row>
    <row r="154" spans="2:65" x14ac:dyDescent="0.25">
      <c r="B154" s="10">
        <f t="shared" si="82"/>
        <v>135</v>
      </c>
      <c r="C154">
        <v>0.38692405723850243</v>
      </c>
      <c r="D154">
        <v>0.54932570492383093</v>
      </c>
      <c r="E154">
        <v>0.65349284340952785</v>
      </c>
      <c r="H154" s="18">
        <f>1</f>
        <v>1</v>
      </c>
      <c r="I154" s="19">
        <f t="shared" si="73"/>
        <v>6.7652792608383328</v>
      </c>
      <c r="J154" s="19">
        <f t="shared" si="74"/>
        <v>15.791332650987197</v>
      </c>
      <c r="K154" s="18">
        <f t="shared" si="75"/>
        <v>-1</v>
      </c>
      <c r="L154" s="17"/>
      <c r="M154" s="17"/>
      <c r="N154" s="18">
        <f t="shared" si="83"/>
        <v>-100</v>
      </c>
      <c r="O154" s="18">
        <f t="shared" si="83"/>
        <v>-100</v>
      </c>
      <c r="P154" s="18">
        <f t="shared" si="84"/>
        <v>6.7652792608383328</v>
      </c>
      <c r="Q154" s="18">
        <f t="shared" si="84"/>
        <v>15.791332650987197</v>
      </c>
      <c r="S154" s="10">
        <f t="shared" si="85"/>
        <v>26.497475241093095</v>
      </c>
      <c r="T154" s="10">
        <f t="shared" si="86"/>
        <v>1</v>
      </c>
      <c r="U154" s="10">
        <f t="shared" si="87"/>
        <v>-1</v>
      </c>
      <c r="V154" s="10">
        <f t="shared" si="88"/>
        <v>1</v>
      </c>
      <c r="Y154" s="10">
        <f t="shared" si="76"/>
        <v>-0.70082399975499998</v>
      </c>
      <c r="Z154" s="10">
        <f t="shared" si="77"/>
        <v>-4.7412700710402698</v>
      </c>
      <c r="AA154" s="10">
        <f t="shared" si="78"/>
        <v>-11.066944909926574</v>
      </c>
      <c r="AB154" s="10">
        <f t="shared" si="79"/>
        <v>-0.600823999755</v>
      </c>
      <c r="AC154" s="10">
        <f t="shared" si="80"/>
        <v>-3.7443469268130509</v>
      </c>
      <c r="AD154" s="10">
        <f t="shared" si="81"/>
        <v>-9.8224006904382755</v>
      </c>
      <c r="AE154" s="10">
        <f t="shared" si="89"/>
        <v>-1</v>
      </c>
      <c r="AF154" s="10">
        <f t="shared" si="90"/>
        <v>0</v>
      </c>
      <c r="AI154" s="10">
        <f t="shared" si="91"/>
        <v>-1</v>
      </c>
      <c r="AJ154" s="10">
        <f t="shared" si="92"/>
        <v>1</v>
      </c>
      <c r="AK154" s="10">
        <f t="shared" si="93"/>
        <v>1</v>
      </c>
      <c r="BJ154" s="11"/>
      <c r="BK154" s="29"/>
      <c r="BL154" s="29"/>
      <c r="BM154" s="11"/>
    </row>
    <row r="155" spans="2:65" x14ac:dyDescent="0.25">
      <c r="B155" s="10">
        <f t="shared" si="82"/>
        <v>136</v>
      </c>
      <c r="C155">
        <v>0.73277078627143055</v>
      </c>
      <c r="D155">
        <v>0.49297796067548916</v>
      </c>
      <c r="E155">
        <v>0.51585436567278053</v>
      </c>
      <c r="H155" s="18">
        <f>1</f>
        <v>1</v>
      </c>
      <c r="I155" s="19">
        <f t="shared" si="73"/>
        <v>7.2638739943441912</v>
      </c>
      <c r="J155" s="19">
        <f t="shared" si="74"/>
        <v>15.71009814399701</v>
      </c>
      <c r="K155" s="18">
        <f t="shared" si="75"/>
        <v>-1</v>
      </c>
      <c r="L155" s="17"/>
      <c r="M155" s="17"/>
      <c r="N155" s="18">
        <f t="shared" si="83"/>
        <v>-100</v>
      </c>
      <c r="O155" s="18">
        <f t="shared" si="83"/>
        <v>-100</v>
      </c>
      <c r="P155" s="18">
        <f t="shared" si="84"/>
        <v>7.2638739943441912</v>
      </c>
      <c r="Q155" s="18">
        <f t="shared" si="84"/>
        <v>15.71009814399701</v>
      </c>
      <c r="S155" s="10">
        <f t="shared" si="85"/>
        <v>-182.11016712368422</v>
      </c>
      <c r="T155" s="10">
        <f t="shared" si="86"/>
        <v>-1</v>
      </c>
      <c r="U155" s="10">
        <f t="shared" si="87"/>
        <v>0</v>
      </c>
      <c r="V155" s="10">
        <f t="shared" si="88"/>
        <v>0</v>
      </c>
      <c r="Y155" s="10">
        <f t="shared" si="76"/>
        <v>0</v>
      </c>
      <c r="Z155" s="10">
        <f t="shared" si="77"/>
        <v>0</v>
      </c>
      <c r="AA155" s="10">
        <f t="shared" si="78"/>
        <v>0</v>
      </c>
      <c r="AB155" s="10">
        <f t="shared" si="79"/>
        <v>-0.600823999755</v>
      </c>
      <c r="AC155" s="10">
        <f t="shared" si="80"/>
        <v>-3.7443469268130509</v>
      </c>
      <c r="AD155" s="10">
        <f t="shared" si="81"/>
        <v>-9.8224006904382755</v>
      </c>
      <c r="AE155" s="10">
        <f t="shared" si="89"/>
        <v>-1</v>
      </c>
      <c r="AF155" s="10">
        <f t="shared" si="90"/>
        <v>0</v>
      </c>
      <c r="AI155" s="10">
        <f t="shared" si="91"/>
        <v>-1</v>
      </c>
      <c r="AJ155" s="10">
        <f t="shared" si="92"/>
        <v>0</v>
      </c>
      <c r="AK155" s="10">
        <f t="shared" si="93"/>
        <v>0</v>
      </c>
      <c r="BJ155" s="11"/>
      <c r="BK155" s="29"/>
      <c r="BL155" s="29"/>
      <c r="BM155" s="11"/>
    </row>
    <row r="156" spans="2:65" x14ac:dyDescent="0.25">
      <c r="B156" s="10">
        <f t="shared" si="82"/>
        <v>137</v>
      </c>
      <c r="C156">
        <v>0.60444335758802481</v>
      </c>
      <c r="D156">
        <v>-0.21981691133987624</v>
      </c>
      <c r="E156">
        <v>3.2685323648792994E-2</v>
      </c>
      <c r="H156" s="18">
        <f>1</f>
        <v>1</v>
      </c>
      <c r="I156" s="19">
        <f t="shared" si="73"/>
        <v>7.0788689769921174</v>
      </c>
      <c r="J156" s="19">
        <f t="shared" si="74"/>
        <v>14.68248753090659</v>
      </c>
      <c r="K156" s="18">
        <f t="shared" si="75"/>
        <v>1</v>
      </c>
      <c r="L156" s="17"/>
      <c r="M156" s="17"/>
      <c r="N156" s="18">
        <f t="shared" si="83"/>
        <v>7.0788689769921174</v>
      </c>
      <c r="O156" s="18">
        <f t="shared" si="83"/>
        <v>14.68248753090659</v>
      </c>
      <c r="P156" s="18">
        <f t="shared" si="84"/>
        <v>-100</v>
      </c>
      <c r="Q156" s="18">
        <f t="shared" si="84"/>
        <v>-100</v>
      </c>
      <c r="S156" s="10">
        <f t="shared" si="85"/>
        <v>-171.32384095999595</v>
      </c>
      <c r="T156" s="10">
        <f t="shared" si="86"/>
        <v>-1</v>
      </c>
      <c r="U156" s="10">
        <f t="shared" si="87"/>
        <v>1</v>
      </c>
      <c r="V156" s="10">
        <f t="shared" si="88"/>
        <v>1</v>
      </c>
      <c r="Y156" s="10">
        <f t="shared" si="76"/>
        <v>0.70082399975499998</v>
      </c>
      <c r="Z156" s="10">
        <f t="shared" si="77"/>
        <v>4.9610412701972004</v>
      </c>
      <c r="AA156" s="10">
        <f t="shared" si="78"/>
        <v>10.289839637762871</v>
      </c>
      <c r="AB156" s="10">
        <f t="shared" si="79"/>
        <v>9.9999999999999978E-2</v>
      </c>
      <c r="AC156" s="10">
        <f t="shared" si="80"/>
        <v>1.2166943433841495</v>
      </c>
      <c r="AD156" s="10">
        <f t="shared" si="81"/>
        <v>0.46743894732459523</v>
      </c>
      <c r="AE156" s="10">
        <f t="shared" si="89"/>
        <v>-1</v>
      </c>
      <c r="AF156" s="10">
        <f t="shared" si="90"/>
        <v>1</v>
      </c>
      <c r="AI156" s="10">
        <f t="shared" si="91"/>
        <v>-1</v>
      </c>
      <c r="AJ156" s="10">
        <f t="shared" si="92"/>
        <v>1</v>
      </c>
      <c r="AK156" s="10">
        <f t="shared" si="93"/>
        <v>1</v>
      </c>
      <c r="BJ156" s="11"/>
      <c r="BK156" s="29"/>
      <c r="BL156" s="29"/>
      <c r="BM156" s="11"/>
    </row>
    <row r="157" spans="2:65" x14ac:dyDescent="0.25">
      <c r="B157" s="10">
        <f t="shared" si="82"/>
        <v>138</v>
      </c>
      <c r="C157">
        <v>1.0202143130300101</v>
      </c>
      <c r="D157">
        <v>1.2740588317683432</v>
      </c>
      <c r="E157">
        <v>0.9336832789086581</v>
      </c>
      <c r="H157" s="18">
        <f>1</f>
        <v>1</v>
      </c>
      <c r="I157" s="19">
        <f t="shared" si="73"/>
        <v>7.6782709412892434</v>
      </c>
      <c r="J157" s="19">
        <f t="shared" si="74"/>
        <v>16.836154214725344</v>
      </c>
      <c r="K157" s="18">
        <f t="shared" si="75"/>
        <v>-1</v>
      </c>
      <c r="L157" s="17"/>
      <c r="M157" s="17"/>
      <c r="N157" s="18">
        <f t="shared" si="83"/>
        <v>-100</v>
      </c>
      <c r="O157" s="18">
        <f t="shared" si="83"/>
        <v>-100</v>
      </c>
      <c r="P157" s="18">
        <f t="shared" si="84"/>
        <v>7.6782709412892434</v>
      </c>
      <c r="Q157" s="18">
        <f t="shared" si="84"/>
        <v>16.836154214725344</v>
      </c>
      <c r="S157" s="10">
        <f t="shared" si="85"/>
        <v>17.311983024363272</v>
      </c>
      <c r="T157" s="10">
        <f t="shared" si="86"/>
        <v>1</v>
      </c>
      <c r="U157" s="10">
        <f t="shared" si="87"/>
        <v>-1</v>
      </c>
      <c r="V157" s="10">
        <f t="shared" si="88"/>
        <v>1</v>
      </c>
      <c r="Y157" s="10">
        <f t="shared" si="76"/>
        <v>-0.70082399975499998</v>
      </c>
      <c r="Z157" s="10">
        <f t="shared" si="77"/>
        <v>-5.3811165522769162</v>
      </c>
      <c r="AA157" s="10">
        <f t="shared" si="78"/>
        <v>-11.799180937255816</v>
      </c>
      <c r="AB157" s="10">
        <f t="shared" si="79"/>
        <v>-0.600823999755</v>
      </c>
      <c r="AC157" s="10">
        <f t="shared" si="80"/>
        <v>-4.1644222088927663</v>
      </c>
      <c r="AD157" s="10">
        <f t="shared" si="81"/>
        <v>-11.331741989931221</v>
      </c>
      <c r="AE157" s="10">
        <f t="shared" si="89"/>
        <v>-1</v>
      </c>
      <c r="AF157" s="10">
        <f t="shared" si="90"/>
        <v>0</v>
      </c>
      <c r="AI157" s="10">
        <f t="shared" si="91"/>
        <v>-1</v>
      </c>
      <c r="AJ157" s="10">
        <f t="shared" si="92"/>
        <v>0</v>
      </c>
      <c r="AK157" s="10">
        <f t="shared" si="93"/>
        <v>0</v>
      </c>
      <c r="BJ157" s="11"/>
      <c r="BK157" s="29"/>
      <c r="BL157" s="29"/>
      <c r="BM157" s="11"/>
    </row>
    <row r="158" spans="2:65" x14ac:dyDescent="0.25">
      <c r="B158" s="10">
        <f t="shared" si="82"/>
        <v>139</v>
      </c>
      <c r="C158">
        <v>0.56541011872468516</v>
      </c>
      <c r="D158">
        <v>0.71487647801404819</v>
      </c>
      <c r="E158">
        <v>8.6733603930784026E-2</v>
      </c>
      <c r="H158" s="18">
        <f>1</f>
        <v>1</v>
      </c>
      <c r="I158" s="19">
        <f t="shared" si="73"/>
        <v>7.0225961668274612</v>
      </c>
      <c r="J158" s="19">
        <f t="shared" si="74"/>
        <v>16.030001219058999</v>
      </c>
      <c r="K158" s="18">
        <f t="shared" si="75"/>
        <v>1</v>
      </c>
      <c r="L158" s="17"/>
      <c r="M158" s="17"/>
      <c r="N158" s="18">
        <f t="shared" si="83"/>
        <v>7.0225961668274612</v>
      </c>
      <c r="O158" s="18">
        <f t="shared" si="83"/>
        <v>16.030001219058999</v>
      </c>
      <c r="P158" s="18">
        <f t="shared" si="84"/>
        <v>-100</v>
      </c>
      <c r="Q158" s="18">
        <f t="shared" si="84"/>
        <v>-100</v>
      </c>
      <c r="S158" s="10">
        <f t="shared" si="85"/>
        <v>-211.49371735363601</v>
      </c>
      <c r="T158" s="10">
        <f t="shared" si="86"/>
        <v>-1</v>
      </c>
      <c r="U158" s="10">
        <f t="shared" si="87"/>
        <v>1</v>
      </c>
      <c r="V158" s="10">
        <f t="shared" si="88"/>
        <v>1</v>
      </c>
      <c r="Y158" s="10">
        <f t="shared" si="76"/>
        <v>0.70082399975499998</v>
      </c>
      <c r="Z158" s="10">
        <f t="shared" si="77"/>
        <v>4.9216039343001521</v>
      </c>
      <c r="AA158" s="10">
        <f t="shared" si="78"/>
        <v>11.234209570418454</v>
      </c>
      <c r="AB158" s="10">
        <f t="shared" si="79"/>
        <v>9.9999999999999978E-2</v>
      </c>
      <c r="AC158" s="10">
        <f t="shared" si="80"/>
        <v>0.75718172540738582</v>
      </c>
      <c r="AD158" s="10">
        <f t="shared" si="81"/>
        <v>-9.7532419512766921E-2</v>
      </c>
      <c r="AE158" s="10">
        <f t="shared" si="89"/>
        <v>-1</v>
      </c>
      <c r="AF158" s="10">
        <f t="shared" si="90"/>
        <v>1</v>
      </c>
      <c r="AI158" s="10">
        <f t="shared" si="91"/>
        <v>-1</v>
      </c>
      <c r="AJ158" s="10">
        <f t="shared" si="92"/>
        <v>0</v>
      </c>
      <c r="AK158" s="10">
        <f t="shared" si="93"/>
        <v>0</v>
      </c>
      <c r="BJ158" s="11"/>
      <c r="BK158" s="29"/>
      <c r="BL158" s="29"/>
      <c r="BM158" s="11"/>
    </row>
    <row r="159" spans="2:65" x14ac:dyDescent="0.25">
      <c r="B159" s="10">
        <f t="shared" si="82"/>
        <v>140</v>
      </c>
      <c r="C159">
        <v>-0.27464011509437114</v>
      </c>
      <c r="D159">
        <v>1.2939449334226083</v>
      </c>
      <c r="E159">
        <v>0.92809839167455066</v>
      </c>
      <c r="H159" s="18">
        <f>1</f>
        <v>1</v>
      </c>
      <c r="I159" s="19">
        <f t="shared" si="73"/>
        <v>5.8115260964707494</v>
      </c>
      <c r="J159" s="19">
        <f t="shared" si="74"/>
        <v>16.864823288978275</v>
      </c>
      <c r="K159" s="18">
        <f t="shared" si="75"/>
        <v>-1</v>
      </c>
      <c r="L159" s="17"/>
      <c r="M159" s="17"/>
      <c r="N159" s="18">
        <f t="shared" si="83"/>
        <v>-100</v>
      </c>
      <c r="O159" s="18">
        <f t="shared" si="83"/>
        <v>-100</v>
      </c>
      <c r="P159" s="18">
        <f t="shared" si="84"/>
        <v>5.8115260964707494</v>
      </c>
      <c r="Q159" s="18">
        <f t="shared" si="84"/>
        <v>16.864823288978275</v>
      </c>
      <c r="S159" s="10">
        <f t="shared" si="85"/>
        <v>2.8555143369464608</v>
      </c>
      <c r="T159" s="10">
        <f t="shared" si="86"/>
        <v>1</v>
      </c>
      <c r="U159" s="10">
        <f t="shared" si="87"/>
        <v>-1</v>
      </c>
      <c r="V159" s="10">
        <f t="shared" si="88"/>
        <v>1</v>
      </c>
      <c r="X159" s="10">
        <f>SUM(V140:V159)</f>
        <v>10</v>
      </c>
      <c r="Y159" s="10">
        <f t="shared" si="76"/>
        <v>-0.70082399975499998</v>
      </c>
      <c r="Z159" s="10">
        <f t="shared" si="77"/>
        <v>-4.0728569636091922</v>
      </c>
      <c r="AA159" s="10">
        <f t="shared" si="78"/>
        <v>-11.819272912543029</v>
      </c>
      <c r="AB159" s="10">
        <f t="shared" si="79"/>
        <v>-0.600823999755</v>
      </c>
      <c r="AC159" s="10">
        <f t="shared" si="80"/>
        <v>-3.3156752382018064</v>
      </c>
      <c r="AD159" s="10">
        <f t="shared" si="81"/>
        <v>-11.916805332055796</v>
      </c>
      <c r="AE159" s="10">
        <f t="shared" si="89"/>
        <v>-1</v>
      </c>
      <c r="AF159" s="10">
        <f t="shared" si="90"/>
        <v>0</v>
      </c>
      <c r="AI159" s="10">
        <f t="shared" si="91"/>
        <v>-1</v>
      </c>
      <c r="AJ159" s="10">
        <f t="shared" si="92"/>
        <v>1</v>
      </c>
      <c r="AK159" s="10">
        <f t="shared" si="93"/>
        <v>1</v>
      </c>
      <c r="BJ159" s="11"/>
      <c r="BK159" s="29"/>
      <c r="BL159" s="29"/>
      <c r="BM159" s="11"/>
    </row>
    <row r="160" spans="2:65" x14ac:dyDescent="0.25">
      <c r="B160" s="10">
        <f t="shared" si="82"/>
        <v>141</v>
      </c>
      <c r="C160">
        <v>2.8117028705310076E-2</v>
      </c>
      <c r="D160">
        <v>0.71645899879513308</v>
      </c>
      <c r="E160">
        <v>0.39631336405529954</v>
      </c>
      <c r="H160" s="18">
        <f>1</f>
        <v>1</v>
      </c>
      <c r="I160" s="19">
        <f t="shared" si="73"/>
        <v>6.2480001318097536</v>
      </c>
      <c r="J160" s="19">
        <f t="shared" si="74"/>
        <v>16.032282682091246</v>
      </c>
      <c r="K160" s="18">
        <f t="shared" si="75"/>
        <v>1</v>
      </c>
      <c r="L160" s="17"/>
      <c r="M160" s="17"/>
      <c r="N160" s="18">
        <f t="shared" si="83"/>
        <v>6.2480001318097536</v>
      </c>
      <c r="O160" s="18">
        <f t="shared" si="83"/>
        <v>16.032282682091246</v>
      </c>
      <c r="P160" s="18">
        <f t="shared" si="84"/>
        <v>-100</v>
      </c>
      <c r="Q160" s="18">
        <f t="shared" si="84"/>
        <v>-100</v>
      </c>
      <c r="S160" s="12">
        <f t="shared" si="85"/>
        <v>-212.37075507604897</v>
      </c>
      <c r="T160" s="12">
        <f t="shared" si="86"/>
        <v>-1</v>
      </c>
      <c r="U160" s="12">
        <f t="shared" si="87"/>
        <v>1</v>
      </c>
      <c r="V160" s="12">
        <f t="shared" si="88"/>
        <v>1</v>
      </c>
      <c r="W160" s="12"/>
      <c r="X160" s="12"/>
      <c r="Y160" s="10">
        <f t="shared" si="76"/>
        <v>0.70082399975499998</v>
      </c>
      <c r="Z160" s="10">
        <f t="shared" si="77"/>
        <v>4.378748442844679</v>
      </c>
      <c r="AA160" s="10">
        <f t="shared" si="78"/>
        <v>11.235808474466007</v>
      </c>
      <c r="AB160" s="10">
        <f t="shared" si="79"/>
        <v>9.9999999999999978E-2</v>
      </c>
      <c r="AC160" s="10">
        <f t="shared" si="80"/>
        <v>1.0630732046428726</v>
      </c>
      <c r="AD160" s="10">
        <f t="shared" si="81"/>
        <v>-0.68099685758978978</v>
      </c>
      <c r="AE160" s="10">
        <f t="shared" si="89"/>
        <v>-1</v>
      </c>
      <c r="AF160" s="10">
        <f t="shared" si="90"/>
        <v>1</v>
      </c>
      <c r="AI160" s="10">
        <f t="shared" si="91"/>
        <v>-1</v>
      </c>
      <c r="AJ160" s="10">
        <f t="shared" si="92"/>
        <v>0</v>
      </c>
      <c r="AK160" s="10">
        <f t="shared" si="93"/>
        <v>0</v>
      </c>
      <c r="BJ160" s="11"/>
      <c r="BK160" s="29"/>
      <c r="BL160" s="29"/>
      <c r="BM160" s="11"/>
    </row>
    <row r="161" spans="2:65" x14ac:dyDescent="0.25">
      <c r="B161" s="10">
        <f t="shared" si="82"/>
        <v>142</v>
      </c>
      <c r="C161">
        <v>0.74341869549243711</v>
      </c>
      <c r="D161">
        <v>1.6488138498971239</v>
      </c>
      <c r="E161">
        <v>0.83272804956205937</v>
      </c>
      <c r="H161" s="18">
        <f>1</f>
        <v>1</v>
      </c>
      <c r="I161" s="19">
        <f t="shared" si="73"/>
        <v>7.2792247003499631</v>
      </c>
      <c r="J161" s="19">
        <f t="shared" si="74"/>
        <v>17.376424984139248</v>
      </c>
      <c r="K161" s="18">
        <f t="shared" si="75"/>
        <v>-1</v>
      </c>
      <c r="L161" s="17"/>
      <c r="M161" s="17"/>
      <c r="N161" s="18">
        <f t="shared" si="83"/>
        <v>-100</v>
      </c>
      <c r="O161" s="18">
        <f t="shared" si="83"/>
        <v>-100</v>
      </c>
      <c r="P161" s="18">
        <f t="shared" si="84"/>
        <v>7.2792247003499631</v>
      </c>
      <c r="Q161" s="18">
        <f t="shared" si="84"/>
        <v>17.376424984139248</v>
      </c>
      <c r="S161" s="10">
        <f t="shared" si="85"/>
        <v>-3.9949420808269531</v>
      </c>
      <c r="T161" s="10">
        <f t="shared" si="86"/>
        <v>-1</v>
      </c>
      <c r="U161" s="10">
        <f t="shared" si="87"/>
        <v>0</v>
      </c>
      <c r="V161" s="10">
        <f t="shared" si="88"/>
        <v>0</v>
      </c>
      <c r="Y161" s="10">
        <f t="shared" si="76"/>
        <v>0</v>
      </c>
      <c r="Z161" s="10">
        <f t="shared" si="77"/>
        <v>0</v>
      </c>
      <c r="AA161" s="10">
        <f t="shared" si="78"/>
        <v>0</v>
      </c>
      <c r="AB161" s="10">
        <f t="shared" si="79"/>
        <v>9.9999999999999978E-2</v>
      </c>
      <c r="AC161" s="10">
        <f t="shared" si="80"/>
        <v>1.0630732046428726</v>
      </c>
      <c r="AD161" s="10">
        <f t="shared" si="81"/>
        <v>-0.68099685758978978</v>
      </c>
      <c r="AE161" s="10">
        <f t="shared" si="89"/>
        <v>-1</v>
      </c>
      <c r="AF161" s="10">
        <f t="shared" si="90"/>
        <v>0</v>
      </c>
      <c r="AI161" s="10">
        <f t="shared" si="91"/>
        <v>-1</v>
      </c>
      <c r="AJ161" s="10">
        <f t="shared" si="92"/>
        <v>1</v>
      </c>
      <c r="AK161" s="10">
        <f t="shared" si="93"/>
        <v>1</v>
      </c>
      <c r="BJ161" s="11"/>
      <c r="BK161" s="29"/>
      <c r="BL161" s="29"/>
      <c r="BM161" s="11"/>
    </row>
    <row r="162" spans="2:65" x14ac:dyDescent="0.25">
      <c r="B162" s="10">
        <f t="shared" si="82"/>
        <v>143</v>
      </c>
      <c r="C162">
        <v>0.89749164544628002</v>
      </c>
      <c r="D162">
        <v>-6.1888840718893334E-2</v>
      </c>
      <c r="E162">
        <v>4.663228247932371E-2</v>
      </c>
      <c r="H162" s="18">
        <f>1</f>
        <v>1</v>
      </c>
      <c r="I162" s="19">
        <f t="shared" si="73"/>
        <v>7.5013461055097146</v>
      </c>
      <c r="J162" s="19">
        <f t="shared" si="74"/>
        <v>14.91016672424332</v>
      </c>
      <c r="K162" s="18">
        <f t="shared" si="75"/>
        <v>1</v>
      </c>
      <c r="L162" s="17"/>
      <c r="M162" s="17"/>
      <c r="N162" s="18">
        <f t="shared" si="83"/>
        <v>7.5013461055097146</v>
      </c>
      <c r="O162" s="18">
        <f t="shared" si="83"/>
        <v>14.91016672424332</v>
      </c>
      <c r="P162" s="18">
        <f t="shared" si="84"/>
        <v>-100</v>
      </c>
      <c r="Q162" s="18">
        <f t="shared" si="84"/>
        <v>-100</v>
      </c>
      <c r="S162" s="10">
        <f t="shared" si="85"/>
        <v>-2.0792966418300054</v>
      </c>
      <c r="T162" s="10">
        <f t="shared" si="86"/>
        <v>-1</v>
      </c>
      <c r="U162" s="10">
        <f t="shared" si="87"/>
        <v>1</v>
      </c>
      <c r="V162" s="10">
        <f t="shared" si="88"/>
        <v>1</v>
      </c>
      <c r="Y162" s="10">
        <f t="shared" si="76"/>
        <v>0.70082399975499998</v>
      </c>
      <c r="Z162" s="10">
        <f t="shared" si="77"/>
        <v>5.2571233812099099</v>
      </c>
      <c r="AA162" s="10">
        <f t="shared" si="78"/>
        <v>10.449402680698109</v>
      </c>
      <c r="AB162" s="10">
        <f t="shared" si="79"/>
        <v>0.80082399975499996</v>
      </c>
      <c r="AC162" s="10">
        <f t="shared" si="80"/>
        <v>6.3201965858527824</v>
      </c>
      <c r="AD162" s="10">
        <f t="shared" si="81"/>
        <v>9.7684058231083188</v>
      </c>
      <c r="AE162" s="10">
        <f t="shared" si="89"/>
        <v>-1</v>
      </c>
      <c r="AF162" s="10">
        <f t="shared" si="90"/>
        <v>1</v>
      </c>
      <c r="AI162" s="10">
        <f t="shared" si="91"/>
        <v>-1</v>
      </c>
      <c r="AJ162" s="10">
        <f t="shared" si="92"/>
        <v>0</v>
      </c>
      <c r="AK162" s="10">
        <f t="shared" si="93"/>
        <v>0</v>
      </c>
      <c r="BJ162" s="11"/>
      <c r="BK162" s="29"/>
      <c r="BL162" s="29"/>
      <c r="BM162" s="11"/>
    </row>
    <row r="163" spans="2:65" x14ac:dyDescent="0.25">
      <c r="B163" s="10">
        <f t="shared" si="82"/>
        <v>144</v>
      </c>
      <c r="C163">
        <v>1.0351322998758405</v>
      </c>
      <c r="D163">
        <v>0.86689851741539314</v>
      </c>
      <c r="E163">
        <v>0.19629505294961394</v>
      </c>
      <c r="H163" s="18">
        <f>1</f>
        <v>1</v>
      </c>
      <c r="I163" s="19">
        <f t="shared" si="73"/>
        <v>7.6997776639251327</v>
      </c>
      <c r="J163" s="19">
        <f t="shared" si="74"/>
        <v>16.249165900576383</v>
      </c>
      <c r="K163" s="18">
        <f t="shared" si="75"/>
        <v>1</v>
      </c>
      <c r="L163" s="17"/>
      <c r="M163" s="17"/>
      <c r="N163" s="18">
        <f t="shared" si="83"/>
        <v>7.6997776639251327</v>
      </c>
      <c r="O163" s="18">
        <f t="shared" si="83"/>
        <v>16.249165900576383</v>
      </c>
      <c r="P163" s="18">
        <f t="shared" si="84"/>
        <v>-100</v>
      </c>
      <c r="Q163" s="18">
        <f t="shared" si="84"/>
        <v>-100</v>
      </c>
      <c r="S163" s="10">
        <f t="shared" si="85"/>
        <v>208.19337930696361</v>
      </c>
      <c r="T163" s="10">
        <f t="shared" si="86"/>
        <v>1</v>
      </c>
      <c r="U163" s="10">
        <f t="shared" si="87"/>
        <v>0</v>
      </c>
      <c r="V163" s="10">
        <f t="shared" si="88"/>
        <v>0</v>
      </c>
      <c r="Y163" s="10">
        <f t="shared" si="76"/>
        <v>0</v>
      </c>
      <c r="Z163" s="10">
        <f t="shared" si="77"/>
        <v>0</v>
      </c>
      <c r="AA163" s="10">
        <f t="shared" si="78"/>
        <v>0</v>
      </c>
      <c r="AB163" s="10">
        <f t="shared" si="79"/>
        <v>0.80082399975499996</v>
      </c>
      <c r="AC163" s="10">
        <f t="shared" si="80"/>
        <v>6.3201965858527824</v>
      </c>
      <c r="AD163" s="10">
        <f t="shared" si="81"/>
        <v>9.7684058231083188</v>
      </c>
      <c r="AE163" s="10">
        <f t="shared" si="89"/>
        <v>-1</v>
      </c>
      <c r="AF163" s="10">
        <f t="shared" si="90"/>
        <v>1</v>
      </c>
      <c r="AI163" s="10">
        <f t="shared" si="91"/>
        <v>-1</v>
      </c>
      <c r="AJ163" s="10">
        <f t="shared" si="92"/>
        <v>1</v>
      </c>
      <c r="AK163" s="10">
        <f t="shared" si="93"/>
        <v>1</v>
      </c>
      <c r="BJ163" s="11"/>
      <c r="BK163" s="29"/>
      <c r="BL163" s="29"/>
      <c r="BM163" s="11"/>
    </row>
    <row r="164" spans="2:65" x14ac:dyDescent="0.25">
      <c r="B164" s="10">
        <f t="shared" si="82"/>
        <v>145</v>
      </c>
      <c r="C164">
        <v>0.71211388785741292</v>
      </c>
      <c r="D164">
        <v>0.56415387916786131</v>
      </c>
      <c r="E164">
        <v>0.79049043244727923</v>
      </c>
      <c r="H164" s="18">
        <f>1</f>
        <v>1</v>
      </c>
      <c r="I164" s="19">
        <f t="shared" si="73"/>
        <v>7.2340936902522763</v>
      </c>
      <c r="J164" s="19">
        <f t="shared" si="74"/>
        <v>15.812709894040077</v>
      </c>
      <c r="K164" s="18">
        <f t="shared" si="75"/>
        <v>-1</v>
      </c>
      <c r="L164" s="17"/>
      <c r="M164" s="17"/>
      <c r="N164" s="18">
        <f t="shared" si="83"/>
        <v>-100</v>
      </c>
      <c r="O164" s="18">
        <f t="shared" si="83"/>
        <v>-100</v>
      </c>
      <c r="P164" s="18">
        <f t="shared" si="84"/>
        <v>7.2340936902522763</v>
      </c>
      <c r="Q164" s="18">
        <f t="shared" si="84"/>
        <v>15.812709894040077</v>
      </c>
      <c r="S164" s="10">
        <f t="shared" si="85"/>
        <v>200.98668565069022</v>
      </c>
      <c r="T164" s="10">
        <f t="shared" si="86"/>
        <v>1</v>
      </c>
      <c r="U164" s="10">
        <f t="shared" si="87"/>
        <v>-1</v>
      </c>
      <c r="V164" s="10">
        <f t="shared" si="88"/>
        <v>1</v>
      </c>
      <c r="Y164" s="10">
        <f t="shared" si="76"/>
        <v>-0.70082399975499998</v>
      </c>
      <c r="Z164" s="10">
        <f t="shared" si="77"/>
        <v>-5.0698264746050086</v>
      </c>
      <c r="AA164" s="10">
        <f t="shared" si="78"/>
        <v>-11.08192659490663</v>
      </c>
      <c r="AB164" s="10">
        <f t="shared" si="79"/>
        <v>9.9999999999999978E-2</v>
      </c>
      <c r="AC164" s="10">
        <f t="shared" si="80"/>
        <v>1.2503701112477739</v>
      </c>
      <c r="AD164" s="10">
        <f t="shared" si="81"/>
        <v>-1.3135207717983111</v>
      </c>
      <c r="AE164" s="10">
        <f t="shared" si="89"/>
        <v>-1</v>
      </c>
      <c r="AF164" s="10">
        <f t="shared" si="90"/>
        <v>0</v>
      </c>
      <c r="AI164" s="10">
        <f t="shared" si="91"/>
        <v>-1</v>
      </c>
      <c r="AJ164" s="10">
        <f t="shared" si="92"/>
        <v>0</v>
      </c>
      <c r="AK164" s="10">
        <f t="shared" si="93"/>
        <v>0</v>
      </c>
      <c r="BJ164" s="11"/>
      <c r="BK164" s="29"/>
      <c r="BL164" s="29"/>
      <c r="BM164" s="11"/>
    </row>
    <row r="165" spans="2:65" x14ac:dyDescent="0.25">
      <c r="B165" s="10">
        <f t="shared" si="82"/>
        <v>146</v>
      </c>
      <c r="C165">
        <v>-2.056494849966839</v>
      </c>
      <c r="D165">
        <v>-0.57305669542984106</v>
      </c>
      <c r="E165">
        <v>0.12619403668324838</v>
      </c>
      <c r="H165" s="18">
        <f>1</f>
        <v>1</v>
      </c>
      <c r="I165" s="19">
        <f t="shared" si="73"/>
        <v>3.2426905051550836</v>
      </c>
      <c r="J165" s="19">
        <f t="shared" si="74"/>
        <v>14.173234497042463</v>
      </c>
      <c r="K165" s="18">
        <f t="shared" si="75"/>
        <v>1</v>
      </c>
      <c r="L165" s="17"/>
      <c r="M165" s="17"/>
      <c r="N165" s="18">
        <f t="shared" si="83"/>
        <v>3.2426905051550836</v>
      </c>
      <c r="O165" s="18">
        <f t="shared" si="83"/>
        <v>14.173234497042463</v>
      </c>
      <c r="P165" s="18">
        <f t="shared" si="84"/>
        <v>-100</v>
      </c>
      <c r="Q165" s="18">
        <f t="shared" si="84"/>
        <v>-100</v>
      </c>
      <c r="S165" s="10">
        <f t="shared" si="85"/>
        <v>-14.462274627760802</v>
      </c>
      <c r="T165" s="10">
        <f t="shared" si="86"/>
        <v>-1</v>
      </c>
      <c r="U165" s="10">
        <f t="shared" si="87"/>
        <v>1</v>
      </c>
      <c r="V165" s="10">
        <f t="shared" si="88"/>
        <v>1</v>
      </c>
      <c r="Y165" s="10">
        <f t="shared" si="76"/>
        <v>0.70082399975499998</v>
      </c>
      <c r="Z165" s="10">
        <f t="shared" si="77"/>
        <v>2.2725553297903471</v>
      </c>
      <c r="AA165" s="10">
        <f t="shared" si="78"/>
        <v>9.9329428896828436</v>
      </c>
      <c r="AB165" s="10">
        <f t="shared" si="79"/>
        <v>0.80082399975499996</v>
      </c>
      <c r="AC165" s="10">
        <f t="shared" si="80"/>
        <v>3.522925441038121</v>
      </c>
      <c r="AD165" s="10">
        <f t="shared" si="81"/>
        <v>8.6194221178845325</v>
      </c>
      <c r="AE165" s="10">
        <f t="shared" si="89"/>
        <v>-1</v>
      </c>
      <c r="AF165" s="10">
        <f t="shared" si="90"/>
        <v>1</v>
      </c>
      <c r="AI165" s="10">
        <f t="shared" si="91"/>
        <v>-1</v>
      </c>
      <c r="AJ165" s="10">
        <f t="shared" si="92"/>
        <v>1</v>
      </c>
      <c r="AK165" s="10">
        <f t="shared" si="93"/>
        <v>1</v>
      </c>
      <c r="BJ165" s="11"/>
      <c r="BK165" s="29"/>
      <c r="BL165" s="29"/>
      <c r="BM165" s="11"/>
    </row>
    <row r="166" spans="2:65" x14ac:dyDescent="0.25">
      <c r="B166" s="10">
        <f t="shared" si="82"/>
        <v>147</v>
      </c>
      <c r="C166">
        <v>-0.13956423572381027</v>
      </c>
      <c r="D166">
        <v>-1.2070222510374151</v>
      </c>
      <c r="E166">
        <v>0.52153080843531607</v>
      </c>
      <c r="H166" s="18">
        <f>1</f>
        <v>1</v>
      </c>
      <c r="I166" s="19">
        <f t="shared" si="73"/>
        <v>6.0062601113511453</v>
      </c>
      <c r="J166" s="19">
        <f t="shared" si="74"/>
        <v>13.259269261245896</v>
      </c>
      <c r="K166" s="18">
        <f t="shared" si="75"/>
        <v>-1</v>
      </c>
      <c r="L166" s="17"/>
      <c r="M166" s="17"/>
      <c r="N166" s="18">
        <f t="shared" si="83"/>
        <v>-100</v>
      </c>
      <c r="O166" s="18">
        <f t="shared" si="83"/>
        <v>-100</v>
      </c>
      <c r="P166" s="18">
        <f t="shared" si="84"/>
        <v>6.0062601113511453</v>
      </c>
      <c r="Q166" s="18">
        <f t="shared" si="84"/>
        <v>13.259269261245896</v>
      </c>
      <c r="S166" s="10">
        <f t="shared" si="85"/>
        <v>136.24766928889579</v>
      </c>
      <c r="T166" s="10">
        <f t="shared" si="86"/>
        <v>1</v>
      </c>
      <c r="U166" s="10">
        <f t="shared" si="87"/>
        <v>-1</v>
      </c>
      <c r="V166" s="10">
        <f t="shared" si="88"/>
        <v>1</v>
      </c>
      <c r="Y166" s="10">
        <f t="shared" si="76"/>
        <v>-0.70082399975499998</v>
      </c>
      <c r="Z166" s="10">
        <f t="shared" si="77"/>
        <v>-4.2093312348060214</v>
      </c>
      <c r="AA166" s="10">
        <f t="shared" si="78"/>
        <v>-9.2924141174948733</v>
      </c>
      <c r="AB166" s="10">
        <f t="shared" si="79"/>
        <v>9.9999999999999978E-2</v>
      </c>
      <c r="AC166" s="10">
        <f t="shared" si="80"/>
        <v>-0.68640579376790045</v>
      </c>
      <c r="AD166" s="10">
        <f t="shared" si="81"/>
        <v>-0.67299199961034084</v>
      </c>
      <c r="AE166" s="10">
        <f t="shared" si="89"/>
        <v>-1</v>
      </c>
      <c r="AF166" s="10">
        <f t="shared" si="90"/>
        <v>0</v>
      </c>
      <c r="AI166" s="10">
        <f t="shared" si="91"/>
        <v>-1</v>
      </c>
      <c r="AJ166" s="10">
        <f t="shared" si="92"/>
        <v>1</v>
      </c>
      <c r="AK166" s="10">
        <f t="shared" si="93"/>
        <v>1</v>
      </c>
      <c r="BJ166" s="11"/>
      <c r="BK166" s="29"/>
      <c r="BL166" s="29"/>
      <c r="BM166" s="11"/>
    </row>
    <row r="167" spans="2:65" x14ac:dyDescent="0.25">
      <c r="B167" s="10">
        <f t="shared" si="82"/>
        <v>148</v>
      </c>
      <c r="C167">
        <v>-1.146486283687409</v>
      </c>
      <c r="D167">
        <v>-1.3039039004070219</v>
      </c>
      <c r="E167">
        <v>0.35602893154698323</v>
      </c>
      <c r="H167" s="18">
        <f>1</f>
        <v>1</v>
      </c>
      <c r="I167" s="19">
        <f t="shared" si="73"/>
        <v>4.5546169757649642</v>
      </c>
      <c r="J167" s="19">
        <f t="shared" si="74"/>
        <v>13.119598487767369</v>
      </c>
      <c r="K167" s="18">
        <f t="shared" si="75"/>
        <v>1</v>
      </c>
      <c r="L167" s="17"/>
      <c r="M167" s="17"/>
      <c r="N167" s="18">
        <f t="shared" si="83"/>
        <v>4.5546169757649642</v>
      </c>
      <c r="O167" s="18">
        <f t="shared" si="83"/>
        <v>13.119598487767369</v>
      </c>
      <c r="P167" s="18">
        <f t="shared" si="84"/>
        <v>-100</v>
      </c>
      <c r="Q167" s="18">
        <f t="shared" si="84"/>
        <v>-100</v>
      </c>
      <c r="S167" s="10">
        <f t="shared" si="85"/>
        <v>-11.85570030092607</v>
      </c>
      <c r="T167" s="10">
        <f t="shared" si="86"/>
        <v>-1</v>
      </c>
      <c r="U167" s="10">
        <f t="shared" si="87"/>
        <v>1</v>
      </c>
      <c r="V167" s="10">
        <f t="shared" si="88"/>
        <v>1</v>
      </c>
      <c r="Y167" s="10">
        <f t="shared" si="76"/>
        <v>0.70082399975499998</v>
      </c>
      <c r="Z167" s="10">
        <f t="shared" si="77"/>
        <v>3.1919848863076239</v>
      </c>
      <c r="AA167" s="10">
        <f t="shared" si="78"/>
        <v>9.1945294873767764</v>
      </c>
      <c r="AB167" s="10">
        <f t="shared" si="79"/>
        <v>0.80082399975499996</v>
      </c>
      <c r="AC167" s="10">
        <f t="shared" si="80"/>
        <v>2.5055790925397234</v>
      </c>
      <c r="AD167" s="10">
        <f t="shared" si="81"/>
        <v>8.5215374877664356</v>
      </c>
      <c r="AE167" s="10">
        <f t="shared" si="89"/>
        <v>-1</v>
      </c>
      <c r="AF167" s="10">
        <f t="shared" si="90"/>
        <v>1</v>
      </c>
      <c r="AI167" s="10">
        <f t="shared" si="91"/>
        <v>-1</v>
      </c>
      <c r="AJ167" s="10">
        <f t="shared" si="92"/>
        <v>0</v>
      </c>
      <c r="AK167" s="10">
        <f t="shared" si="93"/>
        <v>0</v>
      </c>
      <c r="BJ167" s="11"/>
      <c r="BK167" s="29"/>
      <c r="BL167" s="29"/>
      <c r="BM167" s="11"/>
    </row>
    <row r="168" spans="2:65" x14ac:dyDescent="0.25">
      <c r="B168" s="10">
        <f t="shared" si="82"/>
        <v>149</v>
      </c>
      <c r="C168">
        <v>-8.1676034824340604E-2</v>
      </c>
      <c r="D168">
        <v>-1.2820214578823652</v>
      </c>
      <c r="E168">
        <v>0.60695211645863212</v>
      </c>
      <c r="H168" s="18">
        <f>1</f>
        <v>1</v>
      </c>
      <c r="I168" s="19">
        <f t="shared" si="73"/>
        <v>6.0897154390372332</v>
      </c>
      <c r="J168" s="19">
        <f t="shared" si="74"/>
        <v>13.151145614523626</v>
      </c>
      <c r="K168" s="18">
        <f t="shared" si="75"/>
        <v>-1</v>
      </c>
      <c r="L168" s="17"/>
      <c r="M168" s="17"/>
      <c r="N168" s="18">
        <f t="shared" si="83"/>
        <v>-100</v>
      </c>
      <c r="O168" s="18">
        <f t="shared" si="83"/>
        <v>-100</v>
      </c>
      <c r="P168" s="18">
        <f t="shared" si="84"/>
        <v>6.0897154390372332</v>
      </c>
      <c r="Q168" s="18">
        <f t="shared" si="84"/>
        <v>13.151145614523626</v>
      </c>
      <c r="S168" s="10">
        <f t="shared" si="85"/>
        <v>128.1270680445613</v>
      </c>
      <c r="T168" s="10">
        <f t="shared" si="86"/>
        <v>1</v>
      </c>
      <c r="U168" s="10">
        <f t="shared" si="87"/>
        <v>-1</v>
      </c>
      <c r="V168" s="10">
        <f t="shared" si="88"/>
        <v>1</v>
      </c>
      <c r="Y168" s="10">
        <f t="shared" si="76"/>
        <v>-0.70082399975499998</v>
      </c>
      <c r="Z168" s="10">
        <f t="shared" si="77"/>
        <v>-4.2678187313558498</v>
      </c>
      <c r="AA168" s="10">
        <f t="shared" si="78"/>
        <v>-9.2166384709308744</v>
      </c>
      <c r="AB168" s="10">
        <f t="shared" si="79"/>
        <v>9.9999999999999978E-2</v>
      </c>
      <c r="AC168" s="10">
        <f t="shared" si="80"/>
        <v>-1.7622396388161263</v>
      </c>
      <c r="AD168" s="10">
        <f t="shared" si="81"/>
        <v>-0.6951009831644388</v>
      </c>
      <c r="AE168" s="10">
        <f t="shared" si="89"/>
        <v>-1</v>
      </c>
      <c r="AF168" s="10">
        <f t="shared" si="90"/>
        <v>0</v>
      </c>
      <c r="AI168" s="10">
        <f t="shared" si="91"/>
        <v>-1</v>
      </c>
      <c r="AJ168" s="10">
        <f t="shared" si="92"/>
        <v>1</v>
      </c>
      <c r="AK168" s="10">
        <f t="shared" si="93"/>
        <v>1</v>
      </c>
      <c r="BJ168" s="11"/>
      <c r="BK168" s="29"/>
      <c r="BL168" s="29"/>
      <c r="BM168" s="11"/>
    </row>
    <row r="169" spans="2:65" x14ac:dyDescent="0.25">
      <c r="B169" s="10">
        <f t="shared" si="82"/>
        <v>150</v>
      </c>
      <c r="C169">
        <v>0.47783032641746104</v>
      </c>
      <c r="D169">
        <v>0.94903953140601516</v>
      </c>
      <c r="E169">
        <v>0.64308603167821288</v>
      </c>
      <c r="H169" s="18">
        <f>1</f>
        <v>1</v>
      </c>
      <c r="I169" s="19">
        <f t="shared" si="73"/>
        <v>6.8963355445916461</v>
      </c>
      <c r="J169" s="19">
        <f t="shared" si="74"/>
        <v>16.367585632620909</v>
      </c>
      <c r="K169" s="18">
        <f t="shared" si="75"/>
        <v>-1</v>
      </c>
      <c r="L169" s="17"/>
      <c r="M169" s="17"/>
      <c r="N169" s="18">
        <f t="shared" si="83"/>
        <v>-100</v>
      </c>
      <c r="O169" s="18">
        <f t="shared" si="83"/>
        <v>-100</v>
      </c>
      <c r="P169" s="18">
        <f t="shared" si="84"/>
        <v>6.8963355445916461</v>
      </c>
      <c r="Q169" s="18">
        <f t="shared" si="84"/>
        <v>16.367585632620909</v>
      </c>
      <c r="S169" s="10">
        <f t="shared" si="85"/>
        <v>-23.430120724518936</v>
      </c>
      <c r="T169" s="10">
        <f t="shared" si="86"/>
        <v>-1</v>
      </c>
      <c r="U169" s="10">
        <f t="shared" si="87"/>
        <v>0</v>
      </c>
      <c r="V169" s="10">
        <f t="shared" si="88"/>
        <v>0</v>
      </c>
      <c r="Y169" s="10">
        <f t="shared" si="76"/>
        <v>0</v>
      </c>
      <c r="Z169" s="10">
        <f t="shared" si="77"/>
        <v>0</v>
      </c>
      <c r="AA169" s="10">
        <f t="shared" si="78"/>
        <v>0</v>
      </c>
      <c r="AB169" s="10">
        <f t="shared" si="79"/>
        <v>9.9999999999999978E-2</v>
      </c>
      <c r="AC169" s="10">
        <f t="shared" si="80"/>
        <v>-1.7622396388161263</v>
      </c>
      <c r="AD169" s="10">
        <f t="shared" si="81"/>
        <v>-0.6951009831644388</v>
      </c>
      <c r="AE169" s="10">
        <f t="shared" si="89"/>
        <v>-1</v>
      </c>
      <c r="AF169" s="10">
        <f t="shared" si="90"/>
        <v>0</v>
      </c>
      <c r="AI169" s="10">
        <f t="shared" si="91"/>
        <v>-1</v>
      </c>
      <c r="AJ169" s="10">
        <f t="shared" si="92"/>
        <v>0</v>
      </c>
      <c r="AK169" s="10">
        <f t="shared" si="93"/>
        <v>0</v>
      </c>
      <c r="BJ169" s="11"/>
      <c r="BK169" s="29"/>
      <c r="BL169" s="29"/>
      <c r="BM169" s="11"/>
    </row>
    <row r="170" spans="2:65" x14ac:dyDescent="0.25">
      <c r="B170" s="10">
        <f t="shared" si="82"/>
        <v>151</v>
      </c>
      <c r="C170">
        <v>-0.88882643467513844</v>
      </c>
      <c r="D170">
        <v>0.79033043220988475</v>
      </c>
      <c r="E170">
        <v>0.51130710776085697</v>
      </c>
      <c r="H170" s="18">
        <f>1</f>
        <v>1</v>
      </c>
      <c r="I170" s="19">
        <f t="shared" si="73"/>
        <v>4.926075870613154</v>
      </c>
      <c r="J170" s="19">
        <f t="shared" si="74"/>
        <v>16.138780458606625</v>
      </c>
      <c r="K170" s="18">
        <f t="shared" si="75"/>
        <v>-1</v>
      </c>
      <c r="L170" s="17"/>
      <c r="M170" s="17"/>
      <c r="N170" s="18">
        <f t="shared" si="83"/>
        <v>-100</v>
      </c>
      <c r="O170" s="18">
        <f t="shared" si="83"/>
        <v>-100</v>
      </c>
      <c r="P170" s="18">
        <f t="shared" si="84"/>
        <v>4.926075870613154</v>
      </c>
      <c r="Q170" s="18">
        <f t="shared" si="84"/>
        <v>16.138780458606625</v>
      </c>
      <c r="S170" s="10">
        <f t="shared" si="85"/>
        <v>-19.799008326862658</v>
      </c>
      <c r="T170" s="10">
        <f t="shared" si="86"/>
        <v>-1</v>
      </c>
      <c r="U170" s="10">
        <f t="shared" si="87"/>
        <v>0</v>
      </c>
      <c r="V170" s="10">
        <f t="shared" si="88"/>
        <v>0</v>
      </c>
      <c r="Y170" s="10">
        <f t="shared" si="76"/>
        <v>0</v>
      </c>
      <c r="Z170" s="10">
        <f t="shared" si="77"/>
        <v>0</v>
      </c>
      <c r="AA170" s="10">
        <f t="shared" si="78"/>
        <v>0</v>
      </c>
      <c r="AB170" s="10">
        <f t="shared" si="79"/>
        <v>9.9999999999999978E-2</v>
      </c>
      <c r="AC170" s="10">
        <f t="shared" si="80"/>
        <v>-1.7622396388161263</v>
      </c>
      <c r="AD170" s="10">
        <f t="shared" si="81"/>
        <v>-0.6951009831644388</v>
      </c>
      <c r="AE170" s="10">
        <f t="shared" si="89"/>
        <v>-1</v>
      </c>
      <c r="AF170" s="10">
        <f t="shared" si="90"/>
        <v>0</v>
      </c>
      <c r="AI170" s="10">
        <f t="shared" si="91"/>
        <v>-1</v>
      </c>
      <c r="AJ170" s="10">
        <f t="shared" si="92"/>
        <v>1</v>
      </c>
      <c r="AK170" s="10">
        <f t="shared" si="93"/>
        <v>1</v>
      </c>
      <c r="BJ170" s="11"/>
      <c r="BK170" s="29"/>
      <c r="BL170" s="29"/>
      <c r="BM170" s="11"/>
    </row>
    <row r="171" spans="2:65" x14ac:dyDescent="0.25">
      <c r="B171" s="10">
        <f t="shared" si="82"/>
        <v>152</v>
      </c>
      <c r="C171">
        <v>-0.502154762216378</v>
      </c>
      <c r="D171">
        <v>-0.59373405747464858</v>
      </c>
      <c r="E171">
        <v>0.44706564531388288</v>
      </c>
      <c r="H171" s="18">
        <f>1</f>
        <v>1</v>
      </c>
      <c r="I171" s="19">
        <f t="shared" si="73"/>
        <v>5.4835264500155825</v>
      </c>
      <c r="J171" s="19">
        <f t="shared" si="74"/>
        <v>14.143424691273408</v>
      </c>
      <c r="K171" s="18">
        <f t="shared" si="75"/>
        <v>1</v>
      </c>
      <c r="L171" s="17"/>
      <c r="M171" s="17"/>
      <c r="N171" s="18">
        <f t="shared" si="83"/>
        <v>5.4835264500155825</v>
      </c>
      <c r="O171" s="18">
        <f t="shared" si="83"/>
        <v>14.143424691273408</v>
      </c>
      <c r="P171" s="18">
        <f t="shared" si="84"/>
        <v>-100</v>
      </c>
      <c r="Q171" s="18">
        <f t="shared" si="84"/>
        <v>-100</v>
      </c>
      <c r="S171" s="10">
        <f t="shared" si="85"/>
        <v>-19.39439607893048</v>
      </c>
      <c r="T171" s="10">
        <f t="shared" si="86"/>
        <v>-1</v>
      </c>
      <c r="U171" s="10">
        <f t="shared" si="87"/>
        <v>1</v>
      </c>
      <c r="V171" s="10">
        <f t="shared" si="88"/>
        <v>1</v>
      </c>
      <c r="Y171" s="10">
        <f t="shared" si="76"/>
        <v>0.70082399975499998</v>
      </c>
      <c r="Z171" s="10">
        <f t="shared" si="77"/>
        <v>3.8429869394622567</v>
      </c>
      <c r="AA171" s="10">
        <f t="shared" si="78"/>
        <v>9.9120514623718563</v>
      </c>
      <c r="AB171" s="10">
        <f t="shared" si="79"/>
        <v>0.80082399975499996</v>
      </c>
      <c r="AC171" s="10">
        <f t="shared" si="80"/>
        <v>2.0807473006461303</v>
      </c>
      <c r="AD171" s="10">
        <f t="shared" si="81"/>
        <v>9.2169504792074175</v>
      </c>
      <c r="AE171" s="10">
        <f t="shared" si="89"/>
        <v>-1</v>
      </c>
      <c r="AF171" s="10">
        <f t="shared" si="90"/>
        <v>1</v>
      </c>
      <c r="AI171" s="10">
        <f t="shared" si="91"/>
        <v>-1</v>
      </c>
      <c r="AJ171" s="10">
        <f t="shared" si="92"/>
        <v>0</v>
      </c>
      <c r="AK171" s="10">
        <f t="shared" si="93"/>
        <v>0</v>
      </c>
      <c r="BJ171" s="11"/>
      <c r="BK171" s="29"/>
      <c r="BL171" s="29"/>
      <c r="BM171" s="11"/>
    </row>
    <row r="172" spans="2:65" x14ac:dyDescent="0.25">
      <c r="B172" s="10">
        <f t="shared" si="82"/>
        <v>153</v>
      </c>
      <c r="C172">
        <v>0.83959548646816984</v>
      </c>
      <c r="D172">
        <v>-0.42924511944875121</v>
      </c>
      <c r="E172">
        <v>0.10791344950712607</v>
      </c>
      <c r="H172" s="18">
        <f>1</f>
        <v>1</v>
      </c>
      <c r="I172" s="19">
        <f t="shared" si="73"/>
        <v>7.4178793049491834</v>
      </c>
      <c r="J172" s="19">
        <f t="shared" si="74"/>
        <v>14.380562450097997</v>
      </c>
      <c r="K172" s="18">
        <f t="shared" si="75"/>
        <v>1</v>
      </c>
      <c r="L172" s="17"/>
      <c r="M172" s="17"/>
      <c r="N172" s="18">
        <f t="shared" si="83"/>
        <v>7.4178793049491834</v>
      </c>
      <c r="O172" s="18">
        <f t="shared" si="83"/>
        <v>14.380562450097997</v>
      </c>
      <c r="P172" s="18">
        <f t="shared" si="84"/>
        <v>-100</v>
      </c>
      <c r="Q172" s="18">
        <f t="shared" si="84"/>
        <v>-100</v>
      </c>
      <c r="S172" s="10">
        <f t="shared" si="85"/>
        <v>148.78048830574974</v>
      </c>
      <c r="T172" s="10">
        <f t="shared" si="86"/>
        <v>1</v>
      </c>
      <c r="U172" s="10">
        <f t="shared" si="87"/>
        <v>0</v>
      </c>
      <c r="V172" s="10">
        <f t="shared" si="88"/>
        <v>0</v>
      </c>
      <c r="Y172" s="10">
        <f t="shared" si="76"/>
        <v>0</v>
      </c>
      <c r="Z172" s="10">
        <f t="shared" si="77"/>
        <v>0</v>
      </c>
      <c r="AA172" s="10">
        <f t="shared" si="78"/>
        <v>0</v>
      </c>
      <c r="AB172" s="10">
        <f t="shared" si="79"/>
        <v>0.80082399975499996</v>
      </c>
      <c r="AC172" s="10">
        <f t="shared" si="80"/>
        <v>2.0807473006461303</v>
      </c>
      <c r="AD172" s="10">
        <f t="shared" si="81"/>
        <v>9.2169504792074175</v>
      </c>
      <c r="AE172" s="10">
        <f t="shared" si="89"/>
        <v>-1</v>
      </c>
      <c r="AF172" s="10">
        <f t="shared" si="90"/>
        <v>1</v>
      </c>
      <c r="AI172" s="10">
        <f t="shared" si="91"/>
        <v>-1</v>
      </c>
      <c r="AJ172" s="10">
        <f t="shared" si="92"/>
        <v>0</v>
      </c>
      <c r="AK172" s="10">
        <f t="shared" si="93"/>
        <v>0</v>
      </c>
      <c r="BJ172" s="11"/>
      <c r="BK172" s="29"/>
      <c r="BL172" s="29"/>
      <c r="BM172" s="11"/>
    </row>
    <row r="173" spans="2:65" x14ac:dyDescent="0.25">
      <c r="B173" s="10">
        <f t="shared" si="82"/>
        <v>154</v>
      </c>
      <c r="C173">
        <v>0.67187556851422414</v>
      </c>
      <c r="D173">
        <v>1.7362344806315377</v>
      </c>
      <c r="E173">
        <v>0.95287942136906034</v>
      </c>
      <c r="H173" s="18">
        <f>1</f>
        <v>1</v>
      </c>
      <c r="I173" s="19">
        <f t="shared" si="73"/>
        <v>7.1760835591004195</v>
      </c>
      <c r="J173" s="19">
        <f t="shared" si="74"/>
        <v>17.502456148886189</v>
      </c>
      <c r="K173" s="18">
        <f t="shared" si="75"/>
        <v>-1</v>
      </c>
      <c r="L173" s="17"/>
      <c r="M173" s="17"/>
      <c r="N173" s="18">
        <f t="shared" si="83"/>
        <v>-100</v>
      </c>
      <c r="O173" s="18">
        <f t="shared" si="83"/>
        <v>-100</v>
      </c>
      <c r="P173" s="18">
        <f t="shared" si="84"/>
        <v>7.1760835591004195</v>
      </c>
      <c r="Q173" s="18">
        <f t="shared" si="84"/>
        <v>17.502456148886189</v>
      </c>
      <c r="S173" s="10">
        <f t="shared" si="85"/>
        <v>177.05171208334767</v>
      </c>
      <c r="T173" s="10">
        <f t="shared" si="86"/>
        <v>1</v>
      </c>
      <c r="U173" s="10">
        <f t="shared" si="87"/>
        <v>-1</v>
      </c>
      <c r="V173" s="10">
        <f t="shared" si="88"/>
        <v>1</v>
      </c>
      <c r="Y173" s="10">
        <f t="shared" si="76"/>
        <v>-0.70082399975499998</v>
      </c>
      <c r="Z173" s="10">
        <f t="shared" si="77"/>
        <v>-5.0291715824648522</v>
      </c>
      <c r="AA173" s="10">
        <f t="shared" si="78"/>
        <v>-12.266141323798912</v>
      </c>
      <c r="AB173" s="10">
        <f t="shared" si="79"/>
        <v>9.9999999999999978E-2</v>
      </c>
      <c r="AC173" s="10">
        <f t="shared" si="80"/>
        <v>-2.9484242818187218</v>
      </c>
      <c r="AD173" s="10">
        <f t="shared" si="81"/>
        <v>-3.0491908445914948</v>
      </c>
      <c r="AE173" s="10">
        <f t="shared" si="89"/>
        <v>-1</v>
      </c>
      <c r="AF173" s="10">
        <f t="shared" si="90"/>
        <v>0</v>
      </c>
      <c r="AI173" s="10">
        <f t="shared" si="91"/>
        <v>-1</v>
      </c>
      <c r="AJ173" s="10">
        <f t="shared" si="92"/>
        <v>0</v>
      </c>
      <c r="AK173" s="10">
        <f t="shared" si="93"/>
        <v>0</v>
      </c>
      <c r="BJ173" s="11"/>
      <c r="BK173" s="29"/>
      <c r="BL173" s="29"/>
      <c r="BM173" s="11"/>
    </row>
    <row r="174" spans="2:65" x14ac:dyDescent="0.25">
      <c r="B174" s="10">
        <f t="shared" si="82"/>
        <v>155</v>
      </c>
      <c r="C174">
        <v>1.4761735656065866</v>
      </c>
      <c r="D174">
        <v>0.90414687292650342</v>
      </c>
      <c r="E174">
        <v>0.73961607715079192</v>
      </c>
      <c r="H174" s="18">
        <f>1</f>
        <v>1</v>
      </c>
      <c r="I174" s="19">
        <f t="shared" si="73"/>
        <v>8.3356109215274365</v>
      </c>
      <c r="J174" s="19">
        <f t="shared" si="74"/>
        <v>16.302865508901508</v>
      </c>
      <c r="K174" s="18">
        <f t="shared" si="75"/>
        <v>-1</v>
      </c>
      <c r="L174" s="17"/>
      <c r="M174" s="17"/>
      <c r="N174" s="18">
        <f t="shared" si="83"/>
        <v>-100</v>
      </c>
      <c r="O174" s="18">
        <f t="shared" si="83"/>
        <v>-100</v>
      </c>
      <c r="P174" s="18">
        <f t="shared" si="84"/>
        <v>8.3356109215274365</v>
      </c>
      <c r="Q174" s="18">
        <f t="shared" si="84"/>
        <v>16.302865508901508</v>
      </c>
      <c r="S174" s="10">
        <f t="shared" si="85"/>
        <v>-74.187465895173773</v>
      </c>
      <c r="T174" s="10">
        <f t="shared" si="86"/>
        <v>-1</v>
      </c>
      <c r="U174" s="10">
        <f t="shared" si="87"/>
        <v>0</v>
      </c>
      <c r="V174" s="10">
        <f t="shared" si="88"/>
        <v>0</v>
      </c>
      <c r="Y174" s="10">
        <f t="shared" si="76"/>
        <v>0</v>
      </c>
      <c r="Z174" s="10">
        <f t="shared" si="77"/>
        <v>0</v>
      </c>
      <c r="AA174" s="10">
        <f t="shared" si="78"/>
        <v>0</v>
      </c>
      <c r="AB174" s="10">
        <f t="shared" si="79"/>
        <v>9.9999999999999978E-2</v>
      </c>
      <c r="AC174" s="10">
        <f t="shared" si="80"/>
        <v>-2.9484242818187218</v>
      </c>
      <c r="AD174" s="10">
        <f t="shared" si="81"/>
        <v>-3.0491908445914948</v>
      </c>
      <c r="AE174" s="10">
        <f t="shared" si="89"/>
        <v>-1</v>
      </c>
      <c r="AF174" s="10">
        <f t="shared" si="90"/>
        <v>0</v>
      </c>
      <c r="AI174" s="10">
        <f t="shared" si="91"/>
        <v>-1</v>
      </c>
      <c r="AJ174" s="10">
        <f t="shared" si="92"/>
        <v>1</v>
      </c>
      <c r="AK174" s="10">
        <f t="shared" si="93"/>
        <v>1</v>
      </c>
      <c r="BJ174" s="11"/>
      <c r="BK174" s="29"/>
      <c r="BL174" s="29"/>
      <c r="BM174" s="11"/>
    </row>
    <row r="175" spans="2:65" x14ac:dyDescent="0.25">
      <c r="B175" s="10">
        <f t="shared" si="82"/>
        <v>156</v>
      </c>
      <c r="C175">
        <v>-0.12544205674203113</v>
      </c>
      <c r="D175">
        <v>-1.4148599802865647</v>
      </c>
      <c r="E175">
        <v>0.50215155491805785</v>
      </c>
      <c r="H175" s="18">
        <f>1</f>
        <v>1</v>
      </c>
      <c r="I175" s="19">
        <f t="shared" si="73"/>
        <v>6.0266195465426566</v>
      </c>
      <c r="J175" s="19">
        <f t="shared" si="74"/>
        <v>12.959637116343995</v>
      </c>
      <c r="K175" s="18">
        <f t="shared" si="75"/>
        <v>1</v>
      </c>
      <c r="L175" s="17"/>
      <c r="M175" s="17"/>
      <c r="N175" s="18">
        <f t="shared" si="83"/>
        <v>6.0266195465426566</v>
      </c>
      <c r="O175" s="18">
        <f t="shared" si="83"/>
        <v>12.959637116343995</v>
      </c>
      <c r="P175" s="18">
        <f t="shared" si="84"/>
        <v>-100</v>
      </c>
      <c r="Q175" s="18">
        <f t="shared" si="84"/>
        <v>-100</v>
      </c>
      <c r="S175" s="10">
        <f t="shared" si="85"/>
        <v>-57.185438252693928</v>
      </c>
      <c r="T175" s="10">
        <f t="shared" si="86"/>
        <v>-1</v>
      </c>
      <c r="U175" s="10">
        <f t="shared" si="87"/>
        <v>1</v>
      </c>
      <c r="V175" s="10">
        <f t="shared" si="88"/>
        <v>1</v>
      </c>
      <c r="Y175" s="10">
        <f t="shared" si="76"/>
        <v>0.70082399975499998</v>
      </c>
      <c r="Z175" s="10">
        <f t="shared" si="77"/>
        <v>4.2235996156096887</v>
      </c>
      <c r="AA175" s="10">
        <f t="shared" si="78"/>
        <v>9.082424719249552</v>
      </c>
      <c r="AB175" s="10">
        <f t="shared" si="79"/>
        <v>0.80082399975499996</v>
      </c>
      <c r="AC175" s="10">
        <f t="shared" si="80"/>
        <v>1.2751753337909668</v>
      </c>
      <c r="AD175" s="10">
        <f t="shared" si="81"/>
        <v>6.0332338746580572</v>
      </c>
      <c r="AE175" s="10">
        <f t="shared" si="89"/>
        <v>-1</v>
      </c>
      <c r="AF175" s="10">
        <f t="shared" si="90"/>
        <v>1</v>
      </c>
      <c r="AI175" s="10">
        <f t="shared" si="91"/>
        <v>-1</v>
      </c>
      <c r="AJ175" s="10">
        <f t="shared" si="92"/>
        <v>1</v>
      </c>
      <c r="AK175" s="10">
        <f t="shared" si="93"/>
        <v>1</v>
      </c>
      <c r="BJ175" s="11"/>
      <c r="BK175" s="29"/>
      <c r="BL175" s="29"/>
      <c r="BM175" s="11"/>
    </row>
    <row r="176" spans="2:65" x14ac:dyDescent="0.25">
      <c r="B176" s="10">
        <f t="shared" si="82"/>
        <v>157</v>
      </c>
      <c r="C176">
        <v>1.1812699085567147</v>
      </c>
      <c r="D176">
        <v>-1.306234480580315</v>
      </c>
      <c r="E176">
        <v>8.4170049134800251E-2</v>
      </c>
      <c r="H176" s="18">
        <f>1</f>
        <v>1</v>
      </c>
      <c r="I176" s="19">
        <f t="shared" si="73"/>
        <v>7.9104589742823759</v>
      </c>
      <c r="J176" s="19">
        <f t="shared" si="74"/>
        <v>13.116238574537407</v>
      </c>
      <c r="K176" s="18">
        <f t="shared" si="75"/>
        <v>1</v>
      </c>
      <c r="L176" s="17"/>
      <c r="M176" s="17"/>
      <c r="N176" s="18">
        <f t="shared" si="83"/>
        <v>7.9104589742823759</v>
      </c>
      <c r="O176" s="18">
        <f t="shared" si="83"/>
        <v>13.116238574537407</v>
      </c>
      <c r="P176" s="18">
        <f t="shared" si="84"/>
        <v>-100</v>
      </c>
      <c r="Q176" s="18">
        <f t="shared" si="84"/>
        <v>-100</v>
      </c>
      <c r="S176" s="10">
        <f t="shared" si="85"/>
        <v>90.02138103872106</v>
      </c>
      <c r="T176" s="10">
        <f t="shared" si="86"/>
        <v>1</v>
      </c>
      <c r="U176" s="10">
        <f t="shared" si="87"/>
        <v>0</v>
      </c>
      <c r="V176" s="10">
        <f t="shared" si="88"/>
        <v>0</v>
      </c>
      <c r="Y176" s="10">
        <f t="shared" si="76"/>
        <v>0</v>
      </c>
      <c r="Z176" s="10">
        <f t="shared" si="77"/>
        <v>0</v>
      </c>
      <c r="AA176" s="10">
        <f t="shared" si="78"/>
        <v>0</v>
      </c>
      <c r="AB176" s="10">
        <f t="shared" si="79"/>
        <v>0.80082399975499996</v>
      </c>
      <c r="AC176" s="10">
        <f t="shared" si="80"/>
        <v>1.2751753337909668</v>
      </c>
      <c r="AD176" s="10">
        <f t="shared" si="81"/>
        <v>6.0332338746580572</v>
      </c>
      <c r="AE176" s="10">
        <f t="shared" si="89"/>
        <v>-1</v>
      </c>
      <c r="AF176" s="10">
        <f t="shared" si="90"/>
        <v>1</v>
      </c>
      <c r="AI176" s="10">
        <f t="shared" si="91"/>
        <v>-1</v>
      </c>
      <c r="AJ176" s="10">
        <f t="shared" si="92"/>
        <v>0</v>
      </c>
      <c r="AK176" s="10">
        <f t="shared" si="93"/>
        <v>0</v>
      </c>
      <c r="BJ176" s="11"/>
      <c r="BK176" s="29"/>
      <c r="BL176" s="29"/>
      <c r="BM176" s="11"/>
    </row>
    <row r="177" spans="2:65" x14ac:dyDescent="0.25">
      <c r="B177" s="10">
        <f t="shared" si="82"/>
        <v>158</v>
      </c>
      <c r="C177">
        <v>-1.9857634470099583</v>
      </c>
      <c r="D177">
        <v>0.55172904467326589</v>
      </c>
      <c r="E177">
        <v>0.51564073610644856</v>
      </c>
      <c r="H177" s="18">
        <f>1</f>
        <v>1</v>
      </c>
      <c r="I177" s="19">
        <f t="shared" si="73"/>
        <v>3.3446614132113623</v>
      </c>
      <c r="J177" s="19">
        <f t="shared" si="74"/>
        <v>15.794797459069217</v>
      </c>
      <c r="K177" s="18">
        <f t="shared" si="75"/>
        <v>-1</v>
      </c>
      <c r="L177" s="17"/>
      <c r="M177" s="17"/>
      <c r="N177" s="18">
        <f t="shared" si="83"/>
        <v>-100</v>
      </c>
      <c r="O177" s="18">
        <f t="shared" si="83"/>
        <v>-100</v>
      </c>
      <c r="P177" s="18">
        <f t="shared" si="84"/>
        <v>3.3446614132113623</v>
      </c>
      <c r="Q177" s="18">
        <f t="shared" si="84"/>
        <v>15.794797459069217</v>
      </c>
      <c r="S177" s="10">
        <f t="shared" si="85"/>
        <v>100.35956080718398</v>
      </c>
      <c r="T177" s="10">
        <f t="shared" si="86"/>
        <v>1</v>
      </c>
      <c r="U177" s="10">
        <f t="shared" si="87"/>
        <v>-1</v>
      </c>
      <c r="V177" s="10">
        <f t="shared" si="88"/>
        <v>1</v>
      </c>
      <c r="Y177" s="10">
        <f t="shared" si="76"/>
        <v>-0.70082399975499998</v>
      </c>
      <c r="Z177" s="10">
        <f t="shared" si="77"/>
        <v>-2.3440189894329979</v>
      </c>
      <c r="AA177" s="10">
        <f t="shared" si="78"/>
        <v>-11.069373130584999</v>
      </c>
      <c r="AB177" s="10">
        <f t="shared" si="79"/>
        <v>9.9999999999999978E-2</v>
      </c>
      <c r="AC177" s="10">
        <f t="shared" si="80"/>
        <v>-1.0688436556420311</v>
      </c>
      <c r="AD177" s="10">
        <f t="shared" si="81"/>
        <v>-5.0361392559269422</v>
      </c>
      <c r="AE177" s="10">
        <f t="shared" si="89"/>
        <v>-1</v>
      </c>
      <c r="AF177" s="10">
        <f t="shared" si="90"/>
        <v>0</v>
      </c>
      <c r="AI177" s="10">
        <f t="shared" si="91"/>
        <v>-1</v>
      </c>
      <c r="AJ177" s="10">
        <f t="shared" si="92"/>
        <v>0</v>
      </c>
      <c r="AK177" s="10">
        <f t="shared" si="93"/>
        <v>0</v>
      </c>
      <c r="BJ177" s="11"/>
      <c r="BK177" s="29"/>
      <c r="BL177" s="29"/>
      <c r="BM177" s="11"/>
    </row>
    <row r="178" spans="2:65" x14ac:dyDescent="0.25">
      <c r="B178" s="10">
        <f t="shared" si="82"/>
        <v>159</v>
      </c>
      <c r="C178">
        <v>-0.86134150478756055</v>
      </c>
      <c r="D178">
        <v>0.70307351052179001</v>
      </c>
      <c r="E178">
        <v>0.82860805078279975</v>
      </c>
      <c r="H178" s="18">
        <f>1</f>
        <v>1</v>
      </c>
      <c r="I178" s="19">
        <f t="shared" si="73"/>
        <v>4.9656999009778282</v>
      </c>
      <c r="J178" s="19">
        <f t="shared" si="74"/>
        <v>16.012985307276818</v>
      </c>
      <c r="K178" s="18">
        <f t="shared" si="75"/>
        <v>-1</v>
      </c>
      <c r="L178" s="17"/>
      <c r="M178" s="17"/>
      <c r="N178" s="18">
        <f t="shared" si="83"/>
        <v>-100</v>
      </c>
      <c r="O178" s="18">
        <f t="shared" si="83"/>
        <v>-100</v>
      </c>
      <c r="P178" s="18">
        <f t="shared" si="84"/>
        <v>4.9656999009778282</v>
      </c>
      <c r="Q178" s="18">
        <f t="shared" si="84"/>
        <v>16.012985307276818</v>
      </c>
      <c r="S178" s="10">
        <f t="shared" si="85"/>
        <v>-85.851180745540546</v>
      </c>
      <c r="T178" s="10">
        <f t="shared" si="86"/>
        <v>-1</v>
      </c>
      <c r="U178" s="10">
        <f t="shared" si="87"/>
        <v>0</v>
      </c>
      <c r="V178" s="10">
        <f t="shared" si="88"/>
        <v>0</v>
      </c>
      <c r="Y178" s="10">
        <f t="shared" si="76"/>
        <v>0</v>
      </c>
      <c r="Z178" s="10">
        <f t="shared" si="77"/>
        <v>0</v>
      </c>
      <c r="AA178" s="10">
        <f t="shared" si="78"/>
        <v>0</v>
      </c>
      <c r="AB178" s="10">
        <f t="shared" si="79"/>
        <v>9.9999999999999978E-2</v>
      </c>
      <c r="AC178" s="10">
        <f t="shared" si="80"/>
        <v>-1.0688436556420311</v>
      </c>
      <c r="AD178" s="10">
        <f t="shared" si="81"/>
        <v>-5.0361392559269422</v>
      </c>
      <c r="AE178" s="10">
        <f t="shared" si="89"/>
        <v>-1</v>
      </c>
      <c r="AF178" s="10">
        <f t="shared" si="90"/>
        <v>0</v>
      </c>
      <c r="AI178" s="10">
        <f t="shared" si="91"/>
        <v>-1</v>
      </c>
      <c r="AJ178" s="10">
        <f t="shared" si="92"/>
        <v>1</v>
      </c>
      <c r="AK178" s="10">
        <f t="shared" si="93"/>
        <v>1</v>
      </c>
      <c r="BJ178" s="11"/>
      <c r="BK178" s="29"/>
      <c r="BL178" s="29"/>
      <c r="BM178" s="11"/>
    </row>
    <row r="179" spans="2:65" x14ac:dyDescent="0.25">
      <c r="B179" s="10">
        <f t="shared" si="82"/>
        <v>160</v>
      </c>
      <c r="C179">
        <v>0.15719933799118735</v>
      </c>
      <c r="D179">
        <v>-1.7250840755878016E-2</v>
      </c>
      <c r="E179">
        <v>0.14731284524063845</v>
      </c>
      <c r="H179" s="18">
        <f>1</f>
        <v>1</v>
      </c>
      <c r="I179" s="19">
        <f t="shared" si="73"/>
        <v>6.4340934332519222</v>
      </c>
      <c r="J179" s="19">
        <f t="shared" si="74"/>
        <v>14.97451971598052</v>
      </c>
      <c r="K179" s="18">
        <f t="shared" si="75"/>
        <v>1</v>
      </c>
      <c r="L179" s="17"/>
      <c r="M179" s="17"/>
      <c r="N179" s="18">
        <f t="shared" si="83"/>
        <v>6.4340934332519222</v>
      </c>
      <c r="O179" s="18">
        <f t="shared" si="83"/>
        <v>14.97451971598052</v>
      </c>
      <c r="P179" s="18">
        <f t="shared" si="84"/>
        <v>-100</v>
      </c>
      <c r="Q179" s="18">
        <f t="shared" si="84"/>
        <v>-100</v>
      </c>
      <c r="S179" s="10">
        <f t="shared" si="85"/>
        <v>-82.190806526240834</v>
      </c>
      <c r="T179" s="10">
        <f t="shared" si="86"/>
        <v>-1</v>
      </c>
      <c r="U179" s="10">
        <f t="shared" si="87"/>
        <v>1</v>
      </c>
      <c r="V179" s="10">
        <f t="shared" si="88"/>
        <v>1</v>
      </c>
      <c r="X179" s="10">
        <f>SUM(V160:V179)</f>
        <v>12</v>
      </c>
      <c r="Y179" s="10">
        <f t="shared" si="76"/>
        <v>0.70082399975499998</v>
      </c>
      <c r="Z179" s="10">
        <f t="shared" si="77"/>
        <v>4.5091670946889923</v>
      </c>
      <c r="AA179" s="10">
        <f t="shared" si="78"/>
        <v>10.494502801763575</v>
      </c>
      <c r="AB179" s="10">
        <f t="shared" si="79"/>
        <v>0.80082399975499996</v>
      </c>
      <c r="AC179" s="10">
        <f t="shared" si="80"/>
        <v>3.4403234390469613</v>
      </c>
      <c r="AD179" s="10">
        <f t="shared" si="81"/>
        <v>5.4583635458366331</v>
      </c>
      <c r="AE179" s="10">
        <f t="shared" si="89"/>
        <v>-1</v>
      </c>
      <c r="AF179" s="10">
        <f t="shared" si="90"/>
        <v>1</v>
      </c>
      <c r="AI179" s="10">
        <f t="shared" si="91"/>
        <v>-1</v>
      </c>
      <c r="AJ179" s="10">
        <f t="shared" si="92"/>
        <v>1</v>
      </c>
      <c r="AK179" s="10">
        <f t="shared" si="93"/>
        <v>1</v>
      </c>
      <c r="BJ179" s="11"/>
      <c r="BK179" s="29"/>
      <c r="BL179" s="29"/>
      <c r="BM179" s="11"/>
    </row>
    <row r="180" spans="2:65" x14ac:dyDescent="0.25">
      <c r="B180" s="10">
        <f t="shared" si="82"/>
        <v>161</v>
      </c>
      <c r="C180">
        <v>0.47680259740445763</v>
      </c>
      <c r="D180">
        <v>0.38618168218818028</v>
      </c>
      <c r="E180">
        <v>0.67955565050202948</v>
      </c>
      <c r="H180" s="18">
        <f>1</f>
        <v>1</v>
      </c>
      <c r="I180" s="19">
        <f t="shared" ref="I180:I211" si="94">IF(K180=1, C180*$C$7+$C$5,C180*$C$10+$C$8)</f>
        <v>6.8948539048063351</v>
      </c>
      <c r="J180" s="19">
        <f t="shared" ref="J180:J211" si="95">IF(K180=1,D180*$C$7+$C$6,D180*$C$10+$C$9)</f>
        <v>15.556133807943604</v>
      </c>
      <c r="K180" s="18">
        <f t="shared" ref="K180:K211" si="96">IF(E180&lt;$C$11,1,-1)</f>
        <v>-1</v>
      </c>
      <c r="L180" s="17"/>
      <c r="M180" s="17"/>
      <c r="N180" s="18">
        <f t="shared" si="83"/>
        <v>-100</v>
      </c>
      <c r="O180" s="18">
        <f t="shared" si="83"/>
        <v>-100</v>
      </c>
      <c r="P180" s="18">
        <f t="shared" si="84"/>
        <v>6.8948539048063351</v>
      </c>
      <c r="Q180" s="18">
        <f t="shared" si="84"/>
        <v>15.556133807943604</v>
      </c>
      <c r="S180" s="12">
        <f t="shared" si="85"/>
        <v>109.43238518870088</v>
      </c>
      <c r="T180" s="12">
        <f t="shared" si="86"/>
        <v>1</v>
      </c>
      <c r="U180" s="12">
        <f t="shared" si="87"/>
        <v>-1</v>
      </c>
      <c r="V180" s="12">
        <f t="shared" si="88"/>
        <v>1</v>
      </c>
      <c r="W180" s="12"/>
      <c r="X180" s="12"/>
      <c r="Y180" s="10">
        <f t="shared" ref="Y180:Y211" si="97">IF(U180=0,0,$C$12*(U180)*H180)</f>
        <v>-0.70082399975499998</v>
      </c>
      <c r="Z180" s="10">
        <f t="shared" ref="Z180:Z211" si="98">IF(U180=0,0,$C$12*(U180)*I180)</f>
        <v>-4.8320790912927558</v>
      </c>
      <c r="AA180" s="10">
        <f t="shared" ref="AA180:AA211" si="99">IF(U180=0,0,$C$12*(U180)*J180)</f>
        <v>-10.902111916007016</v>
      </c>
      <c r="AB180" s="10">
        <f t="shared" ref="AB180:AB211" si="100">IF(U180=0,AB179,AB179+$C$12*(U180)*H180)</f>
        <v>9.9999999999999978E-2</v>
      </c>
      <c r="AC180" s="10">
        <f t="shared" ref="AC180:AC211" si="101">IF(U180=0,AC179,AC179+$C$12*(U180)*I180)</f>
        <v>-1.3917556522457946</v>
      </c>
      <c r="AD180" s="10">
        <f t="shared" ref="AD180:AD211" si="102">IF(U180=0,AD179,AD179+$C$12*(U180)*J180)</f>
        <v>-5.4437483701703826</v>
      </c>
      <c r="AE180" s="10">
        <f t="shared" si="89"/>
        <v>-1</v>
      </c>
      <c r="AF180" s="10">
        <f t="shared" si="90"/>
        <v>0</v>
      </c>
      <c r="AI180" s="10">
        <f t="shared" si="91"/>
        <v>-1</v>
      </c>
      <c r="AJ180" s="10">
        <f t="shared" si="92"/>
        <v>0</v>
      </c>
      <c r="AK180" s="10">
        <f t="shared" si="93"/>
        <v>0</v>
      </c>
      <c r="BJ180" s="11"/>
      <c r="BK180" s="29"/>
      <c r="BL180" s="29"/>
      <c r="BM180" s="11"/>
    </row>
    <row r="181" spans="2:65" x14ac:dyDescent="0.25">
      <c r="B181" s="10">
        <f t="shared" si="82"/>
        <v>162</v>
      </c>
      <c r="C181">
        <v>-0.89634795585880056</v>
      </c>
      <c r="D181">
        <v>0.32674847716407385</v>
      </c>
      <c r="E181">
        <v>0.33399456770531327</v>
      </c>
      <c r="H181" s="18">
        <f>1</f>
        <v>1</v>
      </c>
      <c r="I181" s="19">
        <f t="shared" si="94"/>
        <v>4.9152323652817227</v>
      </c>
      <c r="J181" s="19">
        <f t="shared" si="95"/>
        <v>15.47045110363336</v>
      </c>
      <c r="K181" s="18">
        <f t="shared" si="96"/>
        <v>1</v>
      </c>
      <c r="L181" s="17"/>
      <c r="M181" s="17"/>
      <c r="N181" s="18">
        <f t="shared" si="83"/>
        <v>4.9152323652817227</v>
      </c>
      <c r="O181" s="18">
        <f t="shared" si="83"/>
        <v>15.47045110363336</v>
      </c>
      <c r="P181" s="18">
        <f t="shared" si="84"/>
        <v>-100</v>
      </c>
      <c r="Q181" s="18">
        <f t="shared" si="84"/>
        <v>-100</v>
      </c>
      <c r="S181" s="10">
        <f t="shared" si="85"/>
        <v>-90.95804540768701</v>
      </c>
      <c r="T181" s="10">
        <f t="shared" si="86"/>
        <v>-1</v>
      </c>
      <c r="U181" s="10">
        <f t="shared" si="87"/>
        <v>1</v>
      </c>
      <c r="V181" s="10">
        <f t="shared" si="88"/>
        <v>1</v>
      </c>
      <c r="Y181" s="10">
        <f t="shared" si="97"/>
        <v>0.70082399975499998</v>
      </c>
      <c r="Z181" s="10">
        <f t="shared" si="98"/>
        <v>3.4447128059619661</v>
      </c>
      <c r="AA181" s="10">
        <f t="shared" si="99"/>
        <v>10.842063420462486</v>
      </c>
      <c r="AB181" s="10">
        <f t="shared" si="100"/>
        <v>0.80082399975499996</v>
      </c>
      <c r="AC181" s="10">
        <f t="shared" si="101"/>
        <v>2.0529571537161715</v>
      </c>
      <c r="AD181" s="10">
        <f t="shared" si="102"/>
        <v>5.3983150502921031</v>
      </c>
      <c r="AE181" s="10">
        <f t="shared" si="89"/>
        <v>-1</v>
      </c>
      <c r="AF181" s="10">
        <f t="shared" si="90"/>
        <v>1</v>
      </c>
      <c r="AI181" s="10">
        <f t="shared" si="91"/>
        <v>-1</v>
      </c>
      <c r="AJ181" s="10">
        <f t="shared" si="92"/>
        <v>0</v>
      </c>
      <c r="AK181" s="10">
        <f t="shared" si="93"/>
        <v>0</v>
      </c>
      <c r="BJ181" s="11"/>
      <c r="BK181" s="29"/>
      <c r="BL181" s="29"/>
      <c r="BM181" s="11"/>
    </row>
    <row r="182" spans="2:65" x14ac:dyDescent="0.25">
      <c r="B182" s="10">
        <f t="shared" si="82"/>
        <v>163</v>
      </c>
      <c r="C182">
        <v>0.2340243554499466</v>
      </c>
      <c r="D182">
        <v>-2.2118365450296551</v>
      </c>
      <c r="E182">
        <v>0.96823023163548694</v>
      </c>
      <c r="H182" s="18">
        <f>1</f>
        <v>1</v>
      </c>
      <c r="I182" s="19">
        <f t="shared" si="94"/>
        <v>6.5448492851680058</v>
      </c>
      <c r="J182" s="19">
        <f t="shared" si="95"/>
        <v>11.810664798405252</v>
      </c>
      <c r="K182" s="18">
        <f t="shared" si="96"/>
        <v>-1</v>
      </c>
      <c r="L182" s="17"/>
      <c r="M182" s="17"/>
      <c r="N182" s="18">
        <f t="shared" si="83"/>
        <v>-100</v>
      </c>
      <c r="O182" s="18">
        <f t="shared" si="83"/>
        <v>-100</v>
      </c>
      <c r="P182" s="18">
        <f t="shared" si="84"/>
        <v>6.5448492851680058</v>
      </c>
      <c r="Q182" s="18">
        <f t="shared" si="84"/>
        <v>11.810664798405252</v>
      </c>
      <c r="S182" s="10">
        <f t="shared" si="85"/>
        <v>77.994808694921048</v>
      </c>
      <c r="T182" s="10">
        <f t="shared" si="86"/>
        <v>1</v>
      </c>
      <c r="U182" s="10">
        <f t="shared" si="87"/>
        <v>-1</v>
      </c>
      <c r="V182" s="10">
        <f t="shared" si="88"/>
        <v>1</v>
      </c>
      <c r="Y182" s="10">
        <f t="shared" si="97"/>
        <v>-0.70082399975499998</v>
      </c>
      <c r="Z182" s="10">
        <f t="shared" si="98"/>
        <v>-4.5867874538250941</v>
      </c>
      <c r="AA182" s="10">
        <f t="shared" si="99"/>
        <v>-8.2771973437839499</v>
      </c>
      <c r="AB182" s="10">
        <f t="shared" si="100"/>
        <v>9.9999999999999978E-2</v>
      </c>
      <c r="AC182" s="10">
        <f t="shared" si="101"/>
        <v>-2.5338303001089226</v>
      </c>
      <c r="AD182" s="10">
        <f t="shared" si="102"/>
        <v>-2.8788822934918468</v>
      </c>
      <c r="AE182" s="10">
        <f t="shared" si="89"/>
        <v>-1</v>
      </c>
      <c r="AF182" s="10">
        <f t="shared" si="90"/>
        <v>0</v>
      </c>
      <c r="AI182" s="10">
        <f t="shared" si="91"/>
        <v>-1</v>
      </c>
      <c r="AJ182" s="10">
        <f t="shared" si="92"/>
        <v>1</v>
      </c>
      <c r="AK182" s="10">
        <f t="shared" si="93"/>
        <v>1</v>
      </c>
      <c r="BJ182" s="11"/>
      <c r="BK182" s="29"/>
      <c r="BL182" s="29"/>
      <c r="BM182" s="11"/>
    </row>
    <row r="183" spans="2:65" x14ac:dyDescent="0.25">
      <c r="B183" s="10">
        <f t="shared" si="82"/>
        <v>164</v>
      </c>
      <c r="C183">
        <v>0.59209241953794844</v>
      </c>
      <c r="D183">
        <v>-0.17651473172008991</v>
      </c>
      <c r="E183">
        <v>0.71974852748191775</v>
      </c>
      <c r="H183" s="18">
        <f>1</f>
        <v>1</v>
      </c>
      <c r="I183" s="19">
        <f t="shared" si="94"/>
        <v>7.0610630758553778</v>
      </c>
      <c r="J183" s="19">
        <f t="shared" si="95"/>
        <v>14.744914718719301</v>
      </c>
      <c r="K183" s="18">
        <f t="shared" si="96"/>
        <v>-1</v>
      </c>
      <c r="L183" s="17"/>
      <c r="M183" s="17"/>
      <c r="N183" s="18">
        <f t="shared" si="83"/>
        <v>-100</v>
      </c>
      <c r="O183" s="18">
        <f t="shared" si="83"/>
        <v>-100</v>
      </c>
      <c r="P183" s="18">
        <f t="shared" si="84"/>
        <v>7.0610630758553778</v>
      </c>
      <c r="Q183" s="18">
        <f t="shared" si="84"/>
        <v>14.744914718719301</v>
      </c>
      <c r="S183" s="10">
        <f t="shared" si="85"/>
        <v>-60.240409475350972</v>
      </c>
      <c r="T183" s="10">
        <f t="shared" si="86"/>
        <v>-1</v>
      </c>
      <c r="U183" s="10">
        <f t="shared" si="87"/>
        <v>0</v>
      </c>
      <c r="V183" s="10">
        <f t="shared" si="88"/>
        <v>0</v>
      </c>
      <c r="Y183" s="10">
        <f t="shared" si="97"/>
        <v>0</v>
      </c>
      <c r="Z183" s="10">
        <f t="shared" si="98"/>
        <v>0</v>
      </c>
      <c r="AA183" s="10">
        <f t="shared" si="99"/>
        <v>0</v>
      </c>
      <c r="AB183" s="10">
        <f t="shared" si="100"/>
        <v>9.9999999999999978E-2</v>
      </c>
      <c r="AC183" s="10">
        <f t="shared" si="101"/>
        <v>-2.5338303001089226</v>
      </c>
      <c r="AD183" s="10">
        <f t="shared" si="102"/>
        <v>-2.8788822934918468</v>
      </c>
      <c r="AE183" s="10">
        <f t="shared" si="89"/>
        <v>-1</v>
      </c>
      <c r="AF183" s="10">
        <f t="shared" si="90"/>
        <v>0</v>
      </c>
      <c r="AI183" s="10">
        <f t="shared" si="91"/>
        <v>-1</v>
      </c>
      <c r="AJ183" s="10">
        <f t="shared" si="92"/>
        <v>0</v>
      </c>
      <c r="AK183" s="10">
        <f t="shared" si="93"/>
        <v>0</v>
      </c>
      <c r="BJ183" s="11"/>
      <c r="BK183" s="29"/>
      <c r="BL183" s="29"/>
      <c r="BM183" s="11"/>
    </row>
    <row r="184" spans="2:65" x14ac:dyDescent="0.25">
      <c r="B184" s="10">
        <f t="shared" si="82"/>
        <v>165</v>
      </c>
      <c r="C184">
        <v>-1.7269849195145071</v>
      </c>
      <c r="D184">
        <v>0.80103973232326098</v>
      </c>
      <c r="E184">
        <v>0.66249580370494709</v>
      </c>
      <c r="H184" s="18">
        <f>1</f>
        <v>1</v>
      </c>
      <c r="I184" s="19">
        <f t="shared" si="94"/>
        <v>3.7177330664099344</v>
      </c>
      <c r="J184" s="19">
        <f t="shared" si="95"/>
        <v>16.154219669643822</v>
      </c>
      <c r="K184" s="18">
        <f t="shared" si="96"/>
        <v>-1</v>
      </c>
      <c r="L184" s="17"/>
      <c r="M184" s="17"/>
      <c r="N184" s="18">
        <f t="shared" si="83"/>
        <v>-100</v>
      </c>
      <c r="O184" s="18">
        <f t="shared" si="83"/>
        <v>-100</v>
      </c>
      <c r="P184" s="18">
        <f t="shared" si="84"/>
        <v>3.7177330664099344</v>
      </c>
      <c r="Q184" s="18">
        <f t="shared" si="84"/>
        <v>16.154219669643822</v>
      </c>
      <c r="S184" s="10">
        <f t="shared" si="85"/>
        <v>-55.826201663501656</v>
      </c>
      <c r="T184" s="10">
        <f t="shared" si="86"/>
        <v>-1</v>
      </c>
      <c r="U184" s="10">
        <f t="shared" si="87"/>
        <v>0</v>
      </c>
      <c r="V184" s="10">
        <f t="shared" si="88"/>
        <v>0</v>
      </c>
      <c r="Y184" s="10">
        <f t="shared" si="97"/>
        <v>0</v>
      </c>
      <c r="Z184" s="10">
        <f t="shared" si="98"/>
        <v>0</v>
      </c>
      <c r="AA184" s="10">
        <f t="shared" si="99"/>
        <v>0</v>
      </c>
      <c r="AB184" s="10">
        <f t="shared" si="100"/>
        <v>9.9999999999999978E-2</v>
      </c>
      <c r="AC184" s="10">
        <f t="shared" si="101"/>
        <v>-2.5338303001089226</v>
      </c>
      <c r="AD184" s="10">
        <f t="shared" si="102"/>
        <v>-2.8788822934918468</v>
      </c>
      <c r="AE184" s="10">
        <f t="shared" si="89"/>
        <v>-1</v>
      </c>
      <c r="AF184" s="10">
        <f t="shared" si="90"/>
        <v>0</v>
      </c>
      <c r="AI184" s="10">
        <f t="shared" si="91"/>
        <v>-1</v>
      </c>
      <c r="AJ184" s="10">
        <f t="shared" si="92"/>
        <v>1</v>
      </c>
      <c r="AK184" s="10">
        <f t="shared" si="93"/>
        <v>1</v>
      </c>
      <c r="BJ184" s="11"/>
      <c r="BK184" s="29"/>
      <c r="BL184" s="29"/>
      <c r="BM184" s="11"/>
    </row>
    <row r="185" spans="2:65" x14ac:dyDescent="0.25">
      <c r="B185" s="10">
        <f t="shared" si="82"/>
        <v>166</v>
      </c>
      <c r="C185">
        <v>1.7379625205649063</v>
      </c>
      <c r="D185">
        <v>-0.68719714363396633</v>
      </c>
      <c r="E185">
        <v>0.26334421826837978</v>
      </c>
      <c r="H185" s="18">
        <f>1</f>
        <v>1</v>
      </c>
      <c r="I185" s="19">
        <f t="shared" si="94"/>
        <v>8.7130225992298822</v>
      </c>
      <c r="J185" s="19">
        <f t="shared" si="95"/>
        <v>14.008682336859515</v>
      </c>
      <c r="K185" s="18">
        <f t="shared" si="96"/>
        <v>1</v>
      </c>
      <c r="L185" s="17"/>
      <c r="M185" s="17"/>
      <c r="N185" s="18">
        <f t="shared" si="83"/>
        <v>8.7130225992298822</v>
      </c>
      <c r="O185" s="18">
        <f t="shared" si="83"/>
        <v>14.008682336859515</v>
      </c>
      <c r="P185" s="18">
        <f t="shared" si="84"/>
        <v>-100</v>
      </c>
      <c r="Q185" s="18">
        <f t="shared" si="84"/>
        <v>-100</v>
      </c>
      <c r="S185" s="10">
        <f t="shared" si="85"/>
        <v>-62.306668202199319</v>
      </c>
      <c r="T185" s="10">
        <f t="shared" si="86"/>
        <v>-1</v>
      </c>
      <c r="U185" s="10">
        <f t="shared" si="87"/>
        <v>1</v>
      </c>
      <c r="V185" s="10">
        <f t="shared" si="88"/>
        <v>1</v>
      </c>
      <c r="Y185" s="10">
        <f t="shared" si="97"/>
        <v>0.70082399975499998</v>
      </c>
      <c r="Z185" s="10">
        <f t="shared" si="98"/>
        <v>6.1062953479479924</v>
      </c>
      <c r="AA185" s="10">
        <f t="shared" si="99"/>
        <v>9.8176207866151053</v>
      </c>
      <c r="AB185" s="10">
        <f t="shared" si="100"/>
        <v>0.80082399975499996</v>
      </c>
      <c r="AC185" s="10">
        <f t="shared" si="101"/>
        <v>3.5724650478390698</v>
      </c>
      <c r="AD185" s="10">
        <f t="shared" si="102"/>
        <v>6.9387384931232585</v>
      </c>
      <c r="AE185" s="10">
        <f t="shared" si="89"/>
        <v>-1</v>
      </c>
      <c r="AF185" s="10">
        <f t="shared" si="90"/>
        <v>1</v>
      </c>
      <c r="AI185" s="10">
        <f t="shared" si="91"/>
        <v>-1</v>
      </c>
      <c r="AJ185" s="10">
        <f t="shared" si="92"/>
        <v>0</v>
      </c>
      <c r="AK185" s="10">
        <f t="shared" si="93"/>
        <v>0</v>
      </c>
      <c r="BJ185" s="11"/>
      <c r="BK185" s="29"/>
      <c r="BL185" s="29"/>
      <c r="BM185" s="11"/>
    </row>
    <row r="186" spans="2:65" x14ac:dyDescent="0.25">
      <c r="B186" s="10">
        <f t="shared" si="82"/>
        <v>167</v>
      </c>
      <c r="C186">
        <v>-0.23033067009237129</v>
      </c>
      <c r="D186">
        <v>-1.3471799320541322</v>
      </c>
      <c r="E186">
        <v>0.61043122653889581</v>
      </c>
      <c r="H186" s="18">
        <f>1</f>
        <v>1</v>
      </c>
      <c r="I186" s="19">
        <f t="shared" si="94"/>
        <v>5.8754054223916299</v>
      </c>
      <c r="J186" s="19">
        <f t="shared" si="95"/>
        <v>13.057208996542117</v>
      </c>
      <c r="K186" s="18">
        <f t="shared" si="96"/>
        <v>-1</v>
      </c>
      <c r="L186" s="17"/>
      <c r="M186" s="17"/>
      <c r="N186" s="18">
        <f t="shared" si="83"/>
        <v>-100</v>
      </c>
      <c r="O186" s="18">
        <f t="shared" si="83"/>
        <v>-100</v>
      </c>
      <c r="P186" s="18">
        <f t="shared" si="84"/>
        <v>5.8754054223916299</v>
      </c>
      <c r="Q186" s="18">
        <f t="shared" si="84"/>
        <v>13.057208996542117</v>
      </c>
      <c r="S186" s="10">
        <f t="shared" si="85"/>
        <v>112.39106319019535</v>
      </c>
      <c r="T186" s="10">
        <f t="shared" si="86"/>
        <v>1</v>
      </c>
      <c r="U186" s="10">
        <f t="shared" si="87"/>
        <v>-1</v>
      </c>
      <c r="V186" s="10">
        <f t="shared" si="88"/>
        <v>1</v>
      </c>
      <c r="Y186" s="10">
        <f t="shared" si="97"/>
        <v>-0.70082399975499998</v>
      </c>
      <c r="Z186" s="10">
        <f t="shared" si="98"/>
        <v>-4.1176251283027172</v>
      </c>
      <c r="AA186" s="10">
        <f t="shared" si="99"/>
        <v>-9.1508054345936163</v>
      </c>
      <c r="AB186" s="10">
        <f t="shared" si="100"/>
        <v>9.9999999999999978E-2</v>
      </c>
      <c r="AC186" s="10">
        <f t="shared" si="101"/>
        <v>-0.54516008046364739</v>
      </c>
      <c r="AD186" s="10">
        <f t="shared" si="102"/>
        <v>-2.2120669414703578</v>
      </c>
      <c r="AE186" s="10">
        <f t="shared" si="89"/>
        <v>-1</v>
      </c>
      <c r="AF186" s="10">
        <f t="shared" si="90"/>
        <v>0</v>
      </c>
      <c r="AI186" s="10">
        <f t="shared" si="91"/>
        <v>-1</v>
      </c>
      <c r="AJ186" s="10">
        <f t="shared" si="92"/>
        <v>0</v>
      </c>
      <c r="AK186" s="10">
        <f t="shared" si="93"/>
        <v>0</v>
      </c>
      <c r="BJ186" s="11"/>
      <c r="BK186" s="29"/>
      <c r="BL186" s="29"/>
      <c r="BM186" s="11"/>
    </row>
    <row r="187" spans="2:65" x14ac:dyDescent="0.25">
      <c r="B187" s="10">
        <f t="shared" si="82"/>
        <v>168</v>
      </c>
      <c r="C187">
        <v>-0.47603066377632786</v>
      </c>
      <c r="D187">
        <v>-2.6789348339661956</v>
      </c>
      <c r="E187">
        <v>0.30918301950132754</v>
      </c>
      <c r="H187" s="18">
        <f>1</f>
        <v>1</v>
      </c>
      <c r="I187" s="19">
        <f t="shared" si="94"/>
        <v>5.5211886188503714</v>
      </c>
      <c r="J187" s="19">
        <f t="shared" si="95"/>
        <v>11.137266071909899</v>
      </c>
      <c r="K187" s="18">
        <f t="shared" si="96"/>
        <v>1</v>
      </c>
      <c r="L187" s="17"/>
      <c r="M187" s="17"/>
      <c r="N187" s="18">
        <f t="shared" si="83"/>
        <v>5.5211886188503714</v>
      </c>
      <c r="O187" s="18">
        <f t="shared" si="83"/>
        <v>11.137266071909899</v>
      </c>
      <c r="P187" s="18">
        <f t="shared" si="84"/>
        <v>-100</v>
      </c>
      <c r="Q187" s="18">
        <f t="shared" si="84"/>
        <v>-100</v>
      </c>
      <c r="S187" s="10">
        <f t="shared" si="85"/>
        <v>-27.546309727738759</v>
      </c>
      <c r="T187" s="10">
        <f t="shared" si="86"/>
        <v>-1</v>
      </c>
      <c r="U187" s="10">
        <f t="shared" si="87"/>
        <v>1</v>
      </c>
      <c r="V187" s="10">
        <f t="shared" si="88"/>
        <v>1</v>
      </c>
      <c r="Y187" s="10">
        <f t="shared" si="97"/>
        <v>0.70082399975499998</v>
      </c>
      <c r="Z187" s="10">
        <f t="shared" si="98"/>
        <v>3.8693814912645013</v>
      </c>
      <c r="AA187" s="10">
        <f t="shared" si="99"/>
        <v>7.8052633548515526</v>
      </c>
      <c r="AB187" s="10">
        <f t="shared" si="100"/>
        <v>0.80082399975499996</v>
      </c>
      <c r="AC187" s="10">
        <f t="shared" si="101"/>
        <v>3.3242214108008539</v>
      </c>
      <c r="AD187" s="10">
        <f t="shared" si="102"/>
        <v>5.5931964133811949</v>
      </c>
      <c r="AE187" s="10">
        <f t="shared" si="89"/>
        <v>-1</v>
      </c>
      <c r="AF187" s="10">
        <f t="shared" si="90"/>
        <v>1</v>
      </c>
      <c r="AI187" s="10">
        <f t="shared" si="91"/>
        <v>-1</v>
      </c>
      <c r="AJ187" s="10">
        <f t="shared" si="92"/>
        <v>0</v>
      </c>
      <c r="AK187" s="10">
        <f t="shared" si="93"/>
        <v>0</v>
      </c>
      <c r="BJ187" s="11"/>
      <c r="BK187" s="29"/>
      <c r="BL187" s="29"/>
      <c r="BM187" s="11"/>
    </row>
    <row r="188" spans="2:65" x14ac:dyDescent="0.25">
      <c r="B188" s="10">
        <f t="shared" si="82"/>
        <v>169</v>
      </c>
      <c r="C188">
        <v>0.8606764367868891</v>
      </c>
      <c r="D188">
        <v>-0.27074975150753744</v>
      </c>
      <c r="E188">
        <v>0.92611468855861079</v>
      </c>
      <c r="H188" s="18">
        <f>1</f>
        <v>1</v>
      </c>
      <c r="I188" s="19">
        <f t="shared" si="94"/>
        <v>7.4482709493507446</v>
      </c>
      <c r="J188" s="19">
        <f t="shared" si="95"/>
        <v>14.609059495484361</v>
      </c>
      <c r="K188" s="18">
        <f t="shared" si="96"/>
        <v>-1</v>
      </c>
      <c r="L188" s="17"/>
      <c r="M188" s="17"/>
      <c r="N188" s="18">
        <f t="shared" si="83"/>
        <v>-100</v>
      </c>
      <c r="O188" s="18">
        <f t="shared" si="83"/>
        <v>-100</v>
      </c>
      <c r="P188" s="18">
        <f t="shared" si="84"/>
        <v>7.4482709493507446</v>
      </c>
      <c r="Q188" s="18">
        <f t="shared" si="84"/>
        <v>14.609059495484361</v>
      </c>
      <c r="S188" s="10">
        <f t="shared" si="85"/>
        <v>107.27186493604836</v>
      </c>
      <c r="T188" s="10">
        <f t="shared" si="86"/>
        <v>1</v>
      </c>
      <c r="U188" s="10">
        <f t="shared" si="87"/>
        <v>-1</v>
      </c>
      <c r="V188" s="10">
        <f t="shared" si="88"/>
        <v>1</v>
      </c>
      <c r="Y188" s="10">
        <f t="shared" si="97"/>
        <v>-0.70082399975499998</v>
      </c>
      <c r="Z188" s="10">
        <f t="shared" si="98"/>
        <v>-5.2199270379829601</v>
      </c>
      <c r="AA188" s="10">
        <f t="shared" si="99"/>
        <v>-10.238379508284112</v>
      </c>
      <c r="AB188" s="10">
        <f t="shared" si="100"/>
        <v>9.9999999999999978E-2</v>
      </c>
      <c r="AC188" s="10">
        <f t="shared" si="101"/>
        <v>-1.8957056271821062</v>
      </c>
      <c r="AD188" s="10">
        <f t="shared" si="102"/>
        <v>-4.6451830949029169</v>
      </c>
      <c r="AE188" s="10">
        <f t="shared" si="89"/>
        <v>-1</v>
      </c>
      <c r="AF188" s="10">
        <f t="shared" si="90"/>
        <v>0</v>
      </c>
      <c r="AI188" s="10">
        <f t="shared" si="91"/>
        <v>1</v>
      </c>
      <c r="AJ188" s="10">
        <f t="shared" si="92"/>
        <v>0</v>
      </c>
      <c r="AK188" s="10">
        <f t="shared" si="93"/>
        <v>0</v>
      </c>
      <c r="BJ188" s="11"/>
      <c r="BK188" s="29"/>
      <c r="BL188" s="29"/>
      <c r="BM188" s="11"/>
    </row>
    <row r="189" spans="2:65" x14ac:dyDescent="0.25">
      <c r="B189" s="10">
        <f t="shared" si="82"/>
        <v>170</v>
      </c>
      <c r="C189">
        <v>-0.20690322344307788</v>
      </c>
      <c r="D189">
        <v>-0.9302448233938776</v>
      </c>
      <c r="E189">
        <v>0.63637195959349346</v>
      </c>
      <c r="H189" s="18">
        <f>1</f>
        <v>1</v>
      </c>
      <c r="I189" s="19">
        <f t="shared" si="94"/>
        <v>5.9091799257720421</v>
      </c>
      <c r="J189" s="19">
        <f t="shared" si="95"/>
        <v>13.658289278472161</v>
      </c>
      <c r="K189" s="18">
        <f t="shared" si="96"/>
        <v>-1</v>
      </c>
      <c r="L189" s="17"/>
      <c r="M189" s="17"/>
      <c r="N189" s="18">
        <f t="shared" si="83"/>
        <v>-100</v>
      </c>
      <c r="O189" s="18">
        <f t="shared" si="83"/>
        <v>-100</v>
      </c>
      <c r="P189" s="18">
        <f t="shared" si="84"/>
        <v>5.9091799257720421</v>
      </c>
      <c r="Q189" s="18">
        <f t="shared" si="84"/>
        <v>13.658289278472161</v>
      </c>
      <c r="S189" s="10">
        <f t="shared" si="85"/>
        <v>-74.547320098970232</v>
      </c>
      <c r="T189" s="10">
        <f t="shared" si="86"/>
        <v>-1</v>
      </c>
      <c r="U189" s="10">
        <f t="shared" si="87"/>
        <v>0</v>
      </c>
      <c r="V189" s="10">
        <f t="shared" si="88"/>
        <v>0</v>
      </c>
      <c r="Y189" s="10">
        <f t="shared" si="97"/>
        <v>0</v>
      </c>
      <c r="Z189" s="10">
        <f t="shared" si="98"/>
        <v>0</v>
      </c>
      <c r="AA189" s="10">
        <f t="shared" si="99"/>
        <v>0</v>
      </c>
      <c r="AB189" s="10">
        <f t="shared" si="100"/>
        <v>9.9999999999999978E-2</v>
      </c>
      <c r="AC189" s="10">
        <f t="shared" si="101"/>
        <v>-1.8957056271821062</v>
      </c>
      <c r="AD189" s="10">
        <f t="shared" si="102"/>
        <v>-4.6451830949029169</v>
      </c>
      <c r="AE189" s="10">
        <f t="shared" si="89"/>
        <v>-1</v>
      </c>
      <c r="AF189" s="10">
        <f t="shared" si="90"/>
        <v>0</v>
      </c>
      <c r="AI189" s="10">
        <f t="shared" si="91"/>
        <v>-1</v>
      </c>
      <c r="AJ189" s="10">
        <f t="shared" si="92"/>
        <v>0</v>
      </c>
      <c r="AK189" s="10">
        <f t="shared" si="93"/>
        <v>0</v>
      </c>
      <c r="BJ189" s="11"/>
      <c r="BK189" s="29"/>
      <c r="BL189" s="29"/>
      <c r="BM189" s="11"/>
    </row>
    <row r="190" spans="2:65" x14ac:dyDescent="0.25">
      <c r="B190" s="10">
        <f t="shared" si="82"/>
        <v>171</v>
      </c>
      <c r="C190">
        <v>-0.49938080337597057</v>
      </c>
      <c r="D190">
        <v>-5.3230451158015057E-2</v>
      </c>
      <c r="E190">
        <v>0.22040467543565173</v>
      </c>
      <c r="H190" s="18">
        <f>1</f>
        <v>1</v>
      </c>
      <c r="I190" s="19">
        <f t="shared" si="94"/>
        <v>5.4875255662502695</v>
      </c>
      <c r="J190" s="19">
        <f t="shared" si="95"/>
        <v>14.922649211638147</v>
      </c>
      <c r="K190" s="18">
        <f t="shared" si="96"/>
        <v>1</v>
      </c>
      <c r="L190" s="17"/>
      <c r="M190" s="17"/>
      <c r="N190" s="18">
        <f t="shared" si="83"/>
        <v>5.4875255662502695</v>
      </c>
      <c r="O190" s="18">
        <f t="shared" si="83"/>
        <v>14.922649211638147</v>
      </c>
      <c r="P190" s="18">
        <f t="shared" si="84"/>
        <v>-100</v>
      </c>
      <c r="Q190" s="18">
        <f t="shared" si="84"/>
        <v>-100</v>
      </c>
      <c r="S190" s="10">
        <f t="shared" si="85"/>
        <v>-79.621170944314173</v>
      </c>
      <c r="T190" s="10">
        <f t="shared" si="86"/>
        <v>-1</v>
      </c>
      <c r="U190" s="10">
        <f t="shared" si="87"/>
        <v>1</v>
      </c>
      <c r="V190" s="10">
        <f t="shared" si="88"/>
        <v>1</v>
      </c>
      <c r="Y190" s="10">
        <f t="shared" si="97"/>
        <v>0.70082399975499998</v>
      </c>
      <c r="Z190" s="10">
        <f t="shared" si="98"/>
        <v>3.8457896160973348</v>
      </c>
      <c r="AA190" s="10">
        <f t="shared" si="99"/>
        <v>10.458150707441042</v>
      </c>
      <c r="AB190" s="10">
        <f t="shared" si="100"/>
        <v>0.80082399975499996</v>
      </c>
      <c r="AC190" s="10">
        <f t="shared" si="101"/>
        <v>1.9500839889152286</v>
      </c>
      <c r="AD190" s="10">
        <f t="shared" si="102"/>
        <v>5.8129676125381256</v>
      </c>
      <c r="AE190" s="10">
        <f t="shared" si="89"/>
        <v>-1</v>
      </c>
      <c r="AF190" s="10">
        <f t="shared" si="90"/>
        <v>1</v>
      </c>
      <c r="AI190" s="10">
        <f t="shared" si="91"/>
        <v>-1</v>
      </c>
      <c r="AJ190" s="10">
        <f t="shared" si="92"/>
        <v>1</v>
      </c>
      <c r="AK190" s="10">
        <f t="shared" si="93"/>
        <v>1</v>
      </c>
      <c r="BJ190" s="11"/>
      <c r="BK190" s="29"/>
      <c r="BL190" s="29"/>
      <c r="BM190" s="11"/>
    </row>
    <row r="191" spans="2:65" x14ac:dyDescent="0.25">
      <c r="B191" s="10">
        <f t="shared" si="82"/>
        <v>172</v>
      </c>
      <c r="C191">
        <v>-0.25546455617586616</v>
      </c>
      <c r="D191">
        <v>-0.14126385394774843</v>
      </c>
      <c r="E191">
        <v>0.62987151707510602</v>
      </c>
      <c r="H191" s="18">
        <f>1</f>
        <v>1</v>
      </c>
      <c r="I191" s="19">
        <f t="shared" si="94"/>
        <v>5.8391708069340593</v>
      </c>
      <c r="J191" s="19">
        <f t="shared" si="95"/>
        <v>14.795734635559036</v>
      </c>
      <c r="K191" s="18">
        <f t="shared" si="96"/>
        <v>-1</v>
      </c>
      <c r="L191" s="17"/>
      <c r="M191" s="17"/>
      <c r="N191" s="18">
        <f t="shared" si="83"/>
        <v>-100</v>
      </c>
      <c r="O191" s="18">
        <f t="shared" si="83"/>
        <v>-100</v>
      </c>
      <c r="P191" s="18">
        <f t="shared" si="84"/>
        <v>5.8391708069340593</v>
      </c>
      <c r="Q191" s="18">
        <f t="shared" si="84"/>
        <v>14.795734635559036</v>
      </c>
      <c r="S191" s="10">
        <f t="shared" si="85"/>
        <v>98.194823739111598</v>
      </c>
      <c r="T191" s="10">
        <f t="shared" si="86"/>
        <v>1</v>
      </c>
      <c r="U191" s="10">
        <f t="shared" si="87"/>
        <v>-1</v>
      </c>
      <c r="V191" s="10">
        <f t="shared" si="88"/>
        <v>1</v>
      </c>
      <c r="Y191" s="10">
        <f t="shared" si="97"/>
        <v>-0.70082399975499998</v>
      </c>
      <c r="Z191" s="10">
        <f t="shared" si="98"/>
        <v>-4.0922310401681585</v>
      </c>
      <c r="AA191" s="10">
        <f t="shared" si="99"/>
        <v>-10.369205926606071</v>
      </c>
      <c r="AB191" s="10">
        <f t="shared" si="100"/>
        <v>9.9999999999999978E-2</v>
      </c>
      <c r="AC191" s="10">
        <f t="shared" si="101"/>
        <v>-2.1421470512529299</v>
      </c>
      <c r="AD191" s="10">
        <f t="shared" si="102"/>
        <v>-4.5562383140679454</v>
      </c>
      <c r="AE191" s="10">
        <f t="shared" si="89"/>
        <v>-1</v>
      </c>
      <c r="AF191" s="10">
        <f t="shared" si="90"/>
        <v>0</v>
      </c>
      <c r="AI191" s="10">
        <f t="shared" si="91"/>
        <v>-1</v>
      </c>
      <c r="AJ191" s="10">
        <f t="shared" si="92"/>
        <v>0</v>
      </c>
      <c r="AK191" s="10">
        <f t="shared" si="93"/>
        <v>0</v>
      </c>
      <c r="BJ191" s="11"/>
      <c r="BK191" s="29"/>
      <c r="BL191" s="29"/>
      <c r="BM191" s="11"/>
    </row>
    <row r="192" spans="2:65" x14ac:dyDescent="0.25">
      <c r="B192" s="10">
        <f t="shared" si="82"/>
        <v>173</v>
      </c>
      <c r="C192">
        <v>-1.2773375601682346</v>
      </c>
      <c r="D192">
        <v>0.33693368095555343</v>
      </c>
      <c r="E192">
        <v>0.49821466719565416</v>
      </c>
      <c r="H192" s="18">
        <f>1</f>
        <v>1</v>
      </c>
      <c r="I192" s="19">
        <f t="shared" si="94"/>
        <v>4.3659734182321497</v>
      </c>
      <c r="J192" s="19">
        <f t="shared" si="95"/>
        <v>15.48513474393933</v>
      </c>
      <c r="K192" s="18">
        <f t="shared" si="96"/>
        <v>1</v>
      </c>
      <c r="L192" s="17"/>
      <c r="M192" s="17"/>
      <c r="N192" s="18">
        <f t="shared" si="83"/>
        <v>4.3659734182321497</v>
      </c>
      <c r="O192" s="18">
        <f t="shared" si="83"/>
        <v>15.48513474393933</v>
      </c>
      <c r="P192" s="18">
        <f t="shared" si="84"/>
        <v>-100</v>
      </c>
      <c r="Q192" s="18">
        <f t="shared" si="84"/>
        <v>-100</v>
      </c>
      <c r="S192" s="10">
        <f t="shared" si="85"/>
        <v>-79.80652130255578</v>
      </c>
      <c r="T192" s="10">
        <f t="shared" si="86"/>
        <v>-1</v>
      </c>
      <c r="U192" s="10">
        <f t="shared" si="87"/>
        <v>1</v>
      </c>
      <c r="V192" s="10">
        <f t="shared" si="88"/>
        <v>1</v>
      </c>
      <c r="Y192" s="10">
        <f t="shared" si="97"/>
        <v>0.70082399975499998</v>
      </c>
      <c r="Z192" s="10">
        <f t="shared" si="98"/>
        <v>3.0597789537894644</v>
      </c>
      <c r="AA192" s="10">
        <f t="shared" si="99"/>
        <v>10.852354067992678</v>
      </c>
      <c r="AB192" s="10">
        <f t="shared" si="100"/>
        <v>0.80082399975499996</v>
      </c>
      <c r="AC192" s="10">
        <f t="shared" si="101"/>
        <v>0.91763190253653448</v>
      </c>
      <c r="AD192" s="10">
        <f t="shared" si="102"/>
        <v>6.2961157539247328</v>
      </c>
      <c r="AE192" s="10">
        <f t="shared" si="89"/>
        <v>-1</v>
      </c>
      <c r="AF192" s="10">
        <f t="shared" si="90"/>
        <v>1</v>
      </c>
      <c r="AI192" s="10">
        <f t="shared" si="91"/>
        <v>-1</v>
      </c>
      <c r="AJ192" s="10">
        <f t="shared" si="92"/>
        <v>0</v>
      </c>
      <c r="AK192" s="10">
        <f t="shared" si="93"/>
        <v>0</v>
      </c>
      <c r="BJ192" s="11"/>
      <c r="BK192" s="29"/>
      <c r="BL192" s="29"/>
      <c r="BM192" s="11"/>
    </row>
    <row r="193" spans="2:65" x14ac:dyDescent="0.25">
      <c r="B193" s="10">
        <f t="shared" si="82"/>
        <v>174</v>
      </c>
      <c r="C193">
        <v>-0.22978042579779867</v>
      </c>
      <c r="D193">
        <v>0.97738393378676847</v>
      </c>
      <c r="E193">
        <v>0.35847041230506305</v>
      </c>
      <c r="H193" s="18">
        <f>1</f>
        <v>1</v>
      </c>
      <c r="I193" s="19">
        <f t="shared" si="94"/>
        <v>5.8761986897103133</v>
      </c>
      <c r="J193" s="19">
        <f t="shared" si="95"/>
        <v>16.408448733425512</v>
      </c>
      <c r="K193" s="18">
        <f t="shared" si="96"/>
        <v>1</v>
      </c>
      <c r="L193" s="17"/>
      <c r="M193" s="17"/>
      <c r="N193" s="18">
        <f t="shared" si="83"/>
        <v>5.8761986897103133</v>
      </c>
      <c r="O193" s="18">
        <f t="shared" si="83"/>
        <v>16.408448733425512</v>
      </c>
      <c r="P193" s="18">
        <f t="shared" si="84"/>
        <v>-100</v>
      </c>
      <c r="Q193" s="18">
        <f t="shared" si="84"/>
        <v>-100</v>
      </c>
      <c r="S193" s="10">
        <f t="shared" si="85"/>
        <v>109.50250395106326</v>
      </c>
      <c r="T193" s="10">
        <f t="shared" si="86"/>
        <v>1</v>
      </c>
      <c r="U193" s="10">
        <f t="shared" si="87"/>
        <v>0</v>
      </c>
      <c r="V193" s="10">
        <f t="shared" si="88"/>
        <v>0</v>
      </c>
      <c r="Y193" s="10">
        <f t="shared" si="97"/>
        <v>0</v>
      </c>
      <c r="Z193" s="10">
        <f t="shared" si="98"/>
        <v>0</v>
      </c>
      <c r="AA193" s="10">
        <f t="shared" si="99"/>
        <v>0</v>
      </c>
      <c r="AB193" s="10">
        <f t="shared" si="100"/>
        <v>0.80082399975499996</v>
      </c>
      <c r="AC193" s="10">
        <f t="shared" si="101"/>
        <v>0.91763190253653448</v>
      </c>
      <c r="AD193" s="10">
        <f t="shared" si="102"/>
        <v>6.2961157539247328</v>
      </c>
      <c r="AE193" s="10">
        <f t="shared" si="89"/>
        <v>-1</v>
      </c>
      <c r="AF193" s="10">
        <f t="shared" si="90"/>
        <v>1</v>
      </c>
      <c r="AI193" s="10">
        <f t="shared" si="91"/>
        <v>-1</v>
      </c>
      <c r="AJ193" s="10">
        <f t="shared" si="92"/>
        <v>1</v>
      </c>
      <c r="AK193" s="10">
        <f t="shared" si="93"/>
        <v>1</v>
      </c>
      <c r="BJ193" s="11"/>
      <c r="BK193" s="29"/>
      <c r="BL193" s="29"/>
      <c r="BM193" s="11"/>
    </row>
    <row r="194" spans="2:65" x14ac:dyDescent="0.25">
      <c r="B194" s="10">
        <f t="shared" si="82"/>
        <v>175</v>
      </c>
      <c r="C194">
        <v>-0.95807990874163806</v>
      </c>
      <c r="D194">
        <v>-0.97332076620659791</v>
      </c>
      <c r="E194">
        <v>0.6156804101687674</v>
      </c>
      <c r="H194" s="18">
        <f>1</f>
        <v>1</v>
      </c>
      <c r="I194" s="19">
        <f t="shared" si="94"/>
        <v>4.8262356392392913</v>
      </c>
      <c r="J194" s="19">
        <f t="shared" si="95"/>
        <v>13.596188248090066</v>
      </c>
      <c r="K194" s="18">
        <f t="shared" si="96"/>
        <v>-1</v>
      </c>
      <c r="L194" s="17"/>
      <c r="M194" s="17"/>
      <c r="N194" s="18">
        <f t="shared" si="83"/>
        <v>-100</v>
      </c>
      <c r="O194" s="18">
        <f t="shared" si="83"/>
        <v>-100</v>
      </c>
      <c r="P194" s="18">
        <f t="shared" si="84"/>
        <v>4.8262356392392913</v>
      </c>
      <c r="Q194" s="18">
        <f t="shared" si="84"/>
        <v>13.596188248090066</v>
      </c>
      <c r="S194" s="10">
        <f t="shared" si="85"/>
        <v>90.832706813605952</v>
      </c>
      <c r="T194" s="10">
        <f t="shared" si="86"/>
        <v>1</v>
      </c>
      <c r="U194" s="10">
        <f t="shared" si="87"/>
        <v>-1</v>
      </c>
      <c r="V194" s="10">
        <f t="shared" si="88"/>
        <v>1</v>
      </c>
      <c r="Y194" s="10">
        <f t="shared" si="97"/>
        <v>-0.70082399975499998</v>
      </c>
      <c r="Z194" s="10">
        <f t="shared" si="98"/>
        <v>-3.3823417644518092</v>
      </c>
      <c r="AA194" s="10">
        <f t="shared" si="99"/>
        <v>-9.5285350294484061</v>
      </c>
      <c r="AB194" s="10">
        <f t="shared" si="100"/>
        <v>9.9999999999999978E-2</v>
      </c>
      <c r="AC194" s="10">
        <f t="shared" si="101"/>
        <v>-2.4647098619152747</v>
      </c>
      <c r="AD194" s="10">
        <f t="shared" si="102"/>
        <v>-3.2324192755236734</v>
      </c>
      <c r="AE194" s="10">
        <f t="shared" si="89"/>
        <v>-1</v>
      </c>
      <c r="AF194" s="10">
        <f t="shared" si="90"/>
        <v>0</v>
      </c>
      <c r="AI194" s="10">
        <f t="shared" si="91"/>
        <v>-1</v>
      </c>
      <c r="AJ194" s="10">
        <f t="shared" si="92"/>
        <v>0</v>
      </c>
      <c r="AK194" s="10">
        <f t="shared" si="93"/>
        <v>0</v>
      </c>
      <c r="BJ194" s="11"/>
      <c r="BK194" s="29"/>
      <c r="BL194" s="29"/>
      <c r="BM194" s="11"/>
    </row>
    <row r="195" spans="2:65" x14ac:dyDescent="0.25">
      <c r="B195" s="10">
        <f t="shared" si="82"/>
        <v>176</v>
      </c>
      <c r="C195">
        <v>-0.90426283350097947</v>
      </c>
      <c r="D195">
        <v>0.33159381018776912</v>
      </c>
      <c r="E195">
        <v>0.1284524063844722</v>
      </c>
      <c r="H195" s="18">
        <f>1</f>
        <v>1</v>
      </c>
      <c r="I195" s="19">
        <f t="shared" si="94"/>
        <v>4.9038217721563555</v>
      </c>
      <c r="J195" s="19">
        <f t="shared" si="95"/>
        <v>15.477436445187557</v>
      </c>
      <c r="K195" s="18">
        <f t="shared" si="96"/>
        <v>1</v>
      </c>
      <c r="L195" s="17"/>
      <c r="M195" s="17"/>
      <c r="N195" s="18">
        <f t="shared" si="83"/>
        <v>4.9038217721563555</v>
      </c>
      <c r="O195" s="18">
        <f t="shared" si="83"/>
        <v>15.477436445187557</v>
      </c>
      <c r="P195" s="18">
        <f t="shared" si="84"/>
        <v>-100</v>
      </c>
      <c r="Q195" s="18">
        <f t="shared" si="84"/>
        <v>-100</v>
      </c>
      <c r="S195" s="10">
        <f t="shared" si="85"/>
        <v>-62.016061784025467</v>
      </c>
      <c r="T195" s="10">
        <f t="shared" si="86"/>
        <v>-1</v>
      </c>
      <c r="U195" s="10">
        <f t="shared" si="87"/>
        <v>1</v>
      </c>
      <c r="V195" s="10">
        <f t="shared" si="88"/>
        <v>1</v>
      </c>
      <c r="Y195" s="10">
        <f t="shared" si="97"/>
        <v>0.70082399975499998</v>
      </c>
      <c r="Z195" s="10">
        <f t="shared" si="98"/>
        <v>3.4367159884482694</v>
      </c>
      <c r="AA195" s="10">
        <f t="shared" si="99"/>
        <v>10.846958915470152</v>
      </c>
      <c r="AB195" s="10">
        <f t="shared" si="100"/>
        <v>0.80082399975499996</v>
      </c>
      <c r="AC195" s="10">
        <f t="shared" si="101"/>
        <v>0.97200612653299467</v>
      </c>
      <c r="AD195" s="10">
        <f t="shared" si="102"/>
        <v>7.6145396399464786</v>
      </c>
      <c r="AE195" s="10">
        <f t="shared" si="89"/>
        <v>-1</v>
      </c>
      <c r="AF195" s="10">
        <f t="shared" si="90"/>
        <v>1</v>
      </c>
      <c r="AI195" s="10">
        <f t="shared" si="91"/>
        <v>-1</v>
      </c>
      <c r="AJ195" s="10">
        <f t="shared" si="92"/>
        <v>1</v>
      </c>
      <c r="AK195" s="10">
        <f t="shared" si="93"/>
        <v>1</v>
      </c>
      <c r="BJ195" s="11"/>
      <c r="BK195" s="29"/>
      <c r="BL195" s="29"/>
      <c r="BM195" s="11"/>
    </row>
    <row r="196" spans="2:65" x14ac:dyDescent="0.25">
      <c r="B196" s="10">
        <f t="shared" si="82"/>
        <v>177</v>
      </c>
      <c r="C196">
        <v>0.6168875188450329</v>
      </c>
      <c r="D196">
        <v>0.74402350946911611</v>
      </c>
      <c r="E196">
        <v>0.84212775048066657</v>
      </c>
      <c r="H196" s="18">
        <f>1</f>
        <v>1</v>
      </c>
      <c r="I196" s="19">
        <f t="shared" si="94"/>
        <v>7.0968092746580558</v>
      </c>
      <c r="J196" s="19">
        <f t="shared" si="95"/>
        <v>16.072021441200359</v>
      </c>
      <c r="K196" s="18">
        <f t="shared" si="96"/>
        <v>-1</v>
      </c>
      <c r="L196" s="17"/>
      <c r="M196" s="17"/>
      <c r="N196" s="18">
        <f t="shared" si="83"/>
        <v>-100</v>
      </c>
      <c r="O196" s="18">
        <f t="shared" si="83"/>
        <v>-100</v>
      </c>
      <c r="P196" s="18">
        <f t="shared" si="84"/>
        <v>7.0968092746580558</v>
      </c>
      <c r="Q196" s="18">
        <f t="shared" si="84"/>
        <v>16.072021441200359</v>
      </c>
      <c r="S196" s="10">
        <f t="shared" si="85"/>
        <v>130.08001045164866</v>
      </c>
      <c r="T196" s="10">
        <f t="shared" si="86"/>
        <v>1</v>
      </c>
      <c r="U196" s="10">
        <f t="shared" si="87"/>
        <v>-1</v>
      </c>
      <c r="V196" s="10">
        <f t="shared" si="88"/>
        <v>1</v>
      </c>
      <c r="Y196" s="10">
        <f t="shared" si="97"/>
        <v>-0.70082399975499998</v>
      </c>
      <c r="Z196" s="10">
        <f t="shared" si="98"/>
        <v>-4.9736142613642391</v>
      </c>
      <c r="AA196" s="10">
        <f t="shared" si="99"/>
        <v>-11.263658350570156</v>
      </c>
      <c r="AB196" s="10">
        <f t="shared" si="100"/>
        <v>9.9999999999999978E-2</v>
      </c>
      <c r="AC196" s="10">
        <f t="shared" si="101"/>
        <v>-4.001608134831244</v>
      </c>
      <c r="AD196" s="10">
        <f t="shared" si="102"/>
        <v>-3.6491187106236769</v>
      </c>
      <c r="AE196" s="10">
        <f t="shared" si="89"/>
        <v>-1</v>
      </c>
      <c r="AF196" s="10">
        <f t="shared" si="90"/>
        <v>0</v>
      </c>
      <c r="AI196" s="10">
        <f t="shared" si="91"/>
        <v>-1</v>
      </c>
      <c r="AJ196" s="10">
        <f t="shared" si="92"/>
        <v>1</v>
      </c>
      <c r="AK196" s="10">
        <f t="shared" si="93"/>
        <v>1</v>
      </c>
      <c r="BJ196" s="11"/>
      <c r="BK196" s="29"/>
      <c r="BL196" s="29"/>
      <c r="BM196" s="11"/>
    </row>
    <row r="197" spans="2:65" x14ac:dyDescent="0.25">
      <c r="B197" s="10">
        <f t="shared" si="82"/>
        <v>178</v>
      </c>
      <c r="C197">
        <v>-1.2643022273550741</v>
      </c>
      <c r="D197">
        <v>0.82155793279525824</v>
      </c>
      <c r="E197">
        <v>0.13010040589617602</v>
      </c>
      <c r="H197" s="18">
        <f>1</f>
        <v>1</v>
      </c>
      <c r="I197" s="19">
        <f t="shared" si="94"/>
        <v>4.3847659865710549</v>
      </c>
      <c r="J197" s="19">
        <f t="shared" si="95"/>
        <v>16.183800017924003</v>
      </c>
      <c r="K197" s="18">
        <f t="shared" si="96"/>
        <v>1</v>
      </c>
      <c r="L197" s="17"/>
      <c r="M197" s="17"/>
      <c r="N197" s="18">
        <f t="shared" si="83"/>
        <v>4.3847659865710549</v>
      </c>
      <c r="O197" s="18">
        <f t="shared" si="83"/>
        <v>16.183800017924003</v>
      </c>
      <c r="P197" s="18">
        <f t="shared" si="84"/>
        <v>-100</v>
      </c>
      <c r="Q197" s="18">
        <f t="shared" si="84"/>
        <v>-100</v>
      </c>
      <c r="S197" s="10">
        <f t="shared" si="85"/>
        <v>-76.502722695592354</v>
      </c>
      <c r="T197" s="10">
        <f t="shared" si="86"/>
        <v>-1</v>
      </c>
      <c r="U197" s="10">
        <f t="shared" si="87"/>
        <v>1</v>
      </c>
      <c r="V197" s="10">
        <f t="shared" si="88"/>
        <v>1</v>
      </c>
      <c r="Y197" s="10">
        <f t="shared" si="97"/>
        <v>0.70082399975499998</v>
      </c>
      <c r="Z197" s="10">
        <f t="shared" si="98"/>
        <v>3.0729492366984053</v>
      </c>
      <c r="AA197" s="10">
        <f t="shared" si="99"/>
        <v>11.341995459796541</v>
      </c>
      <c r="AB197" s="10">
        <f t="shared" si="100"/>
        <v>0.80082399975499996</v>
      </c>
      <c r="AC197" s="10">
        <f t="shared" si="101"/>
        <v>-0.92865889813283875</v>
      </c>
      <c r="AD197" s="10">
        <f t="shared" si="102"/>
        <v>7.6928767491728642</v>
      </c>
      <c r="AE197" s="10">
        <f t="shared" si="89"/>
        <v>-1</v>
      </c>
      <c r="AF197" s="10">
        <f t="shared" si="90"/>
        <v>1</v>
      </c>
      <c r="AI197" s="10">
        <f t="shared" si="91"/>
        <v>-1</v>
      </c>
      <c r="AJ197" s="10">
        <f t="shared" si="92"/>
        <v>0</v>
      </c>
      <c r="AK197" s="10">
        <f t="shared" si="93"/>
        <v>0</v>
      </c>
      <c r="BJ197" s="11"/>
      <c r="BK197" s="29"/>
      <c r="BL197" s="29"/>
      <c r="BM197" s="11"/>
    </row>
    <row r="198" spans="2:65" x14ac:dyDescent="0.25">
      <c r="B198" s="10">
        <f t="shared" si="82"/>
        <v>179</v>
      </c>
      <c r="C198">
        <v>-1.8024547898676246</v>
      </c>
      <c r="D198">
        <v>0.669192559143994</v>
      </c>
      <c r="E198">
        <v>0.92391735587633905</v>
      </c>
      <c r="H198" s="18">
        <f>1</f>
        <v>1</v>
      </c>
      <c r="I198" s="19">
        <f t="shared" si="94"/>
        <v>3.6089308811134191</v>
      </c>
      <c r="J198" s="19">
        <f t="shared" si="95"/>
        <v>15.964140363823473</v>
      </c>
      <c r="K198" s="18">
        <f t="shared" si="96"/>
        <v>-1</v>
      </c>
      <c r="L198" s="17"/>
      <c r="M198" s="17"/>
      <c r="N198" s="18">
        <f t="shared" si="83"/>
        <v>-100</v>
      </c>
      <c r="O198" s="18">
        <f t="shared" si="83"/>
        <v>-100</v>
      </c>
      <c r="P198" s="18">
        <f t="shared" si="84"/>
        <v>3.6089308811134191</v>
      </c>
      <c r="Q198" s="18">
        <f t="shared" si="84"/>
        <v>15.964140363823473</v>
      </c>
      <c r="S198" s="10">
        <f t="shared" si="85"/>
        <v>120.25952244965227</v>
      </c>
      <c r="T198" s="10">
        <f t="shared" si="86"/>
        <v>1</v>
      </c>
      <c r="U198" s="10">
        <f t="shared" si="87"/>
        <v>-1</v>
      </c>
      <c r="V198" s="10">
        <f t="shared" si="88"/>
        <v>1</v>
      </c>
      <c r="Y198" s="10">
        <f t="shared" si="97"/>
        <v>-0.70082399975499998</v>
      </c>
      <c r="Z198" s="10">
        <f t="shared" si="98"/>
        <v>-2.5292253749412428</v>
      </c>
      <c r="AA198" s="10">
        <f t="shared" si="99"/>
        <v>-11.188052702425008</v>
      </c>
      <c r="AB198" s="10">
        <f t="shared" si="100"/>
        <v>9.9999999999999978E-2</v>
      </c>
      <c r="AC198" s="10">
        <f t="shared" si="101"/>
        <v>-3.4578842730740815</v>
      </c>
      <c r="AD198" s="10">
        <f t="shared" si="102"/>
        <v>-3.4951759532521436</v>
      </c>
      <c r="AE198" s="10">
        <f t="shared" si="89"/>
        <v>-1</v>
      </c>
      <c r="AF198" s="10">
        <f t="shared" si="90"/>
        <v>0</v>
      </c>
      <c r="AI198" s="10">
        <f t="shared" si="91"/>
        <v>-1</v>
      </c>
      <c r="AJ198" s="10">
        <f t="shared" si="92"/>
        <v>1</v>
      </c>
      <c r="AK198" s="10">
        <f t="shared" si="93"/>
        <v>1</v>
      </c>
      <c r="BJ198" s="11"/>
      <c r="BK198" s="29"/>
      <c r="BL198" s="29"/>
      <c r="BM198" s="11"/>
    </row>
    <row r="199" spans="2:65" x14ac:dyDescent="0.25">
      <c r="B199" s="10">
        <f t="shared" si="82"/>
        <v>180</v>
      </c>
      <c r="C199">
        <v>0.39410679164575413</v>
      </c>
      <c r="D199">
        <v>-0.66957568378711585</v>
      </c>
      <c r="E199">
        <v>0.23459578234199041</v>
      </c>
      <c r="H199" s="18">
        <f>1</f>
        <v>1</v>
      </c>
      <c r="I199" s="19">
        <f t="shared" si="94"/>
        <v>6.7756343495148714</v>
      </c>
      <c r="J199" s="19">
        <f t="shared" si="95"/>
        <v>14.034086558842162</v>
      </c>
      <c r="K199" s="18">
        <f t="shared" si="96"/>
        <v>1</v>
      </c>
      <c r="L199" s="17"/>
      <c r="M199" s="17"/>
      <c r="N199" s="18">
        <f t="shared" si="83"/>
        <v>6.7756343495148714</v>
      </c>
      <c r="O199" s="18">
        <f t="shared" si="83"/>
        <v>14.034086558842162</v>
      </c>
      <c r="P199" s="18">
        <f t="shared" si="84"/>
        <v>-100</v>
      </c>
      <c r="Q199" s="18">
        <f t="shared" si="84"/>
        <v>-100</v>
      </c>
      <c r="S199" s="10">
        <f t="shared" si="85"/>
        <v>-72.380961323612254</v>
      </c>
      <c r="T199" s="10">
        <f t="shared" si="86"/>
        <v>-1</v>
      </c>
      <c r="U199" s="10">
        <f t="shared" si="87"/>
        <v>1</v>
      </c>
      <c r="V199" s="10">
        <f t="shared" si="88"/>
        <v>1</v>
      </c>
      <c r="X199" s="10">
        <f>SUM(V180:V199)</f>
        <v>16</v>
      </c>
      <c r="Y199" s="10">
        <f t="shared" si="97"/>
        <v>0.70082399975499998</v>
      </c>
      <c r="Z199" s="10">
        <f t="shared" si="98"/>
        <v>4.7485271657043793</v>
      </c>
      <c r="AA199" s="10">
        <f t="shared" si="99"/>
        <v>9.8354246750756484</v>
      </c>
      <c r="AB199" s="10">
        <f t="shared" si="100"/>
        <v>0.80082399975499996</v>
      </c>
      <c r="AC199" s="10">
        <f t="shared" si="101"/>
        <v>1.2906428926302977</v>
      </c>
      <c r="AD199" s="10">
        <f t="shared" si="102"/>
        <v>6.3402487218235049</v>
      </c>
      <c r="AE199" s="10">
        <f t="shared" si="89"/>
        <v>-1</v>
      </c>
      <c r="AF199" s="10">
        <f t="shared" si="90"/>
        <v>1</v>
      </c>
      <c r="AI199" s="10">
        <f t="shared" si="91"/>
        <v>-1</v>
      </c>
      <c r="AJ199" s="10">
        <f t="shared" si="92"/>
        <v>0</v>
      </c>
      <c r="AK199" s="10">
        <f t="shared" si="93"/>
        <v>0</v>
      </c>
      <c r="BJ199" s="11"/>
      <c r="BK199" s="29"/>
      <c r="BL199" s="29"/>
      <c r="BM199" s="11"/>
    </row>
    <row r="200" spans="2:65" x14ac:dyDescent="0.25">
      <c r="B200" s="10">
        <f t="shared" si="82"/>
        <v>181</v>
      </c>
      <c r="C200">
        <v>0.50815174290619325</v>
      </c>
      <c r="D200">
        <v>0.30832438824290875</v>
      </c>
      <c r="E200">
        <v>0.72981963560899688</v>
      </c>
      <c r="H200" s="18">
        <f>1</f>
        <v>1</v>
      </c>
      <c r="I200" s="19">
        <f t="shared" si="94"/>
        <v>6.9400488352044949</v>
      </c>
      <c r="J200" s="19">
        <f t="shared" si="95"/>
        <v>15.443889760313956</v>
      </c>
      <c r="K200" s="18">
        <f t="shared" si="96"/>
        <v>-1</v>
      </c>
      <c r="L200" s="17"/>
      <c r="M200" s="17"/>
      <c r="N200" s="18">
        <f t="shared" si="83"/>
        <v>-100</v>
      </c>
      <c r="O200" s="18">
        <f t="shared" si="83"/>
        <v>-100</v>
      </c>
      <c r="P200" s="18">
        <f t="shared" si="84"/>
        <v>6.9400488352044949</v>
      </c>
      <c r="Q200" s="18">
        <f t="shared" si="84"/>
        <v>15.443889760313956</v>
      </c>
      <c r="S200" s="12">
        <f t="shared" si="85"/>
        <v>107.67605101623253</v>
      </c>
      <c r="T200" s="12">
        <f t="shared" si="86"/>
        <v>1</v>
      </c>
      <c r="U200" s="12">
        <f t="shared" si="87"/>
        <v>-1</v>
      </c>
      <c r="V200" s="12">
        <f t="shared" si="88"/>
        <v>1</v>
      </c>
      <c r="W200" s="12"/>
      <c r="X200" s="12"/>
      <c r="Y200" s="10">
        <f t="shared" si="97"/>
        <v>-0.70082399975499998</v>
      </c>
      <c r="Z200" s="10">
        <f t="shared" si="98"/>
        <v>-4.8637527831830427</v>
      </c>
      <c r="AA200" s="10">
        <f t="shared" si="99"/>
        <v>-10.823448593598515</v>
      </c>
      <c r="AB200" s="10">
        <f t="shared" si="100"/>
        <v>9.9999999999999978E-2</v>
      </c>
      <c r="AC200" s="10">
        <f t="shared" si="101"/>
        <v>-3.573109890552745</v>
      </c>
      <c r="AD200" s="10">
        <f t="shared" si="102"/>
        <v>-4.4831998717750103</v>
      </c>
      <c r="AE200" s="10">
        <f t="shared" si="89"/>
        <v>-1</v>
      </c>
      <c r="AF200" s="10">
        <f t="shared" si="90"/>
        <v>0</v>
      </c>
      <c r="AI200" s="10">
        <f t="shared" si="91"/>
        <v>-1</v>
      </c>
      <c r="AJ200" s="10">
        <f t="shared" si="92"/>
        <v>1</v>
      </c>
      <c r="AK200" s="10">
        <f t="shared" si="93"/>
        <v>1</v>
      </c>
      <c r="BJ200" s="11"/>
      <c r="BK200" s="29"/>
      <c r="BL200" s="29"/>
      <c r="BM200" s="11"/>
    </row>
    <row r="201" spans="2:65" x14ac:dyDescent="0.25">
      <c r="B201" s="10">
        <f t="shared" si="82"/>
        <v>182</v>
      </c>
      <c r="C201">
        <v>0.44245211938687135</v>
      </c>
      <c r="D201">
        <v>0.66070015236618929</v>
      </c>
      <c r="E201">
        <v>0.95217749565111243</v>
      </c>
      <c r="H201" s="18">
        <f>1</f>
        <v>1</v>
      </c>
      <c r="I201" s="19">
        <f t="shared" si="94"/>
        <v>6.8453320617608089</v>
      </c>
      <c r="J201" s="19">
        <f t="shared" si="95"/>
        <v>15.951897167809902</v>
      </c>
      <c r="K201" s="18">
        <f t="shared" si="96"/>
        <v>-1</v>
      </c>
      <c r="L201" s="17"/>
      <c r="M201" s="17"/>
      <c r="N201" s="18">
        <f t="shared" si="83"/>
        <v>-100</v>
      </c>
      <c r="O201" s="18">
        <f t="shared" si="83"/>
        <v>-100</v>
      </c>
      <c r="P201" s="18">
        <f t="shared" si="84"/>
        <v>6.8453320617608089</v>
      </c>
      <c r="Q201" s="18">
        <f t="shared" si="84"/>
        <v>15.951897167809902</v>
      </c>
      <c r="S201" s="10">
        <f t="shared" si="85"/>
        <v>-95.874667031288865</v>
      </c>
      <c r="T201" s="10">
        <f t="shared" si="86"/>
        <v>-1</v>
      </c>
      <c r="U201" s="10">
        <f t="shared" si="87"/>
        <v>0</v>
      </c>
      <c r="V201" s="10">
        <f t="shared" si="88"/>
        <v>0</v>
      </c>
      <c r="Y201" s="10">
        <f t="shared" si="97"/>
        <v>0</v>
      </c>
      <c r="Z201" s="10">
        <f t="shared" si="98"/>
        <v>0</v>
      </c>
      <c r="AA201" s="10">
        <f t="shared" si="99"/>
        <v>0</v>
      </c>
      <c r="AB201" s="10">
        <f t="shared" si="100"/>
        <v>9.9999999999999978E-2</v>
      </c>
      <c r="AC201" s="10">
        <f t="shared" si="101"/>
        <v>-3.573109890552745</v>
      </c>
      <c r="AD201" s="10">
        <f t="shared" si="102"/>
        <v>-4.4831998717750103</v>
      </c>
      <c r="AE201" s="10">
        <f t="shared" si="89"/>
        <v>-1</v>
      </c>
      <c r="AF201" s="10">
        <f t="shared" si="90"/>
        <v>0</v>
      </c>
      <c r="AI201" s="10">
        <f t="shared" si="91"/>
        <v>-1</v>
      </c>
      <c r="AJ201" s="10">
        <f t="shared" si="92"/>
        <v>0</v>
      </c>
      <c r="AK201" s="10">
        <f t="shared" si="93"/>
        <v>0</v>
      </c>
      <c r="BJ201" s="11"/>
      <c r="BK201" s="29"/>
      <c r="BL201" s="29"/>
      <c r="BM201" s="11"/>
    </row>
    <row r="202" spans="2:65" x14ac:dyDescent="0.25">
      <c r="B202" s="10">
        <f t="shared" si="82"/>
        <v>183</v>
      </c>
      <c r="C202">
        <v>-0.81995040090987459</v>
      </c>
      <c r="D202">
        <v>-0.84221028373576701</v>
      </c>
      <c r="E202">
        <v>0.69182409131138034</v>
      </c>
      <c r="H202" s="18">
        <f>1</f>
        <v>1</v>
      </c>
      <c r="I202" s="19">
        <f t="shared" si="94"/>
        <v>5.0253719599419693</v>
      </c>
      <c r="J202" s="19">
        <f t="shared" si="95"/>
        <v>13.785205493533335</v>
      </c>
      <c r="K202" s="18">
        <f t="shared" si="96"/>
        <v>-1</v>
      </c>
      <c r="L202" s="17"/>
      <c r="M202" s="17"/>
      <c r="N202" s="18">
        <f t="shared" si="83"/>
        <v>-100</v>
      </c>
      <c r="O202" s="18">
        <f t="shared" si="83"/>
        <v>-100</v>
      </c>
      <c r="P202" s="18">
        <f t="shared" si="84"/>
        <v>5.0253719599419693</v>
      </c>
      <c r="Q202" s="18">
        <f t="shared" si="84"/>
        <v>13.785205493533335</v>
      </c>
      <c r="S202" s="10">
        <f t="shared" si="85"/>
        <v>-79.65803775477589</v>
      </c>
      <c r="T202" s="10">
        <f t="shared" si="86"/>
        <v>-1</v>
      </c>
      <c r="U202" s="10">
        <f t="shared" si="87"/>
        <v>0</v>
      </c>
      <c r="V202" s="10">
        <f t="shared" si="88"/>
        <v>0</v>
      </c>
      <c r="Y202" s="10">
        <f t="shared" si="97"/>
        <v>0</v>
      </c>
      <c r="Z202" s="10">
        <f t="shared" si="98"/>
        <v>0</v>
      </c>
      <c r="AA202" s="10">
        <f t="shared" si="99"/>
        <v>0</v>
      </c>
      <c r="AB202" s="10">
        <f t="shared" si="100"/>
        <v>9.9999999999999978E-2</v>
      </c>
      <c r="AC202" s="10">
        <f t="shared" si="101"/>
        <v>-3.573109890552745</v>
      </c>
      <c r="AD202" s="10">
        <f t="shared" si="102"/>
        <v>-4.4831998717750103</v>
      </c>
      <c r="AE202" s="10">
        <f t="shared" si="89"/>
        <v>-1</v>
      </c>
      <c r="AF202" s="10">
        <f t="shared" si="90"/>
        <v>0</v>
      </c>
      <c r="AI202" s="10">
        <f t="shared" si="91"/>
        <v>-1</v>
      </c>
      <c r="AJ202" s="10">
        <f t="shared" si="92"/>
        <v>1</v>
      </c>
      <c r="AK202" s="10">
        <f t="shared" si="93"/>
        <v>1</v>
      </c>
      <c r="BJ202" s="11"/>
      <c r="BK202" s="29"/>
      <c r="BL202" s="29"/>
      <c r="BM202" s="11"/>
    </row>
    <row r="203" spans="2:65" x14ac:dyDescent="0.25">
      <c r="B203" s="10">
        <f t="shared" si="82"/>
        <v>184</v>
      </c>
      <c r="C203">
        <v>-0.5103288458485622</v>
      </c>
      <c r="D203">
        <v>0.23764187062624842</v>
      </c>
      <c r="E203">
        <v>0.16043580431531723</v>
      </c>
      <c r="H203" s="18">
        <f>1</f>
        <v>1</v>
      </c>
      <c r="I203" s="19">
        <f t="shared" si="94"/>
        <v>5.4717421689797607</v>
      </c>
      <c r="J203" s="19">
        <f t="shared" si="95"/>
        <v>15.341989328486404</v>
      </c>
      <c r="K203" s="18">
        <f t="shared" si="96"/>
        <v>1</v>
      </c>
      <c r="L203" s="17"/>
      <c r="M203" s="17"/>
      <c r="N203" s="18">
        <f t="shared" si="83"/>
        <v>5.4717421689797607</v>
      </c>
      <c r="O203" s="18">
        <f t="shared" si="83"/>
        <v>15.341989328486404</v>
      </c>
      <c r="P203" s="18">
        <f t="shared" si="84"/>
        <v>-100</v>
      </c>
      <c r="Q203" s="18">
        <f t="shared" si="84"/>
        <v>-100</v>
      </c>
      <c r="S203" s="10">
        <f t="shared" si="85"/>
        <v>-88.232340652779925</v>
      </c>
      <c r="T203" s="10">
        <f t="shared" si="86"/>
        <v>-1</v>
      </c>
      <c r="U203" s="10">
        <f t="shared" si="87"/>
        <v>1</v>
      </c>
      <c r="V203" s="10">
        <f t="shared" si="88"/>
        <v>1</v>
      </c>
      <c r="Y203" s="10">
        <f t="shared" si="97"/>
        <v>0.70082399975499998</v>
      </c>
      <c r="Z203" s="10">
        <f t="shared" si="98"/>
        <v>3.8347282324924947</v>
      </c>
      <c r="AA203" s="10">
        <f t="shared" si="99"/>
        <v>10.752034325388369</v>
      </c>
      <c r="AB203" s="10">
        <f t="shared" si="100"/>
        <v>0.80082399975499996</v>
      </c>
      <c r="AC203" s="10">
        <f t="shared" si="101"/>
        <v>0.26161834193974975</v>
      </c>
      <c r="AD203" s="10">
        <f t="shared" si="102"/>
        <v>6.2688344536133584</v>
      </c>
      <c r="AE203" s="10">
        <f t="shared" si="89"/>
        <v>-1</v>
      </c>
      <c r="AF203" s="10">
        <f t="shared" si="90"/>
        <v>1</v>
      </c>
      <c r="AI203" s="10">
        <f t="shared" si="91"/>
        <v>-1</v>
      </c>
      <c r="AJ203" s="10">
        <f t="shared" si="92"/>
        <v>0</v>
      </c>
      <c r="AK203" s="10">
        <f t="shared" si="93"/>
        <v>0</v>
      </c>
      <c r="BJ203" s="11"/>
      <c r="BK203" s="29"/>
      <c r="BL203" s="29"/>
      <c r="BM203" s="11"/>
    </row>
    <row r="204" spans="2:65" x14ac:dyDescent="0.25">
      <c r="B204" s="10">
        <f t="shared" si="82"/>
        <v>185</v>
      </c>
      <c r="C204">
        <v>0.93876678874948993</v>
      </c>
      <c r="D204">
        <v>0.24662313080625609</v>
      </c>
      <c r="E204">
        <v>0.46867275002288888</v>
      </c>
      <c r="H204" s="18">
        <f>1</f>
        <v>1</v>
      </c>
      <c r="I204" s="19">
        <f t="shared" si="94"/>
        <v>7.5608509883033888</v>
      </c>
      <c r="J204" s="19">
        <f t="shared" si="95"/>
        <v>15.354937286787235</v>
      </c>
      <c r="K204" s="18">
        <f t="shared" si="96"/>
        <v>1</v>
      </c>
      <c r="L204" s="17"/>
      <c r="M204" s="17"/>
      <c r="N204" s="18">
        <f t="shared" si="83"/>
        <v>7.5608509883033888</v>
      </c>
      <c r="O204" s="18">
        <f t="shared" si="83"/>
        <v>15.354937286787235</v>
      </c>
      <c r="P204" s="18">
        <f t="shared" si="84"/>
        <v>-100</v>
      </c>
      <c r="Q204" s="18">
        <f t="shared" si="84"/>
        <v>-100</v>
      </c>
      <c r="S204" s="10">
        <f t="shared" si="85"/>
        <v>99.036441195452696</v>
      </c>
      <c r="T204" s="10">
        <f t="shared" si="86"/>
        <v>1</v>
      </c>
      <c r="U204" s="10">
        <f t="shared" si="87"/>
        <v>0</v>
      </c>
      <c r="V204" s="10">
        <f t="shared" si="88"/>
        <v>0</v>
      </c>
      <c r="Y204" s="10">
        <f t="shared" si="97"/>
        <v>0</v>
      </c>
      <c r="Z204" s="10">
        <f t="shared" si="98"/>
        <v>0</v>
      </c>
      <c r="AA204" s="10">
        <f t="shared" si="99"/>
        <v>0</v>
      </c>
      <c r="AB204" s="10">
        <f t="shared" si="100"/>
        <v>0.80082399975499996</v>
      </c>
      <c r="AC204" s="10">
        <f t="shared" si="101"/>
        <v>0.26161834193974975</v>
      </c>
      <c r="AD204" s="10">
        <f t="shared" si="102"/>
        <v>6.2688344536133584</v>
      </c>
      <c r="AE204" s="10">
        <f t="shared" si="89"/>
        <v>-1</v>
      </c>
      <c r="AF204" s="10">
        <f t="shared" si="90"/>
        <v>1</v>
      </c>
      <c r="AI204" s="10">
        <f t="shared" si="91"/>
        <v>-1</v>
      </c>
      <c r="AJ204" s="10">
        <f t="shared" si="92"/>
        <v>0</v>
      </c>
      <c r="AK204" s="10">
        <f t="shared" si="93"/>
        <v>0</v>
      </c>
      <c r="BJ204" s="11"/>
      <c r="BK204" s="29"/>
      <c r="BL204" s="29"/>
      <c r="BM204" s="11"/>
    </row>
    <row r="205" spans="2:65" x14ac:dyDescent="0.25">
      <c r="B205" s="10">
        <f t="shared" si="82"/>
        <v>186</v>
      </c>
      <c r="C205">
        <v>-1.375190095131984</v>
      </c>
      <c r="D205">
        <v>-1.2494706425059121</v>
      </c>
      <c r="E205">
        <v>0.57094027527695546</v>
      </c>
      <c r="H205" s="18">
        <f>1</f>
        <v>1</v>
      </c>
      <c r="I205" s="19">
        <f t="shared" si="94"/>
        <v>4.2249029540714842</v>
      </c>
      <c r="J205" s="19">
        <f t="shared" si="95"/>
        <v>13.198072948962796</v>
      </c>
      <c r="K205" s="18">
        <f t="shared" si="96"/>
        <v>-1</v>
      </c>
      <c r="L205" s="17"/>
      <c r="M205" s="17"/>
      <c r="N205" s="18">
        <f t="shared" si="83"/>
        <v>-100</v>
      </c>
      <c r="O205" s="18">
        <f t="shared" si="83"/>
        <v>-100</v>
      </c>
      <c r="P205" s="18">
        <f t="shared" si="84"/>
        <v>4.2249029540714842</v>
      </c>
      <c r="Q205" s="18">
        <f t="shared" si="84"/>
        <v>13.198072948962796</v>
      </c>
      <c r="S205" s="10">
        <f t="shared" si="85"/>
        <v>84.642670529215962</v>
      </c>
      <c r="T205" s="10">
        <f t="shared" si="86"/>
        <v>1</v>
      </c>
      <c r="U205" s="10">
        <f t="shared" si="87"/>
        <v>-1</v>
      </c>
      <c r="V205" s="10">
        <f t="shared" si="88"/>
        <v>1</v>
      </c>
      <c r="Y205" s="10">
        <f t="shared" si="97"/>
        <v>-0.70082399975499998</v>
      </c>
      <c r="Z205" s="10">
        <f t="shared" si="98"/>
        <v>-2.9609133868490924</v>
      </c>
      <c r="AA205" s="10">
        <f t="shared" si="99"/>
        <v>-9.2495262731503747</v>
      </c>
      <c r="AB205" s="10">
        <f t="shared" si="100"/>
        <v>9.9999999999999978E-2</v>
      </c>
      <c r="AC205" s="10">
        <f t="shared" si="101"/>
        <v>-2.6992950449093427</v>
      </c>
      <c r="AD205" s="10">
        <f t="shared" si="102"/>
        <v>-2.9806918195370162</v>
      </c>
      <c r="AE205" s="10">
        <f t="shared" si="89"/>
        <v>-1</v>
      </c>
      <c r="AF205" s="10">
        <f t="shared" si="90"/>
        <v>0</v>
      </c>
      <c r="AI205" s="10">
        <f t="shared" si="91"/>
        <v>-1</v>
      </c>
      <c r="AJ205" s="10">
        <f t="shared" si="92"/>
        <v>0</v>
      </c>
      <c r="AK205" s="10">
        <f t="shared" si="93"/>
        <v>0</v>
      </c>
      <c r="BJ205" s="11"/>
      <c r="BK205" s="29"/>
      <c r="BL205" s="29"/>
      <c r="BM205" s="11"/>
    </row>
    <row r="206" spans="2:65" x14ac:dyDescent="0.25">
      <c r="B206" s="10">
        <f t="shared" si="82"/>
        <v>187</v>
      </c>
      <c r="C206">
        <v>-0.16246758605120704</v>
      </c>
      <c r="D206">
        <v>-0.69906491262372583</v>
      </c>
      <c r="E206">
        <v>0.1749931333353679</v>
      </c>
      <c r="H206" s="18">
        <f>1</f>
        <v>1</v>
      </c>
      <c r="I206" s="19">
        <f t="shared" si="94"/>
        <v>5.9732411787019588</v>
      </c>
      <c r="J206" s="19">
        <f t="shared" si="95"/>
        <v>13.991573003099719</v>
      </c>
      <c r="K206" s="18">
        <f t="shared" si="96"/>
        <v>1</v>
      </c>
      <c r="L206" s="17"/>
      <c r="M206" s="17"/>
      <c r="N206" s="18">
        <f t="shared" si="83"/>
        <v>5.9732411787019588</v>
      </c>
      <c r="O206" s="18">
        <f t="shared" si="83"/>
        <v>13.991573003099719</v>
      </c>
      <c r="P206" s="18">
        <f t="shared" si="84"/>
        <v>-100</v>
      </c>
      <c r="Q206" s="18">
        <f t="shared" si="84"/>
        <v>-100</v>
      </c>
      <c r="S206" s="10">
        <f t="shared" si="85"/>
        <v>-57.728107508512934</v>
      </c>
      <c r="T206" s="10">
        <f t="shared" si="86"/>
        <v>-1</v>
      </c>
      <c r="U206" s="10">
        <f t="shared" si="87"/>
        <v>1</v>
      </c>
      <c r="V206" s="10">
        <f t="shared" si="88"/>
        <v>1</v>
      </c>
      <c r="Y206" s="10">
        <f t="shared" si="97"/>
        <v>0.70082399975499998</v>
      </c>
      <c r="Z206" s="10">
        <f t="shared" si="98"/>
        <v>4.1861907743591775</v>
      </c>
      <c r="AA206" s="10">
        <f t="shared" si="99"/>
        <v>9.8056301548964218</v>
      </c>
      <c r="AB206" s="10">
        <f t="shared" si="100"/>
        <v>0.80082399975499996</v>
      </c>
      <c r="AC206" s="10">
        <f t="shared" si="101"/>
        <v>1.4868957294498348</v>
      </c>
      <c r="AD206" s="10">
        <f t="shared" si="102"/>
        <v>6.8249383353594055</v>
      </c>
      <c r="AE206" s="10">
        <f t="shared" si="89"/>
        <v>-1</v>
      </c>
      <c r="AF206" s="10">
        <f t="shared" si="90"/>
        <v>1</v>
      </c>
      <c r="AI206" s="10">
        <f t="shared" si="91"/>
        <v>-1</v>
      </c>
      <c r="AJ206" s="10">
        <f t="shared" si="92"/>
        <v>1</v>
      </c>
      <c r="AK206" s="10">
        <f t="shared" si="93"/>
        <v>1</v>
      </c>
      <c r="BJ206" s="11"/>
      <c r="BK206" s="29"/>
      <c r="BL206" s="29"/>
      <c r="BM206" s="11"/>
    </row>
    <row r="207" spans="2:65" x14ac:dyDescent="0.25">
      <c r="B207" s="10">
        <f t="shared" si="82"/>
        <v>188</v>
      </c>
      <c r="C207">
        <v>-2.5150438887067139</v>
      </c>
      <c r="D207">
        <v>1.620587681827601</v>
      </c>
      <c r="E207">
        <v>0.15518662068544573</v>
      </c>
      <c r="H207" s="18">
        <f>1</f>
        <v>1</v>
      </c>
      <c r="I207" s="19">
        <f t="shared" si="94"/>
        <v>2.5816169237764734</v>
      </c>
      <c r="J207" s="19">
        <f t="shared" si="95"/>
        <v>17.335732337469242</v>
      </c>
      <c r="K207" s="18">
        <f t="shared" si="96"/>
        <v>1</v>
      </c>
      <c r="L207" s="17"/>
      <c r="M207" s="17"/>
      <c r="N207" s="18">
        <f t="shared" si="83"/>
        <v>2.5816169237764734</v>
      </c>
      <c r="O207" s="18">
        <f t="shared" si="83"/>
        <v>17.335732337469242</v>
      </c>
      <c r="P207" s="18">
        <f t="shared" si="84"/>
        <v>-100</v>
      </c>
      <c r="Q207" s="18">
        <f t="shared" si="84"/>
        <v>-100</v>
      </c>
      <c r="S207" s="10">
        <f t="shared" si="85"/>
        <v>122.9547233803172</v>
      </c>
      <c r="T207" s="10">
        <f t="shared" si="86"/>
        <v>1</v>
      </c>
      <c r="U207" s="10">
        <f t="shared" si="87"/>
        <v>0</v>
      </c>
      <c r="V207" s="10">
        <f t="shared" si="88"/>
        <v>0</v>
      </c>
      <c r="Y207" s="10">
        <f t="shared" si="97"/>
        <v>0</v>
      </c>
      <c r="Z207" s="10">
        <f t="shared" si="98"/>
        <v>0</v>
      </c>
      <c r="AA207" s="10">
        <f t="shared" si="99"/>
        <v>0</v>
      </c>
      <c r="AB207" s="10">
        <f t="shared" si="100"/>
        <v>0.80082399975499996</v>
      </c>
      <c r="AC207" s="10">
        <f t="shared" si="101"/>
        <v>1.4868957294498348</v>
      </c>
      <c r="AD207" s="10">
        <f t="shared" si="102"/>
        <v>6.8249383353594055</v>
      </c>
      <c r="AE207" s="10">
        <f t="shared" si="89"/>
        <v>-1</v>
      </c>
      <c r="AF207" s="10">
        <f t="shared" si="90"/>
        <v>1</v>
      </c>
      <c r="AI207" s="10">
        <f t="shared" si="91"/>
        <v>-1</v>
      </c>
      <c r="AJ207" s="10">
        <f t="shared" si="92"/>
        <v>1</v>
      </c>
      <c r="AK207" s="10">
        <f t="shared" si="93"/>
        <v>1</v>
      </c>
      <c r="BJ207" s="11"/>
      <c r="BK207" s="29"/>
      <c r="BL207" s="29"/>
      <c r="BM207" s="11"/>
    </row>
    <row r="208" spans="2:65" x14ac:dyDescent="0.25">
      <c r="B208" s="10">
        <f t="shared" si="82"/>
        <v>189</v>
      </c>
      <c r="C208">
        <v>0.17970137378142681</v>
      </c>
      <c r="D208">
        <v>-0.20995230443077162</v>
      </c>
      <c r="E208">
        <v>0.76293221839045378</v>
      </c>
      <c r="H208" s="18">
        <f>1</f>
        <v>1</v>
      </c>
      <c r="I208" s="19">
        <f t="shared" si="94"/>
        <v>6.4665338052327295</v>
      </c>
      <c r="J208" s="19">
        <f t="shared" si="95"/>
        <v>14.696708978270681</v>
      </c>
      <c r="K208" s="18">
        <f t="shared" si="96"/>
        <v>-1</v>
      </c>
      <c r="L208" s="17"/>
      <c r="M208" s="17"/>
      <c r="N208" s="18">
        <f t="shared" si="83"/>
        <v>-100</v>
      </c>
      <c r="O208" s="18">
        <f t="shared" si="83"/>
        <v>-100</v>
      </c>
      <c r="P208" s="18">
        <f t="shared" si="84"/>
        <v>6.4665338052327295</v>
      </c>
      <c r="Q208" s="18">
        <f t="shared" si="84"/>
        <v>14.696708978270681</v>
      </c>
      <c r="S208" s="10">
        <f t="shared" si="85"/>
        <v>110.72001800851886</v>
      </c>
      <c r="T208" s="10">
        <f t="shared" si="86"/>
        <v>1</v>
      </c>
      <c r="U208" s="10">
        <f t="shared" si="87"/>
        <v>-1</v>
      </c>
      <c r="V208" s="10">
        <f t="shared" si="88"/>
        <v>1</v>
      </c>
      <c r="Y208" s="10">
        <f t="shared" si="97"/>
        <v>-0.70082399975499998</v>
      </c>
      <c r="Z208" s="10">
        <f t="shared" si="98"/>
        <v>-4.5319020859341217</v>
      </c>
      <c r="AA208" s="10">
        <f t="shared" si="99"/>
        <v>-10.299806369386879</v>
      </c>
      <c r="AB208" s="10">
        <f t="shared" si="100"/>
        <v>9.9999999999999978E-2</v>
      </c>
      <c r="AC208" s="10">
        <f t="shared" si="101"/>
        <v>-3.0450063564842869</v>
      </c>
      <c r="AD208" s="10">
        <f t="shared" si="102"/>
        <v>-3.4748680340274731</v>
      </c>
      <c r="AE208" s="10">
        <f t="shared" si="89"/>
        <v>-1</v>
      </c>
      <c r="AF208" s="10">
        <f t="shared" si="90"/>
        <v>0</v>
      </c>
      <c r="AI208" s="10">
        <f t="shared" si="91"/>
        <v>-1</v>
      </c>
      <c r="AJ208" s="10">
        <f t="shared" si="92"/>
        <v>0</v>
      </c>
      <c r="AK208" s="10">
        <f t="shared" si="93"/>
        <v>0</v>
      </c>
      <c r="BJ208" s="11"/>
      <c r="BK208" s="29"/>
      <c r="BL208" s="29"/>
      <c r="BM208" s="11"/>
    </row>
    <row r="209" spans="2:65" x14ac:dyDescent="0.25">
      <c r="B209" s="10">
        <f t="shared" si="82"/>
        <v>190</v>
      </c>
      <c r="C209">
        <v>-1.7209003999596462</v>
      </c>
      <c r="D209">
        <v>-0.71913063948159106</v>
      </c>
      <c r="E209">
        <v>1.8860438856166267E-2</v>
      </c>
      <c r="H209" s="18">
        <f>1</f>
        <v>1</v>
      </c>
      <c r="I209" s="19">
        <f t="shared" si="94"/>
        <v>3.7265048984132325</v>
      </c>
      <c r="J209" s="19">
        <f t="shared" si="95"/>
        <v>13.96264496968077</v>
      </c>
      <c r="K209" s="18">
        <f t="shared" si="96"/>
        <v>1</v>
      </c>
      <c r="L209" s="17"/>
      <c r="M209" s="17"/>
      <c r="N209" s="18">
        <f t="shared" si="83"/>
        <v>3.7265048984132325</v>
      </c>
      <c r="O209" s="18">
        <f t="shared" si="83"/>
        <v>13.96264496968077</v>
      </c>
      <c r="P209" s="18">
        <f t="shared" si="84"/>
        <v>-100</v>
      </c>
      <c r="Q209" s="18">
        <f t="shared" si="84"/>
        <v>-100</v>
      </c>
      <c r="S209" s="10">
        <f t="shared" si="85"/>
        <v>-59.765579778756333</v>
      </c>
      <c r="T209" s="10">
        <f t="shared" si="86"/>
        <v>-1</v>
      </c>
      <c r="U209" s="10">
        <f t="shared" si="87"/>
        <v>1</v>
      </c>
      <c r="V209" s="10">
        <f t="shared" si="88"/>
        <v>1</v>
      </c>
      <c r="Y209" s="10">
        <f t="shared" si="97"/>
        <v>0.70082399975499998</v>
      </c>
      <c r="Z209" s="10">
        <f t="shared" si="98"/>
        <v>2.6116240680125613</v>
      </c>
      <c r="AA209" s="10">
        <f t="shared" si="99"/>
        <v>9.7853566948107087</v>
      </c>
      <c r="AB209" s="10">
        <f t="shared" si="100"/>
        <v>0.80082399975499996</v>
      </c>
      <c r="AC209" s="10">
        <f t="shared" si="101"/>
        <v>-0.43338228847172555</v>
      </c>
      <c r="AD209" s="10">
        <f t="shared" si="102"/>
        <v>6.3104886607832356</v>
      </c>
      <c r="AE209" s="10">
        <f t="shared" si="89"/>
        <v>-1</v>
      </c>
      <c r="AF209" s="10">
        <f t="shared" si="90"/>
        <v>1</v>
      </c>
      <c r="AI209" s="10">
        <f t="shared" si="91"/>
        <v>-1</v>
      </c>
      <c r="AJ209" s="10">
        <f t="shared" si="92"/>
        <v>1</v>
      </c>
      <c r="AK209" s="10">
        <f t="shared" si="93"/>
        <v>1</v>
      </c>
      <c r="BJ209" s="11"/>
      <c r="BK209" s="29"/>
      <c r="BL209" s="29"/>
      <c r="BM209" s="11"/>
    </row>
    <row r="210" spans="2:65" x14ac:dyDescent="0.25">
      <c r="B210" s="10">
        <f t="shared" si="82"/>
        <v>191</v>
      </c>
      <c r="C210">
        <v>-0.61512992033385672</v>
      </c>
      <c r="D210">
        <v>-0.37885683923377655</v>
      </c>
      <c r="E210">
        <v>0.34119693594164863</v>
      </c>
      <c r="H210" s="18">
        <f>1</f>
        <v>1</v>
      </c>
      <c r="I210" s="19">
        <f t="shared" si="94"/>
        <v>5.3206542464476154</v>
      </c>
      <c r="J210" s="19">
        <f t="shared" si="95"/>
        <v>14.45320541311186</v>
      </c>
      <c r="K210" s="18">
        <f t="shared" si="96"/>
        <v>1</v>
      </c>
      <c r="L210" s="17"/>
      <c r="M210" s="17"/>
      <c r="N210" s="18">
        <f t="shared" si="83"/>
        <v>5.3206542464476154</v>
      </c>
      <c r="O210" s="18">
        <f t="shared" si="83"/>
        <v>14.45320541311186</v>
      </c>
      <c r="P210" s="18">
        <f t="shared" si="84"/>
        <v>-100</v>
      </c>
      <c r="Q210" s="18">
        <f t="shared" si="84"/>
        <v>-100</v>
      </c>
      <c r="S210" s="10">
        <f t="shared" si="85"/>
        <v>89.701735557675988</v>
      </c>
      <c r="T210" s="10">
        <f t="shared" si="86"/>
        <v>1</v>
      </c>
      <c r="U210" s="10">
        <f t="shared" si="87"/>
        <v>0</v>
      </c>
      <c r="V210" s="10">
        <f t="shared" si="88"/>
        <v>0</v>
      </c>
      <c r="Y210" s="10">
        <f t="shared" si="97"/>
        <v>0</v>
      </c>
      <c r="Z210" s="10">
        <f t="shared" si="98"/>
        <v>0</v>
      </c>
      <c r="AA210" s="10">
        <f t="shared" si="99"/>
        <v>0</v>
      </c>
      <c r="AB210" s="10">
        <f t="shared" si="100"/>
        <v>0.80082399975499996</v>
      </c>
      <c r="AC210" s="10">
        <f t="shared" si="101"/>
        <v>-0.43338228847172555</v>
      </c>
      <c r="AD210" s="10">
        <f t="shared" si="102"/>
        <v>6.3104886607832356</v>
      </c>
      <c r="AE210" s="10">
        <f t="shared" si="89"/>
        <v>-1</v>
      </c>
      <c r="AF210" s="10">
        <f t="shared" si="90"/>
        <v>1</v>
      </c>
      <c r="AI210" s="10">
        <f t="shared" si="91"/>
        <v>-1</v>
      </c>
      <c r="AJ210" s="10">
        <f t="shared" si="92"/>
        <v>1</v>
      </c>
      <c r="AK210" s="10">
        <f t="shared" si="93"/>
        <v>1</v>
      </c>
      <c r="BJ210" s="11"/>
      <c r="BK210" s="29"/>
      <c r="BL210" s="29"/>
      <c r="BM210" s="11"/>
    </row>
    <row r="211" spans="2:65" x14ac:dyDescent="0.25">
      <c r="B211" s="10">
        <f t="shared" si="82"/>
        <v>192</v>
      </c>
      <c r="C211">
        <v>2.1928099158685654</v>
      </c>
      <c r="D211">
        <v>0.36737446862389334</v>
      </c>
      <c r="E211">
        <v>0.62080751976073489</v>
      </c>
      <c r="H211" s="18">
        <f>1</f>
        <v>1</v>
      </c>
      <c r="I211" s="19">
        <f t="shared" si="94"/>
        <v>9.3687596550100736</v>
      </c>
      <c r="J211" s="19">
        <f t="shared" si="95"/>
        <v>15.529020127668835</v>
      </c>
      <c r="K211" s="18">
        <f t="shared" si="96"/>
        <v>-1</v>
      </c>
      <c r="L211" s="17"/>
      <c r="M211" s="17"/>
      <c r="N211" s="18">
        <f t="shared" si="83"/>
        <v>-100</v>
      </c>
      <c r="O211" s="18">
        <f t="shared" si="83"/>
        <v>-100</v>
      </c>
      <c r="P211" s="18">
        <f t="shared" si="84"/>
        <v>9.3687596550100736</v>
      </c>
      <c r="Q211" s="18">
        <f t="shared" si="84"/>
        <v>15.529020127668835</v>
      </c>
      <c r="S211" s="10">
        <f t="shared" si="85"/>
        <v>94.736274929053977</v>
      </c>
      <c r="T211" s="10">
        <f t="shared" si="86"/>
        <v>1</v>
      </c>
      <c r="U211" s="10">
        <f t="shared" si="87"/>
        <v>-1</v>
      </c>
      <c r="V211" s="10">
        <f t="shared" si="88"/>
        <v>1</v>
      </c>
      <c r="Y211" s="10">
        <f t="shared" si="97"/>
        <v>-0.70082399975499998</v>
      </c>
      <c r="Z211" s="10">
        <f t="shared" si="98"/>
        <v>-6.5658516141674337</v>
      </c>
      <c r="AA211" s="10">
        <f t="shared" si="99"/>
        <v>-10.883109998148774</v>
      </c>
      <c r="AB211" s="10">
        <f t="shared" si="100"/>
        <v>9.9999999999999978E-2</v>
      </c>
      <c r="AC211" s="10">
        <f t="shared" si="101"/>
        <v>-6.9992339026391592</v>
      </c>
      <c r="AD211" s="10">
        <f t="shared" si="102"/>
        <v>-4.572621337365538</v>
      </c>
      <c r="AE211" s="10">
        <f t="shared" si="89"/>
        <v>-1</v>
      </c>
      <c r="AF211" s="10">
        <f t="shared" si="90"/>
        <v>0</v>
      </c>
      <c r="AI211" s="10">
        <f t="shared" si="91"/>
        <v>-1</v>
      </c>
      <c r="AJ211" s="10">
        <f t="shared" si="92"/>
        <v>0</v>
      </c>
      <c r="AK211" s="10">
        <f t="shared" si="93"/>
        <v>0</v>
      </c>
      <c r="BJ211" s="11"/>
      <c r="BK211" s="29"/>
      <c r="BL211" s="29"/>
      <c r="BM211" s="11"/>
    </row>
    <row r="212" spans="2:65" x14ac:dyDescent="0.25">
      <c r="B212" s="10">
        <f t="shared" si="82"/>
        <v>193</v>
      </c>
      <c r="C212">
        <v>1.164830791822169</v>
      </c>
      <c r="D212">
        <v>-0.22334461391437799</v>
      </c>
      <c r="E212">
        <v>0.99105807672353285</v>
      </c>
      <c r="H212" s="18">
        <f>1</f>
        <v>1</v>
      </c>
      <c r="I212" s="19">
        <f t="shared" ref="I212:I219" si="103">IF(K212=1, C212*$C$7+$C$5,C212*$C$10+$C$8)</f>
        <v>7.8867592936456621</v>
      </c>
      <c r="J212" s="19">
        <f t="shared" ref="J212:J219" si="104">IF(K212=1,D212*$C$7+$C$6,D212*$C$10+$C$9)</f>
        <v>14.67740176956387</v>
      </c>
      <c r="K212" s="18">
        <f t="shared" ref="K212:K219" si="105">IF(E212&lt;$C$11,1,-1)</f>
        <v>-1</v>
      </c>
      <c r="L212" s="17"/>
      <c r="M212" s="17"/>
      <c r="N212" s="18">
        <f t="shared" si="83"/>
        <v>-100</v>
      </c>
      <c r="O212" s="18">
        <f t="shared" si="83"/>
        <v>-100</v>
      </c>
      <c r="P212" s="18">
        <f t="shared" si="84"/>
        <v>7.8867592936456621</v>
      </c>
      <c r="Q212" s="18">
        <f t="shared" si="84"/>
        <v>14.67740176956387</v>
      </c>
      <c r="S212" s="10">
        <f t="shared" si="85"/>
        <v>-122.21547353863366</v>
      </c>
      <c r="T212" s="10">
        <f t="shared" si="86"/>
        <v>-1</v>
      </c>
      <c r="U212" s="10">
        <f t="shared" si="87"/>
        <v>0</v>
      </c>
      <c r="V212" s="10">
        <f t="shared" si="88"/>
        <v>0</v>
      </c>
      <c r="Y212" s="10">
        <f t="shared" ref="Y212:Y219" si="106">IF(U212=0,0,$C$12*(U212)*H212)</f>
        <v>0</v>
      </c>
      <c r="Z212" s="10">
        <f t="shared" ref="Z212:Z219" si="107">IF(U212=0,0,$C$12*(U212)*I212)</f>
        <v>0</v>
      </c>
      <c r="AA212" s="10">
        <f t="shared" ref="AA212:AA219" si="108">IF(U212=0,0,$C$12*(U212)*J212)</f>
        <v>0</v>
      </c>
      <c r="AB212" s="10">
        <f t="shared" ref="AB212:AB219" si="109">IF(U212=0,AB211,AB211+$C$12*(U212)*H212)</f>
        <v>9.9999999999999978E-2</v>
      </c>
      <c r="AC212" s="10">
        <f t="shared" ref="AC212:AC219" si="110">IF(U212=0,AC211,AC211+$C$12*(U212)*I212)</f>
        <v>-6.9992339026391592</v>
      </c>
      <c r="AD212" s="10">
        <f t="shared" ref="AD212:AD219" si="111">IF(U212=0,AD211,AD211+$C$12*(U212)*J212)</f>
        <v>-4.572621337365538</v>
      </c>
      <c r="AE212" s="10">
        <f t="shared" si="89"/>
        <v>-1</v>
      </c>
      <c r="AF212" s="10">
        <f t="shared" si="90"/>
        <v>0</v>
      </c>
      <c r="AI212" s="10">
        <f t="shared" si="91"/>
        <v>-1</v>
      </c>
      <c r="AJ212" s="10">
        <f t="shared" si="92"/>
        <v>1</v>
      </c>
      <c r="AK212" s="10">
        <f t="shared" si="93"/>
        <v>1</v>
      </c>
      <c r="BJ212" s="11"/>
      <c r="BK212" s="29"/>
      <c r="BL212" s="29"/>
      <c r="BM212" s="11"/>
    </row>
    <row r="213" spans="2:65" x14ac:dyDescent="0.25">
      <c r="B213" s="10">
        <f t="shared" ref="B213:B219" si="112">B212+1</f>
        <v>194</v>
      </c>
      <c r="C213">
        <v>-2.02817318495363</v>
      </c>
      <c r="D213">
        <v>-0.55288865041802637</v>
      </c>
      <c r="E213">
        <v>0.90704062013611253</v>
      </c>
      <c r="H213" s="18">
        <f>1</f>
        <v>1</v>
      </c>
      <c r="I213" s="19">
        <f t="shared" si="103"/>
        <v>3.2835208263184184</v>
      </c>
      <c r="J213" s="19">
        <f t="shared" si="104"/>
        <v>14.202310038847118</v>
      </c>
      <c r="K213" s="18">
        <f t="shared" si="105"/>
        <v>-1</v>
      </c>
      <c r="L213" s="17"/>
      <c r="M213" s="17"/>
      <c r="N213" s="18">
        <f t="shared" ref="N213:O219" si="113">IF($K213=1,I213,-100)</f>
        <v>-100</v>
      </c>
      <c r="O213" s="18">
        <f t="shared" si="113"/>
        <v>-100</v>
      </c>
      <c r="P213" s="18">
        <f t="shared" ref="P213:Q219" si="114">IF($K213=-1,I213,-100)</f>
        <v>3.2835208263184184</v>
      </c>
      <c r="Q213" s="18">
        <f t="shared" si="114"/>
        <v>14.202310038847118</v>
      </c>
      <c r="S213" s="10">
        <f t="shared" ref="S213:S219" si="115">SUMPRODUCT(H213:J213,AB212:AD212)</f>
        <v>-87.823916211102727</v>
      </c>
      <c r="T213" s="10">
        <f t="shared" ref="T213:T219" si="116">IF(S213&gt;=0,1,-1)</f>
        <v>-1</v>
      </c>
      <c r="U213" s="10">
        <f t="shared" ref="U213:U219" si="117">(K213-T213)/2</f>
        <v>0</v>
      </c>
      <c r="V213" s="10">
        <f t="shared" ref="V213:V219" si="118">IF(U213&lt;&gt;0,1,0)</f>
        <v>0</v>
      </c>
      <c r="Y213" s="10">
        <f t="shared" si="106"/>
        <v>0</v>
      </c>
      <c r="Z213" s="10">
        <f t="shared" si="107"/>
        <v>0</v>
      </c>
      <c r="AA213" s="10">
        <f t="shared" si="108"/>
        <v>0</v>
      </c>
      <c r="AB213" s="10">
        <f t="shared" si="109"/>
        <v>9.9999999999999978E-2</v>
      </c>
      <c r="AC213" s="10">
        <f t="shared" si="110"/>
        <v>-6.9992339026391592</v>
      </c>
      <c r="AD213" s="10">
        <f t="shared" si="111"/>
        <v>-4.572621337365538</v>
      </c>
      <c r="AE213" s="10">
        <f t="shared" ref="AE213:AE219" si="119">IF(SUMPRODUCT(H213:J213,$AR$29:$AT$29)&gt;=0,1,-1)</f>
        <v>-1</v>
      </c>
      <c r="AF213" s="10">
        <f t="shared" ref="AF213:AF219" si="120">IF(K213=AE213,0,1)</f>
        <v>0</v>
      </c>
      <c r="AI213" s="10">
        <f t="shared" si="91"/>
        <v>-1</v>
      </c>
      <c r="AJ213" s="10">
        <f t="shared" si="92"/>
        <v>1</v>
      </c>
      <c r="AK213" s="10">
        <f t="shared" si="93"/>
        <v>1</v>
      </c>
      <c r="BJ213" s="11"/>
      <c r="BK213" s="29"/>
      <c r="BL213" s="29"/>
      <c r="BM213" s="11"/>
    </row>
    <row r="214" spans="2:65" x14ac:dyDescent="0.25">
      <c r="B214" s="10">
        <f t="shared" si="112"/>
        <v>195</v>
      </c>
      <c r="C214">
        <v>1.1482370609883219E-4</v>
      </c>
      <c r="D214">
        <v>-0.27765963750425726</v>
      </c>
      <c r="E214">
        <v>0.61741996520889919</v>
      </c>
      <c r="H214" s="18">
        <f>1</f>
        <v>1</v>
      </c>
      <c r="I214" s="19">
        <f t="shared" si="103"/>
        <v>6.2076303646062332</v>
      </c>
      <c r="J214" s="19">
        <f t="shared" si="104"/>
        <v>14.599097762503037</v>
      </c>
      <c r="K214" s="18">
        <f t="shared" si="105"/>
        <v>-1</v>
      </c>
      <c r="L214" s="17"/>
      <c r="M214" s="17"/>
      <c r="N214" s="18">
        <f t="shared" si="113"/>
        <v>-100</v>
      </c>
      <c r="O214" s="18">
        <f t="shared" si="113"/>
        <v>-100</v>
      </c>
      <c r="P214" s="18">
        <f t="shared" si="114"/>
        <v>6.2076303646062332</v>
      </c>
      <c r="Q214" s="18">
        <f t="shared" si="114"/>
        <v>14.599097762503037</v>
      </c>
      <c r="S214" s="10">
        <f t="shared" si="115"/>
        <v>-110.10480283811111</v>
      </c>
      <c r="T214" s="10">
        <f t="shared" si="116"/>
        <v>-1</v>
      </c>
      <c r="U214" s="10">
        <f t="shared" si="117"/>
        <v>0</v>
      </c>
      <c r="V214" s="10">
        <f t="shared" si="118"/>
        <v>0</v>
      </c>
      <c r="Y214" s="10">
        <f t="shared" si="106"/>
        <v>0</v>
      </c>
      <c r="Z214" s="10">
        <f t="shared" si="107"/>
        <v>0</v>
      </c>
      <c r="AA214" s="10">
        <f t="shared" si="108"/>
        <v>0</v>
      </c>
      <c r="AB214" s="10">
        <f t="shared" si="109"/>
        <v>9.9999999999999978E-2</v>
      </c>
      <c r="AC214" s="10">
        <f t="shared" si="110"/>
        <v>-6.9992339026391592</v>
      </c>
      <c r="AD214" s="10">
        <f t="shared" si="111"/>
        <v>-4.572621337365538</v>
      </c>
      <c r="AE214" s="10">
        <f t="shared" si="119"/>
        <v>-1</v>
      </c>
      <c r="AF214" s="10">
        <f t="shared" si="120"/>
        <v>0</v>
      </c>
      <c r="AI214" s="10">
        <f t="shared" si="91"/>
        <v>-1</v>
      </c>
      <c r="AJ214" s="10">
        <f t="shared" si="92"/>
        <v>0</v>
      </c>
      <c r="AK214" s="10">
        <f t="shared" si="93"/>
        <v>0</v>
      </c>
      <c r="BJ214" s="11"/>
      <c r="BK214" s="29"/>
      <c r="BL214" s="29"/>
      <c r="BM214" s="11"/>
    </row>
    <row r="215" spans="2:65" x14ac:dyDescent="0.25">
      <c r="B215" s="10">
        <f t="shared" si="112"/>
        <v>196</v>
      </c>
      <c r="C215">
        <v>1.6323610907420516</v>
      </c>
      <c r="D215">
        <v>0.56388444136246108</v>
      </c>
      <c r="E215">
        <v>0.99551377910702843</v>
      </c>
      <c r="H215" s="18">
        <f>1</f>
        <v>1</v>
      </c>
      <c r="I215" s="19">
        <f t="shared" si="103"/>
        <v>8.5607808333251061</v>
      </c>
      <c r="J215" s="19">
        <f t="shared" si="104"/>
        <v>15.812321455291052</v>
      </c>
      <c r="K215" s="18">
        <f t="shared" si="105"/>
        <v>-1</v>
      </c>
      <c r="L215" s="17"/>
      <c r="M215" s="17"/>
      <c r="N215" s="18">
        <f t="shared" si="113"/>
        <v>-100</v>
      </c>
      <c r="O215" s="18">
        <f t="shared" si="113"/>
        <v>-100</v>
      </c>
      <c r="P215" s="18">
        <f t="shared" si="114"/>
        <v>8.5607808333251061</v>
      </c>
      <c r="Q215" s="18">
        <f t="shared" si="114"/>
        <v>15.812321455291052</v>
      </c>
      <c r="S215" s="10">
        <f t="shared" si="115"/>
        <v>-132.12266592141935</v>
      </c>
      <c r="T215" s="10">
        <f t="shared" si="116"/>
        <v>-1</v>
      </c>
      <c r="U215" s="10">
        <f t="shared" si="117"/>
        <v>0</v>
      </c>
      <c r="V215" s="10">
        <f t="shared" si="118"/>
        <v>0</v>
      </c>
      <c r="Y215" s="10">
        <f t="shared" si="106"/>
        <v>0</v>
      </c>
      <c r="Z215" s="10">
        <f t="shared" si="107"/>
        <v>0</v>
      </c>
      <c r="AA215" s="10">
        <f t="shared" si="108"/>
        <v>0</v>
      </c>
      <c r="AB215" s="10">
        <f t="shared" si="109"/>
        <v>9.9999999999999978E-2</v>
      </c>
      <c r="AC215" s="10">
        <f t="shared" si="110"/>
        <v>-6.9992339026391592</v>
      </c>
      <c r="AD215" s="10">
        <f t="shared" si="111"/>
        <v>-4.572621337365538</v>
      </c>
      <c r="AE215" s="10">
        <f t="shared" si="119"/>
        <v>-1</v>
      </c>
      <c r="AF215" s="10">
        <f t="shared" si="120"/>
        <v>0</v>
      </c>
      <c r="AI215" s="10">
        <f t="shared" si="91"/>
        <v>-1</v>
      </c>
      <c r="AJ215" s="10">
        <f t="shared" si="92"/>
        <v>0</v>
      </c>
      <c r="AK215" s="10">
        <f t="shared" si="93"/>
        <v>0</v>
      </c>
      <c r="BJ215" s="11"/>
      <c r="BK215" s="29"/>
      <c r="BL215" s="29"/>
      <c r="BM215" s="11"/>
    </row>
    <row r="216" spans="2:65" x14ac:dyDescent="0.25">
      <c r="B216" s="10">
        <f t="shared" si="112"/>
        <v>197</v>
      </c>
      <c r="C216">
        <v>-0.78438688433379866</v>
      </c>
      <c r="D216">
        <v>-7.2392367655993439E-2</v>
      </c>
      <c r="E216">
        <v>0.18054750205999939</v>
      </c>
      <c r="H216" s="18">
        <f>1</f>
        <v>1</v>
      </c>
      <c r="I216" s="19">
        <f t="shared" si="103"/>
        <v>5.0766425968491395</v>
      </c>
      <c r="J216" s="19">
        <f t="shared" si="104"/>
        <v>14.895024168959599</v>
      </c>
      <c r="K216" s="18">
        <f t="shared" si="105"/>
        <v>1</v>
      </c>
      <c r="L216" s="17"/>
      <c r="M216" s="17"/>
      <c r="N216" s="18">
        <f t="shared" si="113"/>
        <v>5.0766425968491395</v>
      </c>
      <c r="O216" s="18">
        <f t="shared" si="113"/>
        <v>14.895024168959599</v>
      </c>
      <c r="P216" s="18">
        <f t="shared" si="114"/>
        <v>-100</v>
      </c>
      <c r="Q216" s="18">
        <f t="shared" si="114"/>
        <v>-100</v>
      </c>
      <c r="S216" s="10">
        <f t="shared" si="115"/>
        <v>-103.54191431100864</v>
      </c>
      <c r="T216" s="10">
        <f t="shared" si="116"/>
        <v>-1</v>
      </c>
      <c r="U216" s="10">
        <f t="shared" si="117"/>
        <v>1</v>
      </c>
      <c r="V216" s="10">
        <f t="shared" si="118"/>
        <v>1</v>
      </c>
      <c r="Y216" s="10">
        <f t="shared" si="106"/>
        <v>0.70082399975499998</v>
      </c>
      <c r="Z216" s="10">
        <f t="shared" si="107"/>
        <v>3.5578329700504239</v>
      </c>
      <c r="AA216" s="10">
        <f t="shared" si="108"/>
        <v>10.438790414537662</v>
      </c>
      <c r="AB216" s="10">
        <f t="shared" si="109"/>
        <v>0.80082399975499996</v>
      </c>
      <c r="AC216" s="10">
        <f t="shared" si="110"/>
        <v>-3.4414009325887354</v>
      </c>
      <c r="AD216" s="10">
        <f t="shared" si="111"/>
        <v>5.866169077172124</v>
      </c>
      <c r="AE216" s="10">
        <f t="shared" si="119"/>
        <v>-1</v>
      </c>
      <c r="AF216" s="10">
        <f t="shared" si="120"/>
        <v>1</v>
      </c>
      <c r="AI216" s="10">
        <f t="shared" ref="AI216:AI222" si="121">IF(SUMPRODUCT(H213:J213,$AI$17:$AK$17)&gt;=0,1,-1)</f>
        <v>-1</v>
      </c>
      <c r="AJ216" s="10">
        <f t="shared" ref="AJ216:AJ222" si="122">(K213-AI216)/2</f>
        <v>0</v>
      </c>
      <c r="AK216" s="10">
        <f t="shared" ref="AK216:AK222" si="123">IF(AJ216&lt;&gt;0,1,0)</f>
        <v>0</v>
      </c>
      <c r="BJ216" s="11"/>
      <c r="BK216" s="29"/>
      <c r="BL216" s="29"/>
      <c r="BM216" s="11"/>
    </row>
    <row r="217" spans="2:65" x14ac:dyDescent="0.25">
      <c r="B217" s="10">
        <f t="shared" si="112"/>
        <v>198</v>
      </c>
      <c r="C217">
        <v>-0.12613554645213298</v>
      </c>
      <c r="D217">
        <v>0.48771539695735555</v>
      </c>
      <c r="E217">
        <v>0.62596514786217838</v>
      </c>
      <c r="H217" s="18">
        <f>1</f>
        <v>1</v>
      </c>
      <c r="I217" s="19">
        <f t="shared" si="103"/>
        <v>6.0256197674839846</v>
      </c>
      <c r="J217" s="19">
        <f t="shared" si="104"/>
        <v>15.702511296025548</v>
      </c>
      <c r="K217" s="18">
        <f t="shared" si="105"/>
        <v>-1</v>
      </c>
      <c r="L217" s="17"/>
      <c r="M217" s="17"/>
      <c r="N217" s="18">
        <f t="shared" si="113"/>
        <v>-100</v>
      </c>
      <c r="O217" s="18">
        <f t="shared" si="113"/>
        <v>-100</v>
      </c>
      <c r="P217" s="18">
        <f t="shared" si="114"/>
        <v>6.0256197674839846</v>
      </c>
      <c r="Q217" s="18">
        <f t="shared" si="114"/>
        <v>15.702511296025548</v>
      </c>
      <c r="S217" s="10">
        <f t="shared" si="115"/>
        <v>72.177836711201536</v>
      </c>
      <c r="T217" s="10">
        <f t="shared" si="116"/>
        <v>1</v>
      </c>
      <c r="U217" s="10">
        <f t="shared" si="117"/>
        <v>-1</v>
      </c>
      <c r="V217" s="10">
        <f t="shared" si="118"/>
        <v>1</v>
      </c>
      <c r="Y217" s="10">
        <f t="shared" si="106"/>
        <v>-0.70082399975499998</v>
      </c>
      <c r="Z217" s="10">
        <f t="shared" si="107"/>
        <v>-4.2228989464509192</v>
      </c>
      <c r="AA217" s="10">
        <f t="shared" si="108"/>
        <v>-11.004696772678694</v>
      </c>
      <c r="AB217" s="10">
        <f t="shared" si="109"/>
        <v>9.9999999999999978E-2</v>
      </c>
      <c r="AC217" s="10">
        <f t="shared" si="110"/>
        <v>-7.664299879039655</v>
      </c>
      <c r="AD217" s="10">
        <f t="shared" si="111"/>
        <v>-5.1385276955065695</v>
      </c>
      <c r="AE217" s="10">
        <f t="shared" si="119"/>
        <v>-1</v>
      </c>
      <c r="AF217" s="10">
        <f t="shared" si="120"/>
        <v>0</v>
      </c>
      <c r="AI217" s="10">
        <f t="shared" si="121"/>
        <v>-1</v>
      </c>
      <c r="AJ217" s="10">
        <f t="shared" si="122"/>
        <v>0</v>
      </c>
      <c r="AK217" s="10">
        <f t="shared" si="123"/>
        <v>0</v>
      </c>
      <c r="BJ217" s="11"/>
      <c r="BK217" s="29"/>
      <c r="BL217" s="29"/>
      <c r="BM217" s="11"/>
    </row>
    <row r="218" spans="2:65" x14ac:dyDescent="0.25">
      <c r="B218" s="10">
        <f t="shared" si="112"/>
        <v>199</v>
      </c>
      <c r="C218">
        <v>0.67389009927865118</v>
      </c>
      <c r="D218">
        <v>1.0562780516920611</v>
      </c>
      <c r="E218">
        <v>0.91253395184179209</v>
      </c>
      <c r="H218" s="18">
        <f>1</f>
        <v>1</v>
      </c>
      <c r="I218" s="19">
        <f t="shared" si="103"/>
        <v>7.1789878353167582</v>
      </c>
      <c r="J218" s="19">
        <f t="shared" si="104"/>
        <v>16.522187532696979</v>
      </c>
      <c r="K218" s="18">
        <f t="shared" si="105"/>
        <v>-1</v>
      </c>
      <c r="L218" s="17"/>
      <c r="M218" s="17"/>
      <c r="N218" s="18">
        <f t="shared" si="113"/>
        <v>-100</v>
      </c>
      <c r="O218" s="18">
        <f t="shared" si="113"/>
        <v>-100</v>
      </c>
      <c r="P218" s="18">
        <f t="shared" si="114"/>
        <v>7.1789878353167582</v>
      </c>
      <c r="Q218" s="18">
        <f t="shared" si="114"/>
        <v>16.522187532696979</v>
      </c>
      <c r="S218" s="10">
        <f t="shared" si="115"/>
        <v>-139.82163382496216</v>
      </c>
      <c r="T218" s="10">
        <f t="shared" si="116"/>
        <v>-1</v>
      </c>
      <c r="U218" s="10">
        <f t="shared" si="117"/>
        <v>0</v>
      </c>
      <c r="V218" s="10">
        <f t="shared" si="118"/>
        <v>0</v>
      </c>
      <c r="Y218" s="10">
        <f t="shared" si="106"/>
        <v>0</v>
      </c>
      <c r="Z218" s="10">
        <f t="shared" si="107"/>
        <v>0</v>
      </c>
      <c r="AA218" s="10">
        <f t="shared" si="108"/>
        <v>0</v>
      </c>
      <c r="AB218" s="10">
        <f t="shared" si="109"/>
        <v>9.9999999999999978E-2</v>
      </c>
      <c r="AC218" s="10">
        <f t="shared" si="110"/>
        <v>-7.664299879039655</v>
      </c>
      <c r="AD218" s="10">
        <f t="shared" si="111"/>
        <v>-5.1385276955065695</v>
      </c>
      <c r="AE218" s="10">
        <f t="shared" si="119"/>
        <v>-1</v>
      </c>
      <c r="AF218" s="10">
        <f t="shared" si="120"/>
        <v>0</v>
      </c>
      <c r="AI218" s="10">
        <f t="shared" si="121"/>
        <v>-1</v>
      </c>
      <c r="AJ218" s="10">
        <f t="shared" si="122"/>
        <v>0</v>
      </c>
      <c r="AK218" s="10">
        <f t="shared" si="123"/>
        <v>0</v>
      </c>
      <c r="BJ218" s="11"/>
      <c r="BK218" s="29"/>
      <c r="BL218" s="29"/>
      <c r="BM218" s="11"/>
    </row>
    <row r="219" spans="2:65" x14ac:dyDescent="0.25">
      <c r="B219" s="10">
        <f t="shared" si="112"/>
        <v>200</v>
      </c>
      <c r="C219">
        <v>-0.4909054496238241</v>
      </c>
      <c r="D219">
        <v>-0.9302448233938776</v>
      </c>
      <c r="E219">
        <v>0.81112094485305342</v>
      </c>
      <c r="H219" s="18">
        <f>1</f>
        <v>1</v>
      </c>
      <c r="I219" s="19">
        <f t="shared" si="103"/>
        <v>5.4997441775328912</v>
      </c>
      <c r="J219" s="19">
        <f t="shared" si="104"/>
        <v>13.658289278472161</v>
      </c>
      <c r="K219" s="18">
        <f t="shared" si="105"/>
        <v>-1</v>
      </c>
      <c r="L219" s="17"/>
      <c r="M219" s="17"/>
      <c r="N219" s="18">
        <f t="shared" si="113"/>
        <v>-100</v>
      </c>
      <c r="O219" s="18">
        <f t="shared" si="113"/>
        <v>-100</v>
      </c>
      <c r="P219" s="18">
        <f t="shared" si="114"/>
        <v>5.4997441775328912</v>
      </c>
      <c r="Q219" s="18">
        <f t="shared" si="114"/>
        <v>13.658289278472161</v>
      </c>
      <c r="S219" s="10">
        <f t="shared" si="115"/>
        <v>-112.23518636528402</v>
      </c>
      <c r="T219" s="10">
        <f t="shared" si="116"/>
        <v>-1</v>
      </c>
      <c r="U219" s="10">
        <f t="shared" si="117"/>
        <v>0</v>
      </c>
      <c r="V219" s="10">
        <f t="shared" si="118"/>
        <v>0</v>
      </c>
      <c r="X219" s="10">
        <f>SUM(V200:V219)</f>
        <v>9</v>
      </c>
      <c r="Y219" s="10">
        <f t="shared" si="106"/>
        <v>0</v>
      </c>
      <c r="Z219" s="10">
        <f t="shared" si="107"/>
        <v>0</v>
      </c>
      <c r="AA219" s="10">
        <f t="shared" si="108"/>
        <v>0</v>
      </c>
      <c r="AB219" s="10">
        <f t="shared" si="109"/>
        <v>9.9999999999999978E-2</v>
      </c>
      <c r="AC219" s="10">
        <f t="shared" si="110"/>
        <v>-7.664299879039655</v>
      </c>
      <c r="AD219" s="10">
        <f t="shared" si="111"/>
        <v>-5.1385276955065695</v>
      </c>
      <c r="AE219" s="10">
        <f t="shared" si="119"/>
        <v>-1</v>
      </c>
      <c r="AF219" s="10">
        <f t="shared" si="120"/>
        <v>0</v>
      </c>
      <c r="AI219" s="10">
        <f t="shared" si="121"/>
        <v>-1</v>
      </c>
      <c r="AJ219" s="10">
        <f t="shared" si="122"/>
        <v>1</v>
      </c>
      <c r="AK219" s="10">
        <f t="shared" si="123"/>
        <v>1</v>
      </c>
      <c r="BJ219" s="11"/>
      <c r="BK219" s="29"/>
      <c r="BL219" s="29"/>
      <c r="BM219" s="11"/>
    </row>
    <row r="220" spans="2:65" x14ac:dyDescent="0.25"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S220" s="12"/>
      <c r="T220" s="12"/>
      <c r="U220" s="12"/>
      <c r="V220" s="12"/>
      <c r="W220" s="12"/>
      <c r="X220" s="12"/>
      <c r="AI220" s="10">
        <f t="shared" si="121"/>
        <v>-1</v>
      </c>
      <c r="AJ220" s="10">
        <f t="shared" si="122"/>
        <v>0</v>
      </c>
      <c r="AK220" s="10">
        <f t="shared" si="123"/>
        <v>0</v>
      </c>
    </row>
    <row r="221" spans="2:65" x14ac:dyDescent="0.25">
      <c r="AI221" s="10">
        <f t="shared" si="121"/>
        <v>-1</v>
      </c>
      <c r="AJ221" s="10">
        <f t="shared" si="122"/>
        <v>0</v>
      </c>
      <c r="AK221" s="10">
        <f t="shared" si="123"/>
        <v>0</v>
      </c>
    </row>
    <row r="222" spans="2:65" x14ac:dyDescent="0.25">
      <c r="AI222" s="10">
        <f t="shared" si="121"/>
        <v>-1</v>
      </c>
      <c r="AJ222" s="10">
        <f t="shared" si="122"/>
        <v>0</v>
      </c>
      <c r="AK222" s="10">
        <f t="shared" si="123"/>
        <v>0</v>
      </c>
    </row>
  </sheetData>
  <mergeCells count="26">
    <mergeCell ref="AV31:AZ31"/>
    <mergeCell ref="BD17:BG17"/>
    <mergeCell ref="BJ17:BM17"/>
    <mergeCell ref="BP17:BS17"/>
    <mergeCell ref="C18:E18"/>
    <mergeCell ref="N18:O18"/>
    <mergeCell ref="P18:Q18"/>
    <mergeCell ref="BE18:BG18"/>
    <mergeCell ref="B17:E17"/>
    <mergeCell ref="H17:K17"/>
    <mergeCell ref="N17:Q17"/>
    <mergeCell ref="T17:AD17"/>
    <mergeCell ref="AQ17:AT17"/>
    <mergeCell ref="AW17:AZ17"/>
    <mergeCell ref="AJ15:AL15"/>
    <mergeCell ref="B4:E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55734-63DB-40B4-963B-12001FBF05E4}">
  <dimension ref="A4:BY222"/>
  <sheetViews>
    <sheetView zoomScale="85" zoomScaleNormal="85" workbookViewId="0">
      <selection activeCell="J20" sqref="J20"/>
    </sheetView>
  </sheetViews>
  <sheetFormatPr defaultRowHeight="15" x14ac:dyDescent="0.25"/>
  <cols>
    <col min="1" max="2" width="9.140625" style="10"/>
    <col min="3" max="3" width="9.5703125" style="10" bestFit="1" customWidth="1"/>
    <col min="4" max="16384" width="9.140625" style="10"/>
  </cols>
  <sheetData>
    <row r="4" spans="1:38" x14ac:dyDescent="0.25">
      <c r="A4" s="13">
        <v>1</v>
      </c>
      <c r="B4" s="36" t="s">
        <v>10</v>
      </c>
      <c r="C4" s="36"/>
      <c r="D4" s="36"/>
      <c r="E4" s="36"/>
    </row>
    <row r="5" spans="1:38" x14ac:dyDescent="0.25">
      <c r="A5" s="37" t="s">
        <v>0</v>
      </c>
      <c r="B5" s="37"/>
      <c r="C5" s="32">
        <v>6.2074648274178301</v>
      </c>
      <c r="D5" s="30"/>
      <c r="E5" s="30"/>
    </row>
    <row r="6" spans="1:38" x14ac:dyDescent="0.25">
      <c r="A6" s="37" t="s">
        <v>1</v>
      </c>
      <c r="B6" s="37"/>
      <c r="C6" s="32">
        <v>4.9993896298104996</v>
      </c>
      <c r="D6" s="30"/>
    </row>
    <row r="7" spans="1:38" x14ac:dyDescent="0.25">
      <c r="A7" s="37" t="s">
        <v>2</v>
      </c>
      <c r="B7" s="37"/>
      <c r="C7" s="32">
        <v>1.4416638691366299</v>
      </c>
      <c r="D7" s="30"/>
    </row>
    <row r="8" spans="1:38" x14ac:dyDescent="0.25">
      <c r="A8" s="37" t="s">
        <v>3</v>
      </c>
      <c r="B8" s="37"/>
      <c r="C8" s="32">
        <v>6.2074648274178301</v>
      </c>
      <c r="D8" s="30"/>
      <c r="F8" s="43" t="s">
        <v>80</v>
      </c>
      <c r="G8" s="43"/>
      <c r="H8" s="43"/>
      <c r="I8" s="43"/>
    </row>
    <row r="9" spans="1:38" x14ac:dyDescent="0.25">
      <c r="A9" s="37" t="s">
        <v>4</v>
      </c>
      <c r="B9" s="37"/>
      <c r="C9" s="32">
        <v>4.9993896298104996</v>
      </c>
      <c r="D9" s="30"/>
      <c r="G9" s="10" t="s">
        <v>23</v>
      </c>
      <c r="H9" s="10" t="s">
        <v>24</v>
      </c>
      <c r="I9" s="10" t="s">
        <v>25</v>
      </c>
    </row>
    <row r="10" spans="1:38" x14ac:dyDescent="0.25">
      <c r="A10" s="37" t="s">
        <v>5</v>
      </c>
      <c r="B10" s="37"/>
      <c r="C10" s="32">
        <v>1.4416638691366299</v>
      </c>
      <c r="D10" s="30"/>
      <c r="G10" s="10">
        <v>0</v>
      </c>
      <c r="H10" s="10">
        <v>-1</v>
      </c>
      <c r="I10" s="10">
        <v>1</v>
      </c>
    </row>
    <row r="11" spans="1:38" x14ac:dyDescent="0.25">
      <c r="A11" s="37" t="s">
        <v>6</v>
      </c>
      <c r="B11" s="37"/>
      <c r="C11" s="32">
        <v>0.50297555467390997</v>
      </c>
      <c r="D11" s="30"/>
    </row>
    <row r="12" spans="1:38" x14ac:dyDescent="0.25">
      <c r="A12" s="37" t="s">
        <v>7</v>
      </c>
      <c r="B12" s="37"/>
      <c r="C12" s="32">
        <v>0.70082399975499998</v>
      </c>
      <c r="D12" s="30"/>
    </row>
    <row r="13" spans="1:38" x14ac:dyDescent="0.25">
      <c r="A13" s="44" t="s">
        <v>8</v>
      </c>
      <c r="B13" s="44"/>
      <c r="C13" s="35">
        <v>9.4762718588824093</v>
      </c>
      <c r="D13" s="33"/>
    </row>
    <row r="14" spans="1:38" x14ac:dyDescent="0.25">
      <c r="A14" s="44" t="s">
        <v>9</v>
      </c>
      <c r="B14" s="44"/>
      <c r="C14" s="35">
        <v>20.149357585375501</v>
      </c>
      <c r="D14" s="33"/>
    </row>
    <row r="15" spans="1:38" x14ac:dyDescent="0.25">
      <c r="A15" s="34"/>
      <c r="B15" s="34"/>
      <c r="C15" s="34"/>
      <c r="D15" s="34"/>
      <c r="AI15" s="13">
        <v>8</v>
      </c>
      <c r="AJ15" s="36" t="s">
        <v>47</v>
      </c>
      <c r="AK15" s="36"/>
      <c r="AL15" s="36"/>
    </row>
    <row r="16" spans="1:38" x14ac:dyDescent="0.25">
      <c r="AE16" s="13">
        <v>6</v>
      </c>
      <c r="AF16" s="12" t="s">
        <v>43</v>
      </c>
      <c r="AK16" s="10" t="s">
        <v>48</v>
      </c>
      <c r="AL16" s="10">
        <f>SUMXMY2(K20:K219,AI23:AI222)</f>
        <v>0</v>
      </c>
    </row>
    <row r="17" spans="1:77" x14ac:dyDescent="0.25">
      <c r="A17" s="13">
        <v>2</v>
      </c>
      <c r="B17" s="36" t="s">
        <v>11</v>
      </c>
      <c r="C17" s="36"/>
      <c r="D17" s="36"/>
      <c r="E17" s="36"/>
      <c r="G17" s="13">
        <v>3</v>
      </c>
      <c r="H17" s="36" t="s">
        <v>12</v>
      </c>
      <c r="I17" s="36"/>
      <c r="J17" s="36"/>
      <c r="K17" s="36"/>
      <c r="M17" s="13">
        <v>4</v>
      </c>
      <c r="N17" s="36" t="s">
        <v>13</v>
      </c>
      <c r="O17" s="36"/>
      <c r="P17" s="36"/>
      <c r="Q17" s="36"/>
      <c r="S17" s="13">
        <v>5</v>
      </c>
      <c r="T17" s="36" t="s">
        <v>14</v>
      </c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10" t="s">
        <v>44</v>
      </c>
      <c r="AF17" s="10">
        <f>SUM(AF20:AF219)</f>
        <v>0</v>
      </c>
      <c r="AI17" s="10">
        <v>-8.2483263912567668E-3</v>
      </c>
      <c r="AJ17" s="10">
        <v>-0.59282227851760438</v>
      </c>
      <c r="AK17" s="10">
        <v>0.59356405732010209</v>
      </c>
      <c r="AP17" s="13">
        <v>7</v>
      </c>
      <c r="AQ17" s="36" t="s">
        <v>14</v>
      </c>
      <c r="AR17" s="36"/>
      <c r="AS17" s="36"/>
      <c r="AT17" s="36"/>
      <c r="AV17" s="13">
        <v>9</v>
      </c>
      <c r="AW17" s="36" t="s">
        <v>52</v>
      </c>
      <c r="AX17" s="36"/>
      <c r="AY17" s="36"/>
      <c r="AZ17" s="36"/>
      <c r="BC17" s="13">
        <v>10</v>
      </c>
      <c r="BD17" s="36" t="s">
        <v>11</v>
      </c>
      <c r="BE17" s="36"/>
      <c r="BF17" s="36"/>
      <c r="BG17" s="36"/>
      <c r="BI17" s="13">
        <v>11</v>
      </c>
      <c r="BJ17" s="36" t="s">
        <v>54</v>
      </c>
      <c r="BK17" s="36"/>
      <c r="BL17" s="36"/>
      <c r="BM17" s="36"/>
      <c r="BO17" s="13">
        <v>12</v>
      </c>
      <c r="BP17" s="36" t="s">
        <v>55</v>
      </c>
      <c r="BQ17" s="36"/>
      <c r="BR17" s="36"/>
      <c r="BS17" s="36"/>
      <c r="BU17" s="13">
        <v>13</v>
      </c>
      <c r="BV17" s="36" t="s">
        <v>81</v>
      </c>
      <c r="BW17" s="36"/>
      <c r="BX17" s="36"/>
      <c r="BY17" s="36"/>
    </row>
    <row r="18" spans="1:77" x14ac:dyDescent="0.25">
      <c r="B18" s="10" t="s">
        <v>15</v>
      </c>
      <c r="C18" s="38" t="s">
        <v>16</v>
      </c>
      <c r="D18" s="38"/>
      <c r="E18" s="38"/>
      <c r="K18" s="10" t="s">
        <v>17</v>
      </c>
      <c r="N18" s="38" t="s">
        <v>18</v>
      </c>
      <c r="O18" s="38"/>
      <c r="P18" s="38" t="s">
        <v>19</v>
      </c>
      <c r="Q18" s="38"/>
      <c r="T18" s="10" t="s">
        <v>20</v>
      </c>
      <c r="U18" s="10" t="s">
        <v>21</v>
      </c>
      <c r="X18" s="10" t="s">
        <v>22</v>
      </c>
      <c r="AB18" s="15" t="s">
        <v>23</v>
      </c>
      <c r="AC18" s="15" t="s">
        <v>24</v>
      </c>
      <c r="AD18" s="15" t="s">
        <v>25</v>
      </c>
      <c r="AE18" s="10" t="s">
        <v>20</v>
      </c>
      <c r="AI18" s="10" t="s">
        <v>23</v>
      </c>
      <c r="AJ18" s="10" t="s">
        <v>24</v>
      </c>
      <c r="AK18" s="10" t="s">
        <v>25</v>
      </c>
      <c r="AP18" s="16" t="s">
        <v>69</v>
      </c>
      <c r="AQ18" s="16" t="s">
        <v>70</v>
      </c>
      <c r="AR18" s="16" t="s">
        <v>23</v>
      </c>
      <c r="AS18" s="16" t="s">
        <v>24</v>
      </c>
      <c r="AT18" s="16" t="s">
        <v>25</v>
      </c>
      <c r="AV18" s="31" t="s">
        <v>69</v>
      </c>
      <c r="AW18" s="31" t="s">
        <v>30</v>
      </c>
      <c r="AX18" s="31" t="s">
        <v>31</v>
      </c>
      <c r="AY18" s="31" t="s">
        <v>30</v>
      </c>
      <c r="AZ18" s="31" t="s">
        <v>31</v>
      </c>
      <c r="BD18" s="10" t="s">
        <v>15</v>
      </c>
      <c r="BE18" s="38" t="s">
        <v>16</v>
      </c>
      <c r="BF18" s="38"/>
      <c r="BG18" s="38"/>
      <c r="BM18" s="10" t="s">
        <v>17</v>
      </c>
      <c r="BQ18" s="10" t="s">
        <v>44</v>
      </c>
      <c r="BR18" s="10">
        <f>SUM(BR20:BR79)</f>
        <v>30</v>
      </c>
      <c r="BV18" s="38" t="s">
        <v>18</v>
      </c>
      <c r="BW18" s="38"/>
      <c r="BX18" s="38" t="s">
        <v>19</v>
      </c>
      <c r="BY18" s="38"/>
    </row>
    <row r="19" spans="1:77" x14ac:dyDescent="0.25">
      <c r="B19" s="10">
        <v>0</v>
      </c>
      <c r="C19" s="18" t="s">
        <v>26</v>
      </c>
      <c r="D19" s="18" t="s">
        <v>27</v>
      </c>
      <c r="E19" s="18" t="s">
        <v>28</v>
      </c>
      <c r="F19" s="17"/>
      <c r="G19" s="17"/>
      <c r="H19" s="18" t="s">
        <v>29</v>
      </c>
      <c r="I19" s="18" t="s">
        <v>30</v>
      </c>
      <c r="J19" s="18" t="s">
        <v>31</v>
      </c>
      <c r="K19" s="18" t="s">
        <v>32</v>
      </c>
      <c r="L19" s="17"/>
      <c r="M19" s="17"/>
      <c r="N19" s="18" t="s">
        <v>30</v>
      </c>
      <c r="O19" s="18" t="s">
        <v>31</v>
      </c>
      <c r="P19" s="18" t="s">
        <v>30</v>
      </c>
      <c r="Q19" s="18" t="s">
        <v>31</v>
      </c>
      <c r="S19" s="16" t="s">
        <v>33</v>
      </c>
      <c r="T19" s="16" t="s">
        <v>34</v>
      </c>
      <c r="U19" s="16" t="s">
        <v>35</v>
      </c>
      <c r="V19" s="16" t="s">
        <v>36</v>
      </c>
      <c r="Y19" s="16" t="s">
        <v>37</v>
      </c>
      <c r="Z19" s="16" t="s">
        <v>38</v>
      </c>
      <c r="AA19" s="4" t="s">
        <v>39</v>
      </c>
      <c r="AB19" s="15">
        <v>0.1</v>
      </c>
      <c r="AC19" s="15">
        <v>0.1</v>
      </c>
      <c r="AD19" s="15">
        <v>0.1</v>
      </c>
      <c r="AE19" s="10" t="s">
        <v>45</v>
      </c>
      <c r="AF19" s="10" t="s">
        <v>46</v>
      </c>
      <c r="AP19" s="16">
        <v>0</v>
      </c>
      <c r="AQ19" s="16"/>
      <c r="AR19" s="16">
        <f>AB19</f>
        <v>0.1</v>
      </c>
      <c r="AS19" s="16">
        <f>AC19</f>
        <v>0.1</v>
      </c>
      <c r="AT19" s="16">
        <f>AD19</f>
        <v>0.1</v>
      </c>
      <c r="AV19" s="16">
        <v>0</v>
      </c>
      <c r="AW19" s="10">
        <v>-5</v>
      </c>
      <c r="AX19" s="10">
        <f>-AR19/AT19-AS19/AT19*AW19</f>
        <v>4</v>
      </c>
      <c r="AY19" s="10">
        <v>15</v>
      </c>
      <c r="AZ19" s="10">
        <f>-AR19/AT19-AS19/AT19*AY19</f>
        <v>-16</v>
      </c>
      <c r="BD19" s="10">
        <v>0</v>
      </c>
      <c r="BE19" s="16" t="s">
        <v>26</v>
      </c>
      <c r="BF19" s="16" t="s">
        <v>27</v>
      </c>
      <c r="BG19" s="16" t="s">
        <v>28</v>
      </c>
      <c r="BJ19" s="16" t="s">
        <v>29</v>
      </c>
      <c r="BK19" s="16" t="s">
        <v>30</v>
      </c>
      <c r="BL19" s="16" t="s">
        <v>31</v>
      </c>
      <c r="BM19" s="16" t="s">
        <v>32</v>
      </c>
      <c r="BO19" s="16" t="s">
        <v>33</v>
      </c>
      <c r="BP19" s="16" t="s">
        <v>34</v>
      </c>
      <c r="BQ19" s="16" t="s">
        <v>35</v>
      </c>
      <c r="BR19" s="16" t="s">
        <v>36</v>
      </c>
      <c r="BV19" s="16" t="s">
        <v>30</v>
      </c>
      <c r="BW19" s="16" t="s">
        <v>31</v>
      </c>
      <c r="BX19" s="16" t="s">
        <v>30</v>
      </c>
      <c r="BY19" s="16" t="s">
        <v>31</v>
      </c>
    </row>
    <row r="20" spans="1:77" x14ac:dyDescent="0.25">
      <c r="B20" s="10">
        <f>B19+1</f>
        <v>1</v>
      </c>
      <c r="C20">
        <v>-1.0140547601622529</v>
      </c>
      <c r="D20">
        <v>-0.43394720705691725</v>
      </c>
      <c r="E20">
        <v>0.53535569322794274</v>
      </c>
      <c r="H20" s="18">
        <f>1</f>
        <v>1</v>
      </c>
      <c r="I20" s="19">
        <f>C20*$C$7 +$C$5</f>
        <v>4.745538718365899</v>
      </c>
      <c r="J20" s="19">
        <f>D20*$C$10 +$C$9</f>
        <v>4.3737836202837901</v>
      </c>
      <c r="K20" s="18">
        <f>IF(SUMPRODUCT(H20:J20,$G$10:$I$10)&gt;=0,1,-1)</f>
        <v>-1</v>
      </c>
      <c r="L20" s="17"/>
      <c r="M20" s="17"/>
      <c r="N20" s="18">
        <f>IF($K20=1,I20,-100)</f>
        <v>-100</v>
      </c>
      <c r="O20" s="18">
        <f>IF($K20=1,J20,-100)</f>
        <v>-100</v>
      </c>
      <c r="P20" s="18">
        <f>IF($K20=-1,I20,-100)</f>
        <v>4.745538718365899</v>
      </c>
      <c r="Q20" s="18">
        <f>IF($K20=-1,J20,-100)</f>
        <v>4.3737836202837901</v>
      </c>
      <c r="S20" s="12">
        <f>SUMPRODUCT(H20:J20,AB19:AD19)</f>
        <v>1.011932233864969</v>
      </c>
      <c r="T20" s="12">
        <f>IF(S20&gt;=0,1,-1)</f>
        <v>1</v>
      </c>
      <c r="U20" s="12">
        <f>(K20-T20)/2</f>
        <v>-1</v>
      </c>
      <c r="V20" s="12">
        <f>IF(U20&lt;&gt;0,1,0)</f>
        <v>1</v>
      </c>
      <c r="W20" s="12"/>
      <c r="X20" s="12"/>
      <c r="Y20" s="10">
        <f>IF(U20=0,0,$C$12*(U20)*H20)</f>
        <v>-0.70082399975499998</v>
      </c>
      <c r="Z20" s="10">
        <f>IF(U20=0,0,$C$12*(U20)*I20)</f>
        <v>-3.3257874255974058</v>
      </c>
      <c r="AA20" s="10">
        <f>IF(U20=0,0,$C$12*(U20)*J20)</f>
        <v>-3.0652525308301897</v>
      </c>
      <c r="AB20" s="10">
        <f>IF(U20=0,AB19,AB19+$C$12*(U20)*H20)</f>
        <v>-0.600823999755</v>
      </c>
      <c r="AC20" s="10">
        <f>IF(U20=0,AC19,AC19+$C$12*(U20)*I20)</f>
        <v>-3.2257874255974057</v>
      </c>
      <c r="AD20" s="10">
        <f>IF(U20=0,AD19,AD19+$C$12*(U20)*J20)</f>
        <v>-2.9652525308301896</v>
      </c>
      <c r="AE20" s="10">
        <f>IF(SUMPRODUCT(H20:J20,$AR$29:$AT$29)&gt;=0,1,-1)</f>
        <v>-1</v>
      </c>
      <c r="AF20" s="10">
        <f>IF(K20=AE20,0,1)</f>
        <v>0</v>
      </c>
      <c r="AP20" s="16">
        <v>1</v>
      </c>
      <c r="AQ20" s="16">
        <f>X39</f>
        <v>10</v>
      </c>
      <c r="AR20" s="16">
        <f>AB39</f>
        <v>9.9999999999999978E-2</v>
      </c>
      <c r="AS20" s="16">
        <f>AC38</f>
        <v>-3.1831691254899468</v>
      </c>
      <c r="AT20" s="16">
        <f>AD39</f>
        <v>5.0559076214459573</v>
      </c>
      <c r="AV20" s="16">
        <v>1</v>
      </c>
      <c r="AW20" s="10">
        <v>-5</v>
      </c>
      <c r="AX20" s="10">
        <f t="shared" ref="AX20:AX29" si="0">-AR20/AT20-AS20/AT20*AW20</f>
        <v>-3.1677488646181602</v>
      </c>
      <c r="AY20" s="10">
        <v>15</v>
      </c>
      <c r="AZ20" s="10">
        <f t="shared" ref="AZ20:AZ29" si="1">-AR20/AT20-AS20/AT20*AY20</f>
        <v>9.4241312242810142</v>
      </c>
      <c r="BD20" s="10">
        <f>BD19+1</f>
        <v>1</v>
      </c>
      <c r="BE20">
        <v>1.3797352949040942</v>
      </c>
      <c r="BF20">
        <v>-0.82574615589692257</v>
      </c>
      <c r="BG20">
        <v>0.90890224921414842</v>
      </c>
      <c r="BJ20" s="16">
        <f>1</f>
        <v>1</v>
      </c>
      <c r="BK20" s="14">
        <f>IF(BM20=1, BE20*$C$7+$C$5,BE20*$C$10+$C$8)</f>
        <v>8.1965793510536358</v>
      </c>
      <c r="BL20" s="14">
        <f>IF(BM20=1,BF20*$C$7+$C$6,BF20*$C$10+$C$9)</f>
        <v>3.8089412317754432</v>
      </c>
      <c r="BM20" s="16">
        <f>IF(BG20&lt;$C$11,1,-1)</f>
        <v>-1</v>
      </c>
      <c r="BO20" s="10">
        <f>SUMPRODUCT(BJ20:BL20,$AR$29:$AT$29)</f>
        <v>-80.309628597882778</v>
      </c>
      <c r="BP20" s="10">
        <f>IF(BO20&gt;=0,1,-1)</f>
        <v>-1</v>
      </c>
      <c r="BQ20" s="10">
        <f>(BP20-BM20)/2</f>
        <v>0</v>
      </c>
      <c r="BR20" s="10">
        <f>IF(BQ20&lt;&gt;0,1,0)</f>
        <v>0</v>
      </c>
      <c r="BV20" s="16">
        <f>IF(BM20=1,BK20,-100)</f>
        <v>-100</v>
      </c>
      <c r="BW20" s="16">
        <f>IF(BM20=1,BL20,-100)</f>
        <v>-100</v>
      </c>
      <c r="BX20" s="16">
        <f>IF(BM20=-1,BK20,-100)</f>
        <v>8.1965793510536358</v>
      </c>
      <c r="BY20" s="16">
        <f>IF(BM20=-1,BL20,-100)</f>
        <v>3.8089412317754432</v>
      </c>
    </row>
    <row r="21" spans="1:77" x14ac:dyDescent="0.25">
      <c r="B21" s="10">
        <f t="shared" ref="B21:B84" si="2">B20+1</f>
        <v>2</v>
      </c>
      <c r="C21">
        <v>2.5775807444006205</v>
      </c>
      <c r="D21">
        <v>-0.90230741989216767</v>
      </c>
      <c r="E21">
        <v>0.31098361156041138</v>
      </c>
      <c r="H21" s="18">
        <f>1</f>
        <v>1</v>
      </c>
      <c r="I21" s="19">
        <f t="shared" ref="I21:I84" si="3">C21*$C$7 +$C$5</f>
        <v>9.9234698564025035</v>
      </c>
      <c r="J21" s="19">
        <f t="shared" ref="J21:J84" si="4">D21*$C$10 +$C$9</f>
        <v>3.6985656236980677</v>
      </c>
      <c r="K21" s="18">
        <f t="shared" ref="K21:K84" si="5">IF(SUMPRODUCT(H21:J21,$G$10:$I$10)&gt;=0,1,-1)</f>
        <v>-1</v>
      </c>
      <c r="L21" s="17"/>
      <c r="M21" s="17"/>
      <c r="N21" s="18">
        <f t="shared" ref="N21:O84" si="6">IF($K21=1,I21,-100)</f>
        <v>-100</v>
      </c>
      <c r="O21" s="18">
        <f t="shared" si="6"/>
        <v>-100</v>
      </c>
      <c r="P21" s="18">
        <f>IF($K21=-1,I21,-100)</f>
        <v>9.9234698564025035</v>
      </c>
      <c r="Q21" s="18">
        <f t="shared" ref="P21:Q84" si="7">IF($K21=-1,J21,-100)</f>
        <v>3.6985656236980677</v>
      </c>
      <c r="S21" s="10">
        <f t="shared" ref="S21:S84" si="8">SUMPRODUCT(H21:J21,AB20:AD20)</f>
        <v>-43.579009356945321</v>
      </c>
      <c r="T21" s="10">
        <f t="shared" ref="T21:T84" si="9">IF(S21&gt;=0,1,-1)</f>
        <v>-1</v>
      </c>
      <c r="U21" s="10">
        <f t="shared" ref="U21:U84" si="10">(K21-T21)/2</f>
        <v>0</v>
      </c>
      <c r="V21" s="10">
        <f t="shared" ref="V21:V84" si="11">IF(U21&lt;&gt;0,1,0)</f>
        <v>0</v>
      </c>
      <c r="Y21" s="10">
        <f>IF(U21=0,0,$C$12*(U21)*H21)</f>
        <v>0</v>
      </c>
      <c r="Z21" s="10">
        <f t="shared" ref="Z21:Z84" si="12">IF(U21=0,0,$C$12*(U21)*I21)</f>
        <v>0</v>
      </c>
      <c r="AA21" s="10">
        <f t="shared" ref="AA21:AA84" si="13">IF(U21=0,0,$C$12*(U21)*J21)</f>
        <v>0</v>
      </c>
      <c r="AB21" s="10">
        <f t="shared" ref="AB21:AB84" si="14">IF(U21=0,AB20,AB20+$C$12*(U21)*H21)</f>
        <v>-0.600823999755</v>
      </c>
      <c r="AC21" s="10">
        <f t="shared" ref="AC21:AC84" si="15">IF(U21=0,AC20,AC20+$C$12*(U21)*I21)</f>
        <v>-3.2257874255974057</v>
      </c>
      <c r="AD21" s="10">
        <f t="shared" ref="AD21:AD84" si="16">IF(U21=0,AD20,AD20+$C$12*(U21)*J21)</f>
        <v>-2.9652525308301896</v>
      </c>
      <c r="AE21" s="10">
        <f t="shared" ref="AE21:AE84" si="17">IF(SUMPRODUCT(H21:J21,$AR$29:$AT$29)&gt;=0,1,-1)</f>
        <v>-1</v>
      </c>
      <c r="AF21" s="10">
        <f t="shared" ref="AF21:AF84" si="18">IF(K21=AE21,0,1)</f>
        <v>0</v>
      </c>
      <c r="AJ21" s="10" t="s">
        <v>44</v>
      </c>
      <c r="AK21" s="10">
        <f>SUM(AK23:AK222)</f>
        <v>0</v>
      </c>
      <c r="AP21" s="16">
        <v>2</v>
      </c>
      <c r="AQ21" s="16">
        <f>X59</f>
        <v>3</v>
      </c>
      <c r="AR21" s="16">
        <f>AB59</f>
        <v>-0.600823999755</v>
      </c>
      <c r="AS21" s="16">
        <f>AC58</f>
        <v>-9.21688433769312</v>
      </c>
      <c r="AT21" s="16">
        <f>AD59</f>
        <v>0.16058076073903482</v>
      </c>
      <c r="AV21" s="16">
        <v>2</v>
      </c>
      <c r="AW21" s="10">
        <v>-5</v>
      </c>
      <c r="AX21" s="10">
        <f t="shared" si="0"/>
        <v>-283.24437796522534</v>
      </c>
      <c r="AY21" s="10">
        <v>15</v>
      </c>
      <c r="AZ21" s="10">
        <f t="shared" si="1"/>
        <v>864.69940997980586</v>
      </c>
      <c r="BD21" s="10">
        <f t="shared" ref="BD21:BD79" si="19">BD20+1</f>
        <v>2</v>
      </c>
      <c r="BE21">
        <v>-6.5404037741245702E-3</v>
      </c>
      <c r="BF21">
        <v>0.16743115338613279</v>
      </c>
      <c r="BG21">
        <v>0.90881069368572043</v>
      </c>
      <c r="BJ21" s="16">
        <f>1</f>
        <v>1</v>
      </c>
      <c r="BK21" s="14">
        <f t="shared" ref="BK21:BK79" si="20">IF(BM21=1, BE21*$C$7+$C$5,BE21*$C$10+$C$8)</f>
        <v>6.1980357636071099</v>
      </c>
      <c r="BL21" s="14">
        <f t="shared" ref="BL21:BL79" si="21">IF(BM21=1,BF21*$C$7+$C$6,BF21*$C$10+$C$9)</f>
        <v>5.2407690742151605</v>
      </c>
      <c r="BM21" s="16">
        <f t="shared" ref="BM21:BM79" si="22">IF(BG21&lt;$C$11,1,-1)</f>
        <v>-1</v>
      </c>
      <c r="BO21" s="10">
        <f t="shared" ref="BO21:BO79" si="23">SUMPRODUCT(BJ21:BL21,$AR$29:$AT$29)</f>
        <v>-17.172075396895465</v>
      </c>
      <c r="BP21" s="10">
        <f t="shared" ref="BP21:BP79" si="24">IF(BO21&gt;=0,1,-1)</f>
        <v>-1</v>
      </c>
      <c r="BQ21" s="10">
        <f t="shared" ref="BQ21:BQ79" si="25">(BP21-BM21)/2</f>
        <v>0</v>
      </c>
      <c r="BR21" s="10">
        <f t="shared" ref="BR21:BR79" si="26">IF(BQ21&lt;&gt;0,1,0)</f>
        <v>0</v>
      </c>
      <c r="BV21" s="16">
        <f t="shared" ref="BV21:BV79" si="27">IF(BM21=1,BK21,-100)</f>
        <v>-100</v>
      </c>
      <c r="BW21" s="16">
        <f t="shared" ref="BW21:BW79" si="28">IF(BM21=1,BL21,-100)</f>
        <v>-100</v>
      </c>
      <c r="BX21" s="16">
        <f t="shared" ref="BX21:BX79" si="29">IF(BM21=-1,BK21,-100)</f>
        <v>6.1980357636071099</v>
      </c>
      <c r="BY21" s="16">
        <f t="shared" ref="BY21:BY79" si="30">IF(BM21=-1,BL21,-100)</f>
        <v>5.2407690742151605</v>
      </c>
    </row>
    <row r="22" spans="1:77" x14ac:dyDescent="0.25">
      <c r="B22" s="10">
        <f t="shared" si="2"/>
        <v>3</v>
      </c>
      <c r="C22">
        <v>-0.4807475306733977</v>
      </c>
      <c r="D22">
        <v>0.36876599551760592</v>
      </c>
      <c r="E22">
        <v>0.24988555558946501</v>
      </c>
      <c r="H22" s="18">
        <f>1</f>
        <v>1</v>
      </c>
      <c r="I22" s="19">
        <f t="shared" si="3"/>
        <v>5.5143884822693385</v>
      </c>
      <c r="J22" s="19">
        <f t="shared" si="4"/>
        <v>5.5310262417144322</v>
      </c>
      <c r="K22" s="18">
        <f t="shared" si="5"/>
        <v>1</v>
      </c>
      <c r="L22" s="17"/>
      <c r="M22" s="17"/>
      <c r="N22" s="18">
        <f t="shared" si="6"/>
        <v>5.5143884822693385</v>
      </c>
      <c r="O22" s="18">
        <f t="shared" si="6"/>
        <v>5.5310262417144322</v>
      </c>
      <c r="P22" s="18">
        <f t="shared" si="7"/>
        <v>-100</v>
      </c>
      <c r="Q22" s="18">
        <f t="shared" si="7"/>
        <v>-100</v>
      </c>
      <c r="S22" s="10">
        <f t="shared" si="8"/>
        <v>-34.789958587050506</v>
      </c>
      <c r="T22" s="10">
        <f t="shared" si="9"/>
        <v>-1</v>
      </c>
      <c r="U22" s="10">
        <f t="shared" si="10"/>
        <v>1</v>
      </c>
      <c r="V22" s="10">
        <f t="shared" si="11"/>
        <v>1</v>
      </c>
      <c r="Y22" s="10">
        <f t="shared" ref="Y22:Y85" si="31">IF(U22=0,0,$C$12*(U22)*H22)</f>
        <v>0.70082399975499998</v>
      </c>
      <c r="Z22" s="10">
        <f t="shared" si="12"/>
        <v>3.8646157923469016</v>
      </c>
      <c r="AA22" s="10">
        <f t="shared" si="13"/>
        <v>3.8762759334681736</v>
      </c>
      <c r="AB22" s="10">
        <f t="shared" si="14"/>
        <v>9.9999999999999978E-2</v>
      </c>
      <c r="AC22" s="10">
        <f t="shared" si="15"/>
        <v>0.63882836674949584</v>
      </c>
      <c r="AD22" s="10">
        <f t="shared" si="16"/>
        <v>0.91102340263798398</v>
      </c>
      <c r="AE22" s="10">
        <f t="shared" si="17"/>
        <v>1</v>
      </c>
      <c r="AF22" s="10">
        <f t="shared" si="18"/>
        <v>0</v>
      </c>
      <c r="AI22" s="10" t="s">
        <v>49</v>
      </c>
      <c r="AJ22" s="10" t="s">
        <v>43</v>
      </c>
      <c r="AK22" s="10" t="s">
        <v>36</v>
      </c>
      <c r="AP22" s="16">
        <v>3</v>
      </c>
      <c r="AQ22" s="16">
        <f>X79</f>
        <v>3</v>
      </c>
      <c r="AR22" s="16">
        <f>AB79</f>
        <v>9.9999999999999978E-2</v>
      </c>
      <c r="AS22" s="16">
        <f>AC79</f>
        <v>-7.7128734813118687</v>
      </c>
      <c r="AT22" s="16">
        <f>AD79</f>
        <v>6.7169483883644086</v>
      </c>
      <c r="AV22" s="16">
        <v>3</v>
      </c>
      <c r="AW22" s="10">
        <v>-5</v>
      </c>
      <c r="AX22" s="10">
        <f t="shared" si="0"/>
        <v>-5.7562400618615142</v>
      </c>
      <c r="AY22" s="10">
        <v>15</v>
      </c>
      <c r="AZ22" s="10">
        <f t="shared" si="1"/>
        <v>17.209169333490323</v>
      </c>
      <c r="BD22" s="10">
        <f t="shared" si="19"/>
        <v>3</v>
      </c>
      <c r="BE22">
        <v>0.67946757553727366</v>
      </c>
      <c r="BF22">
        <v>0.8838424037094228</v>
      </c>
      <c r="BG22">
        <v>0.43610950041199986</v>
      </c>
      <c r="BJ22" s="16">
        <f>1</f>
        <v>1</v>
      </c>
      <c r="BK22" s="14">
        <f t="shared" si="20"/>
        <v>7.1870286813197817</v>
      </c>
      <c r="BL22" s="14">
        <f t="shared" si="21"/>
        <v>6.273593289249245</v>
      </c>
      <c r="BM22" s="16">
        <f t="shared" si="22"/>
        <v>1</v>
      </c>
      <c r="BO22" s="10">
        <f t="shared" si="23"/>
        <v>-16.429008886898416</v>
      </c>
      <c r="BP22" s="10">
        <f t="shared" si="24"/>
        <v>-1</v>
      </c>
      <c r="BQ22" s="10">
        <f t="shared" si="25"/>
        <v>-1</v>
      </c>
      <c r="BR22" s="10">
        <f t="shared" si="26"/>
        <v>1</v>
      </c>
      <c r="BV22" s="16">
        <f t="shared" si="27"/>
        <v>7.1870286813197817</v>
      </c>
      <c r="BW22" s="16">
        <f t="shared" si="28"/>
        <v>6.273593289249245</v>
      </c>
      <c r="BX22" s="16">
        <f t="shared" si="29"/>
        <v>-100</v>
      </c>
      <c r="BY22" s="16">
        <f t="shared" si="30"/>
        <v>-100</v>
      </c>
    </row>
    <row r="23" spans="1:77" x14ac:dyDescent="0.25">
      <c r="B23" s="10">
        <f t="shared" si="2"/>
        <v>4</v>
      </c>
      <c r="C23">
        <v>9.5500354291289113E-2</v>
      </c>
      <c r="D23">
        <v>0.15000068742665462</v>
      </c>
      <c r="E23">
        <v>0.6998504593035676</v>
      </c>
      <c r="H23" s="18">
        <f>1</f>
        <v>1</v>
      </c>
      <c r="I23" s="19">
        <f t="shared" si="3"/>
        <v>6.345144237689329</v>
      </c>
      <c r="J23" s="19">
        <f t="shared" si="4"/>
        <v>5.2156402012191645</v>
      </c>
      <c r="K23" s="18">
        <f t="shared" si="5"/>
        <v>-1</v>
      </c>
      <c r="L23" s="17"/>
      <c r="M23" s="17"/>
      <c r="N23" s="18">
        <f t="shared" si="6"/>
        <v>-100</v>
      </c>
      <c r="O23" s="18">
        <f t="shared" si="6"/>
        <v>-100</v>
      </c>
      <c r="P23" s="18">
        <f t="shared" si="7"/>
        <v>6.345144237689329</v>
      </c>
      <c r="Q23" s="18">
        <f t="shared" si="7"/>
        <v>5.2156402012191645</v>
      </c>
      <c r="S23" s="10">
        <f t="shared" si="8"/>
        <v>8.9050284132031905</v>
      </c>
      <c r="T23" s="10">
        <f t="shared" si="9"/>
        <v>1</v>
      </c>
      <c r="U23" s="10">
        <f t="shared" si="10"/>
        <v>-1</v>
      </c>
      <c r="V23" s="10">
        <f t="shared" si="11"/>
        <v>1</v>
      </c>
      <c r="Y23" s="10">
        <f t="shared" si="31"/>
        <v>-0.70082399975499998</v>
      </c>
      <c r="Z23" s="10">
        <f t="shared" si="12"/>
        <v>-4.446829363679826</v>
      </c>
      <c r="AA23" s="10">
        <f t="shared" si="13"/>
        <v>-3.6552458271013877</v>
      </c>
      <c r="AB23" s="10">
        <f t="shared" si="14"/>
        <v>-0.600823999755</v>
      </c>
      <c r="AC23" s="10">
        <f t="shared" si="15"/>
        <v>-3.8080009969303301</v>
      </c>
      <c r="AD23" s="10">
        <f t="shared" si="16"/>
        <v>-2.7442224244634037</v>
      </c>
      <c r="AE23" s="10">
        <f t="shared" si="17"/>
        <v>-1</v>
      </c>
      <c r="AF23" s="10">
        <f t="shared" si="18"/>
        <v>0</v>
      </c>
      <c r="AI23" s="10">
        <f>IF(SUMPRODUCT(H20:J20,$AI$17:$AK$17)&gt;=0,1,-1)</f>
        <v>-1</v>
      </c>
      <c r="AJ23" s="10">
        <f>(K20-AI23)/2</f>
        <v>0</v>
      </c>
      <c r="AK23" s="10">
        <f>IF(AJ23&lt;&gt;0,1,0)</f>
        <v>0</v>
      </c>
      <c r="AP23" s="16">
        <v>4</v>
      </c>
      <c r="AQ23" s="16">
        <f>X99</f>
        <v>2</v>
      </c>
      <c r="AR23" s="16">
        <f>AB99</f>
        <v>9.9999999999999978E-2</v>
      </c>
      <c r="AS23" s="16">
        <f>AC99</f>
        <v>-7.7430527952094357</v>
      </c>
      <c r="AT23" s="16">
        <f>AD99</f>
        <v>9.6596508832284993</v>
      </c>
      <c r="AV23" s="16">
        <v>4</v>
      </c>
      <c r="AW23" s="10">
        <v>-5</v>
      </c>
      <c r="AX23" s="10">
        <f t="shared" si="0"/>
        <v>-4.0182884915064481</v>
      </c>
      <c r="AY23" s="10">
        <v>15</v>
      </c>
      <c r="AZ23" s="10">
        <f t="shared" si="1"/>
        <v>12.013456110471365</v>
      </c>
      <c r="BD23" s="10">
        <f t="shared" si="19"/>
        <v>4</v>
      </c>
      <c r="BE23">
        <v>1.3308658708410803</v>
      </c>
      <c r="BF23">
        <v>1.4041188478586264</v>
      </c>
      <c r="BG23">
        <v>0.79790643024994656</v>
      </c>
      <c r="BJ23" s="16">
        <f>1</f>
        <v>1</v>
      </c>
      <c r="BK23" s="14">
        <f t="shared" si="20"/>
        <v>8.1261260680764718</v>
      </c>
      <c r="BL23" s="14">
        <f t="shared" si="21"/>
        <v>7.0236570407420338</v>
      </c>
      <c r="BM23" s="16">
        <f t="shared" si="22"/>
        <v>-1</v>
      </c>
      <c r="BO23" s="10">
        <f t="shared" si="23"/>
        <v>-19.960282491409743</v>
      </c>
      <c r="BP23" s="10">
        <f t="shared" si="24"/>
        <v>-1</v>
      </c>
      <c r="BQ23" s="10">
        <f t="shared" si="25"/>
        <v>0</v>
      </c>
      <c r="BR23" s="10">
        <f t="shared" si="26"/>
        <v>0</v>
      </c>
      <c r="BV23" s="16">
        <f t="shared" si="27"/>
        <v>-100</v>
      </c>
      <c r="BW23" s="16">
        <f t="shared" si="28"/>
        <v>-100</v>
      </c>
      <c r="BX23" s="16">
        <f t="shared" si="29"/>
        <v>8.1261260680764718</v>
      </c>
      <c r="BY23" s="16">
        <f t="shared" si="30"/>
        <v>7.0236570407420338</v>
      </c>
    </row>
    <row r="24" spans="1:77" x14ac:dyDescent="0.25">
      <c r="B24" s="10">
        <f t="shared" si="2"/>
        <v>5</v>
      </c>
      <c r="C24">
        <v>1.0478947842784692</v>
      </c>
      <c r="D24">
        <v>2.3102438717614859</v>
      </c>
      <c r="E24">
        <v>0.8580584124271371</v>
      </c>
      <c r="H24" s="18">
        <f>1</f>
        <v>1</v>
      </c>
      <c r="I24" s="19">
        <f t="shared" si="3"/>
        <v>7.7181768765688226</v>
      </c>
      <c r="J24" s="19">
        <f t="shared" si="4"/>
        <v>8.3299847486233514</v>
      </c>
      <c r="K24" s="18">
        <f t="shared" si="5"/>
        <v>1</v>
      </c>
      <c r="L24" s="17"/>
      <c r="M24" s="17"/>
      <c r="N24" s="18">
        <f t="shared" si="6"/>
        <v>7.7181768765688226</v>
      </c>
      <c r="O24" s="18">
        <f t="shared" si="6"/>
        <v>8.3299847486233514</v>
      </c>
      <c r="P24" s="18">
        <f t="shared" si="7"/>
        <v>-100</v>
      </c>
      <c r="Q24" s="18">
        <f t="shared" si="7"/>
        <v>-100</v>
      </c>
      <c r="S24" s="10">
        <f t="shared" si="8"/>
        <v>-52.850980182824046</v>
      </c>
      <c r="T24" s="10">
        <f t="shared" si="9"/>
        <v>-1</v>
      </c>
      <c r="U24" s="10">
        <f t="shared" si="10"/>
        <v>1</v>
      </c>
      <c r="V24" s="10">
        <f t="shared" si="11"/>
        <v>1</v>
      </c>
      <c r="Y24" s="10">
        <f t="shared" si="31"/>
        <v>0.70082399975499998</v>
      </c>
      <c r="Z24" s="10">
        <f t="shared" si="12"/>
        <v>5.4090835894535152</v>
      </c>
      <c r="AA24" s="10">
        <f t="shared" si="13"/>
        <v>5.8378532294283652</v>
      </c>
      <c r="AB24" s="10">
        <f t="shared" si="14"/>
        <v>9.9999999999999978E-2</v>
      </c>
      <c r="AC24" s="10">
        <f t="shared" si="15"/>
        <v>1.6010825925231851</v>
      </c>
      <c r="AD24" s="10">
        <f t="shared" si="16"/>
        <v>3.0936308049649615</v>
      </c>
      <c r="AE24" s="10">
        <f t="shared" si="17"/>
        <v>1</v>
      </c>
      <c r="AF24" s="10">
        <f t="shared" si="18"/>
        <v>0</v>
      </c>
      <c r="AI24" s="10">
        <f t="shared" ref="AI24:AI87" si="32">IF(SUMPRODUCT(H21:J21,$AI$17:$AK$17)&gt;=0,1,-1)</f>
        <v>-1</v>
      </c>
      <c r="AJ24" s="10">
        <f t="shared" ref="AJ24:AJ87" si="33">(K21-AI24)/2</f>
        <v>0</v>
      </c>
      <c r="AK24" s="10">
        <f t="shared" ref="AK24:AK87" si="34">IF(AJ24&lt;&gt;0,1,0)</f>
        <v>0</v>
      </c>
      <c r="AP24" s="16">
        <v>5</v>
      </c>
      <c r="AQ24" s="16">
        <f>X119</f>
        <v>4</v>
      </c>
      <c r="AR24" s="16">
        <f>AB119</f>
        <v>9.9999999999999978E-2</v>
      </c>
      <c r="AS24" s="16">
        <f>AC119</f>
        <v>-10.170581973579282</v>
      </c>
      <c r="AT24" s="16">
        <f>AD119</f>
        <v>12.427441086028434</v>
      </c>
      <c r="AV24" s="16">
        <v>5</v>
      </c>
      <c r="AW24" s="10">
        <v>-5</v>
      </c>
      <c r="AX24" s="10">
        <f t="shared" si="0"/>
        <v>-4.1000323007107449</v>
      </c>
      <c r="AY24" s="10">
        <v>15</v>
      </c>
      <c r="AZ24" s="10">
        <f t="shared" si="1"/>
        <v>12.267910066786888</v>
      </c>
      <c r="BD24" s="10">
        <f t="shared" si="19"/>
        <v>5</v>
      </c>
      <c r="BE24">
        <v>-1.3849057722836733</v>
      </c>
      <c r="BF24">
        <v>-0.87248054114752449</v>
      </c>
      <c r="BG24">
        <v>0.80675679799798583</v>
      </c>
      <c r="BJ24" s="16">
        <f>1</f>
        <v>1</v>
      </c>
      <c r="BK24" s="14">
        <f t="shared" si="20"/>
        <v>4.2108962133576977</v>
      </c>
      <c r="BL24" s="14">
        <f t="shared" si="21"/>
        <v>3.7415659571133388</v>
      </c>
      <c r="BM24" s="16">
        <f t="shared" si="22"/>
        <v>-1</v>
      </c>
      <c r="BO24" s="10">
        <f t="shared" si="23"/>
        <v>-8.0845161046307794</v>
      </c>
      <c r="BP24" s="10">
        <f t="shared" si="24"/>
        <v>-1</v>
      </c>
      <c r="BQ24" s="10">
        <f t="shared" si="25"/>
        <v>0</v>
      </c>
      <c r="BR24" s="10">
        <f t="shared" si="26"/>
        <v>0</v>
      </c>
      <c r="BV24" s="16">
        <f t="shared" si="27"/>
        <v>-100</v>
      </c>
      <c r="BW24" s="16">
        <f t="shared" si="28"/>
        <v>-100</v>
      </c>
      <c r="BX24" s="16">
        <f t="shared" si="29"/>
        <v>4.2108962133576977</v>
      </c>
      <c r="BY24" s="16">
        <f t="shared" si="30"/>
        <v>3.7415659571133388</v>
      </c>
    </row>
    <row r="25" spans="1:77" x14ac:dyDescent="0.25">
      <c r="B25" s="10">
        <f t="shared" si="2"/>
        <v>6</v>
      </c>
      <c r="C25">
        <v>0.71546992330695502</v>
      </c>
      <c r="D25">
        <v>0.5107654033054132</v>
      </c>
      <c r="E25">
        <v>0.43501083407086399</v>
      </c>
      <c r="H25" s="18">
        <f>1</f>
        <v>1</v>
      </c>
      <c r="I25" s="19">
        <f t="shared" si="3"/>
        <v>7.238931965303423</v>
      </c>
      <c r="J25" s="19">
        <f t="shared" si="4"/>
        <v>5.7357416573609132</v>
      </c>
      <c r="K25" s="18">
        <f t="shared" si="5"/>
        <v>-1</v>
      </c>
      <c r="L25" s="17"/>
      <c r="M25" s="17"/>
      <c r="N25" s="18">
        <f t="shared" si="6"/>
        <v>-100</v>
      </c>
      <c r="O25" s="18">
        <f t="shared" si="6"/>
        <v>-100</v>
      </c>
      <c r="P25" s="18">
        <f t="shared" si="7"/>
        <v>7.238931965303423</v>
      </c>
      <c r="Q25" s="18">
        <f t="shared" si="7"/>
        <v>5.7357416573609132</v>
      </c>
      <c r="S25" s="10">
        <f t="shared" si="8"/>
        <v>29.434395038639465</v>
      </c>
      <c r="T25" s="10">
        <f t="shared" si="9"/>
        <v>1</v>
      </c>
      <c r="U25" s="10">
        <f t="shared" si="10"/>
        <v>-1</v>
      </c>
      <c r="V25" s="10">
        <f t="shared" si="11"/>
        <v>1</v>
      </c>
      <c r="Y25" s="10">
        <f t="shared" si="31"/>
        <v>-0.70082399975499998</v>
      </c>
      <c r="Z25" s="10">
        <f t="shared" si="12"/>
        <v>-5.0732172538782674</v>
      </c>
      <c r="AA25" s="10">
        <f t="shared" si="13"/>
        <v>-4.0197454098730478</v>
      </c>
      <c r="AB25" s="10">
        <f t="shared" si="14"/>
        <v>-0.600823999755</v>
      </c>
      <c r="AC25" s="10">
        <f t="shared" si="15"/>
        <v>-3.4721346613550823</v>
      </c>
      <c r="AD25" s="10">
        <f t="shared" si="16"/>
        <v>-0.92611460490808639</v>
      </c>
      <c r="AE25" s="10">
        <f t="shared" si="17"/>
        <v>-1</v>
      </c>
      <c r="AF25" s="10">
        <f t="shared" si="18"/>
        <v>0</v>
      </c>
      <c r="AI25" s="10">
        <f t="shared" si="32"/>
        <v>1</v>
      </c>
      <c r="AJ25" s="10">
        <f t="shared" si="33"/>
        <v>0</v>
      </c>
      <c r="AK25" s="10">
        <f t="shared" si="34"/>
        <v>0</v>
      </c>
      <c r="AP25" s="16">
        <v>6</v>
      </c>
      <c r="AQ25" s="16">
        <f>X139</f>
        <v>5</v>
      </c>
      <c r="AR25" s="16">
        <f>AB139</f>
        <v>-0.600823999755</v>
      </c>
      <c r="AS25" s="16">
        <f>AC139</f>
        <v>-14.579911753609347</v>
      </c>
      <c r="AT25" s="16">
        <f>AD139</f>
        <v>10.424787793611479</v>
      </c>
      <c r="AV25" s="16">
        <v>6</v>
      </c>
      <c r="AW25" s="10">
        <v>-5</v>
      </c>
      <c r="AX25" s="10">
        <f t="shared" si="0"/>
        <v>-6.9352716045306808</v>
      </c>
      <c r="AY25" s="10">
        <v>15</v>
      </c>
      <c r="AZ25" s="10">
        <f t="shared" si="1"/>
        <v>21.036351496601817</v>
      </c>
      <c r="BD25" s="10">
        <f t="shared" si="19"/>
        <v>6</v>
      </c>
      <c r="BE25">
        <v>3.1366653274744749</v>
      </c>
      <c r="BF25">
        <v>1.256007635674905</v>
      </c>
      <c r="BG25">
        <v>0.22162541581469161</v>
      </c>
      <c r="BJ25" s="16">
        <f>1</f>
        <v>1</v>
      </c>
      <c r="BK25" s="14">
        <f t="shared" si="20"/>
        <v>10.729481899611397</v>
      </c>
      <c r="BL25" s="14">
        <f t="shared" si="21"/>
        <v>6.8101304575227335</v>
      </c>
      <c r="BM25" s="16">
        <f t="shared" si="22"/>
        <v>1</v>
      </c>
      <c r="BO25" s="10">
        <f t="shared" si="23"/>
        <v>-71.866676698212785</v>
      </c>
      <c r="BP25" s="10">
        <f t="shared" si="24"/>
        <v>-1</v>
      </c>
      <c r="BQ25" s="10">
        <f t="shared" si="25"/>
        <v>-1</v>
      </c>
      <c r="BR25" s="10">
        <f t="shared" si="26"/>
        <v>1</v>
      </c>
      <c r="BV25" s="16">
        <f t="shared" si="27"/>
        <v>10.729481899611397</v>
      </c>
      <c r="BW25" s="16">
        <f t="shared" si="28"/>
        <v>6.8101304575227335</v>
      </c>
      <c r="BX25" s="16">
        <f t="shared" si="29"/>
        <v>-100</v>
      </c>
      <c r="BY25" s="16">
        <f t="shared" si="30"/>
        <v>-100</v>
      </c>
    </row>
    <row r="26" spans="1:77" x14ac:dyDescent="0.25">
      <c r="B26" s="10">
        <f t="shared" si="2"/>
        <v>7</v>
      </c>
      <c r="C26">
        <v>-0.74311628850409761</v>
      </c>
      <c r="D26">
        <v>1.1454517334641423</v>
      </c>
      <c r="E26">
        <v>0.32215338602862637</v>
      </c>
      <c r="H26" s="18">
        <f>1</f>
        <v>1</v>
      </c>
      <c r="I26" s="19">
        <f t="shared" si="3"/>
        <v>5.1361409237145601</v>
      </c>
      <c r="J26" s="19">
        <f t="shared" si="4"/>
        <v>6.650746007785675</v>
      </c>
      <c r="K26" s="18">
        <f t="shared" si="5"/>
        <v>1</v>
      </c>
      <c r="L26" s="17"/>
      <c r="M26" s="17"/>
      <c r="N26" s="18">
        <f t="shared" si="6"/>
        <v>5.1361409237145601</v>
      </c>
      <c r="O26" s="18">
        <f t="shared" si="6"/>
        <v>6.650746007785675</v>
      </c>
      <c r="P26" s="18">
        <f t="shared" si="7"/>
        <v>-100</v>
      </c>
      <c r="Q26" s="18">
        <f t="shared" si="7"/>
        <v>-100</v>
      </c>
      <c r="S26" s="10">
        <f t="shared" si="8"/>
        <v>-24.593549937933098</v>
      </c>
      <c r="T26" s="10">
        <f t="shared" si="9"/>
        <v>-1</v>
      </c>
      <c r="U26" s="10">
        <f t="shared" si="10"/>
        <v>1</v>
      </c>
      <c r="V26" s="10">
        <f t="shared" si="11"/>
        <v>1</v>
      </c>
      <c r="Y26" s="10">
        <f t="shared" si="31"/>
        <v>0.70082399975499998</v>
      </c>
      <c r="Z26" s="10">
        <f t="shared" si="12"/>
        <v>3.5995308254629781</v>
      </c>
      <c r="AA26" s="10">
        <f t="shared" si="13"/>
        <v>4.6610024185309546</v>
      </c>
      <c r="AB26" s="10">
        <f t="shared" si="14"/>
        <v>9.9999999999999978E-2</v>
      </c>
      <c r="AC26" s="10">
        <f t="shared" si="15"/>
        <v>0.12739616410789578</v>
      </c>
      <c r="AD26" s="10">
        <f t="shared" si="16"/>
        <v>3.7348878136228683</v>
      </c>
      <c r="AE26" s="10">
        <f t="shared" si="17"/>
        <v>1</v>
      </c>
      <c r="AF26" s="10">
        <f t="shared" si="18"/>
        <v>0</v>
      </c>
      <c r="AI26" s="10">
        <f t="shared" si="32"/>
        <v>-1</v>
      </c>
      <c r="AJ26" s="10">
        <f t="shared" si="33"/>
        <v>0</v>
      </c>
      <c r="AK26" s="10">
        <f t="shared" si="34"/>
        <v>0</v>
      </c>
      <c r="AP26" s="16">
        <v>7</v>
      </c>
      <c r="AQ26" s="16">
        <f>X159</f>
        <v>5</v>
      </c>
      <c r="AR26" s="16">
        <f>AB159</f>
        <v>9.9999999999999978E-2</v>
      </c>
      <c r="AS26" s="16">
        <f>AC159</f>
        <v>-13.205208816160063</v>
      </c>
      <c r="AT26" s="16">
        <f>AD159</f>
        <v>15.677791327576795</v>
      </c>
      <c r="AV26" s="16">
        <v>7</v>
      </c>
      <c r="AW26" s="10">
        <v>-5</v>
      </c>
      <c r="AX26" s="10">
        <f t="shared" si="0"/>
        <v>-4.217816317307812</v>
      </c>
      <c r="AY26" s="10">
        <v>15</v>
      </c>
      <c r="AZ26" s="10">
        <f t="shared" si="1"/>
        <v>12.627935153988366</v>
      </c>
      <c r="BD26" s="10">
        <f t="shared" si="19"/>
        <v>7</v>
      </c>
      <c r="BE26">
        <v>0.23787833924870938</v>
      </c>
      <c r="BF26">
        <v>0.84275598055683076</v>
      </c>
      <c r="BG26">
        <v>0.98028504287850582</v>
      </c>
      <c r="BJ26" s="16">
        <f>1</f>
        <v>1</v>
      </c>
      <c r="BK26" s="14">
        <f t="shared" si="20"/>
        <v>6.5504054343629203</v>
      </c>
      <c r="BL26" s="14">
        <f t="shared" si="21"/>
        <v>6.2143604774780945</v>
      </c>
      <c r="BM26" s="16">
        <f t="shared" si="22"/>
        <v>-1</v>
      </c>
      <c r="BO26" s="10">
        <f t="shared" si="23"/>
        <v>-5.7830324601236356</v>
      </c>
      <c r="BP26" s="10">
        <f t="shared" si="24"/>
        <v>-1</v>
      </c>
      <c r="BQ26" s="10">
        <f t="shared" si="25"/>
        <v>0</v>
      </c>
      <c r="BR26" s="10">
        <f t="shared" si="26"/>
        <v>0</v>
      </c>
      <c r="BV26" s="16">
        <f t="shared" si="27"/>
        <v>-100</v>
      </c>
      <c r="BW26" s="16">
        <f t="shared" si="28"/>
        <v>-100</v>
      </c>
      <c r="BX26" s="16">
        <f t="shared" si="29"/>
        <v>6.5504054343629203</v>
      </c>
      <c r="BY26" s="16">
        <f t="shared" si="30"/>
        <v>6.2143604774780945</v>
      </c>
    </row>
    <row r="27" spans="1:77" x14ac:dyDescent="0.25">
      <c r="B27" s="10">
        <f t="shared" si="2"/>
        <v>8</v>
      </c>
      <c r="C27">
        <v>2.2524727683048695</v>
      </c>
      <c r="D27">
        <v>0.35129914977005683</v>
      </c>
      <c r="E27">
        <v>0.98779259620960114</v>
      </c>
      <c r="H27" s="18">
        <f>1</f>
        <v>1</v>
      </c>
      <c r="I27" s="19">
        <f t="shared" si="3"/>
        <v>9.4547734336971239</v>
      </c>
      <c r="J27" s="19">
        <f t="shared" si="4"/>
        <v>5.5058449212924083</v>
      </c>
      <c r="K27" s="18">
        <f t="shared" si="5"/>
        <v>-1</v>
      </c>
      <c r="L27" s="17"/>
      <c r="M27" s="17"/>
      <c r="N27" s="18">
        <f t="shared" si="6"/>
        <v>-100</v>
      </c>
      <c r="O27" s="18">
        <f t="shared" si="6"/>
        <v>-100</v>
      </c>
      <c r="P27" s="18">
        <f t="shared" si="7"/>
        <v>9.4547734336971239</v>
      </c>
      <c r="Q27" s="18">
        <f t="shared" si="7"/>
        <v>5.5058449212924083</v>
      </c>
      <c r="S27" s="10">
        <f t="shared" si="8"/>
        <v>21.868214968194629</v>
      </c>
      <c r="T27" s="10">
        <f t="shared" si="9"/>
        <v>1</v>
      </c>
      <c r="U27" s="10">
        <f t="shared" si="10"/>
        <v>-1</v>
      </c>
      <c r="V27" s="10">
        <f t="shared" si="11"/>
        <v>1</v>
      </c>
      <c r="Y27" s="10">
        <f t="shared" si="31"/>
        <v>-0.70082399975499998</v>
      </c>
      <c r="Z27" s="10">
        <f t="shared" si="12"/>
        <v>-6.6261321345809332</v>
      </c>
      <c r="AA27" s="10">
        <f t="shared" si="13"/>
        <v>-3.8586282597708985</v>
      </c>
      <c r="AB27" s="10">
        <f t="shared" si="14"/>
        <v>-0.600823999755</v>
      </c>
      <c r="AC27" s="10">
        <f t="shared" si="15"/>
        <v>-6.498735970473037</v>
      </c>
      <c r="AD27" s="10">
        <f t="shared" si="16"/>
        <v>-0.12374044614803026</v>
      </c>
      <c r="AE27" s="10">
        <f t="shared" si="17"/>
        <v>-1</v>
      </c>
      <c r="AF27" s="10">
        <f t="shared" si="18"/>
        <v>0</v>
      </c>
      <c r="AI27" s="10">
        <f t="shared" si="32"/>
        <v>1</v>
      </c>
      <c r="AJ27" s="10">
        <f t="shared" si="33"/>
        <v>0</v>
      </c>
      <c r="AK27" s="10">
        <f t="shared" si="34"/>
        <v>0</v>
      </c>
      <c r="AP27" s="16">
        <v>8</v>
      </c>
      <c r="AQ27" s="16">
        <f>X179</f>
        <v>4</v>
      </c>
      <c r="AR27" s="16">
        <f>AB179</f>
        <v>9.9999999999999978E-2</v>
      </c>
      <c r="AS27" s="16">
        <f>AC179</f>
        <v>-18.276328271429101</v>
      </c>
      <c r="AT27" s="16">
        <f>AD179</f>
        <v>14.246891663365069</v>
      </c>
      <c r="AV27" s="16">
        <v>8</v>
      </c>
      <c r="AW27" s="10">
        <v>-5</v>
      </c>
      <c r="AX27" s="10">
        <f t="shared" si="0"/>
        <v>-6.4211649473256287</v>
      </c>
      <c r="AY27" s="10">
        <v>15</v>
      </c>
      <c r="AZ27" s="10">
        <f t="shared" si="1"/>
        <v>19.235418542286293</v>
      </c>
      <c r="BD27" s="10">
        <f t="shared" si="19"/>
        <v>8</v>
      </c>
      <c r="BE27">
        <v>-0.29943180379632395</v>
      </c>
      <c r="BF27">
        <v>-0.7972494131536223</v>
      </c>
      <c r="BG27">
        <v>0.21167638172551653</v>
      </c>
      <c r="BJ27" s="16">
        <f>1</f>
        <v>1</v>
      </c>
      <c r="BK27" s="14">
        <f t="shared" si="20"/>
        <v>5.7757848146142612</v>
      </c>
      <c r="BL27" s="14">
        <f t="shared" si="21"/>
        <v>3.8500239561765408</v>
      </c>
      <c r="BM27" s="16">
        <f t="shared" si="22"/>
        <v>1</v>
      </c>
      <c r="BO27" s="10">
        <f t="shared" si="23"/>
        <v>-34.93574358578968</v>
      </c>
      <c r="BP27" s="10">
        <f t="shared" si="24"/>
        <v>-1</v>
      </c>
      <c r="BQ27" s="10">
        <f t="shared" si="25"/>
        <v>-1</v>
      </c>
      <c r="BR27" s="10">
        <f t="shared" si="26"/>
        <v>1</v>
      </c>
      <c r="BV27" s="16">
        <f t="shared" si="27"/>
        <v>5.7757848146142612</v>
      </c>
      <c r="BW27" s="16">
        <f t="shared" si="28"/>
        <v>3.8500239561765408</v>
      </c>
      <c r="BX27" s="16">
        <f t="shared" si="29"/>
        <v>-100</v>
      </c>
      <c r="BY27" s="16">
        <f t="shared" si="30"/>
        <v>-100</v>
      </c>
    </row>
    <row r="28" spans="1:77" x14ac:dyDescent="0.25">
      <c r="B28" s="10">
        <f t="shared" si="2"/>
        <v>9</v>
      </c>
      <c r="C28">
        <v>0.82445581028878223</v>
      </c>
      <c r="D28">
        <v>-0.63064135247259401</v>
      </c>
      <c r="E28">
        <v>0.96642963957640304</v>
      </c>
      <c r="H28" s="18">
        <f>1</f>
        <v>1</v>
      </c>
      <c r="I28" s="19">
        <f t="shared" si="3"/>
        <v>7.3960529808109312</v>
      </c>
      <c r="J28" s="19">
        <f t="shared" si="4"/>
        <v>4.0902167775673028</v>
      </c>
      <c r="K28" s="18">
        <f t="shared" si="5"/>
        <v>-1</v>
      </c>
      <c r="L28" s="17"/>
      <c r="M28" s="17"/>
      <c r="N28" s="18">
        <f t="shared" si="6"/>
        <v>-100</v>
      </c>
      <c r="O28" s="18">
        <f t="shared" si="6"/>
        <v>-100</v>
      </c>
      <c r="P28" s="18">
        <f t="shared" si="7"/>
        <v>7.3960529808109312</v>
      </c>
      <c r="Q28" s="18">
        <f t="shared" si="7"/>
        <v>4.0902167775673028</v>
      </c>
      <c r="S28" s="10">
        <f t="shared" si="8"/>
        <v>-49.171944794573662</v>
      </c>
      <c r="T28" s="10">
        <f t="shared" si="9"/>
        <v>-1</v>
      </c>
      <c r="U28" s="10">
        <f t="shared" si="10"/>
        <v>0</v>
      </c>
      <c r="V28" s="10">
        <f t="shared" si="11"/>
        <v>0</v>
      </c>
      <c r="Y28" s="10">
        <f t="shared" si="31"/>
        <v>0</v>
      </c>
      <c r="Z28" s="10">
        <f t="shared" si="12"/>
        <v>0</v>
      </c>
      <c r="AA28" s="10">
        <f t="shared" si="13"/>
        <v>0</v>
      </c>
      <c r="AB28" s="10">
        <f t="shared" si="14"/>
        <v>-0.600823999755</v>
      </c>
      <c r="AC28" s="10">
        <f t="shared" si="15"/>
        <v>-6.498735970473037</v>
      </c>
      <c r="AD28" s="10">
        <f t="shared" si="16"/>
        <v>-0.12374044614803026</v>
      </c>
      <c r="AE28" s="10">
        <f t="shared" si="17"/>
        <v>-1</v>
      </c>
      <c r="AF28" s="10">
        <f t="shared" si="18"/>
        <v>0</v>
      </c>
      <c r="AI28" s="10">
        <f t="shared" si="32"/>
        <v>-1</v>
      </c>
      <c r="AJ28" s="10">
        <f t="shared" si="33"/>
        <v>0</v>
      </c>
      <c r="AK28" s="10">
        <f t="shared" si="34"/>
        <v>0</v>
      </c>
      <c r="AP28" s="16">
        <v>9</v>
      </c>
      <c r="AQ28" s="16">
        <f>X199</f>
        <v>2</v>
      </c>
      <c r="AR28" s="16">
        <f>AB199</f>
        <v>9.9999999999999978E-2</v>
      </c>
      <c r="AS28" s="16">
        <f>AC199</f>
        <v>-20.166134072771968</v>
      </c>
      <c r="AT28" s="16">
        <f>AD199</f>
        <v>13.573045498358614</v>
      </c>
      <c r="AV28" s="16">
        <v>9</v>
      </c>
      <c r="AW28" s="10">
        <v>-5</v>
      </c>
      <c r="AX28" s="10">
        <f t="shared" si="0"/>
        <v>-7.4361108106552329</v>
      </c>
      <c r="AY28" s="10">
        <v>15</v>
      </c>
      <c r="AZ28" s="10">
        <f t="shared" si="1"/>
        <v>22.278862258890072</v>
      </c>
      <c r="BD28" s="10">
        <f t="shared" si="19"/>
        <v>9</v>
      </c>
      <c r="BE28">
        <v>1.6958847481873818</v>
      </c>
      <c r="BF28">
        <v>0.35961079447588418</v>
      </c>
      <c r="BG28">
        <v>0.94424268318735316</v>
      </c>
      <c r="BJ28" s="16">
        <f>1</f>
        <v>1</v>
      </c>
      <c r="BK28" s="14">
        <f t="shared" si="20"/>
        <v>8.6523605950994504</v>
      </c>
      <c r="BL28" s="14">
        <f t="shared" si="21"/>
        <v>5.5178275191579003</v>
      </c>
      <c r="BM28" s="16">
        <f t="shared" si="22"/>
        <v>-1</v>
      </c>
      <c r="BO28" s="10">
        <f t="shared" si="23"/>
        <v>-57.320077518144728</v>
      </c>
      <c r="BP28" s="10">
        <f t="shared" si="24"/>
        <v>-1</v>
      </c>
      <c r="BQ28" s="10">
        <f t="shared" si="25"/>
        <v>0</v>
      </c>
      <c r="BR28" s="10">
        <f t="shared" si="26"/>
        <v>0</v>
      </c>
      <c r="BV28" s="16">
        <f t="shared" si="27"/>
        <v>-100</v>
      </c>
      <c r="BW28" s="16">
        <f t="shared" si="28"/>
        <v>-100</v>
      </c>
      <c r="BX28" s="16">
        <f t="shared" si="29"/>
        <v>8.6523605950994504</v>
      </c>
      <c r="BY28" s="16">
        <f t="shared" si="30"/>
        <v>5.5178275191579003</v>
      </c>
    </row>
    <row r="29" spans="1:77" x14ac:dyDescent="0.25">
      <c r="B29" s="10">
        <f t="shared" si="2"/>
        <v>10</v>
      </c>
      <c r="C29">
        <v>0.66203256210428663</v>
      </c>
      <c r="D29">
        <v>2.1680898498743773</v>
      </c>
      <c r="E29">
        <v>0.73445844904934843</v>
      </c>
      <c r="H29" s="18">
        <f>1</f>
        <v>1</v>
      </c>
      <c r="I29" s="19">
        <f t="shared" si="3"/>
        <v>7.1618932523955321</v>
      </c>
      <c r="J29" s="19">
        <f t="shared" si="4"/>
        <v>8.1250464314162496</v>
      </c>
      <c r="K29" s="18">
        <f t="shared" si="5"/>
        <v>1</v>
      </c>
      <c r="L29" s="17"/>
      <c r="M29" s="17"/>
      <c r="N29" s="18">
        <f t="shared" si="6"/>
        <v>7.1618932523955321</v>
      </c>
      <c r="O29" s="18">
        <f t="shared" si="6"/>
        <v>8.1250464314162496</v>
      </c>
      <c r="P29" s="18">
        <f t="shared" si="7"/>
        <v>-100</v>
      </c>
      <c r="Q29" s="18">
        <f t="shared" si="7"/>
        <v>-100</v>
      </c>
      <c r="S29" s="10">
        <f t="shared" si="8"/>
        <v>-48.149474166182884</v>
      </c>
      <c r="T29" s="10">
        <f t="shared" si="9"/>
        <v>-1</v>
      </c>
      <c r="U29" s="10">
        <f t="shared" si="10"/>
        <v>1</v>
      </c>
      <c r="V29" s="10">
        <f t="shared" si="11"/>
        <v>1</v>
      </c>
      <c r="Y29" s="10">
        <f t="shared" si="31"/>
        <v>0.70082399975499998</v>
      </c>
      <c r="Z29" s="10">
        <f t="shared" si="12"/>
        <v>5.0192266749621828</v>
      </c>
      <c r="AA29" s="10">
        <f t="shared" si="13"/>
        <v>5.6942275382602254</v>
      </c>
      <c r="AB29" s="10">
        <f t="shared" si="14"/>
        <v>9.9999999999999978E-2</v>
      </c>
      <c r="AC29" s="10">
        <f t="shared" si="15"/>
        <v>-1.4795092955108542</v>
      </c>
      <c r="AD29" s="10">
        <f t="shared" si="16"/>
        <v>5.5704870921121952</v>
      </c>
      <c r="AE29" s="10">
        <f t="shared" si="17"/>
        <v>1</v>
      </c>
      <c r="AF29" s="10">
        <f t="shared" si="18"/>
        <v>0</v>
      </c>
      <c r="AI29" s="10">
        <f t="shared" si="32"/>
        <v>1</v>
      </c>
      <c r="AJ29" s="10">
        <f t="shared" si="33"/>
        <v>0</v>
      </c>
      <c r="AK29" s="10">
        <f t="shared" si="34"/>
        <v>0</v>
      </c>
      <c r="AP29" s="16">
        <v>10</v>
      </c>
      <c r="AQ29" s="16">
        <f>X219</f>
        <v>5</v>
      </c>
      <c r="AR29" s="16">
        <f>AB219</f>
        <v>0.80082399975499985</v>
      </c>
      <c r="AS29" s="16">
        <f>AC219</f>
        <v>-18.431651305950016</v>
      </c>
      <c r="AT29" s="16">
        <f>AD219</f>
        <v>18.368894568089715</v>
      </c>
      <c r="AV29" s="16">
        <v>10</v>
      </c>
      <c r="AW29" s="10">
        <v>-5</v>
      </c>
      <c r="AX29" s="10">
        <f t="shared" si="0"/>
        <v>-5.0606790835956348</v>
      </c>
      <c r="AY29" s="10">
        <v>15</v>
      </c>
      <c r="AZ29" s="10">
        <f t="shared" si="1"/>
        <v>15.007650273544149</v>
      </c>
      <c r="BD29" s="10">
        <f t="shared" si="19"/>
        <v>10</v>
      </c>
      <c r="BE29">
        <v>2.0847892301389948E-2</v>
      </c>
      <c r="BF29">
        <v>0.37893869375693612</v>
      </c>
      <c r="BG29">
        <v>0.11999877925962096</v>
      </c>
      <c r="BJ29" s="16">
        <f>1</f>
        <v>1</v>
      </c>
      <c r="BK29" s="14">
        <f t="shared" si="20"/>
        <v>6.2375204804963955</v>
      </c>
      <c r="BL29" s="14">
        <f t="shared" si="21"/>
        <v>5.5456918532177042</v>
      </c>
      <c r="BM29" s="16">
        <f t="shared" si="22"/>
        <v>1</v>
      </c>
      <c r="BO29" s="10">
        <f t="shared" si="23"/>
        <v>-12.298749551606292</v>
      </c>
      <c r="BP29" s="10">
        <f t="shared" si="24"/>
        <v>-1</v>
      </c>
      <c r="BQ29" s="10">
        <f t="shared" si="25"/>
        <v>-1</v>
      </c>
      <c r="BR29" s="10">
        <f t="shared" si="26"/>
        <v>1</v>
      </c>
      <c r="BV29" s="16">
        <f t="shared" si="27"/>
        <v>6.2375204804963955</v>
      </c>
      <c r="BW29" s="16">
        <f t="shared" si="28"/>
        <v>5.5456918532177042</v>
      </c>
      <c r="BX29" s="16">
        <f t="shared" si="29"/>
        <v>-100</v>
      </c>
      <c r="BY29" s="16">
        <f t="shared" si="30"/>
        <v>-100</v>
      </c>
    </row>
    <row r="30" spans="1:77" x14ac:dyDescent="0.25">
      <c r="B30" s="10">
        <f t="shared" si="2"/>
        <v>11</v>
      </c>
      <c r="C30">
        <v>0.41678049456095323</v>
      </c>
      <c r="D30">
        <v>0.28235263016540557</v>
      </c>
      <c r="E30">
        <v>0.92742698446607863</v>
      </c>
      <c r="H30" s="18">
        <f>1</f>
        <v>1</v>
      </c>
      <c r="I30" s="19">
        <f t="shared" si="3"/>
        <v>6.8083222077872518</v>
      </c>
      <c r="J30" s="19">
        <f t="shared" si="4"/>
        <v>5.4064472150756622</v>
      </c>
      <c r="K30" s="18">
        <f t="shared" si="5"/>
        <v>-1</v>
      </c>
      <c r="L30" s="17"/>
      <c r="M30" s="17"/>
      <c r="N30" s="18">
        <f t="shared" si="6"/>
        <v>-100</v>
      </c>
      <c r="O30" s="18">
        <f t="shared" si="6"/>
        <v>-100</v>
      </c>
      <c r="P30" s="18">
        <f t="shared" si="7"/>
        <v>6.8083222077872518</v>
      </c>
      <c r="Q30" s="18">
        <f t="shared" si="7"/>
        <v>5.4064472150756622</v>
      </c>
      <c r="S30" s="10">
        <f t="shared" si="8"/>
        <v>20.14356843251068</v>
      </c>
      <c r="T30" s="10">
        <f t="shared" si="9"/>
        <v>1</v>
      </c>
      <c r="U30" s="10">
        <f t="shared" si="10"/>
        <v>-1</v>
      </c>
      <c r="V30" s="10">
        <f t="shared" si="11"/>
        <v>1</v>
      </c>
      <c r="Y30" s="10">
        <f t="shared" si="31"/>
        <v>-0.70082399975499998</v>
      </c>
      <c r="Z30" s="10">
        <f t="shared" si="12"/>
        <v>-4.7714356012822536</v>
      </c>
      <c r="AA30" s="10">
        <f t="shared" si="13"/>
        <v>-3.7889679617336061</v>
      </c>
      <c r="AB30" s="10">
        <f t="shared" si="14"/>
        <v>-0.600823999755</v>
      </c>
      <c r="AC30" s="10">
        <f t="shared" si="15"/>
        <v>-6.2509448967931078</v>
      </c>
      <c r="AD30" s="10">
        <f t="shared" si="16"/>
        <v>1.7815191303785891</v>
      </c>
      <c r="AE30" s="10">
        <f t="shared" si="17"/>
        <v>-1</v>
      </c>
      <c r="AF30" s="10">
        <f t="shared" si="18"/>
        <v>0</v>
      </c>
      <c r="AI30" s="10">
        <f t="shared" si="32"/>
        <v>-1</v>
      </c>
      <c r="AJ30" s="10">
        <f t="shared" si="33"/>
        <v>0</v>
      </c>
      <c r="AK30" s="10">
        <f t="shared" si="34"/>
        <v>0</v>
      </c>
      <c r="BD30" s="10">
        <f t="shared" si="19"/>
        <v>11</v>
      </c>
      <c r="BE30">
        <v>1.7000911611830816</v>
      </c>
      <c r="BF30">
        <v>-2.2530457499669865E-2</v>
      </c>
      <c r="BG30">
        <v>1.0956144901882993E-2</v>
      </c>
      <c r="BJ30" s="16">
        <f>1</f>
        <v>1</v>
      </c>
      <c r="BK30" s="14">
        <f t="shared" si="20"/>
        <v>8.6584248287340166</v>
      </c>
      <c r="BL30" s="14">
        <f t="shared" si="21"/>
        <v>4.9669082832781069</v>
      </c>
      <c r="BM30" s="16">
        <f t="shared" si="22"/>
        <v>1</v>
      </c>
      <c r="BO30" s="10">
        <f t="shared" si="23"/>
        <v>-67.551628717343348</v>
      </c>
      <c r="BP30" s="10">
        <f t="shared" si="24"/>
        <v>-1</v>
      </c>
      <c r="BQ30" s="10">
        <f t="shared" si="25"/>
        <v>-1</v>
      </c>
      <c r="BR30" s="10">
        <f t="shared" si="26"/>
        <v>1</v>
      </c>
      <c r="BV30" s="16">
        <f t="shared" si="27"/>
        <v>8.6584248287340166</v>
      </c>
      <c r="BW30" s="16">
        <f t="shared" si="28"/>
        <v>4.9669082832781069</v>
      </c>
      <c r="BX30" s="16">
        <f t="shared" si="29"/>
        <v>-100</v>
      </c>
      <c r="BY30" s="16">
        <f t="shared" si="30"/>
        <v>-100</v>
      </c>
    </row>
    <row r="31" spans="1:77" x14ac:dyDescent="0.25">
      <c r="B31" s="10">
        <f t="shared" si="2"/>
        <v>12</v>
      </c>
      <c r="C31">
        <v>1.014439021673752</v>
      </c>
      <c r="D31">
        <v>-0.43008412831113674</v>
      </c>
      <c r="E31">
        <v>0.5306558427686392</v>
      </c>
      <c r="H31" s="18">
        <f>1</f>
        <v>1</v>
      </c>
      <c r="I31" s="19">
        <f t="shared" si="3"/>
        <v>7.669944912407189</v>
      </c>
      <c r="J31" s="19">
        <f t="shared" si="4"/>
        <v>4.3793528813352118</v>
      </c>
      <c r="K31" s="18">
        <f t="shared" si="5"/>
        <v>-1</v>
      </c>
      <c r="L31" s="17"/>
      <c r="M31" s="17"/>
      <c r="N31" s="18">
        <f t="shared" si="6"/>
        <v>-100</v>
      </c>
      <c r="O31" s="18">
        <f t="shared" si="6"/>
        <v>-100</v>
      </c>
      <c r="P31" s="18">
        <f t="shared" si="7"/>
        <v>7.669944912407189</v>
      </c>
      <c r="Q31" s="18">
        <f t="shared" si="7"/>
        <v>4.3793528813352118</v>
      </c>
      <c r="S31" s="10">
        <f t="shared" si="8"/>
        <v>-40.74332607187371</v>
      </c>
      <c r="T31" s="10">
        <f t="shared" si="9"/>
        <v>-1</v>
      </c>
      <c r="U31" s="10">
        <f t="shared" si="10"/>
        <v>0</v>
      </c>
      <c r="V31" s="10">
        <f t="shared" si="11"/>
        <v>0</v>
      </c>
      <c r="Y31" s="10">
        <f t="shared" si="31"/>
        <v>0</v>
      </c>
      <c r="Z31" s="10">
        <f t="shared" si="12"/>
        <v>0</v>
      </c>
      <c r="AA31" s="10">
        <f t="shared" si="13"/>
        <v>0</v>
      </c>
      <c r="AB31" s="10">
        <f t="shared" si="14"/>
        <v>-0.600823999755</v>
      </c>
      <c r="AC31" s="10">
        <f t="shared" si="15"/>
        <v>-6.2509448967931078</v>
      </c>
      <c r="AD31" s="10">
        <f t="shared" si="16"/>
        <v>1.7815191303785891</v>
      </c>
      <c r="AE31" s="10">
        <f t="shared" si="17"/>
        <v>-1</v>
      </c>
      <c r="AF31" s="10">
        <f t="shared" si="18"/>
        <v>0</v>
      </c>
      <c r="AI31" s="10">
        <f t="shared" si="32"/>
        <v>-1</v>
      </c>
      <c r="AJ31" s="10">
        <f t="shared" si="33"/>
        <v>0</v>
      </c>
      <c r="AK31" s="10">
        <f t="shared" si="34"/>
        <v>0</v>
      </c>
      <c r="AV31" s="39" t="s">
        <v>56</v>
      </c>
      <c r="AW31" s="39"/>
      <c r="AX31" s="39"/>
      <c r="AY31" s="39"/>
      <c r="AZ31" s="39"/>
      <c r="BD31" s="10">
        <f t="shared" si="19"/>
        <v>12</v>
      </c>
      <c r="BE31">
        <v>-1.2895407053292729</v>
      </c>
      <c r="BF31">
        <v>-0.36222445487510413</v>
      </c>
      <c r="BG31">
        <v>0.96749778740806303</v>
      </c>
      <c r="BJ31" s="16">
        <f>1</f>
        <v>1</v>
      </c>
      <c r="BK31" s="14">
        <f t="shared" si="20"/>
        <v>4.3483805847636514</v>
      </c>
      <c r="BL31" s="14">
        <f t="shared" si="21"/>
        <v>4.4771837206993501</v>
      </c>
      <c r="BM31" s="16">
        <f t="shared" si="22"/>
        <v>-1</v>
      </c>
      <c r="BO31" s="10">
        <f t="shared" si="23"/>
        <v>2.8939050433223343</v>
      </c>
      <c r="BP31" s="10">
        <f t="shared" si="24"/>
        <v>1</v>
      </c>
      <c r="BQ31" s="10">
        <f t="shared" si="25"/>
        <v>1</v>
      </c>
      <c r="BR31" s="10">
        <f t="shared" si="26"/>
        <v>1</v>
      </c>
      <c r="BV31" s="16">
        <f t="shared" si="27"/>
        <v>-100</v>
      </c>
      <c r="BW31" s="16">
        <f t="shared" si="28"/>
        <v>-100</v>
      </c>
      <c r="BX31" s="16">
        <f t="shared" si="29"/>
        <v>4.3483805847636514</v>
      </c>
      <c r="BY31" s="16">
        <f t="shared" si="30"/>
        <v>4.4771837206993501</v>
      </c>
    </row>
    <row r="32" spans="1:77" x14ac:dyDescent="0.25">
      <c r="B32" s="10">
        <f t="shared" si="2"/>
        <v>13</v>
      </c>
      <c r="C32">
        <v>-3.2403022487415001E-2</v>
      </c>
      <c r="D32">
        <v>-1.2808050087187439</v>
      </c>
      <c r="E32">
        <v>0.65443891720328384</v>
      </c>
      <c r="H32" s="18">
        <f>1</f>
        <v>1</v>
      </c>
      <c r="I32" s="19">
        <f t="shared" si="3"/>
        <v>6.1607505606469024</v>
      </c>
      <c r="J32" s="19">
        <f t="shared" si="4"/>
        <v>3.1528993253314601</v>
      </c>
      <c r="K32" s="18">
        <f t="shared" si="5"/>
        <v>-1</v>
      </c>
      <c r="L32" s="17"/>
      <c r="M32" s="17"/>
      <c r="N32" s="18">
        <f t="shared" si="6"/>
        <v>-100</v>
      </c>
      <c r="O32" s="18">
        <f t="shared" si="6"/>
        <v>-100</v>
      </c>
      <c r="P32" s="18">
        <f t="shared" si="7"/>
        <v>6.1607505606469024</v>
      </c>
      <c r="Q32" s="18">
        <f t="shared" si="7"/>
        <v>3.1528993253314601</v>
      </c>
      <c r="S32" s="10">
        <f t="shared" si="8"/>
        <v>-33.49438581301029</v>
      </c>
      <c r="T32" s="10">
        <f t="shared" si="9"/>
        <v>-1</v>
      </c>
      <c r="U32" s="10">
        <f t="shared" si="10"/>
        <v>0</v>
      </c>
      <c r="V32" s="10">
        <f t="shared" si="11"/>
        <v>0</v>
      </c>
      <c r="Y32" s="10">
        <f t="shared" si="31"/>
        <v>0</v>
      </c>
      <c r="Z32" s="10">
        <f t="shared" si="12"/>
        <v>0</v>
      </c>
      <c r="AA32" s="10">
        <f t="shared" si="13"/>
        <v>0</v>
      </c>
      <c r="AB32" s="10">
        <f t="shared" si="14"/>
        <v>-0.600823999755</v>
      </c>
      <c r="AC32" s="10">
        <f t="shared" si="15"/>
        <v>-6.2509448967931078</v>
      </c>
      <c r="AD32" s="10">
        <f t="shared" si="16"/>
        <v>1.7815191303785891</v>
      </c>
      <c r="AE32" s="10">
        <f t="shared" si="17"/>
        <v>-1</v>
      </c>
      <c r="AF32" s="10">
        <f t="shared" si="18"/>
        <v>0</v>
      </c>
      <c r="AI32" s="10">
        <f t="shared" si="32"/>
        <v>1</v>
      </c>
      <c r="AJ32" s="10">
        <f t="shared" si="33"/>
        <v>0</v>
      </c>
      <c r="AK32" s="10">
        <f t="shared" si="34"/>
        <v>0</v>
      </c>
      <c r="AV32" s="10" t="s">
        <v>57</v>
      </c>
      <c r="AW32" s="10">
        <v>0</v>
      </c>
      <c r="AX32" s="10">
        <f>-AI17/AK17-AJ17/AK17*AW32</f>
        <v>1.3896269980526368E-2</v>
      </c>
      <c r="AY32" s="10">
        <v>15</v>
      </c>
      <c r="AZ32" s="10">
        <f>-AI17/AK17-AJ17/AK17*AY32</f>
        <v>14.99515072449096</v>
      </c>
      <c r="BD32" s="10">
        <f t="shared" si="19"/>
        <v>13</v>
      </c>
      <c r="BE32">
        <v>0.39104861571104266</v>
      </c>
      <c r="BF32">
        <v>-1.3659928299603052</v>
      </c>
      <c r="BG32">
        <v>5.6825464644306774E-2</v>
      </c>
      <c r="BJ32" s="16">
        <f>1</f>
        <v>1</v>
      </c>
      <c r="BK32" s="14">
        <f t="shared" si="20"/>
        <v>6.771225487764335</v>
      </c>
      <c r="BL32" s="14">
        <f t="shared" si="21"/>
        <v>3.0300871213570311</v>
      </c>
      <c r="BM32" s="16">
        <f t="shared" si="22"/>
        <v>1</v>
      </c>
      <c r="BO32" s="10">
        <f t="shared" si="23"/>
        <v>-68.344692240344784</v>
      </c>
      <c r="BP32" s="10">
        <f t="shared" si="24"/>
        <v>-1</v>
      </c>
      <c r="BQ32" s="10">
        <f t="shared" si="25"/>
        <v>-1</v>
      </c>
      <c r="BR32" s="10">
        <f t="shared" si="26"/>
        <v>1</v>
      </c>
      <c r="BV32" s="16">
        <f t="shared" si="27"/>
        <v>6.771225487764335</v>
      </c>
      <c r="BW32" s="16">
        <f t="shared" si="28"/>
        <v>3.0300871213570311</v>
      </c>
      <c r="BX32" s="16">
        <f t="shared" si="29"/>
        <v>-100</v>
      </c>
      <c r="BY32" s="16">
        <f t="shared" si="30"/>
        <v>-100</v>
      </c>
    </row>
    <row r="33" spans="2:77" x14ac:dyDescent="0.25">
      <c r="B33" s="10">
        <f t="shared" si="2"/>
        <v>14</v>
      </c>
      <c r="C33">
        <v>0.64639834818080999</v>
      </c>
      <c r="D33">
        <v>0.76026481110602617</v>
      </c>
      <c r="E33">
        <v>0.54258857997375409</v>
      </c>
      <c r="H33" s="18">
        <f>1</f>
        <v>1</v>
      </c>
      <c r="I33" s="19">
        <f t="shared" si="3"/>
        <v>7.1393539710597036</v>
      </c>
      <c r="J33" s="19">
        <f t="shared" si="4"/>
        <v>6.0954359389580421</v>
      </c>
      <c r="K33" s="18">
        <f t="shared" si="5"/>
        <v>-1</v>
      </c>
      <c r="L33" s="17"/>
      <c r="M33" s="17"/>
      <c r="N33" s="18">
        <f t="shared" si="6"/>
        <v>-100</v>
      </c>
      <c r="O33" s="18">
        <f t="shared" si="6"/>
        <v>-100</v>
      </c>
      <c r="P33" s="18">
        <f t="shared" si="7"/>
        <v>7.1393539710597036</v>
      </c>
      <c r="Q33" s="18">
        <f t="shared" si="7"/>
        <v>6.0954359389580421</v>
      </c>
      <c r="S33" s="10">
        <f t="shared" si="8"/>
        <v>-34.369396538299334</v>
      </c>
      <c r="T33" s="10">
        <f t="shared" si="9"/>
        <v>-1</v>
      </c>
      <c r="U33" s="10">
        <f t="shared" si="10"/>
        <v>0</v>
      </c>
      <c r="V33" s="10">
        <f t="shared" si="11"/>
        <v>0</v>
      </c>
      <c r="Y33" s="10">
        <f t="shared" si="31"/>
        <v>0</v>
      </c>
      <c r="Z33" s="10">
        <f t="shared" si="12"/>
        <v>0</v>
      </c>
      <c r="AA33" s="10">
        <f t="shared" si="13"/>
        <v>0</v>
      </c>
      <c r="AB33" s="10">
        <f t="shared" si="14"/>
        <v>-0.600823999755</v>
      </c>
      <c r="AC33" s="10">
        <f t="shared" si="15"/>
        <v>-6.2509448967931078</v>
      </c>
      <c r="AD33" s="10">
        <f t="shared" si="16"/>
        <v>1.7815191303785891</v>
      </c>
      <c r="AE33" s="10">
        <f t="shared" si="17"/>
        <v>-1</v>
      </c>
      <c r="AF33" s="10">
        <f t="shared" si="18"/>
        <v>0</v>
      </c>
      <c r="AI33" s="10">
        <f t="shared" si="32"/>
        <v>-1</v>
      </c>
      <c r="AJ33" s="10">
        <f t="shared" si="33"/>
        <v>0</v>
      </c>
      <c r="AK33" s="10">
        <f t="shared" si="34"/>
        <v>0</v>
      </c>
      <c r="AV33" s="10" t="s">
        <v>58</v>
      </c>
      <c r="AW33" s="10">
        <v>0</v>
      </c>
      <c r="AX33" s="10">
        <v>0</v>
      </c>
      <c r="AY33" s="10">
        <f>AJ17/SQRT(SUMSQ($AJ$17:$AK$17))</f>
        <v>-0.70666453005975116</v>
      </c>
      <c r="AZ33" s="10">
        <f>AK17/SQRT(SUMSQ($AJ$17:$AK$17))</f>
        <v>0.70754875588572053</v>
      </c>
      <c r="BD33" s="10">
        <f t="shared" si="19"/>
        <v>14</v>
      </c>
      <c r="BE33">
        <v>0.63493871493847109</v>
      </c>
      <c r="BF33">
        <v>0.63316292653325945</v>
      </c>
      <c r="BG33">
        <v>0.87047944578386793</v>
      </c>
      <c r="BJ33" s="16">
        <f>1</f>
        <v>1</v>
      </c>
      <c r="BK33" s="14">
        <f t="shared" si="20"/>
        <v>7.1228330318606661</v>
      </c>
      <c r="BL33" s="14">
        <f t="shared" si="21"/>
        <v>5.9121977442703102</v>
      </c>
      <c r="BM33" s="16">
        <f t="shared" si="22"/>
        <v>-1</v>
      </c>
      <c r="BO33" s="10">
        <f t="shared" si="23"/>
        <v>-21.884213723804393</v>
      </c>
      <c r="BP33" s="10">
        <f t="shared" si="24"/>
        <v>-1</v>
      </c>
      <c r="BQ33" s="10">
        <f t="shared" si="25"/>
        <v>0</v>
      </c>
      <c r="BR33" s="10">
        <f t="shared" si="26"/>
        <v>0</v>
      </c>
      <c r="BV33" s="16">
        <f t="shared" si="27"/>
        <v>-100</v>
      </c>
      <c r="BW33" s="16">
        <f t="shared" si="28"/>
        <v>-100</v>
      </c>
      <c r="BX33" s="16">
        <f t="shared" si="29"/>
        <v>7.1228330318606661</v>
      </c>
      <c r="BY33" s="16">
        <f t="shared" si="30"/>
        <v>5.9121977442703102</v>
      </c>
    </row>
    <row r="34" spans="2:77" x14ac:dyDescent="0.25">
      <c r="B34" s="10">
        <f t="shared" si="2"/>
        <v>15</v>
      </c>
      <c r="C34">
        <v>-1.2694226825260557</v>
      </c>
      <c r="D34">
        <v>-0.2269541710120393</v>
      </c>
      <c r="E34">
        <v>0.41959898678548541</v>
      </c>
      <c r="H34" s="18">
        <f>1</f>
        <v>1</v>
      </c>
      <c r="I34" s="19">
        <f t="shared" si="3"/>
        <v>4.3773840113575169</v>
      </c>
      <c r="J34" s="19">
        <f t="shared" si="4"/>
        <v>4.6721980015125864</v>
      </c>
      <c r="K34" s="18">
        <f t="shared" si="5"/>
        <v>1</v>
      </c>
      <c r="L34" s="17"/>
      <c r="M34" s="17"/>
      <c r="N34" s="18">
        <f t="shared" si="6"/>
        <v>4.3773840113575169</v>
      </c>
      <c r="O34" s="18">
        <f t="shared" si="6"/>
        <v>4.6721980015125864</v>
      </c>
      <c r="P34" s="18">
        <f t="shared" si="7"/>
        <v>-100</v>
      </c>
      <c r="Q34" s="18">
        <f t="shared" si="7"/>
        <v>-100</v>
      </c>
      <c r="S34" s="10">
        <f t="shared" si="8"/>
        <v>-19.640000126242729</v>
      </c>
      <c r="T34" s="10">
        <f t="shared" si="9"/>
        <v>-1</v>
      </c>
      <c r="U34" s="10">
        <f t="shared" si="10"/>
        <v>1</v>
      </c>
      <c r="V34" s="10">
        <f t="shared" si="11"/>
        <v>1</v>
      </c>
      <c r="Y34" s="10">
        <f t="shared" si="31"/>
        <v>0.70082399975499998</v>
      </c>
      <c r="Z34" s="10">
        <f t="shared" si="12"/>
        <v>3.067775771303161</v>
      </c>
      <c r="AA34" s="10">
        <f t="shared" si="13"/>
        <v>3.2743884910673682</v>
      </c>
      <c r="AB34" s="10">
        <f t="shared" si="14"/>
        <v>9.9999999999999978E-2</v>
      </c>
      <c r="AC34" s="10">
        <f t="shared" si="15"/>
        <v>-3.1831691254899468</v>
      </c>
      <c r="AD34" s="10">
        <f t="shared" si="16"/>
        <v>5.0559076214459573</v>
      </c>
      <c r="AE34" s="10">
        <f t="shared" si="17"/>
        <v>1</v>
      </c>
      <c r="AF34" s="10">
        <f t="shared" si="18"/>
        <v>0</v>
      </c>
      <c r="AI34" s="10">
        <f t="shared" si="32"/>
        <v>-1</v>
      </c>
      <c r="AJ34" s="10">
        <f t="shared" si="33"/>
        <v>0</v>
      </c>
      <c r="AK34" s="10">
        <f t="shared" si="34"/>
        <v>0</v>
      </c>
      <c r="BD34" s="10">
        <f t="shared" si="19"/>
        <v>15</v>
      </c>
      <c r="BE34">
        <v>1.5774639905430377</v>
      </c>
      <c r="BF34">
        <v>-2.0489460439421237</v>
      </c>
      <c r="BG34">
        <v>0.80910672322763755</v>
      </c>
      <c r="BJ34" s="16">
        <f>1</f>
        <v>1</v>
      </c>
      <c r="BK34" s="14">
        <f t="shared" si="20"/>
        <v>8.4816376674478136</v>
      </c>
      <c r="BL34" s="14">
        <f t="shared" si="21"/>
        <v>2.0454981484487065</v>
      </c>
      <c r="BM34" s="16">
        <f t="shared" si="22"/>
        <v>-1</v>
      </c>
      <c r="BO34" s="10">
        <f t="shared" si="23"/>
        <v>-117.95622416197732</v>
      </c>
      <c r="BP34" s="10">
        <f t="shared" si="24"/>
        <v>-1</v>
      </c>
      <c r="BQ34" s="10">
        <f t="shared" si="25"/>
        <v>0</v>
      </c>
      <c r="BR34" s="10">
        <f t="shared" si="26"/>
        <v>0</v>
      </c>
      <c r="BV34" s="16">
        <f t="shared" si="27"/>
        <v>-100</v>
      </c>
      <c r="BW34" s="16">
        <f t="shared" si="28"/>
        <v>-100</v>
      </c>
      <c r="BX34" s="16">
        <f t="shared" si="29"/>
        <v>8.4816376674478136</v>
      </c>
      <c r="BY34" s="16">
        <f t="shared" si="30"/>
        <v>2.0454981484487065</v>
      </c>
    </row>
    <row r="35" spans="2:77" x14ac:dyDescent="0.25">
      <c r="B35" s="10">
        <f t="shared" si="2"/>
        <v>16</v>
      </c>
      <c r="C35">
        <v>-0.29016405278525781</v>
      </c>
      <c r="D35">
        <v>2.472206688253209</v>
      </c>
      <c r="E35">
        <v>0.70461134678182313</v>
      </c>
      <c r="H35" s="18">
        <f>1</f>
        <v>1</v>
      </c>
      <c r="I35" s="19">
        <f t="shared" si="3"/>
        <v>5.7891457963950703</v>
      </c>
      <c r="J35" s="19">
        <f t="shared" si="4"/>
        <v>8.5634806893030753</v>
      </c>
      <c r="K35" s="18">
        <f t="shared" si="5"/>
        <v>1</v>
      </c>
      <c r="L35" s="17"/>
      <c r="M35" s="17"/>
      <c r="N35" s="18">
        <f t="shared" si="6"/>
        <v>5.7891457963950703</v>
      </c>
      <c r="O35" s="18">
        <f t="shared" si="6"/>
        <v>8.5634806893030753</v>
      </c>
      <c r="P35" s="18">
        <f t="shared" si="7"/>
        <v>-100</v>
      </c>
      <c r="Q35" s="18">
        <f t="shared" si="7"/>
        <v>-100</v>
      </c>
      <c r="S35" s="10">
        <f t="shared" si="8"/>
        <v>24.968337121108004</v>
      </c>
      <c r="T35" s="10">
        <f t="shared" si="9"/>
        <v>1</v>
      </c>
      <c r="U35" s="10">
        <f t="shared" si="10"/>
        <v>0</v>
      </c>
      <c r="V35" s="10">
        <f t="shared" si="11"/>
        <v>0</v>
      </c>
      <c r="Y35" s="10">
        <f t="shared" si="31"/>
        <v>0</v>
      </c>
      <c r="Z35" s="10">
        <f t="shared" si="12"/>
        <v>0</v>
      </c>
      <c r="AA35" s="10">
        <f t="shared" si="13"/>
        <v>0</v>
      </c>
      <c r="AB35" s="10">
        <f t="shared" si="14"/>
        <v>9.9999999999999978E-2</v>
      </c>
      <c r="AC35" s="10">
        <f t="shared" si="15"/>
        <v>-3.1831691254899468</v>
      </c>
      <c r="AD35" s="10">
        <f t="shared" si="16"/>
        <v>5.0559076214459573</v>
      </c>
      <c r="AE35" s="10">
        <f t="shared" si="17"/>
        <v>1</v>
      </c>
      <c r="AF35" s="10">
        <f t="shared" si="18"/>
        <v>0</v>
      </c>
      <c r="AI35" s="10">
        <f t="shared" si="32"/>
        <v>-1</v>
      </c>
      <c r="AJ35" s="10">
        <f t="shared" si="33"/>
        <v>0</v>
      </c>
      <c r="AK35" s="10">
        <f t="shared" si="34"/>
        <v>0</v>
      </c>
      <c r="BD35" s="10">
        <f t="shared" si="19"/>
        <v>16</v>
      </c>
      <c r="BE35">
        <v>-0.59300418797647581</v>
      </c>
      <c r="BF35">
        <v>0.88928118202602491</v>
      </c>
      <c r="BG35">
        <v>0.48091067232276374</v>
      </c>
      <c r="BJ35" s="16">
        <f>1</f>
        <v>1</v>
      </c>
      <c r="BK35" s="14">
        <f t="shared" si="20"/>
        <v>5.3525521153654383</v>
      </c>
      <c r="BL35" s="14">
        <f t="shared" si="21"/>
        <v>6.2814341794405344</v>
      </c>
      <c r="BM35" s="16">
        <f t="shared" si="22"/>
        <v>1</v>
      </c>
      <c r="BO35" s="10">
        <f t="shared" si="23"/>
        <v>17.5274519909524</v>
      </c>
      <c r="BP35" s="10">
        <f t="shared" si="24"/>
        <v>1</v>
      </c>
      <c r="BQ35" s="10">
        <f t="shared" si="25"/>
        <v>0</v>
      </c>
      <c r="BR35" s="10">
        <f t="shared" si="26"/>
        <v>0</v>
      </c>
      <c r="BV35" s="16">
        <f t="shared" si="27"/>
        <v>5.3525521153654383</v>
      </c>
      <c r="BW35" s="16">
        <f t="shared" si="28"/>
        <v>6.2814341794405344</v>
      </c>
      <c r="BX35" s="16">
        <f t="shared" si="29"/>
        <v>-100</v>
      </c>
      <c r="BY35" s="16">
        <f t="shared" si="30"/>
        <v>-100</v>
      </c>
    </row>
    <row r="36" spans="2:77" x14ac:dyDescent="0.25">
      <c r="B36" s="10">
        <f t="shared" si="2"/>
        <v>17</v>
      </c>
      <c r="C36">
        <v>-0.34122763281629886</v>
      </c>
      <c r="D36">
        <v>0.7240930699481396</v>
      </c>
      <c r="E36">
        <v>0.97988830225531787</v>
      </c>
      <c r="H36" s="18">
        <f>1</f>
        <v>1</v>
      </c>
      <c r="I36" s="19">
        <f t="shared" si="3"/>
        <v>5.7155292780355511</v>
      </c>
      <c r="J36" s="19">
        <f t="shared" si="4"/>
        <v>6.0432884466469545</v>
      </c>
      <c r="K36" s="18">
        <f t="shared" si="5"/>
        <v>1</v>
      </c>
      <c r="L36" s="17"/>
      <c r="M36" s="17"/>
      <c r="N36" s="18">
        <f t="shared" si="6"/>
        <v>5.7155292780355511</v>
      </c>
      <c r="O36" s="18">
        <f t="shared" si="6"/>
        <v>6.0432884466469545</v>
      </c>
      <c r="P36" s="18">
        <f t="shared" si="7"/>
        <v>-100</v>
      </c>
      <c r="Q36" s="18">
        <f t="shared" si="7"/>
        <v>-100</v>
      </c>
      <c r="S36" s="10">
        <f t="shared" si="8"/>
        <v>12.460811782322025</v>
      </c>
      <c r="T36" s="10">
        <f t="shared" si="9"/>
        <v>1</v>
      </c>
      <c r="U36" s="10">
        <f t="shared" si="10"/>
        <v>0</v>
      </c>
      <c r="V36" s="10">
        <f t="shared" si="11"/>
        <v>0</v>
      </c>
      <c r="Y36" s="10">
        <f t="shared" si="31"/>
        <v>0</v>
      </c>
      <c r="Z36" s="10">
        <f t="shared" si="12"/>
        <v>0</v>
      </c>
      <c r="AA36" s="10">
        <f t="shared" si="13"/>
        <v>0</v>
      </c>
      <c r="AB36" s="10">
        <f t="shared" si="14"/>
        <v>9.9999999999999978E-2</v>
      </c>
      <c r="AC36" s="10">
        <f t="shared" si="15"/>
        <v>-3.1831691254899468</v>
      </c>
      <c r="AD36" s="10">
        <f t="shared" si="16"/>
        <v>5.0559076214459573</v>
      </c>
      <c r="AE36" s="10">
        <f t="shared" si="17"/>
        <v>1</v>
      </c>
      <c r="AF36" s="10">
        <f t="shared" si="18"/>
        <v>0</v>
      </c>
      <c r="AI36" s="10">
        <f t="shared" si="32"/>
        <v>-1</v>
      </c>
      <c r="AJ36" s="10">
        <f t="shared" si="33"/>
        <v>0</v>
      </c>
      <c r="AK36" s="10">
        <f t="shared" si="34"/>
        <v>0</v>
      </c>
      <c r="BD36" s="10">
        <f t="shared" si="19"/>
        <v>17</v>
      </c>
      <c r="BE36">
        <v>-7.9987785284174606E-2</v>
      </c>
      <c r="BF36">
        <v>0.42874148675764445</v>
      </c>
      <c r="BG36">
        <v>0.62300485244300663</v>
      </c>
      <c r="BJ36" s="16">
        <f>1</f>
        <v>1</v>
      </c>
      <c r="BK36" s="14">
        <f t="shared" si="20"/>
        <v>6.0921493274013772</v>
      </c>
      <c r="BL36" s="14">
        <f t="shared" si="21"/>
        <v>5.6174907404689165</v>
      </c>
      <c r="BM36" s="16">
        <f t="shared" si="22"/>
        <v>-1</v>
      </c>
      <c r="BO36" s="10">
        <f t="shared" si="23"/>
        <v>-8.3004529577913644</v>
      </c>
      <c r="BP36" s="10">
        <f t="shared" si="24"/>
        <v>-1</v>
      </c>
      <c r="BQ36" s="10">
        <f t="shared" si="25"/>
        <v>0</v>
      </c>
      <c r="BR36" s="10">
        <f t="shared" si="26"/>
        <v>0</v>
      </c>
      <c r="BV36" s="16">
        <f t="shared" si="27"/>
        <v>-100</v>
      </c>
      <c r="BW36" s="16">
        <f t="shared" si="28"/>
        <v>-100</v>
      </c>
      <c r="BX36" s="16">
        <f t="shared" si="29"/>
        <v>6.0921493274013772</v>
      </c>
      <c r="BY36" s="16">
        <f t="shared" si="30"/>
        <v>5.6174907404689165</v>
      </c>
    </row>
    <row r="37" spans="2:77" x14ac:dyDescent="0.25">
      <c r="B37" s="10">
        <f t="shared" si="2"/>
        <v>18</v>
      </c>
      <c r="C37">
        <v>-0.85019792095408775</v>
      </c>
      <c r="D37">
        <v>1.7334787116851658</v>
      </c>
      <c r="E37">
        <v>0.62804040650654624</v>
      </c>
      <c r="H37" s="18">
        <f>1</f>
        <v>1</v>
      </c>
      <c r="I37" s="19">
        <f t="shared" si="3"/>
        <v>4.9817652031632411</v>
      </c>
      <c r="J37" s="19">
        <f t="shared" si="4"/>
        <v>7.4984832563645156</v>
      </c>
      <c r="K37" s="18">
        <f t="shared" si="5"/>
        <v>1</v>
      </c>
      <c r="L37" s="17"/>
      <c r="M37" s="17"/>
      <c r="N37" s="18">
        <f t="shared" si="6"/>
        <v>4.9817652031632411</v>
      </c>
      <c r="O37" s="18">
        <f t="shared" si="6"/>
        <v>7.4984832563645156</v>
      </c>
      <c r="P37" s="18">
        <f t="shared" si="7"/>
        <v>-100</v>
      </c>
      <c r="Q37" s="18">
        <f t="shared" si="7"/>
        <v>-100</v>
      </c>
      <c r="S37" s="10">
        <f t="shared" si="8"/>
        <v>22.153837459988871</v>
      </c>
      <c r="T37" s="10">
        <f t="shared" si="9"/>
        <v>1</v>
      </c>
      <c r="U37" s="10">
        <f t="shared" si="10"/>
        <v>0</v>
      </c>
      <c r="V37" s="10">
        <f t="shared" si="11"/>
        <v>0</v>
      </c>
      <c r="Y37" s="10">
        <f t="shared" si="31"/>
        <v>0</v>
      </c>
      <c r="Z37" s="10">
        <f t="shared" si="12"/>
        <v>0</v>
      </c>
      <c r="AA37" s="10">
        <f t="shared" si="13"/>
        <v>0</v>
      </c>
      <c r="AB37" s="10">
        <f t="shared" si="14"/>
        <v>9.9999999999999978E-2</v>
      </c>
      <c r="AC37" s="10">
        <f t="shared" si="15"/>
        <v>-3.1831691254899468</v>
      </c>
      <c r="AD37" s="10">
        <f t="shared" si="16"/>
        <v>5.0559076214459573</v>
      </c>
      <c r="AE37" s="10">
        <f t="shared" si="17"/>
        <v>1</v>
      </c>
      <c r="AF37" s="10">
        <f t="shared" si="18"/>
        <v>0</v>
      </c>
      <c r="AI37" s="10">
        <f t="shared" si="32"/>
        <v>1</v>
      </c>
      <c r="AJ37" s="10">
        <f t="shared" si="33"/>
        <v>0</v>
      </c>
      <c r="AK37" s="10">
        <f t="shared" si="34"/>
        <v>0</v>
      </c>
      <c r="BD37" s="10">
        <f t="shared" si="19"/>
        <v>18</v>
      </c>
      <c r="BE37">
        <v>-0.79284291132353246</v>
      </c>
      <c r="BF37">
        <v>0.68874783210048918</v>
      </c>
      <c r="BG37">
        <v>0.36246833704641868</v>
      </c>
      <c r="BJ37" s="16">
        <f>1</f>
        <v>1</v>
      </c>
      <c r="BK37" s="14">
        <f t="shared" si="20"/>
        <v>5.0644518482615961</v>
      </c>
      <c r="BL37" s="14">
        <f t="shared" si="21"/>
        <v>5.9923324942959564</v>
      </c>
      <c r="BM37" s="16">
        <f t="shared" si="22"/>
        <v>1</v>
      </c>
      <c r="BO37" s="10">
        <f t="shared" si="23"/>
        <v>17.527137281483661</v>
      </c>
      <c r="BP37" s="10">
        <f t="shared" si="24"/>
        <v>1</v>
      </c>
      <c r="BQ37" s="10">
        <f t="shared" si="25"/>
        <v>0</v>
      </c>
      <c r="BR37" s="10">
        <f t="shared" si="26"/>
        <v>0</v>
      </c>
      <c r="BV37" s="16">
        <f t="shared" si="27"/>
        <v>5.0644518482615961</v>
      </c>
      <c r="BW37" s="16">
        <f t="shared" si="28"/>
        <v>5.9923324942959564</v>
      </c>
      <c r="BX37" s="16">
        <f t="shared" si="29"/>
        <v>-100</v>
      </c>
      <c r="BY37" s="16">
        <f t="shared" si="30"/>
        <v>-100</v>
      </c>
    </row>
    <row r="38" spans="2:77" x14ac:dyDescent="0.25">
      <c r="B38" s="10">
        <f t="shared" si="2"/>
        <v>19</v>
      </c>
      <c r="C38">
        <v>-0.95541963673895225</v>
      </c>
      <c r="D38">
        <v>0.14605575415771455</v>
      </c>
      <c r="E38">
        <v>0.1672719504379406</v>
      </c>
      <c r="H38" s="18">
        <f>1</f>
        <v>1</v>
      </c>
      <c r="I38" s="19">
        <f t="shared" si="3"/>
        <v>4.8300708572676392</v>
      </c>
      <c r="J38" s="19">
        <f t="shared" si="4"/>
        <v>5.2099529334591788</v>
      </c>
      <c r="K38" s="18">
        <f t="shared" si="5"/>
        <v>1</v>
      </c>
      <c r="L38" s="17"/>
      <c r="M38" s="17"/>
      <c r="N38" s="18">
        <f t="shared" si="6"/>
        <v>4.8300708572676392</v>
      </c>
      <c r="O38" s="18">
        <f t="shared" si="6"/>
        <v>5.2099529334591788</v>
      </c>
      <c r="P38" s="18">
        <f t="shared" si="7"/>
        <v>-100</v>
      </c>
      <c r="Q38" s="18">
        <f t="shared" si="7"/>
        <v>-100</v>
      </c>
      <c r="S38" s="10">
        <f t="shared" si="8"/>
        <v>11.066108316867878</v>
      </c>
      <c r="T38" s="10">
        <f t="shared" si="9"/>
        <v>1</v>
      </c>
      <c r="U38" s="10">
        <f t="shared" si="10"/>
        <v>0</v>
      </c>
      <c r="V38" s="10">
        <f t="shared" si="11"/>
        <v>0</v>
      </c>
      <c r="Y38" s="10">
        <f t="shared" si="31"/>
        <v>0</v>
      </c>
      <c r="Z38" s="10">
        <f t="shared" si="12"/>
        <v>0</v>
      </c>
      <c r="AA38" s="10">
        <f t="shared" si="13"/>
        <v>0</v>
      </c>
      <c r="AB38" s="10">
        <f t="shared" si="14"/>
        <v>9.9999999999999978E-2</v>
      </c>
      <c r="AC38" s="10">
        <f t="shared" si="15"/>
        <v>-3.1831691254899468</v>
      </c>
      <c r="AD38" s="10">
        <f t="shared" si="16"/>
        <v>5.0559076214459573</v>
      </c>
      <c r="AE38" s="10">
        <f t="shared" si="17"/>
        <v>1</v>
      </c>
      <c r="AF38" s="10">
        <f t="shared" si="18"/>
        <v>0</v>
      </c>
      <c r="AI38" s="10">
        <f t="shared" si="32"/>
        <v>1</v>
      </c>
      <c r="AJ38" s="10">
        <f t="shared" si="33"/>
        <v>0</v>
      </c>
      <c r="AK38" s="10">
        <f t="shared" si="34"/>
        <v>0</v>
      </c>
      <c r="BD38" s="10">
        <f t="shared" si="19"/>
        <v>19</v>
      </c>
      <c r="BE38">
        <v>-0.66670736487139948</v>
      </c>
      <c r="BF38">
        <v>1.1730116966646165</v>
      </c>
      <c r="BG38">
        <v>0.23233741264076663</v>
      </c>
      <c r="BJ38" s="16">
        <f>1</f>
        <v>1</v>
      </c>
      <c r="BK38" s="14">
        <f t="shared" si="20"/>
        <v>5.2462969081954416</v>
      </c>
      <c r="BL38" s="14">
        <f t="shared" si="21"/>
        <v>6.6904782109665337</v>
      </c>
      <c r="BM38" s="16">
        <f t="shared" si="22"/>
        <v>1</v>
      </c>
      <c r="BO38" s="10">
        <f t="shared" si="23"/>
        <v>26.999597607758716</v>
      </c>
      <c r="BP38" s="10">
        <f t="shared" si="24"/>
        <v>1</v>
      </c>
      <c r="BQ38" s="10">
        <f t="shared" si="25"/>
        <v>0</v>
      </c>
      <c r="BR38" s="10">
        <f t="shared" si="26"/>
        <v>0</v>
      </c>
      <c r="BV38" s="16">
        <f t="shared" si="27"/>
        <v>5.2462969081954416</v>
      </c>
      <c r="BW38" s="16">
        <f t="shared" si="28"/>
        <v>6.6904782109665337</v>
      </c>
      <c r="BX38" s="16">
        <f t="shared" si="29"/>
        <v>-100</v>
      </c>
      <c r="BY38" s="16">
        <f t="shared" si="30"/>
        <v>-100</v>
      </c>
    </row>
    <row r="39" spans="2:77" x14ac:dyDescent="0.25">
      <c r="B39" s="10">
        <f t="shared" si="2"/>
        <v>20</v>
      </c>
      <c r="C39">
        <v>-0.47662979341112077</v>
      </c>
      <c r="D39">
        <v>0.84090174823359121</v>
      </c>
      <c r="E39">
        <v>0.88103885006256299</v>
      </c>
      <c r="H39" s="18">
        <f>1</f>
        <v>1</v>
      </c>
      <c r="I39" s="19">
        <f t="shared" si="3"/>
        <v>5.5203248753029612</v>
      </c>
      <c r="J39" s="19">
        <f t="shared" si="4"/>
        <v>6.2116872977326949</v>
      </c>
      <c r="K39" s="18">
        <f t="shared" si="5"/>
        <v>1</v>
      </c>
      <c r="L39" s="17"/>
      <c r="M39" s="17"/>
      <c r="N39" s="18">
        <f t="shared" si="6"/>
        <v>5.5203248753029612</v>
      </c>
      <c r="O39" s="18">
        <f t="shared" si="6"/>
        <v>6.2116872977326949</v>
      </c>
      <c r="P39" s="18">
        <f t="shared" si="7"/>
        <v>-100</v>
      </c>
      <c r="Q39" s="18">
        <f t="shared" si="7"/>
        <v>-100</v>
      </c>
      <c r="S39" s="10">
        <f t="shared" si="8"/>
        <v>13.933589444907248</v>
      </c>
      <c r="T39" s="10">
        <f t="shared" si="9"/>
        <v>1</v>
      </c>
      <c r="U39" s="10">
        <f t="shared" si="10"/>
        <v>0</v>
      </c>
      <c r="V39" s="10">
        <f t="shared" si="11"/>
        <v>0</v>
      </c>
      <c r="X39" s="10">
        <f>SUM(V20:V39)</f>
        <v>10</v>
      </c>
      <c r="Y39" s="10">
        <f t="shared" si="31"/>
        <v>0</v>
      </c>
      <c r="Z39" s="10">
        <f t="shared" si="12"/>
        <v>0</v>
      </c>
      <c r="AA39" s="10">
        <f t="shared" si="13"/>
        <v>0</v>
      </c>
      <c r="AB39" s="10">
        <f t="shared" si="14"/>
        <v>9.9999999999999978E-2</v>
      </c>
      <c r="AC39" s="10">
        <f t="shared" si="15"/>
        <v>-3.1831691254899468</v>
      </c>
      <c r="AD39" s="10">
        <f t="shared" si="16"/>
        <v>5.0559076214459573</v>
      </c>
      <c r="AE39" s="10">
        <f t="shared" si="17"/>
        <v>1</v>
      </c>
      <c r="AF39" s="10">
        <f t="shared" si="18"/>
        <v>0</v>
      </c>
      <c r="AI39" s="10">
        <f t="shared" si="32"/>
        <v>1</v>
      </c>
      <c r="AJ39" s="10">
        <f t="shared" si="33"/>
        <v>0</v>
      </c>
      <c r="AK39" s="10">
        <f t="shared" si="34"/>
        <v>0</v>
      </c>
      <c r="BD39" s="10">
        <f t="shared" si="19"/>
        <v>20</v>
      </c>
      <c r="BE39">
        <v>0.51059032557532191</v>
      </c>
      <c r="BF39">
        <v>-5.6600129028083757E-2</v>
      </c>
      <c r="BG39">
        <v>0.10144352549821467</v>
      </c>
      <c r="BJ39" s="16">
        <f>1</f>
        <v>1</v>
      </c>
      <c r="BK39" s="14">
        <f t="shared" si="20"/>
        <v>6.94356445173048</v>
      </c>
      <c r="BL39" s="14">
        <f t="shared" si="21"/>
        <v>4.9177912688022403</v>
      </c>
      <c r="BM39" s="16">
        <f t="shared" si="22"/>
        <v>1</v>
      </c>
      <c r="BO39" s="10">
        <f t="shared" si="23"/>
        <v>-36.846145470430713</v>
      </c>
      <c r="BP39" s="10">
        <f t="shared" si="24"/>
        <v>-1</v>
      </c>
      <c r="BQ39" s="10">
        <f t="shared" si="25"/>
        <v>-1</v>
      </c>
      <c r="BR39" s="10">
        <f t="shared" si="26"/>
        <v>1</v>
      </c>
      <c r="BV39" s="16">
        <f t="shared" si="27"/>
        <v>6.94356445173048</v>
      </c>
      <c r="BW39" s="16">
        <f t="shared" si="28"/>
        <v>4.9177912688022403</v>
      </c>
      <c r="BX39" s="16">
        <f t="shared" si="29"/>
        <v>-100</v>
      </c>
      <c r="BY39" s="16">
        <f t="shared" si="30"/>
        <v>-100</v>
      </c>
    </row>
    <row r="40" spans="2:77" x14ac:dyDescent="0.25">
      <c r="B40" s="10">
        <f t="shared" si="2"/>
        <v>21</v>
      </c>
      <c r="C40">
        <v>2.0712923287646845</v>
      </c>
      <c r="D40">
        <v>-0.4544642706605373</v>
      </c>
      <c r="E40">
        <v>0.89724417859431749</v>
      </c>
      <c r="H40" s="18">
        <f>1</f>
        <v>1</v>
      </c>
      <c r="I40" s="19">
        <f t="shared" si="3"/>
        <v>9.1935721402177464</v>
      </c>
      <c r="J40" s="19">
        <f t="shared" si="4"/>
        <v>4.3442049109856731</v>
      </c>
      <c r="K40" s="18">
        <f t="shared" si="5"/>
        <v>-1</v>
      </c>
      <c r="L40" s="17"/>
      <c r="M40" s="17"/>
      <c r="N40" s="18">
        <f t="shared" si="6"/>
        <v>-100</v>
      </c>
      <c r="O40" s="18">
        <f t="shared" si="6"/>
        <v>-100</v>
      </c>
      <c r="P40" s="18">
        <f t="shared" si="7"/>
        <v>9.1935721402177464</v>
      </c>
      <c r="Q40" s="18">
        <f t="shared" si="7"/>
        <v>4.3442049109856731</v>
      </c>
      <c r="S40" s="12">
        <f t="shared" si="8"/>
        <v>-7.2007962711302405</v>
      </c>
      <c r="T40" s="12">
        <f t="shared" si="9"/>
        <v>-1</v>
      </c>
      <c r="U40" s="12">
        <f t="shared" si="10"/>
        <v>0</v>
      </c>
      <c r="V40" s="12">
        <f t="shared" si="11"/>
        <v>0</v>
      </c>
      <c r="W40" s="12"/>
      <c r="X40" s="12"/>
      <c r="Y40" s="10">
        <f t="shared" si="31"/>
        <v>0</v>
      </c>
      <c r="Z40" s="10">
        <f t="shared" si="12"/>
        <v>0</v>
      </c>
      <c r="AA40" s="10">
        <f t="shared" si="13"/>
        <v>0</v>
      </c>
      <c r="AB40" s="10">
        <f t="shared" si="14"/>
        <v>9.9999999999999978E-2</v>
      </c>
      <c r="AC40" s="10">
        <f t="shared" si="15"/>
        <v>-3.1831691254899468</v>
      </c>
      <c r="AD40" s="10">
        <f t="shared" si="16"/>
        <v>5.0559076214459573</v>
      </c>
      <c r="AE40" s="10">
        <f t="shared" si="17"/>
        <v>-1</v>
      </c>
      <c r="AF40" s="10">
        <f t="shared" si="18"/>
        <v>0</v>
      </c>
      <c r="AI40" s="10">
        <f t="shared" si="32"/>
        <v>1</v>
      </c>
      <c r="AJ40" s="10">
        <f t="shared" si="33"/>
        <v>0</v>
      </c>
      <c r="AK40" s="10">
        <f t="shared" si="34"/>
        <v>0</v>
      </c>
      <c r="BD40" s="10">
        <f t="shared" si="19"/>
        <v>21</v>
      </c>
      <c r="BE40">
        <v>2.15153704630211</v>
      </c>
      <c r="BF40">
        <v>0.7771222954033874</v>
      </c>
      <c r="BG40">
        <v>0.32703634754478589</v>
      </c>
      <c r="BJ40" s="16">
        <f>1</f>
        <v>1</v>
      </c>
      <c r="BK40" s="14">
        <f t="shared" si="20"/>
        <v>9.3092580501805262</v>
      </c>
      <c r="BL40" s="14">
        <f t="shared" si="21"/>
        <v>6.1197387649940858</v>
      </c>
      <c r="BM40" s="16">
        <f t="shared" si="22"/>
        <v>1</v>
      </c>
      <c r="BO40" s="10">
        <f t="shared" si="23"/>
        <v>-58.371338139852668</v>
      </c>
      <c r="BP40" s="10">
        <f t="shared" si="24"/>
        <v>-1</v>
      </c>
      <c r="BQ40" s="10">
        <f t="shared" si="25"/>
        <v>-1</v>
      </c>
      <c r="BR40" s="10">
        <f t="shared" si="26"/>
        <v>1</v>
      </c>
      <c r="BV40" s="16">
        <f t="shared" si="27"/>
        <v>9.3092580501805262</v>
      </c>
      <c r="BW40" s="16">
        <f t="shared" si="28"/>
        <v>6.1197387649940858</v>
      </c>
      <c r="BX40" s="16">
        <f t="shared" si="29"/>
        <v>-100</v>
      </c>
      <c r="BY40" s="16">
        <f t="shared" si="30"/>
        <v>-100</v>
      </c>
    </row>
    <row r="41" spans="2:77" x14ac:dyDescent="0.25">
      <c r="B41" s="10">
        <f t="shared" si="2"/>
        <v>22</v>
      </c>
      <c r="C41">
        <v>0.84625298768514767</v>
      </c>
      <c r="D41">
        <v>0.98729969977284782</v>
      </c>
      <c r="E41">
        <v>0.42085024567400126</v>
      </c>
      <c r="H41" s="18">
        <f>1</f>
        <v>1</v>
      </c>
      <c r="I41" s="19">
        <f t="shared" si="3"/>
        <v>7.4274771839124334</v>
      </c>
      <c r="J41" s="19">
        <f t="shared" si="4"/>
        <v>6.4227439349824564</v>
      </c>
      <c r="K41" s="18">
        <f t="shared" si="5"/>
        <v>-1</v>
      </c>
      <c r="L41" s="17"/>
      <c r="M41" s="17"/>
      <c r="N41" s="18">
        <f t="shared" si="6"/>
        <v>-100</v>
      </c>
      <c r="O41" s="18">
        <f t="shared" si="6"/>
        <v>-100</v>
      </c>
      <c r="P41" s="18">
        <f t="shared" si="7"/>
        <v>7.4274771839124334</v>
      </c>
      <c r="Q41" s="18">
        <f t="shared" si="7"/>
        <v>6.4227439349824564</v>
      </c>
      <c r="S41" s="10">
        <f t="shared" si="8"/>
        <v>8.929883959362531</v>
      </c>
      <c r="T41" s="10">
        <f t="shared" si="9"/>
        <v>1</v>
      </c>
      <c r="U41" s="10">
        <f t="shared" si="10"/>
        <v>-1</v>
      </c>
      <c r="V41" s="10">
        <f t="shared" si="11"/>
        <v>1</v>
      </c>
      <c r="Y41" s="10">
        <f t="shared" si="31"/>
        <v>-0.70082399975499998</v>
      </c>
      <c r="Z41" s="10">
        <f t="shared" si="12"/>
        <v>-5.2053542681185148</v>
      </c>
      <c r="AA41" s="10">
        <f t="shared" si="13"/>
        <v>-4.5012130939165731</v>
      </c>
      <c r="AB41" s="10">
        <f t="shared" si="14"/>
        <v>-0.600823999755</v>
      </c>
      <c r="AC41" s="10">
        <f t="shared" si="15"/>
        <v>-8.3885233936084624</v>
      </c>
      <c r="AD41" s="10">
        <f t="shared" si="16"/>
        <v>0.5546945275293842</v>
      </c>
      <c r="AE41" s="10">
        <f t="shared" si="17"/>
        <v>-1</v>
      </c>
      <c r="AF41" s="10">
        <f t="shared" si="18"/>
        <v>0</v>
      </c>
      <c r="AI41" s="10">
        <f t="shared" si="32"/>
        <v>1</v>
      </c>
      <c r="AJ41" s="10">
        <f t="shared" si="33"/>
        <v>0</v>
      </c>
      <c r="AK41" s="10">
        <f t="shared" si="34"/>
        <v>0</v>
      </c>
      <c r="BD41" s="10">
        <f t="shared" si="19"/>
        <v>22</v>
      </c>
      <c r="BE41">
        <v>-0.52037648856639862</v>
      </c>
      <c r="BF41">
        <v>1.3586395652964711</v>
      </c>
      <c r="BG41">
        <v>0.84426404614398631</v>
      </c>
      <c r="BJ41" s="16">
        <f>1</f>
        <v>1</v>
      </c>
      <c r="BK41" s="14">
        <f t="shared" si="20"/>
        <v>5.4572568455034629</v>
      </c>
      <c r="BL41" s="14">
        <f t="shared" si="21"/>
        <v>6.9580912022779193</v>
      </c>
      <c r="BM41" s="16">
        <f t="shared" si="22"/>
        <v>-1</v>
      </c>
      <c r="BO41" s="10">
        <f t="shared" si="23"/>
        <v>28.027012426222129</v>
      </c>
      <c r="BP41" s="10">
        <f t="shared" si="24"/>
        <v>1</v>
      </c>
      <c r="BQ41" s="10">
        <f t="shared" si="25"/>
        <v>1</v>
      </c>
      <c r="BR41" s="10">
        <f t="shared" si="26"/>
        <v>1</v>
      </c>
      <c r="BV41" s="16">
        <f t="shared" si="27"/>
        <v>-100</v>
      </c>
      <c r="BW41" s="16">
        <f t="shared" si="28"/>
        <v>-100</v>
      </c>
      <c r="BX41" s="16">
        <f t="shared" si="29"/>
        <v>5.4572568455034629</v>
      </c>
      <c r="BY41" s="16">
        <f t="shared" si="30"/>
        <v>6.9580912022779193</v>
      </c>
    </row>
    <row r="42" spans="2:77" x14ac:dyDescent="0.25">
      <c r="B42" s="10">
        <f t="shared" si="2"/>
        <v>23</v>
      </c>
      <c r="C42">
        <v>1.0480289347469807</v>
      </c>
      <c r="D42">
        <v>-0.36189703678246588</v>
      </c>
      <c r="E42">
        <v>0.49995422223578601</v>
      </c>
      <c r="H42" s="18">
        <f>1</f>
        <v>1</v>
      </c>
      <c r="I42" s="19">
        <f t="shared" si="3"/>
        <v>7.718370276452303</v>
      </c>
      <c r="J42" s="19">
        <f t="shared" si="4"/>
        <v>4.4776557475336087</v>
      </c>
      <c r="K42" s="18">
        <f t="shared" si="5"/>
        <v>-1</v>
      </c>
      <c r="L42" s="17"/>
      <c r="M42" s="17"/>
      <c r="N42" s="18">
        <f t="shared" si="6"/>
        <v>-100</v>
      </c>
      <c r="O42" s="18">
        <f t="shared" si="6"/>
        <v>-100</v>
      </c>
      <c r="P42" s="18">
        <f t="shared" si="7"/>
        <v>7.718370276452303</v>
      </c>
      <c r="Q42" s="18">
        <f t="shared" si="7"/>
        <v>4.4776557475336087</v>
      </c>
      <c r="S42" s="10">
        <f t="shared" si="8"/>
        <v>-62.862822484989962</v>
      </c>
      <c r="T42" s="10">
        <f t="shared" si="9"/>
        <v>-1</v>
      </c>
      <c r="U42" s="10">
        <f t="shared" si="10"/>
        <v>0</v>
      </c>
      <c r="V42" s="10">
        <f t="shared" si="11"/>
        <v>0</v>
      </c>
      <c r="Y42" s="10">
        <f t="shared" si="31"/>
        <v>0</v>
      </c>
      <c r="Z42" s="10">
        <f t="shared" si="12"/>
        <v>0</v>
      </c>
      <c r="AA42" s="10">
        <f t="shared" si="13"/>
        <v>0</v>
      </c>
      <c r="AB42" s="10">
        <f t="shared" si="14"/>
        <v>-0.600823999755</v>
      </c>
      <c r="AC42" s="10">
        <f t="shared" si="15"/>
        <v>-8.3885233936084624</v>
      </c>
      <c r="AD42" s="10">
        <f t="shared" si="16"/>
        <v>0.5546945275293842</v>
      </c>
      <c r="AE42" s="10">
        <f t="shared" si="17"/>
        <v>-1</v>
      </c>
      <c r="AF42" s="10">
        <f t="shared" si="18"/>
        <v>0</v>
      </c>
      <c r="AI42" s="10">
        <f t="shared" si="32"/>
        <v>1</v>
      </c>
      <c r="AJ42" s="10">
        <f t="shared" si="33"/>
        <v>0</v>
      </c>
      <c r="AK42" s="10">
        <f t="shared" si="34"/>
        <v>0</v>
      </c>
      <c r="BD42" s="10">
        <f t="shared" si="19"/>
        <v>23</v>
      </c>
      <c r="BE42">
        <v>-0.39220594771904871</v>
      </c>
      <c r="BF42">
        <v>-0.28322915568423923</v>
      </c>
      <c r="BG42">
        <v>0.13205359050263984</v>
      </c>
      <c r="BJ42" s="16">
        <f>1</f>
        <v>1</v>
      </c>
      <c r="BK42" s="14">
        <f t="shared" si="20"/>
        <v>5.6420356833307874</v>
      </c>
      <c r="BL42" s="14">
        <f t="shared" si="21"/>
        <v>4.5910683893744579</v>
      </c>
      <c r="BM42" s="16">
        <f t="shared" si="22"/>
        <v>1</v>
      </c>
      <c r="BO42" s="10">
        <f t="shared" si="23"/>
        <v>-18.85835917181663</v>
      </c>
      <c r="BP42" s="10">
        <f t="shared" si="24"/>
        <v>-1</v>
      </c>
      <c r="BQ42" s="10">
        <f t="shared" si="25"/>
        <v>-1</v>
      </c>
      <c r="BR42" s="10">
        <f t="shared" si="26"/>
        <v>1</v>
      </c>
      <c r="BV42" s="16">
        <f t="shared" si="27"/>
        <v>5.6420356833307874</v>
      </c>
      <c r="BW42" s="16">
        <f t="shared" si="28"/>
        <v>4.5910683893744579</v>
      </c>
      <c r="BX42" s="16">
        <f t="shared" si="29"/>
        <v>-100</v>
      </c>
      <c r="BY42" s="16">
        <f t="shared" si="30"/>
        <v>-100</v>
      </c>
    </row>
    <row r="43" spans="2:77" x14ac:dyDescent="0.25">
      <c r="B43" s="10">
        <f t="shared" si="2"/>
        <v>24</v>
      </c>
      <c r="C43">
        <v>1.3841054169461131</v>
      </c>
      <c r="D43">
        <v>-0.40861664274416398</v>
      </c>
      <c r="E43">
        <v>0.7125461592455824</v>
      </c>
      <c r="H43" s="18">
        <f>1</f>
        <v>1</v>
      </c>
      <c r="I43" s="19">
        <f t="shared" si="3"/>
        <v>8.2028795981053317</v>
      </c>
      <c r="J43" s="19">
        <f t="shared" si="4"/>
        <v>4.4103017796383277</v>
      </c>
      <c r="K43" s="18">
        <f t="shared" si="5"/>
        <v>-1</v>
      </c>
      <c r="L43" s="17"/>
      <c r="M43" s="17"/>
      <c r="N43" s="18">
        <f t="shared" si="6"/>
        <v>-100</v>
      </c>
      <c r="O43" s="18">
        <f t="shared" si="6"/>
        <v>-100</v>
      </c>
      <c r="P43" s="18">
        <f t="shared" si="7"/>
        <v>8.2028795981053317</v>
      </c>
      <c r="Q43" s="18">
        <f t="shared" si="7"/>
        <v>4.4103017796383277</v>
      </c>
      <c r="S43" s="10">
        <f t="shared" si="8"/>
        <v>-66.964501141496669</v>
      </c>
      <c r="T43" s="10">
        <f t="shared" si="9"/>
        <v>-1</v>
      </c>
      <c r="U43" s="10">
        <f t="shared" si="10"/>
        <v>0</v>
      </c>
      <c r="V43" s="10">
        <f t="shared" si="11"/>
        <v>0</v>
      </c>
      <c r="Y43" s="10">
        <f t="shared" si="31"/>
        <v>0</v>
      </c>
      <c r="Z43" s="10">
        <f t="shared" si="12"/>
        <v>0</v>
      </c>
      <c r="AA43" s="10">
        <f t="shared" si="13"/>
        <v>0</v>
      </c>
      <c r="AB43" s="10">
        <f t="shared" si="14"/>
        <v>-0.600823999755</v>
      </c>
      <c r="AC43" s="10">
        <f t="shared" si="15"/>
        <v>-8.3885233936084624</v>
      </c>
      <c r="AD43" s="10">
        <f t="shared" si="16"/>
        <v>0.5546945275293842</v>
      </c>
      <c r="AE43" s="10">
        <f t="shared" si="17"/>
        <v>-1</v>
      </c>
      <c r="AF43" s="10">
        <f t="shared" si="18"/>
        <v>0</v>
      </c>
      <c r="AI43" s="10">
        <f t="shared" si="32"/>
        <v>-1</v>
      </c>
      <c r="AJ43" s="10">
        <f t="shared" si="33"/>
        <v>0</v>
      </c>
      <c r="AK43" s="10">
        <f t="shared" si="34"/>
        <v>0</v>
      </c>
      <c r="BD43" s="10">
        <f t="shared" si="19"/>
        <v>24</v>
      </c>
      <c r="BE43">
        <v>-0.59747890190919861</v>
      </c>
      <c r="BF43">
        <v>1.6728154150769114</v>
      </c>
      <c r="BG43">
        <v>0.98629718924527721</v>
      </c>
      <c r="BJ43" s="16">
        <f>1</f>
        <v>1</v>
      </c>
      <c r="BK43" s="14">
        <f t="shared" si="20"/>
        <v>5.3461010819639103</v>
      </c>
      <c r="BL43" s="14">
        <f t="shared" si="21"/>
        <v>7.4110271734616777</v>
      </c>
      <c r="BM43" s="16">
        <f t="shared" si="22"/>
        <v>-1</v>
      </c>
      <c r="BO43" s="10">
        <f t="shared" si="23"/>
        <v>38.395729801199565</v>
      </c>
      <c r="BP43" s="10">
        <f t="shared" si="24"/>
        <v>1</v>
      </c>
      <c r="BQ43" s="10">
        <f t="shared" si="25"/>
        <v>1</v>
      </c>
      <c r="BR43" s="10">
        <f t="shared" si="26"/>
        <v>1</v>
      </c>
      <c r="BV43" s="16">
        <f t="shared" si="27"/>
        <v>-100</v>
      </c>
      <c r="BW43" s="16">
        <f t="shared" si="28"/>
        <v>-100</v>
      </c>
      <c r="BX43" s="16">
        <f t="shared" si="29"/>
        <v>5.3461010819639103</v>
      </c>
      <c r="BY43" s="16">
        <f t="shared" si="30"/>
        <v>7.4110271734616777</v>
      </c>
    </row>
    <row r="44" spans="2:77" x14ac:dyDescent="0.25">
      <c r="B44" s="10">
        <f t="shared" si="2"/>
        <v>25</v>
      </c>
      <c r="C44">
        <v>-0.55958480515982956</v>
      </c>
      <c r="D44">
        <v>0.632976480119396</v>
      </c>
      <c r="E44">
        <v>2.5330362865077671E-2</v>
      </c>
      <c r="H44" s="18">
        <f>1</f>
        <v>1</v>
      </c>
      <c r="I44" s="19">
        <f t="shared" si="3"/>
        <v>5.400731632101043</v>
      </c>
      <c r="J44" s="19">
        <f t="shared" si="4"/>
        <v>5.9119289512119133</v>
      </c>
      <c r="K44" s="18">
        <f t="shared" si="5"/>
        <v>1</v>
      </c>
      <c r="L44" s="17"/>
      <c r="M44" s="17"/>
      <c r="N44" s="18">
        <f t="shared" si="6"/>
        <v>5.400731632101043</v>
      </c>
      <c r="O44" s="18">
        <f t="shared" si="6"/>
        <v>5.9119289512119133</v>
      </c>
      <c r="P44" s="18">
        <f t="shared" si="7"/>
        <v>-100</v>
      </c>
      <c r="Q44" s="18">
        <f t="shared" si="7"/>
        <v>-100</v>
      </c>
      <c r="S44" s="10">
        <f t="shared" si="8"/>
        <v>-42.625673001856029</v>
      </c>
      <c r="T44" s="10">
        <f t="shared" si="9"/>
        <v>-1</v>
      </c>
      <c r="U44" s="10">
        <f t="shared" si="10"/>
        <v>1</v>
      </c>
      <c r="V44" s="10">
        <f t="shared" si="11"/>
        <v>1</v>
      </c>
      <c r="Y44" s="10">
        <f t="shared" si="31"/>
        <v>0.70082399975499998</v>
      </c>
      <c r="Z44" s="10">
        <f t="shared" si="12"/>
        <v>3.7849623440124018</v>
      </c>
      <c r="AA44" s="10">
        <f t="shared" si="13"/>
        <v>4.1432216938557156</v>
      </c>
      <c r="AB44" s="10">
        <f t="shared" si="14"/>
        <v>9.9999999999999978E-2</v>
      </c>
      <c r="AC44" s="10">
        <f t="shared" si="15"/>
        <v>-4.6035610495960606</v>
      </c>
      <c r="AD44" s="10">
        <f t="shared" si="16"/>
        <v>4.6979162213850998</v>
      </c>
      <c r="AE44" s="10">
        <f t="shared" si="17"/>
        <v>1</v>
      </c>
      <c r="AF44" s="10">
        <f t="shared" si="18"/>
        <v>0</v>
      </c>
      <c r="AI44" s="10">
        <f t="shared" si="32"/>
        <v>-1</v>
      </c>
      <c r="AJ44" s="10">
        <f t="shared" si="33"/>
        <v>0</v>
      </c>
      <c r="AK44" s="10">
        <f t="shared" si="34"/>
        <v>0</v>
      </c>
      <c r="BD44" s="10">
        <f t="shared" si="19"/>
        <v>25</v>
      </c>
      <c r="BE44">
        <v>-0.5038918970967643</v>
      </c>
      <c r="BF44">
        <v>-0.29991156225150917</v>
      </c>
      <c r="BG44">
        <v>6.3264870143742186E-2</v>
      </c>
      <c r="BJ44" s="16">
        <f>1</f>
        <v>1</v>
      </c>
      <c r="BK44" s="14">
        <f t="shared" si="20"/>
        <v>5.4810220854227119</v>
      </c>
      <c r="BL44" s="14">
        <f t="shared" si="21"/>
        <v>4.5670179665761772</v>
      </c>
      <c r="BM44" s="16">
        <f t="shared" si="22"/>
        <v>1</v>
      </c>
      <c r="BO44" s="10">
        <f t="shared" si="23"/>
        <v>-16.332392360358128</v>
      </c>
      <c r="BP44" s="10">
        <f t="shared" si="24"/>
        <v>-1</v>
      </c>
      <c r="BQ44" s="10">
        <f t="shared" si="25"/>
        <v>-1</v>
      </c>
      <c r="BR44" s="10">
        <f t="shared" si="26"/>
        <v>1</v>
      </c>
      <c r="BV44" s="16">
        <f t="shared" si="27"/>
        <v>5.4810220854227119</v>
      </c>
      <c r="BW44" s="16">
        <f t="shared" si="28"/>
        <v>4.5670179665761772</v>
      </c>
      <c r="BX44" s="16">
        <f t="shared" si="29"/>
        <v>-100</v>
      </c>
      <c r="BY44" s="16">
        <f t="shared" si="30"/>
        <v>-100</v>
      </c>
    </row>
    <row r="45" spans="2:77" x14ac:dyDescent="0.25">
      <c r="B45" s="10">
        <f t="shared" si="2"/>
        <v>26</v>
      </c>
      <c r="C45">
        <v>-0.91607034846674651</v>
      </c>
      <c r="D45">
        <v>-2.0445986592676491</v>
      </c>
      <c r="E45">
        <v>0.83440656758323928</v>
      </c>
      <c r="H45" s="18">
        <f>1</f>
        <v>1</v>
      </c>
      <c r="I45" s="19">
        <f t="shared" si="3"/>
        <v>4.886799304445919</v>
      </c>
      <c r="J45" s="19">
        <f t="shared" si="4"/>
        <v>2.0517656158591344</v>
      </c>
      <c r="K45" s="18">
        <f t="shared" si="5"/>
        <v>-1</v>
      </c>
      <c r="L45" s="17"/>
      <c r="M45" s="17"/>
      <c r="N45" s="18">
        <f t="shared" si="6"/>
        <v>-100</v>
      </c>
      <c r="O45" s="18">
        <f t="shared" si="6"/>
        <v>-100</v>
      </c>
      <c r="P45" s="18">
        <f t="shared" si="7"/>
        <v>4.886799304445919</v>
      </c>
      <c r="Q45" s="18">
        <f t="shared" si="7"/>
        <v>2.0517656158591344</v>
      </c>
      <c r="S45" s="10">
        <f t="shared" si="8"/>
        <v>-12.757655965915538</v>
      </c>
      <c r="T45" s="10">
        <f t="shared" si="9"/>
        <v>-1</v>
      </c>
      <c r="U45" s="10">
        <f t="shared" si="10"/>
        <v>0</v>
      </c>
      <c r="V45" s="10">
        <f t="shared" si="11"/>
        <v>0</v>
      </c>
      <c r="Y45" s="10">
        <f t="shared" si="31"/>
        <v>0</v>
      </c>
      <c r="Z45" s="10">
        <f t="shared" si="12"/>
        <v>0</v>
      </c>
      <c r="AA45" s="10">
        <f t="shared" si="13"/>
        <v>0</v>
      </c>
      <c r="AB45" s="10">
        <f t="shared" si="14"/>
        <v>9.9999999999999978E-2</v>
      </c>
      <c r="AC45" s="10">
        <f t="shared" si="15"/>
        <v>-4.6035610495960606</v>
      </c>
      <c r="AD45" s="10">
        <f t="shared" si="16"/>
        <v>4.6979162213850998</v>
      </c>
      <c r="AE45" s="10">
        <f t="shared" si="17"/>
        <v>-1</v>
      </c>
      <c r="AF45" s="10">
        <f t="shared" si="18"/>
        <v>0</v>
      </c>
      <c r="AI45" s="10">
        <f t="shared" si="32"/>
        <v>-1</v>
      </c>
      <c r="AJ45" s="10">
        <f t="shared" si="33"/>
        <v>0</v>
      </c>
      <c r="AK45" s="10">
        <f t="shared" si="34"/>
        <v>0</v>
      </c>
      <c r="BD45" s="10">
        <f t="shared" si="19"/>
        <v>26</v>
      </c>
      <c r="BE45">
        <v>-0.40637246456753928</v>
      </c>
      <c r="BF45">
        <v>0.27813712222268805</v>
      </c>
      <c r="BG45">
        <v>3.5798211615344709E-2</v>
      </c>
      <c r="BJ45" s="16">
        <f>1</f>
        <v>1</v>
      </c>
      <c r="BK45" s="14">
        <f t="shared" si="20"/>
        <v>5.621612327838803</v>
      </c>
      <c r="BL45" s="14">
        <f t="shared" si="21"/>
        <v>5.4003698695845879</v>
      </c>
      <c r="BM45" s="16">
        <f t="shared" si="22"/>
        <v>1</v>
      </c>
      <c r="BO45" s="10">
        <f t="shared" si="23"/>
        <v>-3.6159494411120932</v>
      </c>
      <c r="BP45" s="10">
        <f t="shared" si="24"/>
        <v>-1</v>
      </c>
      <c r="BQ45" s="10">
        <f t="shared" si="25"/>
        <v>-1</v>
      </c>
      <c r="BR45" s="10">
        <f t="shared" si="26"/>
        <v>1</v>
      </c>
      <c r="BV45" s="16">
        <f t="shared" si="27"/>
        <v>5.621612327838803</v>
      </c>
      <c r="BW45" s="16">
        <f t="shared" si="28"/>
        <v>5.4003698695845879</v>
      </c>
      <c r="BX45" s="16">
        <f t="shared" si="29"/>
        <v>-100</v>
      </c>
      <c r="BY45" s="16">
        <f t="shared" si="30"/>
        <v>-100</v>
      </c>
    </row>
    <row r="46" spans="2:77" x14ac:dyDescent="0.25">
      <c r="B46" s="10">
        <f t="shared" si="2"/>
        <v>27</v>
      </c>
      <c r="C46">
        <v>1.1365045793354511</v>
      </c>
      <c r="D46">
        <v>-1.7099046090152115</v>
      </c>
      <c r="E46">
        <v>0.86742759483626819</v>
      </c>
      <c r="H46" s="18">
        <f>1</f>
        <v>1</v>
      </c>
      <c r="I46" s="19">
        <f t="shared" si="3"/>
        <v>7.8459224165540746</v>
      </c>
      <c r="J46" s="19">
        <f t="shared" si="4"/>
        <v>2.5342819353230737</v>
      </c>
      <c r="K46" s="18">
        <f t="shared" si="5"/>
        <v>-1</v>
      </c>
      <c r="L46" s="17"/>
      <c r="M46" s="17"/>
      <c r="N46" s="18">
        <f t="shared" si="6"/>
        <v>-100</v>
      </c>
      <c r="O46" s="18">
        <f t="shared" si="6"/>
        <v>-100</v>
      </c>
      <c r="P46" s="18">
        <f t="shared" si="7"/>
        <v>7.8459224165540746</v>
      </c>
      <c r="Q46" s="18">
        <f t="shared" si="7"/>
        <v>2.5342819353230737</v>
      </c>
      <c r="S46" s="10">
        <f t="shared" si="8"/>
        <v>-24.113338621483443</v>
      </c>
      <c r="T46" s="10">
        <f t="shared" si="9"/>
        <v>-1</v>
      </c>
      <c r="U46" s="10">
        <f t="shared" si="10"/>
        <v>0</v>
      </c>
      <c r="V46" s="10">
        <f t="shared" si="11"/>
        <v>0</v>
      </c>
      <c r="Y46" s="10">
        <f t="shared" si="31"/>
        <v>0</v>
      </c>
      <c r="Z46" s="10">
        <f t="shared" si="12"/>
        <v>0</v>
      </c>
      <c r="AA46" s="10">
        <f t="shared" si="13"/>
        <v>0</v>
      </c>
      <c r="AB46" s="10">
        <f t="shared" si="14"/>
        <v>9.9999999999999978E-2</v>
      </c>
      <c r="AC46" s="10">
        <f t="shared" si="15"/>
        <v>-4.6035610495960606</v>
      </c>
      <c r="AD46" s="10">
        <f t="shared" si="16"/>
        <v>4.6979162213850998</v>
      </c>
      <c r="AE46" s="10">
        <f t="shared" si="17"/>
        <v>-1</v>
      </c>
      <c r="AF46" s="10">
        <f t="shared" si="18"/>
        <v>0</v>
      </c>
      <c r="AI46" s="10">
        <f t="shared" si="32"/>
        <v>-1</v>
      </c>
      <c r="AJ46" s="10">
        <f t="shared" si="33"/>
        <v>0</v>
      </c>
      <c r="AK46" s="10">
        <f t="shared" si="34"/>
        <v>0</v>
      </c>
      <c r="BD46" s="10">
        <f t="shared" si="19"/>
        <v>27</v>
      </c>
      <c r="BE46">
        <v>0.69564976001856849</v>
      </c>
      <c r="BF46">
        <v>0.81269263318972662</v>
      </c>
      <c r="BG46">
        <v>0.63975951414532917</v>
      </c>
      <c r="BJ46" s="16">
        <f>1</f>
        <v>1</v>
      </c>
      <c r="BK46" s="14">
        <f t="shared" si="20"/>
        <v>7.2103579520101677</v>
      </c>
      <c r="BL46" s="14">
        <f t="shared" si="21"/>
        <v>6.1710192357936364</v>
      </c>
      <c r="BM46" s="16">
        <f t="shared" si="22"/>
        <v>-1</v>
      </c>
      <c r="BO46" s="10">
        <f t="shared" si="23"/>
        <v>-18.74317784283339</v>
      </c>
      <c r="BP46" s="10">
        <f t="shared" si="24"/>
        <v>-1</v>
      </c>
      <c r="BQ46" s="10">
        <f t="shared" si="25"/>
        <v>0</v>
      </c>
      <c r="BR46" s="10">
        <f t="shared" si="26"/>
        <v>0</v>
      </c>
      <c r="BV46" s="16">
        <f t="shared" si="27"/>
        <v>-100</v>
      </c>
      <c r="BW46" s="16">
        <f t="shared" si="28"/>
        <v>-100</v>
      </c>
      <c r="BX46" s="16">
        <f t="shared" si="29"/>
        <v>7.2103579520101677</v>
      </c>
      <c r="BY46" s="16">
        <f t="shared" si="30"/>
        <v>6.1710192357936364</v>
      </c>
    </row>
    <row r="47" spans="2:77" x14ac:dyDescent="0.25">
      <c r="B47" s="10">
        <f t="shared" si="2"/>
        <v>28</v>
      </c>
      <c r="C47">
        <v>-0.501634076499613</v>
      </c>
      <c r="D47">
        <v>0.8515166882716585</v>
      </c>
      <c r="E47">
        <v>0.77999206518753628</v>
      </c>
      <c r="H47" s="18">
        <f>1</f>
        <v>1</v>
      </c>
      <c r="I47" s="19">
        <f t="shared" si="3"/>
        <v>5.4842771038006175</v>
      </c>
      <c r="J47" s="19">
        <f t="shared" si="4"/>
        <v>6.2269904732586285</v>
      </c>
      <c r="K47" s="18">
        <f t="shared" si="5"/>
        <v>1</v>
      </c>
      <c r="L47" s="17"/>
      <c r="M47" s="17"/>
      <c r="N47" s="18">
        <f t="shared" si="6"/>
        <v>5.4842771038006175</v>
      </c>
      <c r="O47" s="18">
        <f t="shared" si="6"/>
        <v>6.2269904732586285</v>
      </c>
      <c r="P47" s="18">
        <f t="shared" si="7"/>
        <v>-100</v>
      </c>
      <c r="Q47" s="18">
        <f t="shared" si="7"/>
        <v>-100</v>
      </c>
      <c r="S47" s="10">
        <f t="shared" si="8"/>
        <v>4.1066750944841779</v>
      </c>
      <c r="T47" s="10">
        <f t="shared" si="9"/>
        <v>1</v>
      </c>
      <c r="U47" s="10">
        <f t="shared" si="10"/>
        <v>0</v>
      </c>
      <c r="V47" s="10">
        <f t="shared" si="11"/>
        <v>0</v>
      </c>
      <c r="Y47" s="10">
        <f t="shared" si="31"/>
        <v>0</v>
      </c>
      <c r="Z47" s="10">
        <f t="shared" si="12"/>
        <v>0</v>
      </c>
      <c r="AA47" s="10">
        <f t="shared" si="13"/>
        <v>0</v>
      </c>
      <c r="AB47" s="10">
        <f t="shared" si="14"/>
        <v>9.9999999999999978E-2</v>
      </c>
      <c r="AC47" s="10">
        <f t="shared" si="15"/>
        <v>-4.6035610495960606</v>
      </c>
      <c r="AD47" s="10">
        <f t="shared" si="16"/>
        <v>4.6979162213850998</v>
      </c>
      <c r="AE47" s="10">
        <f t="shared" si="17"/>
        <v>1</v>
      </c>
      <c r="AF47" s="10">
        <f t="shared" si="18"/>
        <v>0</v>
      </c>
      <c r="AI47" s="10">
        <f t="shared" si="32"/>
        <v>1</v>
      </c>
      <c r="AJ47" s="10">
        <f t="shared" si="33"/>
        <v>0</v>
      </c>
      <c r="AK47" s="10">
        <f t="shared" si="34"/>
        <v>0</v>
      </c>
      <c r="BD47" s="10">
        <f t="shared" si="19"/>
        <v>28</v>
      </c>
      <c r="BE47">
        <v>0.79210849435185082</v>
      </c>
      <c r="BF47">
        <v>-0.20416905499587301</v>
      </c>
      <c r="BG47">
        <v>0.36634418774987032</v>
      </c>
      <c r="BJ47" s="16">
        <f>1</f>
        <v>1</v>
      </c>
      <c r="BK47" s="14">
        <f t="shared" si="20"/>
        <v>7.3494190241611097</v>
      </c>
      <c r="BL47" s="14">
        <f t="shared" si="21"/>
        <v>4.7050464800271801</v>
      </c>
      <c r="BM47" s="16">
        <f t="shared" si="22"/>
        <v>1</v>
      </c>
      <c r="BO47" s="10">
        <f t="shared" si="23"/>
        <v>-48.234602025317088</v>
      </c>
      <c r="BP47" s="10">
        <f t="shared" si="24"/>
        <v>-1</v>
      </c>
      <c r="BQ47" s="10">
        <f t="shared" si="25"/>
        <v>-1</v>
      </c>
      <c r="BR47" s="10">
        <f t="shared" si="26"/>
        <v>1</v>
      </c>
      <c r="BV47" s="16">
        <f t="shared" si="27"/>
        <v>7.3494190241611097</v>
      </c>
      <c r="BW47" s="16">
        <f t="shared" si="28"/>
        <v>4.7050464800271801</v>
      </c>
      <c r="BX47" s="16">
        <f t="shared" si="29"/>
        <v>-100</v>
      </c>
      <c r="BY47" s="16">
        <f t="shared" si="30"/>
        <v>-100</v>
      </c>
    </row>
    <row r="48" spans="2:77" x14ac:dyDescent="0.25">
      <c r="B48" s="10">
        <f t="shared" si="2"/>
        <v>29</v>
      </c>
      <c r="C48">
        <v>-1.3949556887382641</v>
      </c>
      <c r="D48">
        <v>0.19309027265990153</v>
      </c>
      <c r="E48">
        <v>0.33124790185247355</v>
      </c>
      <c r="H48" s="18">
        <f>1</f>
        <v>1</v>
      </c>
      <c r="I48" s="19">
        <f t="shared" si="3"/>
        <v>4.1964076119172713</v>
      </c>
      <c r="J48" s="19">
        <f t="shared" si="4"/>
        <v>5.2777608993860197</v>
      </c>
      <c r="K48" s="18">
        <f t="shared" si="5"/>
        <v>1</v>
      </c>
      <c r="L48" s="17"/>
      <c r="M48" s="17"/>
      <c r="N48" s="18">
        <f t="shared" si="6"/>
        <v>4.1964076119172713</v>
      </c>
      <c r="O48" s="18">
        <f t="shared" si="6"/>
        <v>5.2777608993860197</v>
      </c>
      <c r="P48" s="18">
        <f t="shared" si="7"/>
        <v>-100</v>
      </c>
      <c r="Q48" s="18">
        <f t="shared" si="7"/>
        <v>-100</v>
      </c>
      <c r="S48" s="10">
        <f t="shared" si="8"/>
        <v>5.5760599113668263</v>
      </c>
      <c r="T48" s="10">
        <f t="shared" si="9"/>
        <v>1</v>
      </c>
      <c r="U48" s="10">
        <f t="shared" si="10"/>
        <v>0</v>
      </c>
      <c r="V48" s="10">
        <f t="shared" si="11"/>
        <v>0</v>
      </c>
      <c r="Y48" s="10">
        <f t="shared" si="31"/>
        <v>0</v>
      </c>
      <c r="Z48" s="10">
        <f t="shared" si="12"/>
        <v>0</v>
      </c>
      <c r="AA48" s="10">
        <f t="shared" si="13"/>
        <v>0</v>
      </c>
      <c r="AB48" s="10">
        <f t="shared" si="14"/>
        <v>9.9999999999999978E-2</v>
      </c>
      <c r="AC48" s="10">
        <f t="shared" si="15"/>
        <v>-4.6035610495960606</v>
      </c>
      <c r="AD48" s="10">
        <f t="shared" si="16"/>
        <v>4.6979162213850998</v>
      </c>
      <c r="AE48" s="10">
        <f t="shared" si="17"/>
        <v>1</v>
      </c>
      <c r="AF48" s="10">
        <f t="shared" si="18"/>
        <v>0</v>
      </c>
      <c r="AI48" s="10">
        <f t="shared" si="32"/>
        <v>-1</v>
      </c>
      <c r="AJ48" s="10">
        <f t="shared" si="33"/>
        <v>0</v>
      </c>
      <c r="AK48" s="10">
        <f t="shared" si="34"/>
        <v>0</v>
      </c>
      <c r="BD48" s="10">
        <f t="shared" si="19"/>
        <v>29</v>
      </c>
      <c r="BE48">
        <v>-0.17069055502361152</v>
      </c>
      <c r="BF48">
        <v>1.1558336154848803</v>
      </c>
      <c r="BG48">
        <v>0.76223029267250586</v>
      </c>
      <c r="BJ48" s="16">
        <f>1</f>
        <v>1</v>
      </c>
      <c r="BK48" s="14">
        <f t="shared" si="20"/>
        <v>5.9613864214374113</v>
      </c>
      <c r="BL48" s="14">
        <f t="shared" si="21"/>
        <v>6.6657131919886119</v>
      </c>
      <c r="BM48" s="16">
        <f t="shared" si="22"/>
        <v>-1</v>
      </c>
      <c r="BO48" s="10">
        <f t="shared" si="23"/>
        <v>13.364411024559004</v>
      </c>
      <c r="BP48" s="10">
        <f t="shared" si="24"/>
        <v>1</v>
      </c>
      <c r="BQ48" s="10">
        <f t="shared" si="25"/>
        <v>1</v>
      </c>
      <c r="BR48" s="10">
        <f t="shared" si="26"/>
        <v>1</v>
      </c>
      <c r="BV48" s="16">
        <f t="shared" si="27"/>
        <v>-100</v>
      </c>
      <c r="BW48" s="16">
        <f t="shared" si="28"/>
        <v>-100</v>
      </c>
      <c r="BX48" s="16">
        <f t="shared" si="29"/>
        <v>5.9613864214374113</v>
      </c>
      <c r="BY48" s="16">
        <f t="shared" si="30"/>
        <v>6.6657131919886119</v>
      </c>
    </row>
    <row r="49" spans="2:77" x14ac:dyDescent="0.25">
      <c r="B49" s="10">
        <f t="shared" si="2"/>
        <v>30</v>
      </c>
      <c r="C49">
        <v>0.62998765315569472</v>
      </c>
      <c r="D49">
        <v>1.3481258065439761</v>
      </c>
      <c r="E49">
        <v>0.3392742698446608</v>
      </c>
      <c r="H49" s="18">
        <f>1</f>
        <v>1</v>
      </c>
      <c r="I49" s="19">
        <f t="shared" si="3"/>
        <v>7.1156952649745744</v>
      </c>
      <c r="J49" s="19">
        <f t="shared" si="4"/>
        <v>6.9429338961556279</v>
      </c>
      <c r="K49" s="18">
        <f t="shared" si="5"/>
        <v>-1</v>
      </c>
      <c r="L49" s="17"/>
      <c r="M49" s="17"/>
      <c r="N49" s="18">
        <f t="shared" si="6"/>
        <v>-100</v>
      </c>
      <c r="O49" s="18">
        <f t="shared" si="6"/>
        <v>-100</v>
      </c>
      <c r="P49" s="18">
        <f t="shared" si="7"/>
        <v>7.1156952649745744</v>
      </c>
      <c r="Q49" s="18">
        <f t="shared" si="7"/>
        <v>6.9429338961556279</v>
      </c>
      <c r="S49" s="10">
        <f t="shared" si="8"/>
        <v>-4.0215787878096876E-2</v>
      </c>
      <c r="T49" s="10">
        <f t="shared" si="9"/>
        <v>-1</v>
      </c>
      <c r="U49" s="10">
        <f t="shared" si="10"/>
        <v>0</v>
      </c>
      <c r="V49" s="10">
        <f t="shared" si="11"/>
        <v>0</v>
      </c>
      <c r="Y49" s="10">
        <f t="shared" si="31"/>
        <v>0</v>
      </c>
      <c r="Z49" s="10">
        <f t="shared" si="12"/>
        <v>0</v>
      </c>
      <c r="AA49" s="10">
        <f t="shared" si="13"/>
        <v>0</v>
      </c>
      <c r="AB49" s="10">
        <f t="shared" si="14"/>
        <v>9.9999999999999978E-2</v>
      </c>
      <c r="AC49" s="10">
        <f t="shared" si="15"/>
        <v>-4.6035610495960606</v>
      </c>
      <c r="AD49" s="10">
        <f t="shared" si="16"/>
        <v>4.6979162213850998</v>
      </c>
      <c r="AE49" s="10">
        <f t="shared" si="17"/>
        <v>-1</v>
      </c>
      <c r="AF49" s="10">
        <f t="shared" si="18"/>
        <v>0</v>
      </c>
      <c r="AI49" s="10">
        <f t="shared" si="32"/>
        <v>-1</v>
      </c>
      <c r="AJ49" s="10">
        <f t="shared" si="33"/>
        <v>0</v>
      </c>
      <c r="AK49" s="10">
        <f t="shared" si="34"/>
        <v>0</v>
      </c>
      <c r="BD49" s="10">
        <f t="shared" si="19"/>
        <v>30</v>
      </c>
      <c r="BE49">
        <v>1.4631132216891274</v>
      </c>
      <c r="BF49">
        <v>0.3055981778743444</v>
      </c>
      <c r="BG49">
        <v>0.77504806665242465</v>
      </c>
      <c r="BJ49" s="16">
        <f>1</f>
        <v>1</v>
      </c>
      <c r="BK49" s="14">
        <f t="shared" si="20"/>
        <v>8.3167822955831383</v>
      </c>
      <c r="BL49" s="14">
        <f t="shared" si="21"/>
        <v>5.4399594813259311</v>
      </c>
      <c r="BM49" s="16">
        <f t="shared" si="22"/>
        <v>-1</v>
      </c>
      <c r="BO49" s="10">
        <f t="shared" si="23"/>
        <v>-52.565165092775871</v>
      </c>
      <c r="BP49" s="10">
        <f t="shared" si="24"/>
        <v>-1</v>
      </c>
      <c r="BQ49" s="10">
        <f t="shared" si="25"/>
        <v>0</v>
      </c>
      <c r="BR49" s="10">
        <f t="shared" si="26"/>
        <v>0</v>
      </c>
      <c r="BV49" s="16">
        <f t="shared" si="27"/>
        <v>-100</v>
      </c>
      <c r="BW49" s="16">
        <f t="shared" si="28"/>
        <v>-100</v>
      </c>
      <c r="BX49" s="16">
        <f t="shared" si="29"/>
        <v>8.3167822955831383</v>
      </c>
      <c r="BY49" s="16">
        <f t="shared" si="30"/>
        <v>5.4399594813259311</v>
      </c>
    </row>
    <row r="50" spans="2:77" x14ac:dyDescent="0.25">
      <c r="B50" s="10">
        <f t="shared" si="2"/>
        <v>31</v>
      </c>
      <c r="C50">
        <v>-0.95469431471428834</v>
      </c>
      <c r="D50">
        <v>-0.50484686653362587</v>
      </c>
      <c r="E50">
        <v>0.24314096499526963</v>
      </c>
      <c r="H50" s="18">
        <f>1</f>
        <v>1</v>
      </c>
      <c r="I50" s="19">
        <f t="shared" si="3"/>
        <v>4.8311165278240855</v>
      </c>
      <c r="J50" s="19">
        <f t="shared" si="4"/>
        <v>4.2715701428821289</v>
      </c>
      <c r="K50" s="18">
        <f t="shared" si="5"/>
        <v>-1</v>
      </c>
      <c r="L50" s="17"/>
      <c r="M50" s="17"/>
      <c r="N50" s="18">
        <f t="shared" si="6"/>
        <v>-100</v>
      </c>
      <c r="O50" s="18">
        <f t="shared" si="6"/>
        <v>-100</v>
      </c>
      <c r="P50" s="18">
        <f t="shared" si="7"/>
        <v>4.8311165278240855</v>
      </c>
      <c r="Q50" s="18">
        <f t="shared" si="7"/>
        <v>4.2715701428821289</v>
      </c>
      <c r="S50" s="10">
        <f t="shared" si="8"/>
        <v>-2.0728612085205</v>
      </c>
      <c r="T50" s="10">
        <f t="shared" si="9"/>
        <v>-1</v>
      </c>
      <c r="U50" s="10">
        <f t="shared" si="10"/>
        <v>0</v>
      </c>
      <c r="V50" s="10">
        <f t="shared" si="11"/>
        <v>0</v>
      </c>
      <c r="Y50" s="10">
        <f t="shared" si="31"/>
        <v>0</v>
      </c>
      <c r="Z50" s="10">
        <f t="shared" si="12"/>
        <v>0</v>
      </c>
      <c r="AA50" s="10">
        <f t="shared" si="13"/>
        <v>0</v>
      </c>
      <c r="AB50" s="10">
        <f t="shared" si="14"/>
        <v>9.9999999999999978E-2</v>
      </c>
      <c r="AC50" s="10">
        <f t="shared" si="15"/>
        <v>-4.6035610495960606</v>
      </c>
      <c r="AD50" s="10">
        <f t="shared" si="16"/>
        <v>4.6979162213850998</v>
      </c>
      <c r="AE50" s="10">
        <f t="shared" si="17"/>
        <v>-1</v>
      </c>
      <c r="AF50" s="10">
        <f t="shared" si="18"/>
        <v>0</v>
      </c>
      <c r="AI50" s="10">
        <f t="shared" si="32"/>
        <v>1</v>
      </c>
      <c r="AJ50" s="10">
        <f t="shared" si="33"/>
        <v>0</v>
      </c>
      <c r="AK50" s="10">
        <f t="shared" si="34"/>
        <v>0</v>
      </c>
      <c r="BD50" s="10">
        <f t="shared" si="19"/>
        <v>31</v>
      </c>
      <c r="BE50">
        <v>3.7107383832335472E-3</v>
      </c>
      <c r="BF50">
        <v>2.10443431569729</v>
      </c>
      <c r="BG50">
        <v>0.85369426557206951</v>
      </c>
      <c r="BJ50" s="16">
        <f>1</f>
        <v>1</v>
      </c>
      <c r="BK50" s="14">
        <f t="shared" si="20"/>
        <v>6.2128144648727561</v>
      </c>
      <c r="BL50" s="14">
        <f t="shared" si="21"/>
        <v>8.0332765477225507</v>
      </c>
      <c r="BM50" s="16">
        <f t="shared" si="22"/>
        <v>-1</v>
      </c>
      <c r="BO50" s="10">
        <f t="shared" si="23"/>
        <v>33.850804096081163</v>
      </c>
      <c r="BP50" s="10">
        <f t="shared" si="24"/>
        <v>1</v>
      </c>
      <c r="BQ50" s="10">
        <f t="shared" si="25"/>
        <v>1</v>
      </c>
      <c r="BR50" s="10">
        <f t="shared" si="26"/>
        <v>1</v>
      </c>
      <c r="BV50" s="16">
        <f t="shared" si="27"/>
        <v>-100</v>
      </c>
      <c r="BW50" s="16">
        <f t="shared" si="28"/>
        <v>-100</v>
      </c>
      <c r="BX50" s="16">
        <f t="shared" si="29"/>
        <v>6.2128144648727561</v>
      </c>
      <c r="BY50" s="16">
        <f t="shared" si="30"/>
        <v>8.0332765477225507</v>
      </c>
    </row>
    <row r="51" spans="2:77" x14ac:dyDescent="0.25">
      <c r="B51" s="10">
        <f t="shared" si="2"/>
        <v>32</v>
      </c>
      <c r="C51">
        <v>1.0353937796026003</v>
      </c>
      <c r="D51">
        <v>0.77608774518012069</v>
      </c>
      <c r="E51">
        <v>0.50706503494369337</v>
      </c>
      <c r="H51" s="18">
        <f>1</f>
        <v>1</v>
      </c>
      <c r="I51" s="19">
        <f t="shared" si="3"/>
        <v>7.7001546297997141</v>
      </c>
      <c r="J51" s="19">
        <f t="shared" si="4"/>
        <v>6.1182472913163952</v>
      </c>
      <c r="K51" s="18">
        <f t="shared" si="5"/>
        <v>-1</v>
      </c>
      <c r="L51" s="17"/>
      <c r="M51" s="17"/>
      <c r="N51" s="18">
        <f t="shared" si="6"/>
        <v>-100</v>
      </c>
      <c r="O51" s="18">
        <f t="shared" si="6"/>
        <v>-100</v>
      </c>
      <c r="P51" s="18">
        <f t="shared" si="7"/>
        <v>7.7001546297997141</v>
      </c>
      <c r="Q51" s="18">
        <f t="shared" si="7"/>
        <v>6.1182472913163952</v>
      </c>
      <c r="S51" s="10">
        <f t="shared" si="8"/>
        <v>-6.6051187332919916</v>
      </c>
      <c r="T51" s="10">
        <f t="shared" si="9"/>
        <v>-1</v>
      </c>
      <c r="U51" s="10">
        <f t="shared" si="10"/>
        <v>0</v>
      </c>
      <c r="V51" s="10">
        <f t="shared" si="11"/>
        <v>0</v>
      </c>
      <c r="Y51" s="10">
        <f t="shared" si="31"/>
        <v>0</v>
      </c>
      <c r="Z51" s="10">
        <f t="shared" si="12"/>
        <v>0</v>
      </c>
      <c r="AA51" s="10">
        <f t="shared" si="13"/>
        <v>0</v>
      </c>
      <c r="AB51" s="10">
        <f t="shared" si="14"/>
        <v>9.9999999999999978E-2</v>
      </c>
      <c r="AC51" s="10">
        <f t="shared" si="15"/>
        <v>-4.6035610495960606</v>
      </c>
      <c r="AD51" s="10">
        <f t="shared" si="16"/>
        <v>4.6979162213850998</v>
      </c>
      <c r="AE51" s="10">
        <f t="shared" si="17"/>
        <v>-1</v>
      </c>
      <c r="AF51" s="10">
        <f t="shared" si="18"/>
        <v>0</v>
      </c>
      <c r="AI51" s="10">
        <f t="shared" si="32"/>
        <v>1</v>
      </c>
      <c r="AJ51" s="10">
        <f t="shared" si="33"/>
        <v>0</v>
      </c>
      <c r="AK51" s="10">
        <f t="shared" si="34"/>
        <v>0</v>
      </c>
      <c r="BD51" s="10">
        <f t="shared" si="19"/>
        <v>32</v>
      </c>
      <c r="BE51">
        <v>0.46100467443466187</v>
      </c>
      <c r="BF51">
        <v>-1.0851840670511592</v>
      </c>
      <c r="BG51">
        <v>0.61165196691793577</v>
      </c>
      <c r="BJ51" s="16">
        <f>1</f>
        <v>1</v>
      </c>
      <c r="BK51" s="14">
        <f t="shared" si="20"/>
        <v>6.8720786100533768</v>
      </c>
      <c r="BL51" s="14">
        <f t="shared" si="21"/>
        <v>3.4349189689801012</v>
      </c>
      <c r="BM51" s="16">
        <f t="shared" si="22"/>
        <v>-1</v>
      </c>
      <c r="BO51" s="10">
        <f t="shared" si="23"/>
        <v>-62.767268296699598</v>
      </c>
      <c r="BP51" s="10">
        <f t="shared" si="24"/>
        <v>-1</v>
      </c>
      <c r="BQ51" s="10">
        <f t="shared" si="25"/>
        <v>0</v>
      </c>
      <c r="BR51" s="10">
        <f t="shared" si="26"/>
        <v>0</v>
      </c>
      <c r="BV51" s="16">
        <f t="shared" si="27"/>
        <v>-100</v>
      </c>
      <c r="BW51" s="16">
        <f t="shared" si="28"/>
        <v>-100</v>
      </c>
      <c r="BX51" s="16">
        <f t="shared" si="29"/>
        <v>6.8720786100533768</v>
      </c>
      <c r="BY51" s="16">
        <f t="shared" si="30"/>
        <v>3.4349189689801012</v>
      </c>
    </row>
    <row r="52" spans="2:77" x14ac:dyDescent="0.25">
      <c r="B52" s="10">
        <f t="shared" si="2"/>
        <v>33</v>
      </c>
      <c r="C52">
        <v>0.1064950083673466</v>
      </c>
      <c r="D52">
        <v>-0.29343709684326313</v>
      </c>
      <c r="E52">
        <v>1.1047700430310984E-2</v>
      </c>
      <c r="H52" s="18">
        <f>1</f>
        <v>1</v>
      </c>
      <c r="I52" s="19">
        <f t="shared" si="3"/>
        <v>6.3609948332244368</v>
      </c>
      <c r="J52" s="19">
        <f t="shared" si="4"/>
        <v>4.576351969427221</v>
      </c>
      <c r="K52" s="18">
        <f t="shared" si="5"/>
        <v>-1</v>
      </c>
      <c r="L52" s="17"/>
      <c r="M52" s="17"/>
      <c r="N52" s="18">
        <f t="shared" si="6"/>
        <v>-100</v>
      </c>
      <c r="O52" s="18">
        <f t="shared" si="6"/>
        <v>-100</v>
      </c>
      <c r="P52" s="18">
        <f t="shared" si="7"/>
        <v>6.3609948332244368</v>
      </c>
      <c r="Q52" s="18">
        <f t="shared" si="7"/>
        <v>4.576351969427221</v>
      </c>
      <c r="S52" s="10">
        <f t="shared" si="8"/>
        <v>-7.6839098989740151</v>
      </c>
      <c r="T52" s="10">
        <f t="shared" si="9"/>
        <v>-1</v>
      </c>
      <c r="U52" s="10">
        <f t="shared" si="10"/>
        <v>0</v>
      </c>
      <c r="V52" s="10">
        <f t="shared" si="11"/>
        <v>0</v>
      </c>
      <c r="Y52" s="10">
        <f t="shared" si="31"/>
        <v>0</v>
      </c>
      <c r="Z52" s="10">
        <f t="shared" si="12"/>
        <v>0</v>
      </c>
      <c r="AA52" s="10">
        <f t="shared" si="13"/>
        <v>0</v>
      </c>
      <c r="AB52" s="10">
        <f t="shared" si="14"/>
        <v>9.9999999999999978E-2</v>
      </c>
      <c r="AC52" s="10">
        <f t="shared" si="15"/>
        <v>-4.6035610495960606</v>
      </c>
      <c r="AD52" s="10">
        <f t="shared" si="16"/>
        <v>4.6979162213850998</v>
      </c>
      <c r="AE52" s="10">
        <f t="shared" si="17"/>
        <v>-1</v>
      </c>
      <c r="AF52" s="10">
        <f t="shared" si="18"/>
        <v>0</v>
      </c>
      <c r="AI52" s="10">
        <f t="shared" si="32"/>
        <v>-1</v>
      </c>
      <c r="AJ52" s="10">
        <f t="shared" si="33"/>
        <v>0</v>
      </c>
      <c r="AK52" s="10">
        <f t="shared" si="34"/>
        <v>0</v>
      </c>
      <c r="BD52" s="10">
        <f t="shared" si="19"/>
        <v>33</v>
      </c>
      <c r="BE52">
        <v>0.61901687331555877</v>
      </c>
      <c r="BF52">
        <v>0.4274011189409066</v>
      </c>
      <c r="BG52">
        <v>0.82036805322428052</v>
      </c>
      <c r="BJ52" s="16">
        <f>1</f>
        <v>1</v>
      </c>
      <c r="BK52" s="14">
        <f t="shared" si="20"/>
        <v>7.0998790880627975</v>
      </c>
      <c r="BL52" s="14">
        <f t="shared" si="21"/>
        <v>5.6155583806161715</v>
      </c>
      <c r="BM52" s="16">
        <f t="shared" si="22"/>
        <v>-1</v>
      </c>
      <c r="BO52" s="10">
        <f t="shared" si="23"/>
        <v>-26.910071831333795</v>
      </c>
      <c r="BP52" s="10">
        <f t="shared" si="24"/>
        <v>-1</v>
      </c>
      <c r="BQ52" s="10">
        <f t="shared" si="25"/>
        <v>0</v>
      </c>
      <c r="BR52" s="10">
        <f t="shared" si="26"/>
        <v>0</v>
      </c>
      <c r="BV52" s="16">
        <f t="shared" si="27"/>
        <v>-100</v>
      </c>
      <c r="BW52" s="16">
        <f t="shared" si="28"/>
        <v>-100</v>
      </c>
      <c r="BX52" s="16">
        <f t="shared" si="29"/>
        <v>7.0998790880627975</v>
      </c>
      <c r="BY52" s="16">
        <f t="shared" si="30"/>
        <v>5.6155583806161715</v>
      </c>
    </row>
    <row r="53" spans="2:77" x14ac:dyDescent="0.25">
      <c r="B53" s="10">
        <f t="shared" si="2"/>
        <v>34</v>
      </c>
      <c r="C53">
        <v>0.26028828870039433</v>
      </c>
      <c r="D53">
        <v>1.0230519364995416</v>
      </c>
      <c r="E53">
        <v>0.44532609027375103</v>
      </c>
      <c r="H53" s="18">
        <f>1</f>
        <v>1</v>
      </c>
      <c r="I53" s="19">
        <f t="shared" si="3"/>
        <v>6.5827130487965926</v>
      </c>
      <c r="J53" s="19">
        <f t="shared" si="4"/>
        <v>6.4742866429121504</v>
      </c>
      <c r="K53" s="18">
        <f t="shared" si="5"/>
        <v>-1</v>
      </c>
      <c r="L53" s="17"/>
      <c r="M53" s="17"/>
      <c r="N53" s="18">
        <f t="shared" si="6"/>
        <v>-100</v>
      </c>
      <c r="O53" s="18">
        <f t="shared" si="6"/>
        <v>-100</v>
      </c>
      <c r="P53" s="18">
        <f t="shared" si="7"/>
        <v>6.5827130487965926</v>
      </c>
      <c r="Q53" s="18">
        <f t="shared" si="7"/>
        <v>6.4742866429121504</v>
      </c>
      <c r="S53" s="10">
        <f t="shared" si="8"/>
        <v>0.21173484952614885</v>
      </c>
      <c r="T53" s="10">
        <f t="shared" si="9"/>
        <v>1</v>
      </c>
      <c r="U53" s="10">
        <f t="shared" si="10"/>
        <v>-1</v>
      </c>
      <c r="V53" s="10">
        <f t="shared" si="11"/>
        <v>1</v>
      </c>
      <c r="Y53" s="10">
        <f t="shared" si="31"/>
        <v>-0.70082399975499998</v>
      </c>
      <c r="Z53" s="10">
        <f t="shared" si="12"/>
        <v>-4.6133232880970585</v>
      </c>
      <c r="AA53" s="10">
        <f t="shared" si="13"/>
        <v>-4.537335460646065</v>
      </c>
      <c r="AB53" s="10">
        <f t="shared" si="14"/>
        <v>-0.600823999755</v>
      </c>
      <c r="AC53" s="10">
        <f t="shared" si="15"/>
        <v>-9.21688433769312</v>
      </c>
      <c r="AD53" s="10">
        <f t="shared" si="16"/>
        <v>0.16058076073903482</v>
      </c>
      <c r="AE53" s="10">
        <f t="shared" si="17"/>
        <v>-1</v>
      </c>
      <c r="AF53" s="10">
        <f t="shared" si="18"/>
        <v>0</v>
      </c>
      <c r="AI53" s="10">
        <f t="shared" si="32"/>
        <v>-1</v>
      </c>
      <c r="AJ53" s="10">
        <f t="shared" si="33"/>
        <v>0</v>
      </c>
      <c r="AK53" s="10">
        <f t="shared" si="34"/>
        <v>0</v>
      </c>
      <c r="BD53" s="10">
        <f t="shared" si="19"/>
        <v>34</v>
      </c>
      <c r="BE53">
        <v>-0.53903704611002468</v>
      </c>
      <c r="BF53">
        <v>1.3642466001329012</v>
      </c>
      <c r="BG53">
        <v>0.85320596942045346</v>
      </c>
      <c r="BJ53" s="16">
        <f>1</f>
        <v>1</v>
      </c>
      <c r="BK53" s="14">
        <f t="shared" si="20"/>
        <v>5.4303545939148723</v>
      </c>
      <c r="BL53" s="14">
        <f t="shared" si="21"/>
        <v>6.9661746618145912</v>
      </c>
      <c r="BM53" s="16">
        <f t="shared" si="22"/>
        <v>-1</v>
      </c>
      <c r="BO53" s="10">
        <f t="shared" si="23"/>
        <v>28.671349562822513</v>
      </c>
      <c r="BP53" s="10">
        <f t="shared" si="24"/>
        <v>1</v>
      </c>
      <c r="BQ53" s="10">
        <f t="shared" si="25"/>
        <v>1</v>
      </c>
      <c r="BR53" s="10">
        <f t="shared" si="26"/>
        <v>1</v>
      </c>
      <c r="BV53" s="16">
        <f t="shared" si="27"/>
        <v>-100</v>
      </c>
      <c r="BW53" s="16">
        <f t="shared" si="28"/>
        <v>-100</v>
      </c>
      <c r="BX53" s="16">
        <f t="shared" si="29"/>
        <v>5.4303545939148723</v>
      </c>
      <c r="BY53" s="16">
        <f t="shared" si="30"/>
        <v>6.9661746618145912</v>
      </c>
    </row>
    <row r="54" spans="2:77" x14ac:dyDescent="0.25">
      <c r="B54" s="10">
        <f t="shared" si="2"/>
        <v>35</v>
      </c>
      <c r="C54">
        <v>5.499146027432289E-2</v>
      </c>
      <c r="D54">
        <v>-8.79720118973637E-2</v>
      </c>
      <c r="E54">
        <v>0.30320139164403209</v>
      </c>
      <c r="H54" s="18">
        <f>1</f>
        <v>1</v>
      </c>
      <c r="I54" s="19">
        <f t="shared" si="3"/>
        <v>6.2867440288063836</v>
      </c>
      <c r="J54" s="19">
        <f t="shared" si="4"/>
        <v>4.8725635587628124</v>
      </c>
      <c r="K54" s="18">
        <f t="shared" si="5"/>
        <v>-1</v>
      </c>
      <c r="L54" s="17"/>
      <c r="M54" s="17"/>
      <c r="N54" s="18">
        <f t="shared" si="6"/>
        <v>-100</v>
      </c>
      <c r="O54" s="18">
        <f t="shared" si="6"/>
        <v>-100</v>
      </c>
      <c r="P54" s="18">
        <f t="shared" si="7"/>
        <v>6.2867440288063836</v>
      </c>
      <c r="Q54" s="18">
        <f t="shared" si="7"/>
        <v>4.8725635587628124</v>
      </c>
      <c r="S54" s="10">
        <f t="shared" si="8"/>
        <v>-57.762576610930871</v>
      </c>
      <c r="T54" s="10">
        <f t="shared" si="9"/>
        <v>-1</v>
      </c>
      <c r="U54" s="10">
        <f t="shared" si="10"/>
        <v>0</v>
      </c>
      <c r="V54" s="10">
        <f t="shared" si="11"/>
        <v>0</v>
      </c>
      <c r="Y54" s="10">
        <f t="shared" si="31"/>
        <v>0</v>
      </c>
      <c r="Z54" s="10">
        <f t="shared" si="12"/>
        <v>0</v>
      </c>
      <c r="AA54" s="10">
        <f t="shared" si="13"/>
        <v>0</v>
      </c>
      <c r="AB54" s="10">
        <f t="shared" si="14"/>
        <v>-0.600823999755</v>
      </c>
      <c r="AC54" s="10">
        <f t="shared" si="15"/>
        <v>-9.21688433769312</v>
      </c>
      <c r="AD54" s="10">
        <f t="shared" si="16"/>
        <v>0.16058076073903482</v>
      </c>
      <c r="AE54" s="10">
        <f t="shared" si="17"/>
        <v>-1</v>
      </c>
      <c r="AF54" s="10">
        <f t="shared" si="18"/>
        <v>0</v>
      </c>
      <c r="AI54" s="10">
        <f t="shared" si="32"/>
        <v>-1</v>
      </c>
      <c r="AJ54" s="10">
        <f t="shared" si="33"/>
        <v>0</v>
      </c>
      <c r="AK54" s="10">
        <f t="shared" si="34"/>
        <v>0</v>
      </c>
      <c r="BD54" s="10">
        <f t="shared" si="19"/>
        <v>35</v>
      </c>
      <c r="BE54">
        <v>0.37557128962362185</v>
      </c>
      <c r="BF54">
        <v>1.0309577191947028</v>
      </c>
      <c r="BG54">
        <v>0.95699942014831996</v>
      </c>
      <c r="BJ54" s="16">
        <f>1</f>
        <v>1</v>
      </c>
      <c r="BK54" s="14">
        <f t="shared" si="20"/>
        <v>6.7489123859532549</v>
      </c>
      <c r="BL54" s="14">
        <f t="shared" si="21"/>
        <v>6.4856841241810104</v>
      </c>
      <c r="BM54" s="16">
        <f t="shared" si="22"/>
        <v>-1</v>
      </c>
      <c r="BO54" s="10">
        <f t="shared" si="23"/>
        <v>-4.4579279135282945</v>
      </c>
      <c r="BP54" s="10">
        <f t="shared" si="24"/>
        <v>-1</v>
      </c>
      <c r="BQ54" s="10">
        <f t="shared" si="25"/>
        <v>0</v>
      </c>
      <c r="BR54" s="10">
        <f t="shared" si="26"/>
        <v>0</v>
      </c>
      <c r="BV54" s="16">
        <f t="shared" si="27"/>
        <v>-100</v>
      </c>
      <c r="BW54" s="16">
        <f t="shared" si="28"/>
        <v>-100</v>
      </c>
      <c r="BX54" s="16">
        <f t="shared" si="29"/>
        <v>6.7489123859532549</v>
      </c>
      <c r="BY54" s="16">
        <f t="shared" si="30"/>
        <v>6.4856841241810104</v>
      </c>
    </row>
    <row r="55" spans="2:77" x14ac:dyDescent="0.25">
      <c r="B55" s="10">
        <f t="shared" si="2"/>
        <v>36</v>
      </c>
      <c r="C55">
        <v>0.4085336513526272</v>
      </c>
      <c r="D55">
        <v>0.60683305491693318</v>
      </c>
      <c r="E55">
        <v>0.74892422254097113</v>
      </c>
      <c r="H55" s="18">
        <f>1</f>
        <v>1</v>
      </c>
      <c r="I55" s="19">
        <f t="shared" si="3"/>
        <v>6.7964330318993733</v>
      </c>
      <c r="J55" s="19">
        <f t="shared" si="4"/>
        <v>5.8742389196820461</v>
      </c>
      <c r="K55" s="18">
        <f t="shared" si="5"/>
        <v>-1</v>
      </c>
      <c r="L55" s="17"/>
      <c r="M55" s="17"/>
      <c r="N55" s="18">
        <f t="shared" si="6"/>
        <v>-100</v>
      </c>
      <c r="O55" s="18">
        <f t="shared" si="6"/>
        <v>-100</v>
      </c>
      <c r="P55" s="18">
        <f t="shared" si="7"/>
        <v>6.7964330318993733</v>
      </c>
      <c r="Q55" s="18">
        <f t="shared" si="7"/>
        <v>5.8742389196820461</v>
      </c>
      <c r="S55" s="10">
        <f t="shared" si="8"/>
        <v>-62.299471409163111</v>
      </c>
      <c r="T55" s="10">
        <f t="shared" si="9"/>
        <v>-1</v>
      </c>
      <c r="U55" s="10">
        <f t="shared" si="10"/>
        <v>0</v>
      </c>
      <c r="V55" s="10">
        <f t="shared" si="11"/>
        <v>0</v>
      </c>
      <c r="Y55" s="10">
        <f t="shared" si="31"/>
        <v>0</v>
      </c>
      <c r="Z55" s="10">
        <f t="shared" si="12"/>
        <v>0</v>
      </c>
      <c r="AA55" s="10">
        <f t="shared" si="13"/>
        <v>0</v>
      </c>
      <c r="AB55" s="10">
        <f t="shared" si="14"/>
        <v>-0.600823999755</v>
      </c>
      <c r="AC55" s="10">
        <f t="shared" si="15"/>
        <v>-9.21688433769312</v>
      </c>
      <c r="AD55" s="10">
        <f t="shared" si="16"/>
        <v>0.16058076073903482</v>
      </c>
      <c r="AE55" s="10">
        <f t="shared" si="17"/>
        <v>-1</v>
      </c>
      <c r="AF55" s="10">
        <f t="shared" si="18"/>
        <v>0</v>
      </c>
      <c r="AI55" s="10">
        <f t="shared" si="32"/>
        <v>-1</v>
      </c>
      <c r="AJ55" s="10">
        <f t="shared" si="33"/>
        <v>0</v>
      </c>
      <c r="AK55" s="10">
        <f t="shared" si="34"/>
        <v>0</v>
      </c>
      <c r="BD55" s="10">
        <f t="shared" si="19"/>
        <v>36</v>
      </c>
      <c r="BE55">
        <v>-1.7689217202132568</v>
      </c>
      <c r="BF55">
        <v>0.21809228201163933</v>
      </c>
      <c r="BG55">
        <v>1.1597033600878933E-3</v>
      </c>
      <c r="BJ55" s="16">
        <f>1</f>
        <v>1</v>
      </c>
      <c r="BK55" s="14">
        <f t="shared" si="20"/>
        <v>3.657274296055363</v>
      </c>
      <c r="BL55" s="14">
        <f t="shared" si="21"/>
        <v>5.3138053929242366</v>
      </c>
      <c r="BM55" s="16">
        <f t="shared" si="22"/>
        <v>1</v>
      </c>
      <c r="BO55" s="10">
        <f t="shared" si="23"/>
        <v>30.999950462620589</v>
      </c>
      <c r="BP55" s="10">
        <f t="shared" si="24"/>
        <v>1</v>
      </c>
      <c r="BQ55" s="10">
        <f t="shared" si="25"/>
        <v>0</v>
      </c>
      <c r="BR55" s="10">
        <f t="shared" si="26"/>
        <v>0</v>
      </c>
      <c r="BV55" s="16">
        <f t="shared" si="27"/>
        <v>3.657274296055363</v>
      </c>
      <c r="BW55" s="16">
        <f t="shared" si="28"/>
        <v>5.3138053929242366</v>
      </c>
      <c r="BX55" s="16">
        <f t="shared" si="29"/>
        <v>-100</v>
      </c>
      <c r="BY55" s="16">
        <f t="shared" si="30"/>
        <v>-100</v>
      </c>
    </row>
    <row r="56" spans="2:77" x14ac:dyDescent="0.25">
      <c r="B56" s="10">
        <f t="shared" si="2"/>
        <v>37</v>
      </c>
      <c r="C56">
        <v>1.3652152119902894</v>
      </c>
      <c r="D56">
        <v>0.35260200093034655</v>
      </c>
      <c r="E56">
        <v>0.34943693350016786</v>
      </c>
      <c r="H56" s="18">
        <f>1</f>
        <v>1</v>
      </c>
      <c r="I56" s="19">
        <f t="shared" si="3"/>
        <v>8.1756462721399359</v>
      </c>
      <c r="J56" s="19">
        <f t="shared" si="4"/>
        <v>5.5077231947370606</v>
      </c>
      <c r="K56" s="18">
        <f t="shared" si="5"/>
        <v>-1</v>
      </c>
      <c r="L56" s="17"/>
      <c r="M56" s="17"/>
      <c r="N56" s="18">
        <f t="shared" si="6"/>
        <v>-100</v>
      </c>
      <c r="O56" s="18">
        <f t="shared" si="6"/>
        <v>-100</v>
      </c>
      <c r="P56" s="18">
        <f t="shared" si="7"/>
        <v>8.1756462721399359</v>
      </c>
      <c r="Q56" s="18">
        <f t="shared" si="7"/>
        <v>5.5077231947370606</v>
      </c>
      <c r="S56" s="10">
        <f t="shared" si="8"/>
        <v>-75.070375695409808</v>
      </c>
      <c r="T56" s="10">
        <f t="shared" si="9"/>
        <v>-1</v>
      </c>
      <c r="U56" s="10">
        <f t="shared" si="10"/>
        <v>0</v>
      </c>
      <c r="V56" s="10">
        <f t="shared" si="11"/>
        <v>0</v>
      </c>
      <c r="Y56" s="10">
        <f t="shared" si="31"/>
        <v>0</v>
      </c>
      <c r="Z56" s="10">
        <f t="shared" si="12"/>
        <v>0</v>
      </c>
      <c r="AA56" s="10">
        <f t="shared" si="13"/>
        <v>0</v>
      </c>
      <c r="AB56" s="10">
        <f t="shared" si="14"/>
        <v>-0.600823999755</v>
      </c>
      <c r="AC56" s="10">
        <f t="shared" si="15"/>
        <v>-9.21688433769312</v>
      </c>
      <c r="AD56" s="10">
        <f t="shared" si="16"/>
        <v>0.16058076073903482</v>
      </c>
      <c r="AE56" s="10">
        <f t="shared" si="17"/>
        <v>-1</v>
      </c>
      <c r="AF56" s="10">
        <f t="shared" si="18"/>
        <v>0</v>
      </c>
      <c r="AI56" s="10">
        <f t="shared" si="32"/>
        <v>-1</v>
      </c>
      <c r="AJ56" s="10">
        <f t="shared" si="33"/>
        <v>0</v>
      </c>
      <c r="AK56" s="10">
        <f t="shared" si="34"/>
        <v>0</v>
      </c>
      <c r="BD56" s="10">
        <f t="shared" si="19"/>
        <v>37</v>
      </c>
      <c r="BE56">
        <v>0.17488332559878472</v>
      </c>
      <c r="BF56">
        <v>-0.50719449973257724</v>
      </c>
      <c r="BG56">
        <v>0.41489913632618181</v>
      </c>
      <c r="BJ56" s="16">
        <f>1</f>
        <v>1</v>
      </c>
      <c r="BK56" s="14">
        <f t="shared" si="20"/>
        <v>6.4595877992480553</v>
      </c>
      <c r="BL56" s="14">
        <f t="shared" si="21"/>
        <v>4.268185644921215</v>
      </c>
      <c r="BM56" s="16">
        <f t="shared" si="22"/>
        <v>1</v>
      </c>
      <c r="BO56" s="10">
        <f t="shared" si="23"/>
        <v>-39.858193787562413</v>
      </c>
      <c r="BP56" s="10">
        <f t="shared" si="24"/>
        <v>-1</v>
      </c>
      <c r="BQ56" s="10">
        <f t="shared" si="25"/>
        <v>-1</v>
      </c>
      <c r="BR56" s="10">
        <f t="shared" si="26"/>
        <v>1</v>
      </c>
      <c r="BV56" s="16">
        <f t="shared" si="27"/>
        <v>6.4595877992480553</v>
      </c>
      <c r="BW56" s="16">
        <f t="shared" si="28"/>
        <v>4.268185644921215</v>
      </c>
      <c r="BX56" s="16">
        <f t="shared" si="29"/>
        <v>-100</v>
      </c>
      <c r="BY56" s="16">
        <f t="shared" si="30"/>
        <v>-100</v>
      </c>
    </row>
    <row r="57" spans="2:77" x14ac:dyDescent="0.25">
      <c r="B57" s="10">
        <f t="shared" si="2"/>
        <v>38</v>
      </c>
      <c r="C57">
        <v>0.60839738580398262</v>
      </c>
      <c r="D57">
        <v>1.028229235089384</v>
      </c>
      <c r="E57">
        <v>0.24814600054933317</v>
      </c>
      <c r="H57" s="18">
        <f>1</f>
        <v>1</v>
      </c>
      <c r="I57" s="19">
        <f t="shared" si="3"/>
        <v>7.0845693566086103</v>
      </c>
      <c r="J57" s="19">
        <f t="shared" si="4"/>
        <v>6.4817505672288585</v>
      </c>
      <c r="K57" s="18">
        <f t="shared" si="5"/>
        <v>-1</v>
      </c>
      <c r="L57" s="17"/>
      <c r="M57" s="17"/>
      <c r="N57" s="18">
        <f t="shared" si="6"/>
        <v>-100</v>
      </c>
      <c r="O57" s="18">
        <f t="shared" si="6"/>
        <v>-100</v>
      </c>
      <c r="P57" s="18">
        <f t="shared" si="7"/>
        <v>7.0845693566086103</v>
      </c>
      <c r="Q57" s="18">
        <f t="shared" si="7"/>
        <v>6.4817505672288585</v>
      </c>
      <c r="S57" s="10">
        <f t="shared" si="8"/>
        <v>-64.85763590497524</v>
      </c>
      <c r="T57" s="10">
        <f t="shared" si="9"/>
        <v>-1</v>
      </c>
      <c r="U57" s="10">
        <f t="shared" si="10"/>
        <v>0</v>
      </c>
      <c r="V57" s="10">
        <f t="shared" si="11"/>
        <v>0</v>
      </c>
      <c r="Y57" s="10">
        <f t="shared" si="31"/>
        <v>0</v>
      </c>
      <c r="Z57" s="10">
        <f t="shared" si="12"/>
        <v>0</v>
      </c>
      <c r="AA57" s="10">
        <f t="shared" si="13"/>
        <v>0</v>
      </c>
      <c r="AB57" s="10">
        <f t="shared" si="14"/>
        <v>-0.600823999755</v>
      </c>
      <c r="AC57" s="10">
        <f t="shared" si="15"/>
        <v>-9.21688433769312</v>
      </c>
      <c r="AD57" s="10">
        <f t="shared" si="16"/>
        <v>0.16058076073903482</v>
      </c>
      <c r="AE57" s="10">
        <f t="shared" si="17"/>
        <v>-1</v>
      </c>
      <c r="AF57" s="10">
        <f t="shared" si="18"/>
        <v>0</v>
      </c>
      <c r="AI57" s="10">
        <f t="shared" si="32"/>
        <v>-1</v>
      </c>
      <c r="AJ57" s="10">
        <f t="shared" si="33"/>
        <v>0</v>
      </c>
      <c r="AK57" s="10">
        <f t="shared" si="34"/>
        <v>0</v>
      </c>
      <c r="BD57" s="10">
        <f t="shared" si="19"/>
        <v>38</v>
      </c>
      <c r="BE57">
        <v>0.99831822808482684</v>
      </c>
      <c r="BF57">
        <v>-1.3083899830235168</v>
      </c>
      <c r="BG57">
        <v>0.19635608996856593</v>
      </c>
      <c r="BJ57" s="16">
        <f>1</f>
        <v>1</v>
      </c>
      <c r="BK57" s="14">
        <f t="shared" si="20"/>
        <v>7.6467041467482257</v>
      </c>
      <c r="BL57" s="14">
        <f t="shared" si="21"/>
        <v>3.1131310645452066</v>
      </c>
      <c r="BM57" s="16">
        <f t="shared" si="22"/>
        <v>1</v>
      </c>
      <c r="BO57" s="10">
        <f t="shared" si="23"/>
        <v>-82.95578417159453</v>
      </c>
      <c r="BP57" s="10">
        <f t="shared" si="24"/>
        <v>-1</v>
      </c>
      <c r="BQ57" s="10">
        <f t="shared" si="25"/>
        <v>-1</v>
      </c>
      <c r="BR57" s="10">
        <f t="shared" si="26"/>
        <v>1</v>
      </c>
      <c r="BV57" s="16">
        <f t="shared" si="27"/>
        <v>7.6467041467482257</v>
      </c>
      <c r="BW57" s="16">
        <f t="shared" si="28"/>
        <v>3.1131310645452066</v>
      </c>
      <c r="BX57" s="16">
        <f t="shared" si="29"/>
        <v>-100</v>
      </c>
      <c r="BY57" s="16">
        <f t="shared" si="30"/>
        <v>-100</v>
      </c>
    </row>
    <row r="58" spans="2:77" x14ac:dyDescent="0.25">
      <c r="B58" s="10">
        <f t="shared" si="2"/>
        <v>39</v>
      </c>
      <c r="C58">
        <v>-0.59300418797647581</v>
      </c>
      <c r="D58">
        <v>-0.69847828854108229</v>
      </c>
      <c r="E58">
        <v>0.41169469283120214</v>
      </c>
      <c r="H58" s="18">
        <f>1</f>
        <v>1</v>
      </c>
      <c r="I58" s="19">
        <f t="shared" si="3"/>
        <v>5.3525521153654383</v>
      </c>
      <c r="J58" s="19">
        <f t="shared" si="4"/>
        <v>3.9924187178444317</v>
      </c>
      <c r="K58" s="18">
        <f t="shared" si="5"/>
        <v>-1</v>
      </c>
      <c r="L58" s="17"/>
      <c r="M58" s="17"/>
      <c r="N58" s="18">
        <f t="shared" si="6"/>
        <v>-100</v>
      </c>
      <c r="O58" s="18">
        <f t="shared" si="6"/>
        <v>-100</v>
      </c>
      <c r="P58" s="18">
        <f t="shared" si="7"/>
        <v>5.3525521153654383</v>
      </c>
      <c r="Q58" s="18">
        <f t="shared" si="7"/>
        <v>3.9924187178444317</v>
      </c>
      <c r="S58" s="10">
        <f t="shared" si="8"/>
        <v>-49.293572123652666</v>
      </c>
      <c r="T58" s="10">
        <f t="shared" si="9"/>
        <v>-1</v>
      </c>
      <c r="U58" s="10">
        <f t="shared" si="10"/>
        <v>0</v>
      </c>
      <c r="V58" s="10">
        <f t="shared" si="11"/>
        <v>0</v>
      </c>
      <c r="Y58" s="10">
        <f t="shared" si="31"/>
        <v>0</v>
      </c>
      <c r="Z58" s="10">
        <f t="shared" si="12"/>
        <v>0</v>
      </c>
      <c r="AA58" s="10">
        <f t="shared" si="13"/>
        <v>0</v>
      </c>
      <c r="AB58" s="10">
        <f t="shared" si="14"/>
        <v>-0.600823999755</v>
      </c>
      <c r="AC58" s="10">
        <f t="shared" si="15"/>
        <v>-9.21688433769312</v>
      </c>
      <c r="AD58" s="10">
        <f t="shared" si="16"/>
        <v>0.16058076073903482</v>
      </c>
      <c r="AE58" s="10">
        <f t="shared" si="17"/>
        <v>-1</v>
      </c>
      <c r="AF58" s="10">
        <f t="shared" si="18"/>
        <v>0</v>
      </c>
      <c r="AI58" s="10">
        <f t="shared" si="32"/>
        <v>-1</v>
      </c>
      <c r="AJ58" s="10">
        <f t="shared" si="33"/>
        <v>0</v>
      </c>
      <c r="AK58" s="10">
        <f t="shared" si="34"/>
        <v>0</v>
      </c>
      <c r="BD58" s="10">
        <f t="shared" si="19"/>
        <v>39</v>
      </c>
      <c r="BE58">
        <v>1.9548588170437142</v>
      </c>
      <c r="BF58">
        <v>-0.68091367211309262</v>
      </c>
      <c r="BG58">
        <v>0.29905087435529648</v>
      </c>
      <c r="BJ58" s="16">
        <f>1</f>
        <v>1</v>
      </c>
      <c r="BK58" s="14">
        <f t="shared" si="20"/>
        <v>9.0257141532129275</v>
      </c>
      <c r="BL58" s="14">
        <f t="shared" si="21"/>
        <v>4.0177409907239081</v>
      </c>
      <c r="BM58" s="16">
        <f t="shared" si="22"/>
        <v>1</v>
      </c>
      <c r="BO58" s="10">
        <f t="shared" si="23"/>
        <v>-91.756531398943807</v>
      </c>
      <c r="BP58" s="10">
        <f t="shared" si="24"/>
        <v>-1</v>
      </c>
      <c r="BQ58" s="10">
        <f t="shared" si="25"/>
        <v>-1</v>
      </c>
      <c r="BR58" s="10">
        <f t="shared" si="26"/>
        <v>1</v>
      </c>
      <c r="BV58" s="16">
        <f t="shared" si="27"/>
        <v>9.0257141532129275</v>
      </c>
      <c r="BW58" s="16">
        <f t="shared" si="28"/>
        <v>4.0177409907239081</v>
      </c>
      <c r="BX58" s="16">
        <f t="shared" si="29"/>
        <v>-100</v>
      </c>
      <c r="BY58" s="16">
        <f t="shared" si="30"/>
        <v>-100</v>
      </c>
    </row>
    <row r="59" spans="2:77" x14ac:dyDescent="0.25">
      <c r="B59" s="10">
        <f t="shared" si="2"/>
        <v>40</v>
      </c>
      <c r="C59">
        <v>-0.66718484958983026</v>
      </c>
      <c r="D59">
        <v>-2.1609230316244066</v>
      </c>
      <c r="E59">
        <v>0.96066164128543963</v>
      </c>
      <c r="H59" s="18">
        <f>1</f>
        <v>1</v>
      </c>
      <c r="I59" s="19">
        <f t="shared" si="3"/>
        <v>5.2456085357288149</v>
      </c>
      <c r="J59" s="19">
        <f t="shared" si="4"/>
        <v>1.8840649711324016</v>
      </c>
      <c r="K59" s="18">
        <f t="shared" si="5"/>
        <v>-1</v>
      </c>
      <c r="L59" s="17"/>
      <c r="M59" s="17"/>
      <c r="N59" s="18">
        <f t="shared" si="6"/>
        <v>-100</v>
      </c>
      <c r="O59" s="18">
        <f t="shared" si="6"/>
        <v>-100</v>
      </c>
      <c r="P59" s="18">
        <f t="shared" si="7"/>
        <v>5.2456085357288149</v>
      </c>
      <c r="Q59" s="18">
        <f t="shared" si="7"/>
        <v>1.8840649711324016</v>
      </c>
      <c r="S59" s="10">
        <f t="shared" si="8"/>
        <v>-48.646446568037049</v>
      </c>
      <c r="T59" s="10">
        <f t="shared" si="9"/>
        <v>-1</v>
      </c>
      <c r="U59" s="10">
        <f t="shared" si="10"/>
        <v>0</v>
      </c>
      <c r="V59" s="10">
        <f t="shared" si="11"/>
        <v>0</v>
      </c>
      <c r="X59" s="10">
        <f>SUM(V41:V59)</f>
        <v>3</v>
      </c>
      <c r="Y59" s="10">
        <f t="shared" si="31"/>
        <v>0</v>
      </c>
      <c r="Z59" s="10">
        <f t="shared" si="12"/>
        <v>0</v>
      </c>
      <c r="AA59" s="10">
        <f t="shared" si="13"/>
        <v>0</v>
      </c>
      <c r="AB59" s="10">
        <f t="shared" si="14"/>
        <v>-0.600823999755</v>
      </c>
      <c r="AC59" s="10">
        <f t="shared" si="15"/>
        <v>-9.21688433769312</v>
      </c>
      <c r="AD59" s="10">
        <f t="shared" si="16"/>
        <v>0.16058076073903482</v>
      </c>
      <c r="AE59" s="10">
        <f t="shared" si="17"/>
        <v>-1</v>
      </c>
      <c r="AF59" s="10">
        <f t="shared" si="18"/>
        <v>0</v>
      </c>
      <c r="AI59" s="10">
        <f t="shared" si="32"/>
        <v>-1</v>
      </c>
      <c r="AJ59" s="10">
        <f t="shared" si="33"/>
        <v>0</v>
      </c>
      <c r="AK59" s="10">
        <f t="shared" si="34"/>
        <v>0</v>
      </c>
      <c r="BD59" s="10">
        <f t="shared" si="19"/>
        <v>40</v>
      </c>
      <c r="BE59">
        <v>0.45751903599011712</v>
      </c>
      <c r="BF59">
        <v>-0.83861550592700951</v>
      </c>
      <c r="BG59">
        <v>0.60441908017212442</v>
      </c>
      <c r="BJ59" s="16">
        <f>1</f>
        <v>1</v>
      </c>
      <c r="BK59" s="14">
        <f t="shared" si="20"/>
        <v>6.8670534910470034</v>
      </c>
      <c r="BL59" s="14">
        <f t="shared" si="21"/>
        <v>3.7903879548177946</v>
      </c>
      <c r="BM59" s="16">
        <f t="shared" si="22"/>
        <v>-1</v>
      </c>
      <c r="BO59" s="10">
        <f t="shared" si="23"/>
        <v>-56.145074732324844</v>
      </c>
      <c r="BP59" s="10">
        <f t="shared" si="24"/>
        <v>-1</v>
      </c>
      <c r="BQ59" s="10">
        <f t="shared" si="25"/>
        <v>0</v>
      </c>
      <c r="BR59" s="10">
        <f t="shared" si="26"/>
        <v>0</v>
      </c>
      <c r="BV59" s="16">
        <f t="shared" si="27"/>
        <v>-100</v>
      </c>
      <c r="BW59" s="16">
        <f t="shared" si="28"/>
        <v>-100</v>
      </c>
      <c r="BX59" s="16">
        <f t="shared" si="29"/>
        <v>6.8670534910470034</v>
      </c>
      <c r="BY59" s="16">
        <f t="shared" si="30"/>
        <v>3.7903879548177946</v>
      </c>
    </row>
    <row r="60" spans="2:77" x14ac:dyDescent="0.25">
      <c r="B60" s="10">
        <f t="shared" si="2"/>
        <v>41</v>
      </c>
      <c r="C60">
        <v>-0.51687493396457285</v>
      </c>
      <c r="D60">
        <v>-0.39047108657541685</v>
      </c>
      <c r="E60">
        <v>0.83895382549516284</v>
      </c>
      <c r="H60" s="18">
        <f>1</f>
        <v>1</v>
      </c>
      <c r="I60" s="19">
        <f t="shared" si="3"/>
        <v>5.462304910258724</v>
      </c>
      <c r="J60" s="19">
        <f t="shared" si="4"/>
        <v>4.4364615723521998</v>
      </c>
      <c r="K60" s="18">
        <f t="shared" si="5"/>
        <v>-1</v>
      </c>
      <c r="L60" s="17"/>
      <c r="M60" s="17"/>
      <c r="N60" s="18">
        <f t="shared" si="6"/>
        <v>-100</v>
      </c>
      <c r="O60" s="18">
        <f t="shared" si="6"/>
        <v>-100</v>
      </c>
      <c r="P60" s="18">
        <f t="shared" si="7"/>
        <v>5.462304910258724</v>
      </c>
      <c r="Q60" s="18">
        <f t="shared" si="7"/>
        <v>4.4364615723521998</v>
      </c>
      <c r="S60" s="12">
        <f t="shared" si="8"/>
        <v>-50.233846200545045</v>
      </c>
      <c r="T60" s="12">
        <f t="shared" si="9"/>
        <v>-1</v>
      </c>
      <c r="U60" s="12">
        <f t="shared" si="10"/>
        <v>0</v>
      </c>
      <c r="V60" s="12">
        <f t="shared" si="11"/>
        <v>0</v>
      </c>
      <c r="W60" s="12"/>
      <c r="X60" s="12"/>
      <c r="Y60" s="10">
        <f t="shared" si="31"/>
        <v>0</v>
      </c>
      <c r="Z60" s="10">
        <f t="shared" si="12"/>
        <v>0</v>
      </c>
      <c r="AA60" s="10">
        <f t="shared" si="13"/>
        <v>0</v>
      </c>
      <c r="AB60" s="10">
        <f t="shared" si="14"/>
        <v>-0.600823999755</v>
      </c>
      <c r="AC60" s="10">
        <f t="shared" si="15"/>
        <v>-9.21688433769312</v>
      </c>
      <c r="AD60" s="10">
        <f t="shared" si="16"/>
        <v>0.16058076073903482</v>
      </c>
      <c r="AE60" s="10">
        <f t="shared" si="17"/>
        <v>-1</v>
      </c>
      <c r="AF60" s="10">
        <f t="shared" si="18"/>
        <v>0</v>
      </c>
      <c r="AI60" s="10">
        <f t="shared" si="32"/>
        <v>-1</v>
      </c>
      <c r="AJ60" s="10">
        <f t="shared" si="33"/>
        <v>0</v>
      </c>
      <c r="AK60" s="10">
        <f t="shared" si="34"/>
        <v>0</v>
      </c>
      <c r="BD60" s="10">
        <f t="shared" si="19"/>
        <v>41</v>
      </c>
      <c r="BE60">
        <v>-1.8008995539275929</v>
      </c>
      <c r="BF60">
        <v>-0.54514998737431597</v>
      </c>
      <c r="BG60">
        <v>0.48423718985564745</v>
      </c>
      <c r="BJ60" s="16">
        <f>1</f>
        <v>1</v>
      </c>
      <c r="BK60" s="14">
        <f t="shared" si="20"/>
        <v>3.6111730085761455</v>
      </c>
      <c r="BL60" s="14">
        <f t="shared" si="21"/>
        <v>4.2134665897526586</v>
      </c>
      <c r="BM60" s="16">
        <f t="shared" si="22"/>
        <v>1</v>
      </c>
      <c r="BO60" s="10">
        <f t="shared" si="23"/>
        <v>11.637665853556143</v>
      </c>
      <c r="BP60" s="10">
        <f t="shared" si="24"/>
        <v>1</v>
      </c>
      <c r="BQ60" s="10">
        <f t="shared" si="25"/>
        <v>0</v>
      </c>
      <c r="BR60" s="10">
        <f t="shared" si="26"/>
        <v>0</v>
      </c>
      <c r="BV60" s="16">
        <f t="shared" si="27"/>
        <v>3.6111730085761455</v>
      </c>
      <c r="BW60" s="16">
        <f t="shared" si="28"/>
        <v>4.2134665897526586</v>
      </c>
      <c r="BX60" s="16">
        <f t="shared" si="29"/>
        <v>-100</v>
      </c>
      <c r="BY60" s="16">
        <f t="shared" si="30"/>
        <v>-100</v>
      </c>
    </row>
    <row r="61" spans="2:77" x14ac:dyDescent="0.25">
      <c r="B61" s="10">
        <f t="shared" si="2"/>
        <v>42</v>
      </c>
      <c r="C61">
        <v>-1.396169864165131</v>
      </c>
      <c r="D61">
        <v>2.9815419111400843</v>
      </c>
      <c r="E61">
        <v>0.19626453444013794</v>
      </c>
      <c r="H61" s="18">
        <f>1</f>
        <v>1</v>
      </c>
      <c r="I61" s="19">
        <f t="shared" si="3"/>
        <v>4.1946571790735643</v>
      </c>
      <c r="J61" s="19">
        <f t="shared" si="4"/>
        <v>9.2977708774177366</v>
      </c>
      <c r="K61" s="18">
        <f t="shared" si="5"/>
        <v>1</v>
      </c>
      <c r="L61" s="17"/>
      <c r="M61" s="17"/>
      <c r="N61" s="18">
        <f t="shared" si="6"/>
        <v>4.1946571790735643</v>
      </c>
      <c r="O61" s="18">
        <f t="shared" si="6"/>
        <v>9.2977708774177366</v>
      </c>
      <c r="P61" s="18">
        <f t="shared" si="7"/>
        <v>-100</v>
      </c>
      <c r="Q61" s="18">
        <f t="shared" si="7"/>
        <v>-100</v>
      </c>
      <c r="S61" s="10">
        <f t="shared" si="8"/>
        <v>-37.769450934877156</v>
      </c>
      <c r="T61" s="10">
        <f t="shared" si="9"/>
        <v>-1</v>
      </c>
      <c r="U61" s="10">
        <f t="shared" si="10"/>
        <v>1</v>
      </c>
      <c r="V61" s="10">
        <f t="shared" si="11"/>
        <v>1</v>
      </c>
      <c r="Y61" s="10">
        <f t="shared" si="31"/>
        <v>0.70082399975499998</v>
      </c>
      <c r="Z61" s="10">
        <f t="shared" si="12"/>
        <v>2.9397164218393605</v>
      </c>
      <c r="AA61" s="10">
        <f t="shared" si="13"/>
        <v>6.5161009751174541</v>
      </c>
      <c r="AB61" s="10">
        <f t="shared" si="14"/>
        <v>9.9999999999999978E-2</v>
      </c>
      <c r="AC61" s="10">
        <f t="shared" si="15"/>
        <v>-6.2771679158537594</v>
      </c>
      <c r="AD61" s="10">
        <f t="shared" si="16"/>
        <v>6.6766817358564889</v>
      </c>
      <c r="AE61" s="10">
        <f t="shared" si="17"/>
        <v>1</v>
      </c>
      <c r="AF61" s="10">
        <f t="shared" si="18"/>
        <v>0</v>
      </c>
      <c r="AI61" s="10">
        <f t="shared" si="32"/>
        <v>-1</v>
      </c>
      <c r="AJ61" s="10">
        <f t="shared" si="33"/>
        <v>0</v>
      </c>
      <c r="AK61" s="10">
        <f t="shared" si="34"/>
        <v>0</v>
      </c>
      <c r="BD61" s="10">
        <f t="shared" si="19"/>
        <v>42</v>
      </c>
      <c r="BE61">
        <v>0.74755917012225837</v>
      </c>
      <c r="BF61">
        <v>-7.1472641138825566E-2</v>
      </c>
      <c r="BG61">
        <v>4.8432874538407542E-2</v>
      </c>
      <c r="BJ61" s="16">
        <f>1</f>
        <v>1</v>
      </c>
      <c r="BK61" s="14">
        <f t="shared" si="20"/>
        <v>7.2851938730248538</v>
      </c>
      <c r="BL61" s="14">
        <f t="shared" si="21"/>
        <v>4.896350105448886</v>
      </c>
      <c r="BM61" s="16">
        <f t="shared" si="22"/>
        <v>1</v>
      </c>
      <c r="BO61" s="10">
        <f t="shared" si="23"/>
        <v>-43.536790308637052</v>
      </c>
      <c r="BP61" s="10">
        <f t="shared" si="24"/>
        <v>-1</v>
      </c>
      <c r="BQ61" s="10">
        <f t="shared" si="25"/>
        <v>-1</v>
      </c>
      <c r="BR61" s="10">
        <f t="shared" si="26"/>
        <v>1</v>
      </c>
      <c r="BV61" s="16">
        <f t="shared" si="27"/>
        <v>7.2851938730248538</v>
      </c>
      <c r="BW61" s="16">
        <f t="shared" si="28"/>
        <v>4.896350105448886</v>
      </c>
      <c r="BX61" s="16">
        <f t="shared" si="29"/>
        <v>-100</v>
      </c>
      <c r="BY61" s="16">
        <f t="shared" si="30"/>
        <v>-100</v>
      </c>
    </row>
    <row r="62" spans="2:77" x14ac:dyDescent="0.25">
      <c r="B62" s="10">
        <f t="shared" si="2"/>
        <v>43</v>
      </c>
      <c r="C62">
        <v>-0.77940057963132858</v>
      </c>
      <c r="D62">
        <v>-0.90841467681457289</v>
      </c>
      <c r="E62">
        <v>0.94405957213049718</v>
      </c>
      <c r="H62" s="18">
        <f>1</f>
        <v>1</v>
      </c>
      <c r="I62" s="19">
        <f t="shared" si="3"/>
        <v>5.0838311721791971</v>
      </c>
      <c r="J62" s="19">
        <f t="shared" si="4"/>
        <v>3.6897610120535012</v>
      </c>
      <c r="K62" s="18">
        <f t="shared" si="5"/>
        <v>-1</v>
      </c>
      <c r="L62" s="17"/>
      <c r="M62" s="17"/>
      <c r="N62" s="18">
        <f t="shared" si="6"/>
        <v>-100</v>
      </c>
      <c r="O62" s="18">
        <f t="shared" si="6"/>
        <v>-100</v>
      </c>
      <c r="P62" s="18">
        <f t="shared" si="7"/>
        <v>5.0838311721791971</v>
      </c>
      <c r="Q62" s="18">
        <f t="shared" si="7"/>
        <v>3.6897610120535012</v>
      </c>
      <c r="S62" s="10">
        <f t="shared" si="8"/>
        <v>-7.1767019647674992</v>
      </c>
      <c r="T62" s="10">
        <f t="shared" si="9"/>
        <v>-1</v>
      </c>
      <c r="U62" s="10">
        <f t="shared" si="10"/>
        <v>0</v>
      </c>
      <c r="V62" s="10">
        <f t="shared" si="11"/>
        <v>0</v>
      </c>
      <c r="Y62" s="10">
        <f t="shared" si="31"/>
        <v>0</v>
      </c>
      <c r="Z62" s="10">
        <f t="shared" si="12"/>
        <v>0</v>
      </c>
      <c r="AA62" s="10">
        <f t="shared" si="13"/>
        <v>0</v>
      </c>
      <c r="AB62" s="10">
        <f t="shared" si="14"/>
        <v>9.9999999999999978E-2</v>
      </c>
      <c r="AC62" s="10">
        <f t="shared" si="15"/>
        <v>-6.2771679158537594</v>
      </c>
      <c r="AD62" s="10">
        <f t="shared" si="16"/>
        <v>6.6766817358564889</v>
      </c>
      <c r="AE62" s="10">
        <f t="shared" si="17"/>
        <v>-1</v>
      </c>
      <c r="AF62" s="10">
        <f t="shared" si="18"/>
        <v>0</v>
      </c>
      <c r="AI62" s="10">
        <f t="shared" si="32"/>
        <v>-1</v>
      </c>
      <c r="AJ62" s="10">
        <f t="shared" si="33"/>
        <v>0</v>
      </c>
      <c r="AK62" s="10">
        <f t="shared" si="34"/>
        <v>0</v>
      </c>
      <c r="BD62" s="10">
        <f t="shared" si="19"/>
        <v>43</v>
      </c>
      <c r="BE62">
        <v>0.80452309703105129</v>
      </c>
      <c r="BF62">
        <v>0.26147631615458522</v>
      </c>
      <c r="BG62">
        <v>0.47080904568620868</v>
      </c>
      <c r="BJ62" s="16">
        <f>1</f>
        <v>1</v>
      </c>
      <c r="BK62" s="14">
        <f t="shared" si="20"/>
        <v>7.3673167082933997</v>
      </c>
      <c r="BL62" s="14">
        <f t="shared" si="21"/>
        <v>5.3763505874455113</v>
      </c>
      <c r="BM62" s="16">
        <f t="shared" si="22"/>
        <v>1</v>
      </c>
      <c r="BO62" s="10">
        <f t="shared" si="23"/>
        <v>-36.233371526134604</v>
      </c>
      <c r="BP62" s="10">
        <f t="shared" si="24"/>
        <v>-1</v>
      </c>
      <c r="BQ62" s="10">
        <f t="shared" si="25"/>
        <v>-1</v>
      </c>
      <c r="BR62" s="10">
        <f t="shared" si="26"/>
        <v>1</v>
      </c>
      <c r="BV62" s="16">
        <f t="shared" si="27"/>
        <v>7.3673167082933997</v>
      </c>
      <c r="BW62" s="16">
        <f t="shared" si="28"/>
        <v>5.3763505874455113</v>
      </c>
      <c r="BX62" s="16">
        <f t="shared" si="29"/>
        <v>-100</v>
      </c>
      <c r="BY62" s="16">
        <f t="shared" si="30"/>
        <v>-100</v>
      </c>
    </row>
    <row r="63" spans="2:77" x14ac:dyDescent="0.25">
      <c r="B63" s="10">
        <f t="shared" si="2"/>
        <v>44</v>
      </c>
      <c r="C63">
        <v>-0.46748027671128511</v>
      </c>
      <c r="D63">
        <v>0.32424850360257551</v>
      </c>
      <c r="E63">
        <v>0.35230567339091157</v>
      </c>
      <c r="H63" s="18">
        <f>1</f>
        <v>1</v>
      </c>
      <c r="I63" s="19">
        <f t="shared" si="3"/>
        <v>5.5335154029491767</v>
      </c>
      <c r="J63" s="19">
        <f t="shared" si="4"/>
        <v>5.4668469820759515</v>
      </c>
      <c r="K63" s="18">
        <f t="shared" si="5"/>
        <v>-1</v>
      </c>
      <c r="L63" s="17"/>
      <c r="M63" s="17"/>
      <c r="N63" s="18">
        <f t="shared" si="6"/>
        <v>-100</v>
      </c>
      <c r="O63" s="18">
        <f t="shared" si="6"/>
        <v>-100</v>
      </c>
      <c r="P63" s="18">
        <f t="shared" si="7"/>
        <v>5.5335154029491767</v>
      </c>
      <c r="Q63" s="18">
        <f t="shared" si="7"/>
        <v>5.4668469820759515</v>
      </c>
      <c r="S63" s="10">
        <f t="shared" si="8"/>
        <v>1.8655920486735198</v>
      </c>
      <c r="T63" s="10">
        <f t="shared" si="9"/>
        <v>1</v>
      </c>
      <c r="U63" s="10">
        <f t="shared" si="10"/>
        <v>-1</v>
      </c>
      <c r="V63" s="10">
        <f t="shared" si="11"/>
        <v>1</v>
      </c>
      <c r="Y63" s="10">
        <f t="shared" si="31"/>
        <v>-0.70082399975499998</v>
      </c>
      <c r="Z63" s="10">
        <f t="shared" si="12"/>
        <v>-3.8780203974007423</v>
      </c>
      <c r="AA63" s="10">
        <f t="shared" si="13"/>
        <v>-3.8312975680270189</v>
      </c>
      <c r="AB63" s="10">
        <f t="shared" si="14"/>
        <v>-0.600823999755</v>
      </c>
      <c r="AC63" s="10">
        <f t="shared" si="15"/>
        <v>-10.155188313254502</v>
      </c>
      <c r="AD63" s="10">
        <f t="shared" si="16"/>
        <v>2.84538416782947</v>
      </c>
      <c r="AE63" s="10">
        <f t="shared" si="17"/>
        <v>-1</v>
      </c>
      <c r="AF63" s="10">
        <f t="shared" si="18"/>
        <v>0</v>
      </c>
      <c r="AI63" s="10">
        <f t="shared" si="32"/>
        <v>-1</v>
      </c>
      <c r="AJ63" s="10">
        <f t="shared" si="33"/>
        <v>0</v>
      </c>
      <c r="AK63" s="10">
        <f t="shared" si="34"/>
        <v>0</v>
      </c>
      <c r="BD63" s="10">
        <f t="shared" si="19"/>
        <v>44</v>
      </c>
      <c r="BE63">
        <v>-0.45098886403138749</v>
      </c>
      <c r="BF63">
        <v>0.72717966759228148</v>
      </c>
      <c r="BG63">
        <v>0.1805169835505234</v>
      </c>
      <c r="BJ63" s="16">
        <f>1</f>
        <v>1</v>
      </c>
      <c r="BK63" s="14">
        <f t="shared" si="20"/>
        <v>5.5572904767608069</v>
      </c>
      <c r="BL63" s="14">
        <f t="shared" si="21"/>
        <v>6.0477382829490764</v>
      </c>
      <c r="BM63" s="16">
        <f t="shared" si="22"/>
        <v>1</v>
      </c>
      <c r="BO63" s="10">
        <f t="shared" si="23"/>
        <v>9.4610506211145946</v>
      </c>
      <c r="BP63" s="10">
        <f t="shared" si="24"/>
        <v>1</v>
      </c>
      <c r="BQ63" s="10">
        <f t="shared" si="25"/>
        <v>0</v>
      </c>
      <c r="BR63" s="10">
        <f t="shared" si="26"/>
        <v>0</v>
      </c>
      <c r="BV63" s="16">
        <f t="shared" si="27"/>
        <v>5.5572904767608069</v>
      </c>
      <c r="BW63" s="16">
        <f t="shared" si="28"/>
        <v>6.0477382829490764</v>
      </c>
      <c r="BX63" s="16">
        <f t="shared" si="29"/>
        <v>-100</v>
      </c>
      <c r="BY63" s="16">
        <f t="shared" si="30"/>
        <v>-100</v>
      </c>
    </row>
    <row r="64" spans="2:77" x14ac:dyDescent="0.25">
      <c r="B64" s="10">
        <f t="shared" si="2"/>
        <v>45</v>
      </c>
      <c r="C64">
        <v>0.26504039851715788</v>
      </c>
      <c r="D64">
        <v>-0.56846374718588777</v>
      </c>
      <c r="E64">
        <v>0.34034241767632067</v>
      </c>
      <c r="H64" s="18">
        <f>1</f>
        <v>1</v>
      </c>
      <c r="I64" s="19">
        <f t="shared" si="3"/>
        <v>6.5895639938215904</v>
      </c>
      <c r="J64" s="19">
        <f t="shared" si="4"/>
        <v>4.1798559845785856</v>
      </c>
      <c r="K64" s="18">
        <f t="shared" si="5"/>
        <v>-1</v>
      </c>
      <c r="L64" s="17"/>
      <c r="M64" s="17"/>
      <c r="N64" s="18">
        <f t="shared" si="6"/>
        <v>-100</v>
      </c>
      <c r="O64" s="18">
        <f t="shared" si="6"/>
        <v>-100</v>
      </c>
      <c r="P64" s="18">
        <f t="shared" si="7"/>
        <v>6.5895639938215904</v>
      </c>
      <c r="Q64" s="18">
        <f t="shared" si="7"/>
        <v>4.1798559845785856</v>
      </c>
      <c r="S64" s="10">
        <f t="shared" si="8"/>
        <v>-55.62579121692751</v>
      </c>
      <c r="T64" s="10">
        <f t="shared" si="9"/>
        <v>-1</v>
      </c>
      <c r="U64" s="10">
        <f t="shared" si="10"/>
        <v>0</v>
      </c>
      <c r="V64" s="10">
        <f t="shared" si="11"/>
        <v>0</v>
      </c>
      <c r="Y64" s="10">
        <f t="shared" si="31"/>
        <v>0</v>
      </c>
      <c r="Z64" s="10">
        <f t="shared" si="12"/>
        <v>0</v>
      </c>
      <c r="AA64" s="10">
        <f t="shared" si="13"/>
        <v>0</v>
      </c>
      <c r="AB64" s="10">
        <f t="shared" si="14"/>
        <v>-0.600823999755</v>
      </c>
      <c r="AC64" s="10">
        <f t="shared" si="15"/>
        <v>-10.155188313254502</v>
      </c>
      <c r="AD64" s="10">
        <f t="shared" si="16"/>
        <v>2.84538416782947</v>
      </c>
      <c r="AE64" s="10">
        <f t="shared" si="17"/>
        <v>-1</v>
      </c>
      <c r="AF64" s="10">
        <f t="shared" si="18"/>
        <v>0</v>
      </c>
      <c r="AI64" s="10">
        <f t="shared" si="32"/>
        <v>1</v>
      </c>
      <c r="AJ64" s="10">
        <f t="shared" si="33"/>
        <v>0</v>
      </c>
      <c r="AK64" s="10">
        <f t="shared" si="34"/>
        <v>0</v>
      </c>
      <c r="BD64" s="10">
        <f t="shared" si="19"/>
        <v>45</v>
      </c>
      <c r="BE64">
        <v>0.8961183084466029</v>
      </c>
      <c r="BF64">
        <v>-7.5000343713327311E-2</v>
      </c>
      <c r="BG64">
        <v>0.65578173162022768</v>
      </c>
      <c r="BJ64" s="16">
        <f>1</f>
        <v>1</v>
      </c>
      <c r="BK64" s="14">
        <f t="shared" si="20"/>
        <v>7.4993662151771314</v>
      </c>
      <c r="BL64" s="14">
        <f t="shared" si="21"/>
        <v>4.8912643441061672</v>
      </c>
      <c r="BM64" s="16">
        <f t="shared" si="22"/>
        <v>-1</v>
      </c>
      <c r="BO64" s="10">
        <f t="shared" si="23"/>
        <v>-47.577760052469316</v>
      </c>
      <c r="BP64" s="10">
        <f t="shared" si="24"/>
        <v>-1</v>
      </c>
      <c r="BQ64" s="10">
        <f t="shared" si="25"/>
        <v>0</v>
      </c>
      <c r="BR64" s="10">
        <f t="shared" si="26"/>
        <v>0</v>
      </c>
      <c r="BV64" s="16">
        <f t="shared" si="27"/>
        <v>-100</v>
      </c>
      <c r="BW64" s="16">
        <f t="shared" si="28"/>
        <v>-100</v>
      </c>
      <c r="BX64" s="16">
        <f t="shared" si="29"/>
        <v>7.4993662151771314</v>
      </c>
      <c r="BY64" s="16">
        <f t="shared" si="30"/>
        <v>4.8912643441061672</v>
      </c>
    </row>
    <row r="65" spans="2:77" x14ac:dyDescent="0.25">
      <c r="B65" s="10">
        <f t="shared" si="2"/>
        <v>46</v>
      </c>
      <c r="C65">
        <v>2.0974766812287271</v>
      </c>
      <c r="D65">
        <v>-0.12821828931919299</v>
      </c>
      <c r="E65">
        <v>0.73546555986205631</v>
      </c>
      <c r="H65" s="18">
        <f>1</f>
        <v>1</v>
      </c>
      <c r="I65" s="19">
        <f t="shared" si="3"/>
        <v>9.2313211751018951</v>
      </c>
      <c r="J65" s="19">
        <f t="shared" si="4"/>
        <v>4.8145419547365123</v>
      </c>
      <c r="K65" s="18">
        <f t="shared" si="5"/>
        <v>-1</v>
      </c>
      <c r="L65" s="17"/>
      <c r="M65" s="17"/>
      <c r="N65" s="18">
        <f t="shared" si="6"/>
        <v>-100</v>
      </c>
      <c r="O65" s="18">
        <f t="shared" si="6"/>
        <v>-100</v>
      </c>
      <c r="P65" s="18">
        <f t="shared" si="7"/>
        <v>9.2313211751018951</v>
      </c>
      <c r="Q65" s="18">
        <f t="shared" si="7"/>
        <v>4.8145419547365123</v>
      </c>
      <c r="S65" s="10">
        <f t="shared" si="8"/>
        <v>-80.647407459690555</v>
      </c>
      <c r="T65" s="10">
        <f t="shared" si="9"/>
        <v>-1</v>
      </c>
      <c r="U65" s="10">
        <f t="shared" si="10"/>
        <v>0</v>
      </c>
      <c r="V65" s="10">
        <f t="shared" si="11"/>
        <v>0</v>
      </c>
      <c r="Y65" s="10">
        <f t="shared" si="31"/>
        <v>0</v>
      </c>
      <c r="Z65" s="10">
        <f t="shared" si="12"/>
        <v>0</v>
      </c>
      <c r="AA65" s="10">
        <f t="shared" si="13"/>
        <v>0</v>
      </c>
      <c r="AB65" s="10">
        <f t="shared" si="14"/>
        <v>-0.600823999755</v>
      </c>
      <c r="AC65" s="10">
        <f t="shared" si="15"/>
        <v>-10.155188313254502</v>
      </c>
      <c r="AD65" s="10">
        <f t="shared" si="16"/>
        <v>2.84538416782947</v>
      </c>
      <c r="AE65" s="10">
        <f t="shared" si="17"/>
        <v>-1</v>
      </c>
      <c r="AF65" s="10">
        <f t="shared" si="18"/>
        <v>0</v>
      </c>
      <c r="AI65" s="10">
        <f t="shared" si="32"/>
        <v>-1</v>
      </c>
      <c r="AJ65" s="10">
        <f t="shared" si="33"/>
        <v>0</v>
      </c>
      <c r="AK65" s="10">
        <f t="shared" si="34"/>
        <v>0</v>
      </c>
      <c r="BD65" s="10">
        <f t="shared" si="19"/>
        <v>46</v>
      </c>
      <c r="BE65">
        <v>1.1442739378253464</v>
      </c>
      <c r="BF65">
        <v>0.64932351051538717</v>
      </c>
      <c r="BG65">
        <v>0.31281472212897121</v>
      </c>
      <c r="BJ65" s="16">
        <f>1</f>
        <v>1</v>
      </c>
      <c r="BK65" s="14">
        <f t="shared" si="20"/>
        <v>7.8571232199753265</v>
      </c>
      <c r="BL65" s="14">
        <f t="shared" si="21"/>
        <v>5.9354958743014921</v>
      </c>
      <c r="BM65" s="16">
        <f t="shared" si="22"/>
        <v>1</v>
      </c>
      <c r="BO65" s="10">
        <f t="shared" si="23"/>
        <v>-34.990433534337825</v>
      </c>
      <c r="BP65" s="10">
        <f t="shared" si="24"/>
        <v>-1</v>
      </c>
      <c r="BQ65" s="10">
        <f t="shared" si="25"/>
        <v>-1</v>
      </c>
      <c r="BR65" s="10">
        <f t="shared" si="26"/>
        <v>1</v>
      </c>
      <c r="BV65" s="16">
        <f t="shared" si="27"/>
        <v>7.8571232199753265</v>
      </c>
      <c r="BW65" s="16">
        <f t="shared" si="28"/>
        <v>5.9354958743014921</v>
      </c>
      <c r="BX65" s="16">
        <f t="shared" si="29"/>
        <v>-100</v>
      </c>
      <c r="BY65" s="16">
        <f t="shared" si="30"/>
        <v>-100</v>
      </c>
    </row>
    <row r="66" spans="2:77" x14ac:dyDescent="0.25">
      <c r="B66" s="10">
        <f t="shared" si="2"/>
        <v>47</v>
      </c>
      <c r="C66">
        <v>0.13523958841688</v>
      </c>
      <c r="D66">
        <v>0.46415493670792785</v>
      </c>
      <c r="E66">
        <v>0.97970519119846189</v>
      </c>
      <c r="H66" s="18">
        <f>1</f>
        <v>1</v>
      </c>
      <c r="I66" s="19">
        <f t="shared" si="3"/>
        <v>6.402434855715355</v>
      </c>
      <c r="J66" s="19">
        <f t="shared" si="4"/>
        <v>5.6685450317437187</v>
      </c>
      <c r="K66" s="18">
        <f t="shared" si="5"/>
        <v>-1</v>
      </c>
      <c r="L66" s="17"/>
      <c r="M66" s="17"/>
      <c r="N66" s="18">
        <f t="shared" si="6"/>
        <v>-100</v>
      </c>
      <c r="O66" s="18">
        <f t="shared" si="6"/>
        <v>-100</v>
      </c>
      <c r="P66" s="18">
        <f t="shared" si="7"/>
        <v>6.402434855715355</v>
      </c>
      <c r="Q66" s="18">
        <f t="shared" si="7"/>
        <v>5.6685450317437187</v>
      </c>
      <c r="S66" s="10">
        <f t="shared" si="8"/>
        <v>-49.489567334936865</v>
      </c>
      <c r="T66" s="10">
        <f t="shared" si="9"/>
        <v>-1</v>
      </c>
      <c r="U66" s="10">
        <f t="shared" si="10"/>
        <v>0</v>
      </c>
      <c r="V66" s="10">
        <f t="shared" si="11"/>
        <v>0</v>
      </c>
      <c r="Y66" s="10">
        <f t="shared" si="31"/>
        <v>0</v>
      </c>
      <c r="Z66" s="10">
        <f t="shared" si="12"/>
        <v>0</v>
      </c>
      <c r="AA66" s="10">
        <f t="shared" si="13"/>
        <v>0</v>
      </c>
      <c r="AB66" s="10">
        <f t="shared" si="14"/>
        <v>-0.600823999755</v>
      </c>
      <c r="AC66" s="10">
        <f t="shared" si="15"/>
        <v>-10.155188313254502</v>
      </c>
      <c r="AD66" s="10">
        <f t="shared" si="16"/>
        <v>2.84538416782947</v>
      </c>
      <c r="AE66" s="10">
        <f t="shared" si="17"/>
        <v>-1</v>
      </c>
      <c r="AF66" s="10">
        <f t="shared" si="18"/>
        <v>0</v>
      </c>
      <c r="AI66" s="10">
        <f t="shared" si="32"/>
        <v>-1</v>
      </c>
      <c r="AJ66" s="10">
        <f t="shared" si="33"/>
        <v>0</v>
      </c>
      <c r="AK66" s="10">
        <f t="shared" si="34"/>
        <v>0</v>
      </c>
      <c r="BD66" s="10">
        <f t="shared" si="19"/>
        <v>47</v>
      </c>
      <c r="BE66">
        <v>0.99041699286317453</v>
      </c>
      <c r="BF66">
        <v>-1.1457473192422185</v>
      </c>
      <c r="BG66">
        <v>0.90527054658650474</v>
      </c>
      <c r="BJ66" s="16">
        <f>1</f>
        <v>1</v>
      </c>
      <c r="BK66" s="14">
        <f t="shared" si="20"/>
        <v>7.6353132214076203</v>
      </c>
      <c r="BL66" s="14">
        <f t="shared" si="21"/>
        <v>3.3476071164988417</v>
      </c>
      <c r="BM66" s="16">
        <f t="shared" si="22"/>
        <v>-1</v>
      </c>
      <c r="BO66" s="10">
        <f t="shared" si="23"/>
        <v>-78.438764730586129</v>
      </c>
      <c r="BP66" s="10">
        <f t="shared" si="24"/>
        <v>-1</v>
      </c>
      <c r="BQ66" s="10">
        <f t="shared" si="25"/>
        <v>0</v>
      </c>
      <c r="BR66" s="10">
        <f t="shared" si="26"/>
        <v>0</v>
      </c>
      <c r="BV66" s="16">
        <f t="shared" si="27"/>
        <v>-100</v>
      </c>
      <c r="BW66" s="16">
        <f t="shared" si="28"/>
        <v>-100</v>
      </c>
      <c r="BX66" s="16">
        <f t="shared" si="29"/>
        <v>7.6353132214076203</v>
      </c>
      <c r="BY66" s="16">
        <f t="shared" si="30"/>
        <v>3.3476071164988417</v>
      </c>
    </row>
    <row r="67" spans="2:77" x14ac:dyDescent="0.25">
      <c r="B67" s="10">
        <f t="shared" si="2"/>
        <v>48</v>
      </c>
      <c r="C67">
        <v>0.29567331694124732</v>
      </c>
      <c r="D67">
        <v>-6.1352238844847307E-2</v>
      </c>
      <c r="E67">
        <v>0.9362468337046419</v>
      </c>
      <c r="H67" s="18">
        <f>1</f>
        <v>1</v>
      </c>
      <c r="I67" s="19">
        <f t="shared" si="3"/>
        <v>6.6337263655198102</v>
      </c>
      <c r="J67" s="19">
        <f t="shared" si="4"/>
        <v>4.9109403237772424</v>
      </c>
      <c r="K67" s="18">
        <f t="shared" si="5"/>
        <v>-1</v>
      </c>
      <c r="L67" s="17"/>
      <c r="M67" s="17"/>
      <c r="N67" s="18">
        <f t="shared" si="6"/>
        <v>-100</v>
      </c>
      <c r="O67" s="18">
        <f t="shared" si="6"/>
        <v>-100</v>
      </c>
      <c r="P67" s="18">
        <f t="shared" si="7"/>
        <v>6.6337263655198102</v>
      </c>
      <c r="Q67" s="18">
        <f t="shared" si="7"/>
        <v>4.9109403237772424</v>
      </c>
      <c r="S67" s="10">
        <f t="shared" si="8"/>
        <v>-53.994052613778933</v>
      </c>
      <c r="T67" s="10">
        <f t="shared" si="9"/>
        <v>-1</v>
      </c>
      <c r="U67" s="10">
        <f t="shared" si="10"/>
        <v>0</v>
      </c>
      <c r="V67" s="10">
        <f t="shared" si="11"/>
        <v>0</v>
      </c>
      <c r="Y67" s="10">
        <f t="shared" si="31"/>
        <v>0</v>
      </c>
      <c r="Z67" s="10">
        <f t="shared" si="12"/>
        <v>0</v>
      </c>
      <c r="AA67" s="10">
        <f t="shared" si="13"/>
        <v>0</v>
      </c>
      <c r="AB67" s="10">
        <f t="shared" si="14"/>
        <v>-0.600823999755</v>
      </c>
      <c r="AC67" s="10">
        <f t="shared" si="15"/>
        <v>-10.155188313254502</v>
      </c>
      <c r="AD67" s="10">
        <f t="shared" si="16"/>
        <v>2.84538416782947</v>
      </c>
      <c r="AE67" s="10">
        <f t="shared" si="17"/>
        <v>-1</v>
      </c>
      <c r="AF67" s="10">
        <f t="shared" si="18"/>
        <v>0</v>
      </c>
      <c r="AI67" s="10">
        <f t="shared" si="32"/>
        <v>-1</v>
      </c>
      <c r="AJ67" s="10">
        <f t="shared" si="33"/>
        <v>0</v>
      </c>
      <c r="AK67" s="10">
        <f t="shared" si="34"/>
        <v>0</v>
      </c>
      <c r="BD67" s="10">
        <f t="shared" si="19"/>
        <v>48</v>
      </c>
      <c r="BE67">
        <v>2.0791958377230912</v>
      </c>
      <c r="BF67">
        <v>-0.21409960027085617</v>
      </c>
      <c r="BG67">
        <v>0.50105288857692187</v>
      </c>
      <c r="BJ67" s="16">
        <f>1</f>
        <v>1</v>
      </c>
      <c r="BK67" s="14">
        <f t="shared" si="20"/>
        <v>9.2049663435224787</v>
      </c>
      <c r="BL67" s="14">
        <f t="shared" si="21"/>
        <v>4.6907299717034112</v>
      </c>
      <c r="BM67" s="16">
        <f t="shared" si="22"/>
        <v>1</v>
      </c>
      <c r="BO67" s="10">
        <f t="shared" si="23"/>
        <v>-82.698381629458609</v>
      </c>
      <c r="BP67" s="10">
        <f t="shared" si="24"/>
        <v>-1</v>
      </c>
      <c r="BQ67" s="10">
        <f t="shared" si="25"/>
        <v>-1</v>
      </c>
      <c r="BR67" s="10">
        <f t="shared" si="26"/>
        <v>1</v>
      </c>
      <c r="BV67" s="16">
        <f t="shared" si="27"/>
        <v>9.2049663435224787</v>
      </c>
      <c r="BW67" s="16">
        <f t="shared" si="28"/>
        <v>4.6907299717034112</v>
      </c>
      <c r="BX67" s="16">
        <f t="shared" si="29"/>
        <v>-100</v>
      </c>
      <c r="BY67" s="16">
        <f t="shared" si="30"/>
        <v>-100</v>
      </c>
    </row>
    <row r="68" spans="2:77" x14ac:dyDescent="0.25">
      <c r="B68" s="10">
        <f t="shared" si="2"/>
        <v>49</v>
      </c>
      <c r="C68">
        <v>0.13940962162450887</v>
      </c>
      <c r="D68">
        <v>0.92495156422955915</v>
      </c>
      <c r="E68">
        <v>0.56495864741966006</v>
      </c>
      <c r="H68" s="18">
        <f>1</f>
        <v>1</v>
      </c>
      <c r="I68" s="19">
        <f t="shared" si="3"/>
        <v>6.4084466419238932</v>
      </c>
      <c r="J68" s="19">
        <f t="shared" si="4"/>
        <v>6.3328588806616644</v>
      </c>
      <c r="K68" s="18">
        <f t="shared" si="5"/>
        <v>-1</v>
      </c>
      <c r="L68" s="17"/>
      <c r="M68" s="17"/>
      <c r="N68" s="18">
        <f t="shared" si="6"/>
        <v>-100</v>
      </c>
      <c r="O68" s="18">
        <f t="shared" si="6"/>
        <v>-100</v>
      </c>
      <c r="P68" s="18">
        <f t="shared" si="7"/>
        <v>6.4084466419238932</v>
      </c>
      <c r="Q68" s="18">
        <f t="shared" si="7"/>
        <v>6.3328588806616644</v>
      </c>
      <c r="S68" s="10">
        <f t="shared" si="8"/>
        <v>-47.660390047802622</v>
      </c>
      <c r="T68" s="10">
        <f t="shared" si="9"/>
        <v>-1</v>
      </c>
      <c r="U68" s="10">
        <f t="shared" si="10"/>
        <v>0</v>
      </c>
      <c r="V68" s="10">
        <f t="shared" si="11"/>
        <v>0</v>
      </c>
      <c r="Y68" s="10">
        <f t="shared" si="31"/>
        <v>0</v>
      </c>
      <c r="Z68" s="10">
        <f t="shared" si="12"/>
        <v>0</v>
      </c>
      <c r="AA68" s="10">
        <f t="shared" si="13"/>
        <v>0</v>
      </c>
      <c r="AB68" s="10">
        <f t="shared" si="14"/>
        <v>-0.600823999755</v>
      </c>
      <c r="AC68" s="10">
        <f t="shared" si="15"/>
        <v>-10.155188313254502</v>
      </c>
      <c r="AD68" s="10">
        <f t="shared" si="16"/>
        <v>2.84538416782947</v>
      </c>
      <c r="AE68" s="10">
        <f t="shared" si="17"/>
        <v>-1</v>
      </c>
      <c r="AF68" s="10">
        <f t="shared" si="18"/>
        <v>0</v>
      </c>
      <c r="AI68" s="10">
        <f t="shared" si="32"/>
        <v>-1</v>
      </c>
      <c r="AJ68" s="10">
        <f t="shared" si="33"/>
        <v>0</v>
      </c>
      <c r="AK68" s="10">
        <f t="shared" si="34"/>
        <v>0</v>
      </c>
      <c r="BD68" s="10">
        <f t="shared" si="19"/>
        <v>49</v>
      </c>
      <c r="BE68">
        <v>-0.95409177447436377</v>
      </c>
      <c r="BF68">
        <v>-1.5023761079646647</v>
      </c>
      <c r="BG68">
        <v>0.90240180669576098</v>
      </c>
      <c r="BJ68" s="16">
        <f>1</f>
        <v>1</v>
      </c>
      <c r="BK68" s="14">
        <f t="shared" si="20"/>
        <v>4.8319851883176863</v>
      </c>
      <c r="BL68" s="14">
        <f t="shared" si="21"/>
        <v>2.8334682771037301</v>
      </c>
      <c r="BM68" s="16">
        <f t="shared" si="22"/>
        <v>-1</v>
      </c>
      <c r="BO68" s="10">
        <f t="shared" si="23"/>
        <v>-36.212962062686593</v>
      </c>
      <c r="BP68" s="10">
        <f t="shared" si="24"/>
        <v>-1</v>
      </c>
      <c r="BQ68" s="10">
        <f t="shared" si="25"/>
        <v>0</v>
      </c>
      <c r="BR68" s="10">
        <f t="shared" si="26"/>
        <v>0</v>
      </c>
      <c r="BV68" s="16">
        <f t="shared" si="27"/>
        <v>-100</v>
      </c>
      <c r="BW68" s="16">
        <f t="shared" si="28"/>
        <v>-100</v>
      </c>
      <c r="BX68" s="16">
        <f t="shared" si="29"/>
        <v>4.8319851883176863</v>
      </c>
      <c r="BY68" s="16">
        <f t="shared" si="30"/>
        <v>2.8334682771037301</v>
      </c>
    </row>
    <row r="69" spans="2:77" x14ac:dyDescent="0.25">
      <c r="B69" s="10">
        <f t="shared" si="2"/>
        <v>50</v>
      </c>
      <c r="C69">
        <v>0.15363752936536912</v>
      </c>
      <c r="D69">
        <v>-1.6843978301039897</v>
      </c>
      <c r="E69">
        <v>0.98593096713156525</v>
      </c>
      <c r="H69" s="18">
        <f>1</f>
        <v>1</v>
      </c>
      <c r="I69" s="19">
        <f t="shared" si="3"/>
        <v>6.4289585024473004</v>
      </c>
      <c r="J69" s="19">
        <f t="shared" si="4"/>
        <v>2.571054136897438</v>
      </c>
      <c r="K69" s="18">
        <f t="shared" si="5"/>
        <v>-1</v>
      </c>
      <c r="L69" s="17"/>
      <c r="M69" s="17"/>
      <c r="N69" s="18">
        <f t="shared" si="6"/>
        <v>-100</v>
      </c>
      <c r="O69" s="18">
        <f t="shared" si="6"/>
        <v>-100</v>
      </c>
      <c r="P69" s="18">
        <f t="shared" si="7"/>
        <v>6.4289585024473004</v>
      </c>
      <c r="Q69" s="18">
        <f t="shared" si="7"/>
        <v>2.571054136897438</v>
      </c>
      <c r="S69" s="10">
        <f t="shared" si="8"/>
        <v>-58.572471514445553</v>
      </c>
      <c r="T69" s="10">
        <f t="shared" si="9"/>
        <v>-1</v>
      </c>
      <c r="U69" s="10">
        <f t="shared" si="10"/>
        <v>0</v>
      </c>
      <c r="V69" s="10">
        <f t="shared" si="11"/>
        <v>0</v>
      </c>
      <c r="Y69" s="10">
        <f t="shared" si="31"/>
        <v>0</v>
      </c>
      <c r="Z69" s="10">
        <f t="shared" si="12"/>
        <v>0</v>
      </c>
      <c r="AA69" s="10">
        <f t="shared" si="13"/>
        <v>0</v>
      </c>
      <c r="AB69" s="10">
        <f t="shared" si="14"/>
        <v>-0.600823999755</v>
      </c>
      <c r="AC69" s="10">
        <f t="shared" si="15"/>
        <v>-10.155188313254502</v>
      </c>
      <c r="AD69" s="10">
        <f t="shared" si="16"/>
        <v>2.84538416782947</v>
      </c>
      <c r="AE69" s="10">
        <f t="shared" si="17"/>
        <v>-1</v>
      </c>
      <c r="AF69" s="10">
        <f t="shared" si="18"/>
        <v>0</v>
      </c>
      <c r="AI69" s="10">
        <f t="shared" si="32"/>
        <v>-1</v>
      </c>
      <c r="AJ69" s="10">
        <f t="shared" si="33"/>
        <v>0</v>
      </c>
      <c r="AK69" s="10">
        <f t="shared" si="34"/>
        <v>0</v>
      </c>
      <c r="BD69" s="10">
        <f t="shared" si="19"/>
        <v>50</v>
      </c>
      <c r="BE69">
        <v>-0.25404233383596875</v>
      </c>
      <c r="BF69">
        <v>-0.47920366341713816</v>
      </c>
      <c r="BG69">
        <v>0.70802941984313483</v>
      </c>
      <c r="BJ69" s="16">
        <f>1</f>
        <v>1</v>
      </c>
      <c r="BK69" s="14">
        <f t="shared" si="20"/>
        <v>5.8412211734953683</v>
      </c>
      <c r="BL69" s="14">
        <f t="shared" si="21"/>
        <v>4.3085390223041014</v>
      </c>
      <c r="BM69" s="16">
        <f t="shared" si="22"/>
        <v>-1</v>
      </c>
      <c r="BO69" s="10">
        <f t="shared" si="23"/>
        <v>-27.719428827839423</v>
      </c>
      <c r="BP69" s="10">
        <f t="shared" si="24"/>
        <v>-1</v>
      </c>
      <c r="BQ69" s="10">
        <f t="shared" si="25"/>
        <v>0</v>
      </c>
      <c r="BR69" s="10">
        <f t="shared" si="26"/>
        <v>0</v>
      </c>
      <c r="BV69" s="16">
        <f t="shared" si="27"/>
        <v>-100</v>
      </c>
      <c r="BW69" s="16">
        <f t="shared" si="28"/>
        <v>-100</v>
      </c>
      <c r="BX69" s="16">
        <f t="shared" si="29"/>
        <v>5.8412211734953683</v>
      </c>
      <c r="BY69" s="16">
        <f t="shared" si="30"/>
        <v>4.3085390223041014</v>
      </c>
    </row>
    <row r="70" spans="2:77" x14ac:dyDescent="0.25">
      <c r="B70" s="10">
        <f t="shared" si="2"/>
        <v>51</v>
      </c>
      <c r="C70">
        <v>-1.8884747987613082</v>
      </c>
      <c r="D70">
        <v>0.36410256143426523</v>
      </c>
      <c r="E70">
        <v>0.89474166081728568</v>
      </c>
      <c r="H70" s="18">
        <f>1</f>
        <v>1</v>
      </c>
      <c r="I70" s="19">
        <f t="shared" si="3"/>
        <v>3.484918942268584</v>
      </c>
      <c r="J70" s="19">
        <f t="shared" si="4"/>
        <v>5.5243031372903797</v>
      </c>
      <c r="K70" s="18">
        <f t="shared" si="5"/>
        <v>1</v>
      </c>
      <c r="L70" s="17"/>
      <c r="M70" s="17"/>
      <c r="N70" s="18">
        <f t="shared" si="6"/>
        <v>3.484918942268584</v>
      </c>
      <c r="O70" s="18">
        <f t="shared" si="6"/>
        <v>5.5243031372903797</v>
      </c>
      <c r="P70" s="18">
        <f t="shared" si="7"/>
        <v>-100</v>
      </c>
      <c r="Q70" s="18">
        <f t="shared" si="7"/>
        <v>-100</v>
      </c>
      <c r="S70" s="10">
        <f t="shared" si="8"/>
        <v>-20.272067429783448</v>
      </c>
      <c r="T70" s="10">
        <f t="shared" si="9"/>
        <v>-1</v>
      </c>
      <c r="U70" s="10">
        <f t="shared" si="10"/>
        <v>1</v>
      </c>
      <c r="V70" s="10">
        <f t="shared" si="11"/>
        <v>1</v>
      </c>
      <c r="Y70" s="10">
        <f t="shared" si="31"/>
        <v>0.70082399975499998</v>
      </c>
      <c r="Z70" s="10">
        <f t="shared" si="12"/>
        <v>2.4423148319426331</v>
      </c>
      <c r="AA70" s="10">
        <f t="shared" si="13"/>
        <v>3.8715642205349385</v>
      </c>
      <c r="AB70" s="10">
        <f t="shared" si="14"/>
        <v>9.9999999999999978E-2</v>
      </c>
      <c r="AC70" s="10">
        <f t="shared" si="15"/>
        <v>-7.7128734813118687</v>
      </c>
      <c r="AD70" s="10">
        <f t="shared" si="16"/>
        <v>6.7169483883644086</v>
      </c>
      <c r="AE70" s="10">
        <f t="shared" si="17"/>
        <v>1</v>
      </c>
      <c r="AF70" s="10">
        <f t="shared" si="18"/>
        <v>0</v>
      </c>
      <c r="AI70" s="10">
        <f t="shared" si="32"/>
        <v>-1</v>
      </c>
      <c r="AJ70" s="10">
        <f t="shared" si="33"/>
        <v>0</v>
      </c>
      <c r="AK70" s="10">
        <f t="shared" si="34"/>
        <v>0</v>
      </c>
      <c r="BD70" s="10">
        <f t="shared" si="19"/>
        <v>51</v>
      </c>
      <c r="BE70">
        <v>-0.33693368095555343</v>
      </c>
      <c r="BF70">
        <v>0.42472038330743089</v>
      </c>
      <c r="BG70">
        <v>3.5096285897396773E-2</v>
      </c>
      <c r="BJ70" s="16">
        <f>1</f>
        <v>1</v>
      </c>
      <c r="BK70" s="14">
        <f t="shared" si="20"/>
        <v>5.7217197132890005</v>
      </c>
      <c r="BL70" s="14">
        <f t="shared" si="21"/>
        <v>5.6116936609106833</v>
      </c>
      <c r="BM70" s="16">
        <f t="shared" si="22"/>
        <v>1</v>
      </c>
      <c r="BO70" s="10">
        <f t="shared" si="23"/>
        <v>-1.5793094202824278</v>
      </c>
      <c r="BP70" s="10">
        <f t="shared" si="24"/>
        <v>-1</v>
      </c>
      <c r="BQ70" s="10">
        <f t="shared" si="25"/>
        <v>-1</v>
      </c>
      <c r="BR70" s="10">
        <f t="shared" si="26"/>
        <v>1</v>
      </c>
      <c r="BV70" s="16">
        <f t="shared" si="27"/>
        <v>5.7217197132890005</v>
      </c>
      <c r="BW70" s="16">
        <f t="shared" si="28"/>
        <v>5.6116936609106833</v>
      </c>
      <c r="BX70" s="16">
        <f t="shared" si="29"/>
        <v>-100</v>
      </c>
      <c r="BY70" s="16">
        <f t="shared" si="30"/>
        <v>-100</v>
      </c>
    </row>
    <row r="71" spans="2:77" x14ac:dyDescent="0.25">
      <c r="B71" s="10">
        <f t="shared" si="2"/>
        <v>52</v>
      </c>
      <c r="C71">
        <v>2.064152795355767</v>
      </c>
      <c r="D71">
        <v>-0.40529243960918393</v>
      </c>
      <c r="E71">
        <v>0.87350077822199168</v>
      </c>
      <c r="H71" s="18">
        <f>1</f>
        <v>1</v>
      </c>
      <c r="I71" s="19">
        <f t="shared" si="3"/>
        <v>9.1832793328596161</v>
      </c>
      <c r="J71" s="19">
        <f t="shared" si="4"/>
        <v>4.4150941631917</v>
      </c>
      <c r="K71" s="18">
        <f t="shared" si="5"/>
        <v>-1</v>
      </c>
      <c r="L71" s="17"/>
      <c r="M71" s="17"/>
      <c r="N71" s="18">
        <f t="shared" si="6"/>
        <v>-100</v>
      </c>
      <c r="O71" s="18">
        <f t="shared" si="6"/>
        <v>-100</v>
      </c>
      <c r="P71" s="18">
        <f t="shared" si="7"/>
        <v>9.1832793328596161</v>
      </c>
      <c r="Q71" s="18">
        <f t="shared" si="7"/>
        <v>4.4150941631917</v>
      </c>
      <c r="S71" s="10">
        <f t="shared" si="8"/>
        <v>-41.073512013964688</v>
      </c>
      <c r="T71" s="10">
        <f t="shared" si="9"/>
        <v>-1</v>
      </c>
      <c r="U71" s="10">
        <f t="shared" si="10"/>
        <v>0</v>
      </c>
      <c r="V71" s="10">
        <f t="shared" si="11"/>
        <v>0</v>
      </c>
      <c r="Y71" s="10">
        <f t="shared" si="31"/>
        <v>0</v>
      </c>
      <c r="Z71" s="10">
        <f t="shared" si="12"/>
        <v>0</v>
      </c>
      <c r="AA71" s="10">
        <f t="shared" si="13"/>
        <v>0</v>
      </c>
      <c r="AB71" s="10">
        <f t="shared" si="14"/>
        <v>9.9999999999999978E-2</v>
      </c>
      <c r="AC71" s="10">
        <f t="shared" si="15"/>
        <v>-7.7128734813118687</v>
      </c>
      <c r="AD71" s="10">
        <f t="shared" si="16"/>
        <v>6.7169483883644086</v>
      </c>
      <c r="AE71" s="10">
        <f t="shared" si="17"/>
        <v>-1</v>
      </c>
      <c r="AF71" s="10">
        <f t="shared" si="18"/>
        <v>0</v>
      </c>
      <c r="AI71" s="10">
        <f t="shared" si="32"/>
        <v>-1</v>
      </c>
      <c r="AJ71" s="10">
        <f t="shared" si="33"/>
        <v>0</v>
      </c>
      <c r="AK71" s="10">
        <f t="shared" si="34"/>
        <v>0</v>
      </c>
      <c r="BD71" s="10">
        <f t="shared" si="19"/>
        <v>52</v>
      </c>
      <c r="BE71">
        <v>-0.38124198908917606</v>
      </c>
      <c r="BF71">
        <v>-0.65395852288929746</v>
      </c>
      <c r="BG71">
        <v>2.9908139286477248E-3</v>
      </c>
      <c r="BJ71" s="16">
        <f>1</f>
        <v>1</v>
      </c>
      <c r="BK71" s="14">
        <f t="shared" si="20"/>
        <v>5.6578420263501839</v>
      </c>
      <c r="BL71" s="14">
        <f t="shared" si="21"/>
        <v>4.0566012554470401</v>
      </c>
      <c r="BM71" s="16">
        <f t="shared" si="22"/>
        <v>1</v>
      </c>
      <c r="BO71" s="10">
        <f t="shared" si="23"/>
        <v>-28.967266607994191</v>
      </c>
      <c r="BP71" s="10">
        <f t="shared" si="24"/>
        <v>-1</v>
      </c>
      <c r="BQ71" s="10">
        <f t="shared" si="25"/>
        <v>-1</v>
      </c>
      <c r="BR71" s="10">
        <f t="shared" si="26"/>
        <v>1</v>
      </c>
      <c r="BV71" s="16">
        <f t="shared" si="27"/>
        <v>5.6578420263501839</v>
      </c>
      <c r="BW71" s="16">
        <f t="shared" si="28"/>
        <v>4.0566012554470401</v>
      </c>
      <c r="BX71" s="16">
        <f t="shared" si="29"/>
        <v>-100</v>
      </c>
      <c r="BY71" s="16">
        <f t="shared" si="30"/>
        <v>-100</v>
      </c>
    </row>
    <row r="72" spans="2:77" x14ac:dyDescent="0.25">
      <c r="B72" s="10">
        <f t="shared" si="2"/>
        <v>53</v>
      </c>
      <c r="C72">
        <v>1.3225644579506479</v>
      </c>
      <c r="D72">
        <v>-0.21911091607762501</v>
      </c>
      <c r="E72">
        <v>0.66100039674062316</v>
      </c>
      <c r="H72" s="18">
        <f>1</f>
        <v>1</v>
      </c>
      <c r="I72" s="19">
        <f t="shared" si="3"/>
        <v>8.11415822104955</v>
      </c>
      <c r="J72" s="19">
        <f t="shared" si="4"/>
        <v>4.6835053387679597</v>
      </c>
      <c r="K72" s="18">
        <f t="shared" si="5"/>
        <v>-1</v>
      </c>
      <c r="L72" s="17"/>
      <c r="M72" s="17"/>
      <c r="N72" s="18">
        <f t="shared" si="6"/>
        <v>-100</v>
      </c>
      <c r="O72" s="18">
        <f t="shared" si="6"/>
        <v>-100</v>
      </c>
      <c r="P72" s="18">
        <f t="shared" si="7"/>
        <v>8.11415822104955</v>
      </c>
      <c r="Q72" s="18">
        <f t="shared" si="7"/>
        <v>4.6835053387679597</v>
      </c>
      <c r="S72" s="10">
        <f t="shared" si="8"/>
        <v>-31.024612129168208</v>
      </c>
      <c r="T72" s="10">
        <f t="shared" si="9"/>
        <v>-1</v>
      </c>
      <c r="U72" s="10">
        <f t="shared" si="10"/>
        <v>0</v>
      </c>
      <c r="V72" s="10">
        <f t="shared" si="11"/>
        <v>0</v>
      </c>
      <c r="Y72" s="10">
        <f t="shared" si="31"/>
        <v>0</v>
      </c>
      <c r="Z72" s="10">
        <f t="shared" si="12"/>
        <v>0</v>
      </c>
      <c r="AA72" s="10">
        <f t="shared" si="13"/>
        <v>0</v>
      </c>
      <c r="AB72" s="10">
        <f t="shared" si="14"/>
        <v>9.9999999999999978E-2</v>
      </c>
      <c r="AC72" s="10">
        <f t="shared" si="15"/>
        <v>-7.7128734813118687</v>
      </c>
      <c r="AD72" s="10">
        <f t="shared" si="16"/>
        <v>6.7169483883644086</v>
      </c>
      <c r="AE72" s="10">
        <f t="shared" si="17"/>
        <v>-1</v>
      </c>
      <c r="AF72" s="10">
        <f t="shared" si="18"/>
        <v>0</v>
      </c>
      <c r="AI72" s="10">
        <f t="shared" si="32"/>
        <v>-1</v>
      </c>
      <c r="AJ72" s="10">
        <f t="shared" si="33"/>
        <v>0</v>
      </c>
      <c r="AK72" s="10">
        <f t="shared" si="34"/>
        <v>0</v>
      </c>
      <c r="BD72" s="10">
        <f t="shared" si="19"/>
        <v>53</v>
      </c>
      <c r="BE72">
        <v>-1.567977960803546</v>
      </c>
      <c r="BF72">
        <v>-0.37122390494914725</v>
      </c>
      <c r="BG72">
        <v>0.20853297524948883</v>
      </c>
      <c r="BJ72" s="16">
        <f>1</f>
        <v>1</v>
      </c>
      <c r="BK72" s="14">
        <f t="shared" si="20"/>
        <v>3.9469676537248271</v>
      </c>
      <c r="BL72" s="14">
        <f t="shared" si="21"/>
        <v>4.4642095386855036</v>
      </c>
      <c r="BM72" s="16">
        <f t="shared" si="22"/>
        <v>1</v>
      </c>
      <c r="BO72" s="10">
        <f t="shared" si="23"/>
        <v>10.054286836409759</v>
      </c>
      <c r="BP72" s="10">
        <f t="shared" si="24"/>
        <v>1</v>
      </c>
      <c r="BQ72" s="10">
        <f t="shared" si="25"/>
        <v>0</v>
      </c>
      <c r="BR72" s="10">
        <f t="shared" si="26"/>
        <v>0</v>
      </c>
      <c r="BV72" s="16">
        <f t="shared" si="27"/>
        <v>3.9469676537248271</v>
      </c>
      <c r="BW72" s="16">
        <f t="shared" si="28"/>
        <v>4.4642095386855036</v>
      </c>
      <c r="BX72" s="16">
        <f t="shared" si="29"/>
        <v>-100</v>
      </c>
      <c r="BY72" s="16">
        <f t="shared" si="30"/>
        <v>-100</v>
      </c>
    </row>
    <row r="73" spans="2:77" x14ac:dyDescent="0.25">
      <c r="B73" s="10">
        <f t="shared" si="2"/>
        <v>54</v>
      </c>
      <c r="C73">
        <v>-0.41052999222301878</v>
      </c>
      <c r="D73">
        <v>0.21801497496198863</v>
      </c>
      <c r="E73">
        <v>0.10916470839564196</v>
      </c>
      <c r="H73" s="18">
        <f>1</f>
        <v>1</v>
      </c>
      <c r="I73" s="19">
        <f t="shared" si="3"/>
        <v>5.6156185704329626</v>
      </c>
      <c r="J73" s="19">
        <f t="shared" si="4"/>
        <v>5.3136939421439253</v>
      </c>
      <c r="K73" s="18">
        <f t="shared" si="5"/>
        <v>-1</v>
      </c>
      <c r="L73" s="17"/>
      <c r="M73" s="17"/>
      <c r="N73" s="18">
        <f t="shared" si="6"/>
        <v>-100</v>
      </c>
      <c r="O73" s="18">
        <f t="shared" si="6"/>
        <v>-100</v>
      </c>
      <c r="P73" s="18">
        <f t="shared" si="7"/>
        <v>5.6156185704329626</v>
      </c>
      <c r="Q73" s="18">
        <f t="shared" si="7"/>
        <v>5.3136939421439253</v>
      </c>
      <c r="S73" s="10">
        <f t="shared" si="8"/>
        <v>-7.5207475921095011</v>
      </c>
      <c r="T73" s="10">
        <f t="shared" si="9"/>
        <v>-1</v>
      </c>
      <c r="U73" s="10">
        <f t="shared" si="10"/>
        <v>0</v>
      </c>
      <c r="V73" s="10">
        <f t="shared" si="11"/>
        <v>0</v>
      </c>
      <c r="Y73" s="10">
        <f t="shared" si="31"/>
        <v>0</v>
      </c>
      <c r="Z73" s="10">
        <f t="shared" si="12"/>
        <v>0</v>
      </c>
      <c r="AA73" s="10">
        <f t="shared" si="13"/>
        <v>0</v>
      </c>
      <c r="AB73" s="10">
        <f t="shared" si="14"/>
        <v>9.9999999999999978E-2</v>
      </c>
      <c r="AC73" s="10">
        <f t="shared" si="15"/>
        <v>-7.7128734813118687</v>
      </c>
      <c r="AD73" s="10">
        <f t="shared" si="16"/>
        <v>6.7169483883644086</v>
      </c>
      <c r="AE73" s="10">
        <f t="shared" si="17"/>
        <v>-1</v>
      </c>
      <c r="AF73" s="10">
        <f t="shared" si="18"/>
        <v>0</v>
      </c>
      <c r="AI73" s="10">
        <f t="shared" si="32"/>
        <v>1</v>
      </c>
      <c r="AJ73" s="10">
        <f t="shared" si="33"/>
        <v>0</v>
      </c>
      <c r="AK73" s="10">
        <f t="shared" si="34"/>
        <v>0</v>
      </c>
      <c r="BD73" s="10">
        <f t="shared" si="19"/>
        <v>54</v>
      </c>
      <c r="BE73">
        <v>-1.2962436812813394</v>
      </c>
      <c r="BF73">
        <v>-0.6625089099543402</v>
      </c>
      <c r="BG73">
        <v>0.8945585497604297</v>
      </c>
      <c r="BJ73" s="16">
        <f>1</f>
        <v>1</v>
      </c>
      <c r="BK73" s="14">
        <f t="shared" si="20"/>
        <v>4.3387171465178653</v>
      </c>
      <c r="BL73" s="14">
        <f t="shared" si="21"/>
        <v>4.0442744713482348</v>
      </c>
      <c r="BM73" s="16">
        <f t="shared" si="22"/>
        <v>-1</v>
      </c>
      <c r="BO73" s="10">
        <f t="shared" si="23"/>
        <v>-4.8800461913962465</v>
      </c>
      <c r="BP73" s="10">
        <f t="shared" si="24"/>
        <v>-1</v>
      </c>
      <c r="BQ73" s="10">
        <f t="shared" si="25"/>
        <v>0</v>
      </c>
      <c r="BR73" s="10">
        <f t="shared" si="26"/>
        <v>0</v>
      </c>
      <c r="BV73" s="16">
        <f t="shared" si="27"/>
        <v>-100</v>
      </c>
      <c r="BW73" s="16">
        <f t="shared" si="28"/>
        <v>-100</v>
      </c>
      <c r="BX73" s="16">
        <f t="shared" si="29"/>
        <v>4.3387171465178653</v>
      </c>
      <c r="BY73" s="16">
        <f t="shared" si="30"/>
        <v>4.0442744713482348</v>
      </c>
    </row>
    <row r="74" spans="2:77" x14ac:dyDescent="0.25">
      <c r="B74" s="10">
        <f t="shared" si="2"/>
        <v>55</v>
      </c>
      <c r="C74">
        <v>-0.97123574960278347</v>
      </c>
      <c r="D74">
        <v>0.76990090747131035</v>
      </c>
      <c r="E74">
        <v>0.88671529282509842</v>
      </c>
      <c r="H74" s="18">
        <f>1</f>
        <v>1</v>
      </c>
      <c r="I74" s="19">
        <f t="shared" si="3"/>
        <v>4.8072693388016665</v>
      </c>
      <c r="J74" s="19">
        <f t="shared" si="4"/>
        <v>6.1093279509273914</v>
      </c>
      <c r="K74" s="18">
        <f t="shared" si="5"/>
        <v>1</v>
      </c>
      <c r="L74" s="17"/>
      <c r="M74" s="17"/>
      <c r="N74" s="18">
        <f t="shared" si="6"/>
        <v>4.8072693388016665</v>
      </c>
      <c r="O74" s="18">
        <f t="shared" si="6"/>
        <v>6.1093279509273914</v>
      </c>
      <c r="P74" s="18">
        <f t="shared" si="7"/>
        <v>-100</v>
      </c>
      <c r="Q74" s="18">
        <f t="shared" si="7"/>
        <v>-100</v>
      </c>
      <c r="S74" s="10">
        <f t="shared" si="8"/>
        <v>4.058180333204362</v>
      </c>
      <c r="T74" s="10">
        <f t="shared" si="9"/>
        <v>1</v>
      </c>
      <c r="U74" s="10">
        <f t="shared" si="10"/>
        <v>0</v>
      </c>
      <c r="V74" s="10">
        <f t="shared" si="11"/>
        <v>0</v>
      </c>
      <c r="Y74" s="10">
        <f t="shared" si="31"/>
        <v>0</v>
      </c>
      <c r="Z74" s="10">
        <f t="shared" si="12"/>
        <v>0</v>
      </c>
      <c r="AA74" s="10">
        <f t="shared" si="13"/>
        <v>0</v>
      </c>
      <c r="AB74" s="10">
        <f t="shared" si="14"/>
        <v>9.9999999999999978E-2</v>
      </c>
      <c r="AC74" s="10">
        <f t="shared" si="15"/>
        <v>-7.7128734813118687</v>
      </c>
      <c r="AD74" s="10">
        <f t="shared" si="16"/>
        <v>6.7169483883644086</v>
      </c>
      <c r="AE74" s="10">
        <f t="shared" si="17"/>
        <v>1</v>
      </c>
      <c r="AF74" s="10">
        <f t="shared" si="18"/>
        <v>0</v>
      </c>
      <c r="AI74" s="10">
        <f t="shared" si="32"/>
        <v>-1</v>
      </c>
      <c r="AJ74" s="10">
        <f t="shared" si="33"/>
        <v>0</v>
      </c>
      <c r="AK74" s="10">
        <f t="shared" si="34"/>
        <v>0</v>
      </c>
      <c r="BD74" s="10">
        <f t="shared" si="19"/>
        <v>55</v>
      </c>
      <c r="BE74">
        <v>-0.54373003877117299</v>
      </c>
      <c r="BF74">
        <v>-0.93130665845819749</v>
      </c>
      <c r="BG74">
        <v>0.53770561845759457</v>
      </c>
      <c r="BJ74" s="16">
        <f>1</f>
        <v>1</v>
      </c>
      <c r="BK74" s="14">
        <f t="shared" si="20"/>
        <v>5.4235888759571713</v>
      </c>
      <c r="BL74" s="14">
        <f t="shared" si="21"/>
        <v>3.6567584692249486</v>
      </c>
      <c r="BM74" s="16">
        <f t="shared" si="22"/>
        <v>-1</v>
      </c>
      <c r="BO74" s="10">
        <f t="shared" si="23"/>
        <v>-31.99426420655476</v>
      </c>
      <c r="BP74" s="10">
        <f t="shared" si="24"/>
        <v>-1</v>
      </c>
      <c r="BQ74" s="10">
        <f t="shared" si="25"/>
        <v>0</v>
      </c>
      <c r="BR74" s="10">
        <f t="shared" si="26"/>
        <v>0</v>
      </c>
      <c r="BV74" s="16">
        <f t="shared" si="27"/>
        <v>-100</v>
      </c>
      <c r="BW74" s="16">
        <f t="shared" si="28"/>
        <v>-100</v>
      </c>
      <c r="BX74" s="16">
        <f t="shared" si="29"/>
        <v>5.4235888759571713</v>
      </c>
      <c r="BY74" s="16">
        <f t="shared" si="30"/>
        <v>3.6567584692249486</v>
      </c>
    </row>
    <row r="75" spans="2:77" x14ac:dyDescent="0.25">
      <c r="B75" s="10">
        <f t="shared" si="2"/>
        <v>56</v>
      </c>
      <c r="C75">
        <v>-4.5340584620134905E-2</v>
      </c>
      <c r="D75">
        <v>-0.13431304068944883</v>
      </c>
      <c r="E75">
        <v>2.5238807336649679E-2</v>
      </c>
      <c r="H75" s="18">
        <f>1</f>
        <v>1</v>
      </c>
      <c r="I75" s="19">
        <f t="shared" si="3"/>
        <v>6.1420989447654497</v>
      </c>
      <c r="J75" s="19">
        <f t="shared" si="4"/>
        <v>4.8057553718946435</v>
      </c>
      <c r="K75" s="18">
        <f t="shared" si="5"/>
        <v>-1</v>
      </c>
      <c r="L75" s="17"/>
      <c r="M75" s="17"/>
      <c r="N75" s="18">
        <f t="shared" si="6"/>
        <v>-100</v>
      </c>
      <c r="O75" s="18">
        <f t="shared" si="6"/>
        <v>-100</v>
      </c>
      <c r="P75" s="18">
        <f t="shared" si="7"/>
        <v>6.1420989447654497</v>
      </c>
      <c r="Q75" s="18">
        <f t="shared" si="7"/>
        <v>4.8057553718946435</v>
      </c>
      <c r="S75" s="10">
        <f t="shared" si="8"/>
        <v>-14.993221270553725</v>
      </c>
      <c r="T75" s="10">
        <f t="shared" si="9"/>
        <v>-1</v>
      </c>
      <c r="U75" s="10">
        <f t="shared" si="10"/>
        <v>0</v>
      </c>
      <c r="V75" s="10">
        <f t="shared" si="11"/>
        <v>0</v>
      </c>
      <c r="Y75" s="10">
        <f t="shared" si="31"/>
        <v>0</v>
      </c>
      <c r="Z75" s="10">
        <f t="shared" si="12"/>
        <v>0</v>
      </c>
      <c r="AA75" s="10">
        <f t="shared" si="13"/>
        <v>0</v>
      </c>
      <c r="AB75" s="10">
        <f t="shared" si="14"/>
        <v>9.9999999999999978E-2</v>
      </c>
      <c r="AC75" s="10">
        <f t="shared" si="15"/>
        <v>-7.7128734813118687</v>
      </c>
      <c r="AD75" s="10">
        <f t="shared" si="16"/>
        <v>6.7169483883644086</v>
      </c>
      <c r="AE75" s="10">
        <f t="shared" si="17"/>
        <v>-1</v>
      </c>
      <c r="AF75" s="10">
        <f t="shared" si="18"/>
        <v>0</v>
      </c>
      <c r="AI75" s="10">
        <f t="shared" si="32"/>
        <v>-1</v>
      </c>
      <c r="AJ75" s="10">
        <f t="shared" si="33"/>
        <v>0</v>
      </c>
      <c r="AK75" s="10">
        <f t="shared" si="34"/>
        <v>0</v>
      </c>
      <c r="BD75" s="10">
        <f t="shared" si="19"/>
        <v>56</v>
      </c>
      <c r="BE75">
        <v>-0.13925500752520747</v>
      </c>
      <c r="BF75">
        <v>0.33434389479225501</v>
      </c>
      <c r="BG75">
        <v>0.17804498428296761</v>
      </c>
      <c r="BJ75" s="16">
        <f>1</f>
        <v>1</v>
      </c>
      <c r="BK75" s="14">
        <f t="shared" si="20"/>
        <v>6.0067059144723887</v>
      </c>
      <c r="BL75" s="14">
        <f t="shared" si="21"/>
        <v>5.4814011427989122</v>
      </c>
      <c r="BM75" s="16">
        <f t="shared" si="22"/>
        <v>1</v>
      </c>
      <c r="BO75" s="10">
        <f t="shared" si="23"/>
        <v>-9.2254052357079956</v>
      </c>
      <c r="BP75" s="10">
        <f t="shared" si="24"/>
        <v>-1</v>
      </c>
      <c r="BQ75" s="10">
        <f t="shared" si="25"/>
        <v>-1</v>
      </c>
      <c r="BR75" s="10">
        <f t="shared" si="26"/>
        <v>1</v>
      </c>
      <c r="BV75" s="16">
        <f t="shared" si="27"/>
        <v>6.0067059144723887</v>
      </c>
      <c r="BW75" s="16">
        <f t="shared" si="28"/>
        <v>5.4814011427989122</v>
      </c>
      <c r="BX75" s="16">
        <f t="shared" si="29"/>
        <v>-100</v>
      </c>
      <c r="BY75" s="16">
        <f t="shared" si="30"/>
        <v>-100</v>
      </c>
    </row>
    <row r="76" spans="2:77" x14ac:dyDescent="0.25">
      <c r="B76" s="10">
        <f t="shared" si="2"/>
        <v>57</v>
      </c>
      <c r="C76">
        <v>0.60471847973531112</v>
      </c>
      <c r="D76">
        <v>0.48109086492331699</v>
      </c>
      <c r="E76">
        <v>0.18408764915921508</v>
      </c>
      <c r="H76" s="18">
        <f>1</f>
        <v>1</v>
      </c>
      <c r="I76" s="19">
        <f t="shared" si="3"/>
        <v>7.0792656106514595</v>
      </c>
      <c r="J76" s="19">
        <f t="shared" si="4"/>
        <v>5.6929609475421366</v>
      </c>
      <c r="K76" s="18">
        <f t="shared" si="5"/>
        <v>-1</v>
      </c>
      <c r="L76" s="17"/>
      <c r="M76" s="17"/>
      <c r="N76" s="18">
        <f t="shared" si="6"/>
        <v>-100</v>
      </c>
      <c r="O76" s="18">
        <f t="shared" si="6"/>
        <v>-100</v>
      </c>
      <c r="P76" s="18">
        <f t="shared" si="7"/>
        <v>7.0792656106514595</v>
      </c>
      <c r="Q76" s="18">
        <f t="shared" si="7"/>
        <v>5.6929609475421366</v>
      </c>
      <c r="S76" s="10">
        <f t="shared" si="8"/>
        <v>-16.262155133942045</v>
      </c>
      <c r="T76" s="10">
        <f t="shared" si="9"/>
        <v>-1</v>
      </c>
      <c r="U76" s="10">
        <f t="shared" si="10"/>
        <v>0</v>
      </c>
      <c r="V76" s="10">
        <f t="shared" si="11"/>
        <v>0</v>
      </c>
      <c r="Y76" s="10">
        <f t="shared" si="31"/>
        <v>0</v>
      </c>
      <c r="Z76" s="10">
        <f t="shared" si="12"/>
        <v>0</v>
      </c>
      <c r="AA76" s="10">
        <f t="shared" si="13"/>
        <v>0</v>
      </c>
      <c r="AB76" s="10">
        <f t="shared" si="14"/>
        <v>9.9999999999999978E-2</v>
      </c>
      <c r="AC76" s="10">
        <f t="shared" si="15"/>
        <v>-7.7128734813118687</v>
      </c>
      <c r="AD76" s="10">
        <f t="shared" si="16"/>
        <v>6.7169483883644086</v>
      </c>
      <c r="AE76" s="10">
        <f t="shared" si="17"/>
        <v>-1</v>
      </c>
      <c r="AF76" s="10">
        <f t="shared" si="18"/>
        <v>0</v>
      </c>
      <c r="AI76" s="10">
        <f t="shared" si="32"/>
        <v>-1</v>
      </c>
      <c r="AJ76" s="10">
        <f t="shared" si="33"/>
        <v>0</v>
      </c>
      <c r="AK76" s="10">
        <f t="shared" si="34"/>
        <v>0</v>
      </c>
      <c r="BD76" s="10">
        <f t="shared" si="19"/>
        <v>57</v>
      </c>
      <c r="BE76">
        <v>-0.33450533010181971</v>
      </c>
      <c r="BF76">
        <v>1.5481509763048962</v>
      </c>
      <c r="BG76">
        <v>2.7375102999969481E-2</v>
      </c>
      <c r="BJ76" s="16">
        <f>1</f>
        <v>1</v>
      </c>
      <c r="BK76" s="14">
        <f t="shared" si="20"/>
        <v>5.7252205789764155</v>
      </c>
      <c r="BL76" s="14">
        <f t="shared" si="21"/>
        <v>7.231302956317867</v>
      </c>
      <c r="BM76" s="16">
        <f t="shared" si="22"/>
        <v>1</v>
      </c>
      <c r="BO76" s="10">
        <f t="shared" si="23"/>
        <v>28.106596232930798</v>
      </c>
      <c r="BP76" s="10">
        <f t="shared" si="24"/>
        <v>1</v>
      </c>
      <c r="BQ76" s="10">
        <f t="shared" si="25"/>
        <v>0</v>
      </c>
      <c r="BR76" s="10">
        <f t="shared" si="26"/>
        <v>0</v>
      </c>
      <c r="BV76" s="16">
        <f t="shared" si="27"/>
        <v>5.7252205789764155</v>
      </c>
      <c r="BW76" s="16">
        <f t="shared" si="28"/>
        <v>7.231302956317867</v>
      </c>
      <c r="BX76" s="16">
        <f t="shared" si="29"/>
        <v>-100</v>
      </c>
      <c r="BY76" s="16">
        <f t="shared" si="30"/>
        <v>-100</v>
      </c>
    </row>
    <row r="77" spans="2:77" x14ac:dyDescent="0.25">
      <c r="B77" s="10">
        <f t="shared" si="2"/>
        <v>58</v>
      </c>
      <c r="C77">
        <v>1.5724435797892511</v>
      </c>
      <c r="D77">
        <v>0.50963194553332869</v>
      </c>
      <c r="E77">
        <v>0.52064577166051207</v>
      </c>
      <c r="H77" s="18">
        <f>1</f>
        <v>1</v>
      </c>
      <c r="I77" s="19">
        <f t="shared" si="3"/>
        <v>8.4743999226558557</v>
      </c>
      <c r="J77" s="19">
        <f t="shared" si="4"/>
        <v>5.7341075922437064</v>
      </c>
      <c r="K77" s="18">
        <f t="shared" si="5"/>
        <v>-1</v>
      </c>
      <c r="L77" s="17"/>
      <c r="M77" s="17"/>
      <c r="N77" s="18">
        <f t="shared" si="6"/>
        <v>-100</v>
      </c>
      <c r="O77" s="18">
        <f t="shared" si="6"/>
        <v>-100</v>
      </c>
      <c r="P77" s="18">
        <f t="shared" si="7"/>
        <v>8.4743999226558557</v>
      </c>
      <c r="Q77" s="18">
        <f t="shared" si="7"/>
        <v>5.7341075922437064</v>
      </c>
      <c r="S77" s="10">
        <f t="shared" si="8"/>
        <v>-26.746269683054216</v>
      </c>
      <c r="T77" s="10">
        <f t="shared" si="9"/>
        <v>-1</v>
      </c>
      <c r="U77" s="10">
        <f t="shared" si="10"/>
        <v>0</v>
      </c>
      <c r="V77" s="10">
        <f t="shared" si="11"/>
        <v>0</v>
      </c>
      <c r="Y77" s="10">
        <f t="shared" si="31"/>
        <v>0</v>
      </c>
      <c r="Z77" s="10">
        <f t="shared" si="12"/>
        <v>0</v>
      </c>
      <c r="AA77" s="10">
        <f t="shared" si="13"/>
        <v>0</v>
      </c>
      <c r="AB77" s="10">
        <f t="shared" si="14"/>
        <v>9.9999999999999978E-2</v>
      </c>
      <c r="AC77" s="10">
        <f t="shared" si="15"/>
        <v>-7.7128734813118687</v>
      </c>
      <c r="AD77" s="10">
        <f t="shared" si="16"/>
        <v>6.7169483883644086</v>
      </c>
      <c r="AE77" s="10">
        <f t="shared" si="17"/>
        <v>-1</v>
      </c>
      <c r="AF77" s="10">
        <f t="shared" si="18"/>
        <v>0</v>
      </c>
      <c r="AI77" s="10">
        <f t="shared" si="32"/>
        <v>1</v>
      </c>
      <c r="AJ77" s="10">
        <f t="shared" si="33"/>
        <v>0</v>
      </c>
      <c r="AK77" s="10">
        <f t="shared" si="34"/>
        <v>0</v>
      </c>
      <c r="BD77" s="10">
        <f t="shared" si="19"/>
        <v>58</v>
      </c>
      <c r="BE77">
        <v>-0.38659436540910974</v>
      </c>
      <c r="BF77">
        <v>0.96768644652911462</v>
      </c>
      <c r="BG77">
        <v>0.22812585833307902</v>
      </c>
      <c r="BJ77" s="16">
        <f>1</f>
        <v>1</v>
      </c>
      <c r="BK77" s="14">
        <f t="shared" si="20"/>
        <v>5.6501256987957129</v>
      </c>
      <c r="BL77" s="14">
        <f t="shared" si="21"/>
        <v>6.3944682164247393</v>
      </c>
      <c r="BM77" s="16">
        <f t="shared" si="22"/>
        <v>1</v>
      </c>
      <c r="BO77" s="10">
        <f t="shared" si="23"/>
        <v>14.11898977127197</v>
      </c>
      <c r="BP77" s="10">
        <f t="shared" si="24"/>
        <v>1</v>
      </c>
      <c r="BQ77" s="10">
        <f t="shared" si="25"/>
        <v>0</v>
      </c>
      <c r="BR77" s="10">
        <f t="shared" si="26"/>
        <v>0</v>
      </c>
      <c r="BV77" s="16">
        <f t="shared" si="27"/>
        <v>5.6501256987957129</v>
      </c>
      <c r="BW77" s="16">
        <f t="shared" si="28"/>
        <v>6.3944682164247393</v>
      </c>
      <c r="BX77" s="16">
        <f t="shared" si="29"/>
        <v>-100</v>
      </c>
      <c r="BY77" s="16">
        <f t="shared" si="30"/>
        <v>-100</v>
      </c>
    </row>
    <row r="78" spans="2:77" x14ac:dyDescent="0.25">
      <c r="B78" s="10">
        <f t="shared" si="2"/>
        <v>59</v>
      </c>
      <c r="C78">
        <v>0.31065155781107023</v>
      </c>
      <c r="D78">
        <v>1.6103740563266911E-2</v>
      </c>
      <c r="E78">
        <v>0.96182134464552749</v>
      </c>
      <c r="H78" s="18">
        <f>1</f>
        <v>1</v>
      </c>
      <c r="I78" s="19">
        <f t="shared" si="3"/>
        <v>6.6553199542050594</v>
      </c>
      <c r="J78" s="19">
        <f t="shared" si="4"/>
        <v>5.0226058107385114</v>
      </c>
      <c r="K78" s="18">
        <f t="shared" si="5"/>
        <v>-1</v>
      </c>
      <c r="L78" s="17"/>
      <c r="M78" s="17"/>
      <c r="N78" s="18">
        <f t="shared" si="6"/>
        <v>-100</v>
      </c>
      <c r="O78" s="18">
        <f t="shared" si="6"/>
        <v>-100</v>
      </c>
      <c r="P78" s="18">
        <f t="shared" si="7"/>
        <v>6.6553199542050594</v>
      </c>
      <c r="Q78" s="18">
        <f t="shared" si="7"/>
        <v>5.0226058107385114</v>
      </c>
      <c r="S78" s="10">
        <f t="shared" si="8"/>
        <v>-17.495056778604166</v>
      </c>
      <c r="T78" s="10">
        <f t="shared" si="9"/>
        <v>-1</v>
      </c>
      <c r="U78" s="10">
        <f t="shared" si="10"/>
        <v>0</v>
      </c>
      <c r="V78" s="10">
        <f t="shared" si="11"/>
        <v>0</v>
      </c>
      <c r="Y78" s="10">
        <f t="shared" si="31"/>
        <v>0</v>
      </c>
      <c r="Z78" s="10">
        <f t="shared" si="12"/>
        <v>0</v>
      </c>
      <c r="AA78" s="10">
        <f t="shared" si="13"/>
        <v>0</v>
      </c>
      <c r="AB78" s="10">
        <f t="shared" si="14"/>
        <v>9.9999999999999978E-2</v>
      </c>
      <c r="AC78" s="10">
        <f t="shared" si="15"/>
        <v>-7.7128734813118687</v>
      </c>
      <c r="AD78" s="10">
        <f t="shared" si="16"/>
        <v>6.7169483883644086</v>
      </c>
      <c r="AE78" s="10">
        <f t="shared" si="17"/>
        <v>-1</v>
      </c>
      <c r="AF78" s="10">
        <f t="shared" si="18"/>
        <v>0</v>
      </c>
      <c r="AI78" s="10">
        <f t="shared" si="32"/>
        <v>-1</v>
      </c>
      <c r="AJ78" s="10">
        <f t="shared" si="33"/>
        <v>0</v>
      </c>
      <c r="AK78" s="10">
        <f t="shared" si="34"/>
        <v>0</v>
      </c>
      <c r="BD78" s="10">
        <f t="shared" si="19"/>
        <v>59</v>
      </c>
      <c r="BE78">
        <v>1.0288658813806251E-2</v>
      </c>
      <c r="BF78">
        <v>0.92989012046018615</v>
      </c>
      <c r="BG78">
        <v>0.69963682973723562</v>
      </c>
      <c r="BJ78" s="16">
        <f>1</f>
        <v>1</v>
      </c>
      <c r="BK78" s="14">
        <f t="shared" si="20"/>
        <v>6.222297615091569</v>
      </c>
      <c r="BL78" s="14">
        <f t="shared" si="21"/>
        <v>6.3399786187450582</v>
      </c>
      <c r="BM78" s="16">
        <f t="shared" si="22"/>
        <v>-1</v>
      </c>
      <c r="BO78" s="10">
        <f t="shared" si="23"/>
        <v>2.5720028482138417</v>
      </c>
      <c r="BP78" s="10">
        <f t="shared" si="24"/>
        <v>1</v>
      </c>
      <c r="BQ78" s="10">
        <f t="shared" si="25"/>
        <v>1</v>
      </c>
      <c r="BR78" s="10">
        <f t="shared" si="26"/>
        <v>1</v>
      </c>
      <c r="BV78" s="16">
        <f t="shared" si="27"/>
        <v>-100</v>
      </c>
      <c r="BW78" s="16">
        <f t="shared" si="28"/>
        <v>-100</v>
      </c>
      <c r="BX78" s="16">
        <f t="shared" si="29"/>
        <v>6.222297615091569</v>
      </c>
      <c r="BY78" s="16">
        <f t="shared" si="30"/>
        <v>6.3399786187450582</v>
      </c>
    </row>
    <row r="79" spans="2:77" x14ac:dyDescent="0.25">
      <c r="B79" s="10">
        <f t="shared" si="2"/>
        <v>60</v>
      </c>
      <c r="C79">
        <v>0.49297796067548916</v>
      </c>
      <c r="D79">
        <v>0.34009190130745992</v>
      </c>
      <c r="E79">
        <v>0.11545152134769737</v>
      </c>
      <c r="H79" s="18">
        <f>1</f>
        <v>1</v>
      </c>
      <c r="I79" s="19">
        <f t="shared" si="3"/>
        <v>6.9181733416043407</v>
      </c>
      <c r="J79" s="19">
        <f t="shared" si="4"/>
        <v>5.489687836111445</v>
      </c>
      <c r="K79" s="18">
        <f t="shared" si="5"/>
        <v>-1</v>
      </c>
      <c r="L79" s="17"/>
      <c r="M79" s="17"/>
      <c r="N79" s="18">
        <f t="shared" si="6"/>
        <v>-100</v>
      </c>
      <c r="O79" s="18">
        <f t="shared" si="6"/>
        <v>-100</v>
      </c>
      <c r="P79" s="18">
        <f t="shared" si="7"/>
        <v>6.9181733416043407</v>
      </c>
      <c r="Q79" s="18">
        <f t="shared" si="7"/>
        <v>5.489687836111445</v>
      </c>
      <c r="S79" s="10">
        <f t="shared" si="8"/>
        <v>-16.385045842186365</v>
      </c>
      <c r="T79" s="10">
        <f t="shared" si="9"/>
        <v>-1</v>
      </c>
      <c r="U79" s="10">
        <f t="shared" si="10"/>
        <v>0</v>
      </c>
      <c r="V79" s="10">
        <f t="shared" si="11"/>
        <v>0</v>
      </c>
      <c r="X79" s="10">
        <f>SUM(V61:V79)</f>
        <v>3</v>
      </c>
      <c r="Y79" s="10">
        <f t="shared" si="31"/>
        <v>0</v>
      </c>
      <c r="Z79" s="10">
        <f t="shared" si="12"/>
        <v>0</v>
      </c>
      <c r="AA79" s="10">
        <f t="shared" si="13"/>
        <v>0</v>
      </c>
      <c r="AB79" s="10">
        <f t="shared" si="14"/>
        <v>9.9999999999999978E-2</v>
      </c>
      <c r="AC79" s="10">
        <f t="shared" si="15"/>
        <v>-7.7128734813118687</v>
      </c>
      <c r="AD79" s="10">
        <f t="shared" si="16"/>
        <v>6.7169483883644086</v>
      </c>
      <c r="AE79" s="10">
        <f t="shared" si="17"/>
        <v>-1</v>
      </c>
      <c r="AF79" s="10">
        <f t="shared" si="18"/>
        <v>0</v>
      </c>
      <c r="AI79" s="10">
        <f t="shared" si="32"/>
        <v>-1</v>
      </c>
      <c r="AJ79" s="10">
        <f t="shared" si="33"/>
        <v>0</v>
      </c>
      <c r="AK79" s="10">
        <f t="shared" si="34"/>
        <v>0</v>
      </c>
      <c r="BD79" s="10">
        <f t="shared" si="19"/>
        <v>60</v>
      </c>
      <c r="BE79">
        <v>-0.60343381846905686</v>
      </c>
      <c r="BF79">
        <v>2.2803942556492984</v>
      </c>
      <c r="BG79">
        <v>0.60448011719107642</v>
      </c>
      <c r="BJ79" s="16">
        <f>1</f>
        <v>1</v>
      </c>
      <c r="BK79" s="14">
        <f t="shared" si="20"/>
        <v>5.3375160939158386</v>
      </c>
      <c r="BL79" s="14">
        <f t="shared" si="21"/>
        <v>8.2869516355668118</v>
      </c>
      <c r="BM79" s="16">
        <f t="shared" si="22"/>
        <v>-1</v>
      </c>
      <c r="BO79" s="10">
        <f t="shared" si="23"/>
        <v>54.643729401387304</v>
      </c>
      <c r="BP79" s="10">
        <f t="shared" si="24"/>
        <v>1</v>
      </c>
      <c r="BQ79" s="10">
        <f t="shared" si="25"/>
        <v>1</v>
      </c>
      <c r="BR79" s="10">
        <f t="shared" si="26"/>
        <v>1</v>
      </c>
      <c r="BV79" s="16">
        <f t="shared" si="27"/>
        <v>-100</v>
      </c>
      <c r="BW79" s="16">
        <f t="shared" si="28"/>
        <v>-100</v>
      </c>
      <c r="BX79" s="16">
        <f t="shared" si="29"/>
        <v>5.3375160939158386</v>
      </c>
      <c r="BY79" s="16">
        <f t="shared" si="30"/>
        <v>8.2869516355668118</v>
      </c>
    </row>
    <row r="80" spans="2:77" x14ac:dyDescent="0.25">
      <c r="B80" s="10">
        <f t="shared" si="2"/>
        <v>61</v>
      </c>
      <c r="C80">
        <v>0.94186361820902675</v>
      </c>
      <c r="D80">
        <v>-0.98332066045259126</v>
      </c>
      <c r="E80">
        <v>0.23441267128513443</v>
      </c>
      <c r="H80" s="18">
        <f>1</f>
        <v>1</v>
      </c>
      <c r="I80" s="19">
        <f t="shared" si="3"/>
        <v>7.5653155754440817</v>
      </c>
      <c r="J80" s="19">
        <f t="shared" si="4"/>
        <v>3.5817717618604306</v>
      </c>
      <c r="K80" s="18">
        <f t="shared" si="5"/>
        <v>-1</v>
      </c>
      <c r="L80" s="17"/>
      <c r="M80" s="17"/>
      <c r="N80" s="18">
        <f t="shared" si="6"/>
        <v>-100</v>
      </c>
      <c r="O80" s="18">
        <f t="shared" si="6"/>
        <v>-100</v>
      </c>
      <c r="P80" s="18">
        <f t="shared" si="7"/>
        <v>7.5653155754440817</v>
      </c>
      <c r="Q80" s="18">
        <f t="shared" si="7"/>
        <v>3.5817717618604306</v>
      </c>
      <c r="S80" s="12">
        <f t="shared" si="8"/>
        <v>-34.191745816280729</v>
      </c>
      <c r="T80" s="12">
        <f t="shared" si="9"/>
        <v>-1</v>
      </c>
      <c r="U80" s="12">
        <f t="shared" si="10"/>
        <v>0</v>
      </c>
      <c r="V80" s="12">
        <f t="shared" si="11"/>
        <v>0</v>
      </c>
      <c r="W80" s="12"/>
      <c r="X80" s="12"/>
      <c r="Y80" s="10">
        <f t="shared" si="31"/>
        <v>0</v>
      </c>
      <c r="Z80" s="10">
        <f t="shared" si="12"/>
        <v>0</v>
      </c>
      <c r="AA80" s="10">
        <f t="shared" si="13"/>
        <v>0</v>
      </c>
      <c r="AB80" s="10">
        <f t="shared" si="14"/>
        <v>9.9999999999999978E-2</v>
      </c>
      <c r="AC80" s="10">
        <f t="shared" si="15"/>
        <v>-7.7128734813118687</v>
      </c>
      <c r="AD80" s="10">
        <f t="shared" si="16"/>
        <v>6.7169483883644086</v>
      </c>
      <c r="AE80" s="10">
        <f t="shared" si="17"/>
        <v>-1</v>
      </c>
      <c r="AF80" s="10">
        <f t="shared" si="18"/>
        <v>0</v>
      </c>
      <c r="AI80" s="10">
        <f t="shared" si="32"/>
        <v>-1</v>
      </c>
      <c r="AJ80" s="10">
        <f t="shared" si="33"/>
        <v>0</v>
      </c>
      <c r="AK80" s="10">
        <f t="shared" si="34"/>
        <v>0</v>
      </c>
      <c r="BJ80" s="11"/>
      <c r="BK80" s="29"/>
      <c r="BL80" s="29"/>
      <c r="BM80" s="11"/>
    </row>
    <row r="81" spans="2:65" x14ac:dyDescent="0.25">
      <c r="B81" s="10">
        <f t="shared" si="2"/>
        <v>62</v>
      </c>
      <c r="C81">
        <v>1.3845055946148932</v>
      </c>
      <c r="D81">
        <v>-0.44110265662311576</v>
      </c>
      <c r="E81">
        <v>0.60408337656788846</v>
      </c>
      <c r="H81" s="18">
        <f>1</f>
        <v>1</v>
      </c>
      <c r="I81" s="19">
        <f t="shared" si="3"/>
        <v>8.2034565197916471</v>
      </c>
      <c r="J81" s="19">
        <f t="shared" si="4"/>
        <v>4.3634678671767722</v>
      </c>
      <c r="K81" s="18">
        <f t="shared" si="5"/>
        <v>-1</v>
      </c>
      <c r="L81" s="17"/>
      <c r="M81" s="17"/>
      <c r="N81" s="18">
        <f t="shared" si="6"/>
        <v>-100</v>
      </c>
      <c r="O81" s="18">
        <f t="shared" si="6"/>
        <v>-100</v>
      </c>
      <c r="P81" s="18">
        <f t="shared" si="7"/>
        <v>8.2034565197916471</v>
      </c>
      <c r="Q81" s="18">
        <f t="shared" si="7"/>
        <v>4.3634678671767722</v>
      </c>
      <c r="S81" s="10">
        <f t="shared" si="8"/>
        <v>-33.863033788483037</v>
      </c>
      <c r="T81" s="10">
        <f t="shared" si="9"/>
        <v>-1</v>
      </c>
      <c r="U81" s="10">
        <f t="shared" si="10"/>
        <v>0</v>
      </c>
      <c r="V81" s="10">
        <f t="shared" si="11"/>
        <v>0</v>
      </c>
      <c r="Y81" s="10">
        <f t="shared" si="31"/>
        <v>0</v>
      </c>
      <c r="Z81" s="10">
        <f t="shared" si="12"/>
        <v>0</v>
      </c>
      <c r="AA81" s="10">
        <f t="shared" si="13"/>
        <v>0</v>
      </c>
      <c r="AB81" s="10">
        <f t="shared" si="14"/>
        <v>9.9999999999999978E-2</v>
      </c>
      <c r="AC81" s="10">
        <f t="shared" si="15"/>
        <v>-7.7128734813118687</v>
      </c>
      <c r="AD81" s="10">
        <f t="shared" si="16"/>
        <v>6.7169483883644086</v>
      </c>
      <c r="AE81" s="10">
        <f t="shared" si="17"/>
        <v>-1</v>
      </c>
      <c r="AF81" s="10">
        <f t="shared" si="18"/>
        <v>0</v>
      </c>
      <c r="AI81" s="10">
        <f t="shared" si="32"/>
        <v>-1</v>
      </c>
      <c r="AJ81" s="10">
        <f t="shared" si="33"/>
        <v>0</v>
      </c>
      <c r="AK81" s="10">
        <f t="shared" si="34"/>
        <v>0</v>
      </c>
      <c r="BJ81" s="11"/>
      <c r="BK81" s="29"/>
      <c r="BL81" s="29"/>
      <c r="BM81" s="11"/>
    </row>
    <row r="82" spans="2:65" x14ac:dyDescent="0.25">
      <c r="B82" s="10">
        <f t="shared" si="2"/>
        <v>63</v>
      </c>
      <c r="C82">
        <v>0.48117726691998541</v>
      </c>
      <c r="D82">
        <v>-4.2124383980990387E-2</v>
      </c>
      <c r="E82">
        <v>0.41663869136631365</v>
      </c>
      <c r="H82" s="18">
        <f>1</f>
        <v>1</v>
      </c>
      <c r="I82" s="19">
        <f t="shared" si="3"/>
        <v>6.9011607077862855</v>
      </c>
      <c r="J82" s="19">
        <f t="shared" si="4"/>
        <v>4.938660427415468</v>
      </c>
      <c r="K82" s="18">
        <f t="shared" si="5"/>
        <v>-1</v>
      </c>
      <c r="L82" s="17"/>
      <c r="M82" s="17"/>
      <c r="N82" s="18">
        <f t="shared" si="6"/>
        <v>-100</v>
      </c>
      <c r="O82" s="18">
        <f t="shared" si="6"/>
        <v>-100</v>
      </c>
      <c r="P82" s="18">
        <f t="shared" si="7"/>
        <v>6.9011607077862855</v>
      </c>
      <c r="Q82" s="18">
        <f t="shared" si="7"/>
        <v>4.938660427415468</v>
      </c>
      <c r="S82" s="10">
        <f t="shared" si="8"/>
        <v>-19.955052214748875</v>
      </c>
      <c r="T82" s="10">
        <f t="shared" si="9"/>
        <v>-1</v>
      </c>
      <c r="U82" s="10">
        <f t="shared" si="10"/>
        <v>0</v>
      </c>
      <c r="V82" s="10">
        <f t="shared" si="11"/>
        <v>0</v>
      </c>
      <c r="Y82" s="10">
        <f t="shared" si="31"/>
        <v>0</v>
      </c>
      <c r="Z82" s="10">
        <f t="shared" si="12"/>
        <v>0</v>
      </c>
      <c r="AA82" s="10">
        <f t="shared" si="13"/>
        <v>0</v>
      </c>
      <c r="AB82" s="10">
        <f t="shared" si="14"/>
        <v>9.9999999999999978E-2</v>
      </c>
      <c r="AC82" s="10">
        <f t="shared" si="15"/>
        <v>-7.7128734813118687</v>
      </c>
      <c r="AD82" s="10">
        <f t="shared" si="16"/>
        <v>6.7169483883644086</v>
      </c>
      <c r="AE82" s="10">
        <f t="shared" si="17"/>
        <v>-1</v>
      </c>
      <c r="AF82" s="10">
        <f t="shared" si="18"/>
        <v>0</v>
      </c>
      <c r="AI82" s="10">
        <f t="shared" si="32"/>
        <v>-1</v>
      </c>
      <c r="AJ82" s="10">
        <f t="shared" si="33"/>
        <v>0</v>
      </c>
      <c r="AK82" s="10">
        <f t="shared" si="34"/>
        <v>0</v>
      </c>
      <c r="BJ82" s="11"/>
      <c r="BK82" s="29"/>
      <c r="BL82" s="29"/>
      <c r="BM82" s="11"/>
    </row>
    <row r="83" spans="2:65" x14ac:dyDescent="0.25">
      <c r="B83" s="10">
        <f t="shared" si="2"/>
        <v>64</v>
      </c>
      <c r="C83">
        <v>-1.5252317098202184</v>
      </c>
      <c r="D83">
        <v>-0.87080252342275344</v>
      </c>
      <c r="E83">
        <v>0.4111758781701102</v>
      </c>
      <c r="H83" s="18">
        <f>1</f>
        <v>1</v>
      </c>
      <c r="I83" s="19">
        <f t="shared" si="3"/>
        <v>4.008593379308536</v>
      </c>
      <c r="J83" s="19">
        <f t="shared" si="4"/>
        <v>3.7439850946389122</v>
      </c>
      <c r="K83" s="18">
        <f t="shared" si="5"/>
        <v>-1</v>
      </c>
      <c r="L83" s="17"/>
      <c r="M83" s="17"/>
      <c r="N83" s="18">
        <f t="shared" si="6"/>
        <v>-100</v>
      </c>
      <c r="O83" s="18">
        <f t="shared" si="6"/>
        <v>-100</v>
      </c>
      <c r="P83" s="18">
        <f t="shared" si="7"/>
        <v>4.008593379308536</v>
      </c>
      <c r="Q83" s="18">
        <f t="shared" si="7"/>
        <v>3.7439850946389122</v>
      </c>
      <c r="S83" s="10">
        <f t="shared" si="8"/>
        <v>-5.6696189251359286</v>
      </c>
      <c r="T83" s="10">
        <f t="shared" si="9"/>
        <v>-1</v>
      </c>
      <c r="U83" s="10">
        <f t="shared" si="10"/>
        <v>0</v>
      </c>
      <c r="V83" s="10">
        <f t="shared" si="11"/>
        <v>0</v>
      </c>
      <c r="Y83" s="10">
        <f t="shared" si="31"/>
        <v>0</v>
      </c>
      <c r="Z83" s="10">
        <f t="shared" si="12"/>
        <v>0</v>
      </c>
      <c r="AA83" s="10">
        <f t="shared" si="13"/>
        <v>0</v>
      </c>
      <c r="AB83" s="10">
        <f t="shared" si="14"/>
        <v>9.9999999999999978E-2</v>
      </c>
      <c r="AC83" s="10">
        <f t="shared" si="15"/>
        <v>-7.7128734813118687</v>
      </c>
      <c r="AD83" s="10">
        <f t="shared" si="16"/>
        <v>6.7169483883644086</v>
      </c>
      <c r="AE83" s="10">
        <f t="shared" si="17"/>
        <v>-1</v>
      </c>
      <c r="AF83" s="10">
        <f t="shared" si="18"/>
        <v>0</v>
      </c>
      <c r="AI83" s="10">
        <f t="shared" si="32"/>
        <v>-1</v>
      </c>
      <c r="AJ83" s="10">
        <f t="shared" si="33"/>
        <v>0</v>
      </c>
      <c r="AK83" s="10">
        <f t="shared" si="34"/>
        <v>0</v>
      </c>
      <c r="BJ83" s="11"/>
      <c r="BK83" s="29"/>
      <c r="BL83" s="29"/>
      <c r="BM83" s="11"/>
    </row>
    <row r="84" spans="2:65" x14ac:dyDescent="0.25">
      <c r="B84" s="10">
        <f t="shared" si="2"/>
        <v>65</v>
      </c>
      <c r="C84">
        <v>-0.49834056881081779</v>
      </c>
      <c r="D84">
        <v>0.301672571367817</v>
      </c>
      <c r="E84">
        <v>4.0559099093600268E-2</v>
      </c>
      <c r="H84" s="18">
        <f>1</f>
        <v>1</v>
      </c>
      <c r="I84" s="19">
        <f t="shared" si="3"/>
        <v>5.4890252348382775</v>
      </c>
      <c r="J84" s="19">
        <f t="shared" si="4"/>
        <v>5.4343000762610227</v>
      </c>
      <c r="K84" s="18">
        <f t="shared" si="5"/>
        <v>-1</v>
      </c>
      <c r="L84" s="17"/>
      <c r="M84" s="17"/>
      <c r="N84" s="18">
        <f t="shared" si="6"/>
        <v>-100</v>
      </c>
      <c r="O84" s="18">
        <f t="shared" si="6"/>
        <v>-100</v>
      </c>
      <c r="P84" s="18">
        <f t="shared" si="7"/>
        <v>5.4890252348382775</v>
      </c>
      <c r="Q84" s="18">
        <f t="shared" si="7"/>
        <v>5.4343000762610227</v>
      </c>
      <c r="S84" s="10">
        <f t="shared" si="8"/>
        <v>-5.7342440329057425</v>
      </c>
      <c r="T84" s="10">
        <f t="shared" si="9"/>
        <v>-1</v>
      </c>
      <c r="U84" s="10">
        <f t="shared" si="10"/>
        <v>0</v>
      </c>
      <c r="V84" s="10">
        <f t="shared" si="11"/>
        <v>0</v>
      </c>
      <c r="Y84" s="10">
        <f t="shared" si="31"/>
        <v>0</v>
      </c>
      <c r="Z84" s="10">
        <f t="shared" si="12"/>
        <v>0</v>
      </c>
      <c r="AA84" s="10">
        <f t="shared" si="13"/>
        <v>0</v>
      </c>
      <c r="AB84" s="10">
        <f t="shared" si="14"/>
        <v>9.9999999999999978E-2</v>
      </c>
      <c r="AC84" s="10">
        <f t="shared" si="15"/>
        <v>-7.7128734813118687</v>
      </c>
      <c r="AD84" s="10">
        <f t="shared" si="16"/>
        <v>6.7169483883644086</v>
      </c>
      <c r="AE84" s="10">
        <f t="shared" si="17"/>
        <v>-1</v>
      </c>
      <c r="AF84" s="10">
        <f t="shared" si="18"/>
        <v>0</v>
      </c>
      <c r="AI84" s="10">
        <f t="shared" si="32"/>
        <v>-1</v>
      </c>
      <c r="AJ84" s="10">
        <f t="shared" si="33"/>
        <v>0</v>
      </c>
      <c r="AK84" s="10">
        <f t="shared" si="34"/>
        <v>0</v>
      </c>
      <c r="BJ84" s="11"/>
      <c r="BK84" s="29"/>
      <c r="BL84" s="29"/>
      <c r="BM84" s="11"/>
    </row>
    <row r="85" spans="2:65" x14ac:dyDescent="0.25">
      <c r="B85" s="10">
        <f t="shared" ref="B85:B148" si="35">B84+1</f>
        <v>66</v>
      </c>
      <c r="C85">
        <v>0.53824010137759615</v>
      </c>
      <c r="D85">
        <v>1.3401972864812706</v>
      </c>
      <c r="E85">
        <v>8.4170049134800251E-2</v>
      </c>
      <c r="H85" s="18">
        <f>1</f>
        <v>1</v>
      </c>
      <c r="I85" s="19">
        <f t="shared" ref="I85:I148" si="36">C85*$C$7 +$C$5</f>
        <v>6.9834261344943478</v>
      </c>
      <c r="J85" s="19">
        <f t="shared" ref="J85:J148" si="37">D85*$C$10 +$C$9</f>
        <v>6.9315036352455008</v>
      </c>
      <c r="K85" s="18">
        <f t="shared" ref="K85:K148" si="38">IF(SUMPRODUCT(H85:J85,$G$10:$I$10)&gt;=0,1,-1)</f>
        <v>-1</v>
      </c>
      <c r="L85" s="17"/>
      <c r="M85" s="17"/>
      <c r="N85" s="18">
        <f t="shared" ref="N85:O148" si="39">IF($K85=1,I85,-100)</f>
        <v>-100</v>
      </c>
      <c r="O85" s="18">
        <f t="shared" si="39"/>
        <v>-100</v>
      </c>
      <c r="P85" s="18">
        <f t="shared" ref="P85:Q148" si="40">IF($K85=-1,I85,-100)</f>
        <v>6.9834261344943478</v>
      </c>
      <c r="Q85" s="18">
        <f t="shared" si="40"/>
        <v>6.9315036352455008</v>
      </c>
      <c r="S85" s="10">
        <f t="shared" ref="S85:S148" si="41">SUMPRODUCT(H85:J85,AB84:AD84)</f>
        <v>-7.2037300697373965</v>
      </c>
      <c r="T85" s="10">
        <f t="shared" ref="T85:T148" si="42">IF(S85&gt;=0,1,-1)</f>
        <v>-1</v>
      </c>
      <c r="U85" s="10">
        <f t="shared" ref="U85:U148" si="43">(K85-T85)/2</f>
        <v>0</v>
      </c>
      <c r="V85" s="10">
        <f t="shared" ref="V85:V148" si="44">IF(U85&lt;&gt;0,1,0)</f>
        <v>0</v>
      </c>
      <c r="Y85" s="10">
        <f t="shared" si="31"/>
        <v>0</v>
      </c>
      <c r="Z85" s="10">
        <f t="shared" ref="Z85:Z148" si="45">IF(U85=0,0,$C$12*(U85)*I85)</f>
        <v>0</v>
      </c>
      <c r="AA85" s="10">
        <f t="shared" ref="AA85:AA148" si="46">IF(U85=0,0,$C$12*(U85)*J85)</f>
        <v>0</v>
      </c>
      <c r="AB85" s="10">
        <f t="shared" ref="AB85:AB148" si="47">IF(U85=0,AB84,AB84+$C$12*(U85)*H85)</f>
        <v>9.9999999999999978E-2</v>
      </c>
      <c r="AC85" s="10">
        <f t="shared" ref="AC85:AC148" si="48">IF(U85=0,AC84,AC84+$C$12*(U85)*I85)</f>
        <v>-7.7128734813118687</v>
      </c>
      <c r="AD85" s="10">
        <f t="shared" ref="AD85:AD148" si="49">IF(U85=0,AD84,AD84+$C$12*(U85)*J85)</f>
        <v>6.7169483883644086</v>
      </c>
      <c r="AE85" s="10">
        <f t="shared" ref="AE85:AE148" si="50">IF(SUMPRODUCT(H85:J85,$AR$29:$AT$29)&gt;=0,1,-1)</f>
        <v>-1</v>
      </c>
      <c r="AF85" s="10">
        <f t="shared" ref="AF85:AF148" si="51">IF(K85=AE85,0,1)</f>
        <v>0</v>
      </c>
      <c r="AI85" s="10">
        <f t="shared" si="32"/>
        <v>-1</v>
      </c>
      <c r="AJ85" s="10">
        <f t="shared" si="33"/>
        <v>0</v>
      </c>
      <c r="AK85" s="10">
        <f t="shared" si="34"/>
        <v>0</v>
      </c>
      <c r="BJ85" s="11"/>
      <c r="BK85" s="29"/>
      <c r="BL85" s="29"/>
      <c r="BM85" s="11"/>
    </row>
    <row r="86" spans="2:65" x14ac:dyDescent="0.25">
      <c r="B86" s="10">
        <f t="shared" si="35"/>
        <v>67</v>
      </c>
      <c r="C86">
        <v>1.1808106137323193</v>
      </c>
      <c r="D86">
        <v>0.74998979471274652</v>
      </c>
      <c r="E86">
        <v>0.34498123111667228</v>
      </c>
      <c r="H86" s="18">
        <f>1</f>
        <v>1</v>
      </c>
      <c r="I86" s="19">
        <f t="shared" si="36"/>
        <v>7.9097968255287645</v>
      </c>
      <c r="J86" s="19">
        <f t="shared" si="37"/>
        <v>6.080622819069065</v>
      </c>
      <c r="K86" s="18">
        <f t="shared" si="38"/>
        <v>-1</v>
      </c>
      <c r="L86" s="17"/>
      <c r="M86" s="17"/>
      <c r="N86" s="18">
        <f t="shared" si="39"/>
        <v>-100</v>
      </c>
      <c r="O86" s="18">
        <f t="shared" si="39"/>
        <v>-100</v>
      </c>
      <c r="P86" s="18">
        <f t="shared" si="40"/>
        <v>7.9097968255287645</v>
      </c>
      <c r="Q86" s="18">
        <f t="shared" si="40"/>
        <v>6.080622819069065</v>
      </c>
      <c r="S86" s="10">
        <f t="shared" si="41"/>
        <v>-20.06403253338781</v>
      </c>
      <c r="T86" s="10">
        <f t="shared" si="42"/>
        <v>-1</v>
      </c>
      <c r="U86" s="10">
        <f t="shared" si="43"/>
        <v>0</v>
      </c>
      <c r="V86" s="10">
        <f t="shared" si="44"/>
        <v>0</v>
      </c>
      <c r="Y86" s="10">
        <f t="shared" ref="Y86:Y149" si="52">IF(U86=0,0,$C$12*(U86)*H86)</f>
        <v>0</v>
      </c>
      <c r="Z86" s="10">
        <f t="shared" si="45"/>
        <v>0</v>
      </c>
      <c r="AA86" s="10">
        <f t="shared" si="46"/>
        <v>0</v>
      </c>
      <c r="AB86" s="10">
        <f t="shared" si="47"/>
        <v>9.9999999999999978E-2</v>
      </c>
      <c r="AC86" s="10">
        <f t="shared" si="48"/>
        <v>-7.7128734813118687</v>
      </c>
      <c r="AD86" s="10">
        <f t="shared" si="49"/>
        <v>6.7169483883644086</v>
      </c>
      <c r="AE86" s="10">
        <f t="shared" si="50"/>
        <v>-1</v>
      </c>
      <c r="AF86" s="10">
        <f t="shared" si="51"/>
        <v>0</v>
      </c>
      <c r="AI86" s="10">
        <f t="shared" si="32"/>
        <v>-1</v>
      </c>
      <c r="AJ86" s="10">
        <f t="shared" si="33"/>
        <v>0</v>
      </c>
      <c r="AK86" s="10">
        <f t="shared" si="34"/>
        <v>0</v>
      </c>
      <c r="BJ86" s="11"/>
      <c r="BK86" s="29"/>
      <c r="BL86" s="29"/>
      <c r="BM86" s="11"/>
    </row>
    <row r="87" spans="2:65" x14ac:dyDescent="0.25">
      <c r="B87" s="10">
        <f t="shared" si="35"/>
        <v>68</v>
      </c>
      <c r="C87">
        <v>-4.7408548198291101E-2</v>
      </c>
      <c r="D87">
        <v>-0.52977156883571297</v>
      </c>
      <c r="E87">
        <v>0.32667012543107393</v>
      </c>
      <c r="H87" s="18">
        <f>1</f>
        <v>1</v>
      </c>
      <c r="I87" s="19">
        <f t="shared" si="36"/>
        <v>6.1391176363921316</v>
      </c>
      <c r="J87" s="19">
        <f t="shared" si="37"/>
        <v>4.2356371001242232</v>
      </c>
      <c r="K87" s="18">
        <f t="shared" si="38"/>
        <v>-1</v>
      </c>
      <c r="L87" s="17"/>
      <c r="M87" s="17"/>
      <c r="N87" s="18">
        <f t="shared" si="39"/>
        <v>-100</v>
      </c>
      <c r="O87" s="18">
        <f t="shared" si="39"/>
        <v>-100</v>
      </c>
      <c r="P87" s="18">
        <f t="shared" si="40"/>
        <v>6.1391176363921316</v>
      </c>
      <c r="Q87" s="18">
        <f t="shared" si="40"/>
        <v>4.2356371001242232</v>
      </c>
      <c r="S87" s="10">
        <f t="shared" si="41"/>
        <v>-18.799681823006971</v>
      </c>
      <c r="T87" s="10">
        <f t="shared" si="42"/>
        <v>-1</v>
      </c>
      <c r="U87" s="10">
        <f t="shared" si="43"/>
        <v>0</v>
      </c>
      <c r="V87" s="10">
        <f t="shared" si="44"/>
        <v>0</v>
      </c>
      <c r="Y87" s="10">
        <f t="shared" si="52"/>
        <v>0</v>
      </c>
      <c r="Z87" s="10">
        <f t="shared" si="45"/>
        <v>0</v>
      </c>
      <c r="AA87" s="10">
        <f t="shared" si="46"/>
        <v>0</v>
      </c>
      <c r="AB87" s="10">
        <f t="shared" si="47"/>
        <v>9.9999999999999978E-2</v>
      </c>
      <c r="AC87" s="10">
        <f t="shared" si="48"/>
        <v>-7.7128734813118687</v>
      </c>
      <c r="AD87" s="10">
        <f t="shared" si="49"/>
        <v>6.7169483883644086</v>
      </c>
      <c r="AE87" s="10">
        <f t="shared" si="50"/>
        <v>-1</v>
      </c>
      <c r="AF87" s="10">
        <f t="shared" si="51"/>
        <v>0</v>
      </c>
      <c r="AI87" s="10">
        <f t="shared" si="32"/>
        <v>-1</v>
      </c>
      <c r="AJ87" s="10">
        <f t="shared" si="33"/>
        <v>0</v>
      </c>
      <c r="AK87" s="10">
        <f t="shared" si="34"/>
        <v>0</v>
      </c>
      <c r="BJ87" s="11"/>
      <c r="BK87" s="29"/>
      <c r="BL87" s="29"/>
      <c r="BM87" s="11"/>
    </row>
    <row r="88" spans="2:65" x14ac:dyDescent="0.25">
      <c r="B88" s="10">
        <f t="shared" si="35"/>
        <v>69</v>
      </c>
      <c r="C88">
        <v>-0.68545432441169396</v>
      </c>
      <c r="D88">
        <v>-1.7273259800276719</v>
      </c>
      <c r="E88">
        <v>0.77236243781853697</v>
      </c>
      <c r="H88" s="18">
        <f>1</f>
        <v>1</v>
      </c>
      <c r="I88" s="19">
        <f t="shared" si="36"/>
        <v>5.2192700939700325</v>
      </c>
      <c r="J88" s="19">
        <f t="shared" si="37"/>
        <v>2.5091661741835849</v>
      </c>
      <c r="K88" s="18">
        <f t="shared" si="38"/>
        <v>-1</v>
      </c>
      <c r="L88" s="17"/>
      <c r="M88" s="17"/>
      <c r="N88" s="18">
        <f t="shared" si="39"/>
        <v>-100</v>
      </c>
      <c r="O88" s="18">
        <f t="shared" si="39"/>
        <v>-100</v>
      </c>
      <c r="P88" s="18">
        <f t="shared" si="40"/>
        <v>5.2192700939700325</v>
      </c>
      <c r="Q88" s="18">
        <f t="shared" si="40"/>
        <v>2.5091661741835849</v>
      </c>
      <c r="S88" s="10">
        <f t="shared" si="41"/>
        <v>-23.301630209764646</v>
      </c>
      <c r="T88" s="10">
        <f t="shared" si="42"/>
        <v>-1</v>
      </c>
      <c r="U88" s="10">
        <f t="shared" si="43"/>
        <v>0</v>
      </c>
      <c r="V88" s="10">
        <f t="shared" si="44"/>
        <v>0</v>
      </c>
      <c r="Y88" s="10">
        <f t="shared" si="52"/>
        <v>0</v>
      </c>
      <c r="Z88" s="10">
        <f t="shared" si="45"/>
        <v>0</v>
      </c>
      <c r="AA88" s="10">
        <f t="shared" si="46"/>
        <v>0</v>
      </c>
      <c r="AB88" s="10">
        <f t="shared" si="47"/>
        <v>9.9999999999999978E-2</v>
      </c>
      <c r="AC88" s="10">
        <f t="shared" si="48"/>
        <v>-7.7128734813118687</v>
      </c>
      <c r="AD88" s="10">
        <f t="shared" si="49"/>
        <v>6.7169483883644086</v>
      </c>
      <c r="AE88" s="10">
        <f t="shared" si="50"/>
        <v>-1</v>
      </c>
      <c r="AF88" s="10">
        <f t="shared" si="51"/>
        <v>0</v>
      </c>
      <c r="AI88" s="10">
        <f t="shared" ref="AI88:AI151" si="53">IF(SUMPRODUCT(H85:J85,$AI$17:$AK$17)&gt;=0,1,-1)</f>
        <v>-1</v>
      </c>
      <c r="AJ88" s="10">
        <f t="shared" ref="AJ88:AJ151" si="54">(K85-AI88)/2</f>
        <v>0</v>
      </c>
      <c r="AK88" s="10">
        <f t="shared" ref="AK88:AK151" si="55">IF(AJ88&lt;&gt;0,1,0)</f>
        <v>0</v>
      </c>
      <c r="BJ88" s="11"/>
      <c r="BK88" s="29"/>
      <c r="BL88" s="29"/>
      <c r="BM88" s="11"/>
    </row>
    <row r="89" spans="2:65" x14ac:dyDescent="0.25">
      <c r="B89" s="10">
        <f t="shared" si="35"/>
        <v>70</v>
      </c>
      <c r="C89">
        <v>0.56882413446146529</v>
      </c>
      <c r="D89">
        <v>-1.4705119610880502</v>
      </c>
      <c r="E89">
        <v>0.71385845515305035</v>
      </c>
      <c r="H89" s="18">
        <f>1</f>
        <v>1</v>
      </c>
      <c r="I89" s="19">
        <f t="shared" si="36"/>
        <v>7.0275180299638409</v>
      </c>
      <c r="J89" s="19">
        <f t="shared" si="37"/>
        <v>2.8794056663766079</v>
      </c>
      <c r="K89" s="18">
        <f t="shared" si="38"/>
        <v>-1</v>
      </c>
      <c r="L89" s="17"/>
      <c r="M89" s="17"/>
      <c r="N89" s="18">
        <f t="shared" si="39"/>
        <v>-100</v>
      </c>
      <c r="O89" s="18">
        <f t="shared" si="39"/>
        <v>-100</v>
      </c>
      <c r="P89" s="18">
        <f t="shared" si="40"/>
        <v>7.0275180299638409</v>
      </c>
      <c r="Q89" s="18">
        <f t="shared" si="40"/>
        <v>2.8794056663766079</v>
      </c>
      <c r="S89" s="10">
        <f t="shared" si="41"/>
        <v>-34.76153820253343</v>
      </c>
      <c r="T89" s="10">
        <f t="shared" si="42"/>
        <v>-1</v>
      </c>
      <c r="U89" s="10">
        <f t="shared" si="43"/>
        <v>0</v>
      </c>
      <c r="V89" s="10">
        <f t="shared" si="44"/>
        <v>0</v>
      </c>
      <c r="Y89" s="10">
        <f t="shared" si="52"/>
        <v>0</v>
      </c>
      <c r="Z89" s="10">
        <f t="shared" si="45"/>
        <v>0</v>
      </c>
      <c r="AA89" s="10">
        <f t="shared" si="46"/>
        <v>0</v>
      </c>
      <c r="AB89" s="10">
        <f t="shared" si="47"/>
        <v>9.9999999999999978E-2</v>
      </c>
      <c r="AC89" s="10">
        <f t="shared" si="48"/>
        <v>-7.7128734813118687</v>
      </c>
      <c r="AD89" s="10">
        <f t="shared" si="49"/>
        <v>6.7169483883644086</v>
      </c>
      <c r="AE89" s="10">
        <f t="shared" si="50"/>
        <v>-1</v>
      </c>
      <c r="AF89" s="10">
        <f t="shared" si="51"/>
        <v>0</v>
      </c>
      <c r="AI89" s="10">
        <f t="shared" si="53"/>
        <v>-1</v>
      </c>
      <c r="AJ89" s="10">
        <f t="shared" si="54"/>
        <v>0</v>
      </c>
      <c r="AK89" s="10">
        <f t="shared" si="55"/>
        <v>0</v>
      </c>
      <c r="BJ89" s="11"/>
      <c r="BK89" s="29"/>
      <c r="BL89" s="29"/>
      <c r="BM89" s="11"/>
    </row>
    <row r="90" spans="2:65" x14ac:dyDescent="0.25">
      <c r="B90" s="10">
        <f t="shared" si="35"/>
        <v>71</v>
      </c>
      <c r="C90">
        <v>0.57287593335786369</v>
      </c>
      <c r="D90">
        <v>0.33119022191385739</v>
      </c>
      <c r="E90">
        <v>0.20163579210791344</v>
      </c>
      <c r="H90" s="18">
        <f>1</f>
        <v>1</v>
      </c>
      <c r="I90" s="19">
        <f t="shared" si="36"/>
        <v>7.0333593620377863</v>
      </c>
      <c r="J90" s="19">
        <f t="shared" si="37"/>
        <v>5.4768546065550501</v>
      </c>
      <c r="K90" s="18">
        <f t="shared" si="38"/>
        <v>-1</v>
      </c>
      <c r="L90" s="17"/>
      <c r="M90" s="17"/>
      <c r="N90" s="18">
        <f t="shared" si="39"/>
        <v>-100</v>
      </c>
      <c r="O90" s="18">
        <f t="shared" si="39"/>
        <v>-100</v>
      </c>
      <c r="P90" s="18">
        <f t="shared" si="40"/>
        <v>7.0333593620377863</v>
      </c>
      <c r="Q90" s="18">
        <f t="shared" si="40"/>
        <v>5.4768546065550501</v>
      </c>
      <c r="S90" s="10">
        <f t="shared" si="41"/>
        <v>-17.359661185191669</v>
      </c>
      <c r="T90" s="10">
        <f t="shared" si="42"/>
        <v>-1</v>
      </c>
      <c r="U90" s="10">
        <f t="shared" si="43"/>
        <v>0</v>
      </c>
      <c r="V90" s="10">
        <f t="shared" si="44"/>
        <v>0</v>
      </c>
      <c r="Y90" s="10">
        <f t="shared" si="52"/>
        <v>0</v>
      </c>
      <c r="Z90" s="10">
        <f t="shared" si="45"/>
        <v>0</v>
      </c>
      <c r="AA90" s="10">
        <f t="shared" si="46"/>
        <v>0</v>
      </c>
      <c r="AB90" s="10">
        <f t="shared" si="47"/>
        <v>9.9999999999999978E-2</v>
      </c>
      <c r="AC90" s="10">
        <f t="shared" si="48"/>
        <v>-7.7128734813118687</v>
      </c>
      <c r="AD90" s="10">
        <f t="shared" si="49"/>
        <v>6.7169483883644086</v>
      </c>
      <c r="AE90" s="10">
        <f t="shared" si="50"/>
        <v>-1</v>
      </c>
      <c r="AF90" s="10">
        <f t="shared" si="51"/>
        <v>0</v>
      </c>
      <c r="AI90" s="10">
        <f t="shared" si="53"/>
        <v>-1</v>
      </c>
      <c r="AJ90" s="10">
        <f t="shared" si="54"/>
        <v>0</v>
      </c>
      <c r="AK90" s="10">
        <f t="shared" si="55"/>
        <v>0</v>
      </c>
      <c r="BJ90" s="11"/>
      <c r="BK90" s="29"/>
      <c r="BL90" s="29"/>
      <c r="BM90" s="11"/>
    </row>
    <row r="91" spans="2:65" x14ac:dyDescent="0.25">
      <c r="B91" s="10">
        <f t="shared" si="35"/>
        <v>72</v>
      </c>
      <c r="C91">
        <v>1.1475185601739213</v>
      </c>
      <c r="D91">
        <v>-1.4146530702419113</v>
      </c>
      <c r="E91">
        <v>0.85766167180394914</v>
      </c>
      <c r="H91" s="18">
        <f>1</f>
        <v>1</v>
      </c>
      <c r="I91" s="19">
        <f t="shared" si="36"/>
        <v>7.8618008747842598</v>
      </c>
      <c r="J91" s="19">
        <f t="shared" si="37"/>
        <v>2.9599354110795328</v>
      </c>
      <c r="K91" s="18">
        <f t="shared" si="38"/>
        <v>-1</v>
      </c>
      <c r="L91" s="17"/>
      <c r="M91" s="17"/>
      <c r="N91" s="18">
        <f t="shared" si="39"/>
        <v>-100</v>
      </c>
      <c r="O91" s="18">
        <f t="shared" si="39"/>
        <v>-100</v>
      </c>
      <c r="P91" s="18">
        <f t="shared" si="40"/>
        <v>7.8618008747842598</v>
      </c>
      <c r="Q91" s="18">
        <f t="shared" si="40"/>
        <v>2.9599354110795328</v>
      </c>
      <c r="S91" s="10">
        <f t="shared" si="41"/>
        <v>-40.655342093364553</v>
      </c>
      <c r="T91" s="10">
        <f t="shared" si="42"/>
        <v>-1</v>
      </c>
      <c r="U91" s="10">
        <f t="shared" si="43"/>
        <v>0</v>
      </c>
      <c r="V91" s="10">
        <f t="shared" si="44"/>
        <v>0</v>
      </c>
      <c r="Y91" s="10">
        <f t="shared" si="52"/>
        <v>0</v>
      </c>
      <c r="Z91" s="10">
        <f t="shared" si="45"/>
        <v>0</v>
      </c>
      <c r="AA91" s="10">
        <f t="shared" si="46"/>
        <v>0</v>
      </c>
      <c r="AB91" s="10">
        <f t="shared" si="47"/>
        <v>9.9999999999999978E-2</v>
      </c>
      <c r="AC91" s="10">
        <f t="shared" si="48"/>
        <v>-7.7128734813118687</v>
      </c>
      <c r="AD91" s="10">
        <f t="shared" si="49"/>
        <v>6.7169483883644086</v>
      </c>
      <c r="AE91" s="10">
        <f t="shared" si="50"/>
        <v>-1</v>
      </c>
      <c r="AF91" s="10">
        <f t="shared" si="51"/>
        <v>0</v>
      </c>
      <c r="AI91" s="10">
        <f t="shared" si="53"/>
        <v>-1</v>
      </c>
      <c r="AJ91" s="10">
        <f t="shared" si="54"/>
        <v>0</v>
      </c>
      <c r="AK91" s="10">
        <f t="shared" si="55"/>
        <v>0</v>
      </c>
      <c r="BJ91" s="11"/>
      <c r="BK91" s="29"/>
      <c r="BL91" s="29"/>
      <c r="BM91" s="11"/>
    </row>
    <row r="92" spans="2:65" x14ac:dyDescent="0.25">
      <c r="B92" s="10">
        <f t="shared" si="35"/>
        <v>73</v>
      </c>
      <c r="C92">
        <v>-4.7178900786093436E-2</v>
      </c>
      <c r="D92">
        <v>-0.70925807449384592</v>
      </c>
      <c r="E92">
        <v>0.8630634479812006</v>
      </c>
      <c r="H92" s="18">
        <f>1</f>
        <v>1</v>
      </c>
      <c r="I92" s="19">
        <f t="shared" si="36"/>
        <v>6.1394487107689377</v>
      </c>
      <c r="J92" s="19">
        <f t="shared" si="37"/>
        <v>3.9768778899193054</v>
      </c>
      <c r="K92" s="18">
        <f t="shared" si="38"/>
        <v>-1</v>
      </c>
      <c r="L92" s="17"/>
      <c r="M92" s="17"/>
      <c r="N92" s="18">
        <f t="shared" si="39"/>
        <v>-100</v>
      </c>
      <c r="O92" s="18">
        <f t="shared" si="39"/>
        <v>-100</v>
      </c>
      <c r="P92" s="18">
        <f t="shared" si="40"/>
        <v>6.1394487107689377</v>
      </c>
      <c r="Q92" s="18">
        <f t="shared" si="40"/>
        <v>3.9768778899193054</v>
      </c>
      <c r="S92" s="10">
        <f t="shared" si="41"/>
        <v>-20.540307617748553</v>
      </c>
      <c r="T92" s="10">
        <f t="shared" si="42"/>
        <v>-1</v>
      </c>
      <c r="U92" s="10">
        <f t="shared" si="43"/>
        <v>0</v>
      </c>
      <c r="V92" s="10">
        <f t="shared" si="44"/>
        <v>0</v>
      </c>
      <c r="Y92" s="10">
        <f t="shared" si="52"/>
        <v>0</v>
      </c>
      <c r="Z92" s="10">
        <f t="shared" si="45"/>
        <v>0</v>
      </c>
      <c r="AA92" s="10">
        <f t="shared" si="46"/>
        <v>0</v>
      </c>
      <c r="AB92" s="10">
        <f t="shared" si="47"/>
        <v>9.9999999999999978E-2</v>
      </c>
      <c r="AC92" s="10">
        <f t="shared" si="48"/>
        <v>-7.7128734813118687</v>
      </c>
      <c r="AD92" s="10">
        <f t="shared" si="49"/>
        <v>6.7169483883644086</v>
      </c>
      <c r="AE92" s="10">
        <f t="shared" si="50"/>
        <v>-1</v>
      </c>
      <c r="AF92" s="10">
        <f t="shared" si="51"/>
        <v>0</v>
      </c>
      <c r="AI92" s="10">
        <f t="shared" si="53"/>
        <v>-1</v>
      </c>
      <c r="AJ92" s="10">
        <f t="shared" si="54"/>
        <v>0</v>
      </c>
      <c r="AK92" s="10">
        <f t="shared" si="55"/>
        <v>0</v>
      </c>
      <c r="BJ92" s="11"/>
      <c r="BK92" s="29"/>
      <c r="BL92" s="29"/>
      <c r="BM92" s="11"/>
    </row>
    <row r="93" spans="2:65" x14ac:dyDescent="0.25">
      <c r="B93" s="10">
        <f t="shared" si="35"/>
        <v>74</v>
      </c>
      <c r="C93">
        <v>8.6973841462167911E-2</v>
      </c>
      <c r="D93">
        <v>-1.7372713045915589</v>
      </c>
      <c r="E93">
        <v>0.43195898312326425</v>
      </c>
      <c r="H93" s="18">
        <f>1</f>
        <v>1</v>
      </c>
      <c r="I93" s="19">
        <f t="shared" si="36"/>
        <v>6.3328518722138547</v>
      </c>
      <c r="J93" s="19">
        <f t="shared" si="37"/>
        <v>2.4948283590929923</v>
      </c>
      <c r="K93" s="18">
        <f t="shared" si="38"/>
        <v>-1</v>
      </c>
      <c r="L93" s="17"/>
      <c r="M93" s="17"/>
      <c r="N93" s="18">
        <f t="shared" si="39"/>
        <v>-100</v>
      </c>
      <c r="O93" s="18">
        <f t="shared" si="39"/>
        <v>-100</v>
      </c>
      <c r="P93" s="18">
        <f t="shared" si="40"/>
        <v>6.3328518722138547</v>
      </c>
      <c r="Q93" s="18">
        <f t="shared" si="40"/>
        <v>2.4948283590929923</v>
      </c>
      <c r="S93" s="10">
        <f t="shared" si="41"/>
        <v>-31.986851940418962</v>
      </c>
      <c r="T93" s="10">
        <f t="shared" si="42"/>
        <v>-1</v>
      </c>
      <c r="U93" s="10">
        <f t="shared" si="43"/>
        <v>0</v>
      </c>
      <c r="V93" s="10">
        <f t="shared" si="44"/>
        <v>0</v>
      </c>
      <c r="Y93" s="10">
        <f t="shared" si="52"/>
        <v>0</v>
      </c>
      <c r="Z93" s="10">
        <f t="shared" si="45"/>
        <v>0</v>
      </c>
      <c r="AA93" s="10">
        <f t="shared" si="46"/>
        <v>0</v>
      </c>
      <c r="AB93" s="10">
        <f t="shared" si="47"/>
        <v>9.9999999999999978E-2</v>
      </c>
      <c r="AC93" s="10">
        <f t="shared" si="48"/>
        <v>-7.7128734813118687</v>
      </c>
      <c r="AD93" s="10">
        <f t="shared" si="49"/>
        <v>6.7169483883644086</v>
      </c>
      <c r="AE93" s="10">
        <f t="shared" si="50"/>
        <v>-1</v>
      </c>
      <c r="AF93" s="10">
        <f t="shared" si="51"/>
        <v>0</v>
      </c>
      <c r="AI93" s="10">
        <f t="shared" si="53"/>
        <v>-1</v>
      </c>
      <c r="AJ93" s="10">
        <f t="shared" si="54"/>
        <v>0</v>
      </c>
      <c r="AK93" s="10">
        <f t="shared" si="55"/>
        <v>0</v>
      </c>
      <c r="BJ93" s="11"/>
      <c r="BK93" s="29"/>
      <c r="BL93" s="29"/>
      <c r="BM93" s="11"/>
    </row>
    <row r="94" spans="2:65" x14ac:dyDescent="0.25">
      <c r="B94" s="10">
        <f t="shared" si="35"/>
        <v>75</v>
      </c>
      <c r="C94">
        <v>9.7113570518558845E-2</v>
      </c>
      <c r="D94">
        <v>1.3071326065983158</v>
      </c>
      <c r="E94">
        <v>0.95367290261543625</v>
      </c>
      <c r="H94" s="18">
        <f>1</f>
        <v>1</v>
      </c>
      <c r="I94" s="19">
        <f t="shared" si="36"/>
        <v>6.3474699532372885</v>
      </c>
      <c r="J94" s="19">
        <f t="shared" si="37"/>
        <v>6.8838354809136764</v>
      </c>
      <c r="K94" s="18">
        <f t="shared" si="38"/>
        <v>1</v>
      </c>
      <c r="L94" s="17"/>
      <c r="M94" s="17"/>
      <c r="N94" s="18">
        <f t="shared" si="39"/>
        <v>6.3474699532372885</v>
      </c>
      <c r="O94" s="18">
        <f t="shared" si="39"/>
        <v>6.8838354809136764</v>
      </c>
      <c r="P94" s="18">
        <f t="shared" si="40"/>
        <v>-100</v>
      </c>
      <c r="Q94" s="18">
        <f t="shared" si="40"/>
        <v>-100</v>
      </c>
      <c r="S94" s="10">
        <f t="shared" si="41"/>
        <v>-2.6188650364589137</v>
      </c>
      <c r="T94" s="10">
        <f t="shared" si="42"/>
        <v>-1</v>
      </c>
      <c r="U94" s="10">
        <f t="shared" si="43"/>
        <v>1</v>
      </c>
      <c r="V94" s="10">
        <f t="shared" si="44"/>
        <v>1</v>
      </c>
      <c r="Y94" s="10">
        <f t="shared" si="52"/>
        <v>0.70082399975499998</v>
      </c>
      <c r="Z94" s="10">
        <f t="shared" si="45"/>
        <v>4.4484592809524388</v>
      </c>
      <c r="AA94" s="10">
        <f t="shared" si="46"/>
        <v>4.8243571153893061</v>
      </c>
      <c r="AB94" s="10">
        <f t="shared" si="47"/>
        <v>0.80082399975499996</v>
      </c>
      <c r="AC94" s="10">
        <f t="shared" si="48"/>
        <v>-3.2644142003594299</v>
      </c>
      <c r="AD94" s="10">
        <f t="shared" si="49"/>
        <v>11.541305503753716</v>
      </c>
      <c r="AE94" s="10">
        <f t="shared" si="50"/>
        <v>1</v>
      </c>
      <c r="AF94" s="10">
        <f t="shared" si="51"/>
        <v>0</v>
      </c>
      <c r="AI94" s="10">
        <f t="shared" si="53"/>
        <v>-1</v>
      </c>
      <c r="AJ94" s="10">
        <f t="shared" si="54"/>
        <v>0</v>
      </c>
      <c r="AK94" s="10">
        <f t="shared" si="55"/>
        <v>0</v>
      </c>
      <c r="BJ94" s="11"/>
      <c r="BK94" s="29"/>
      <c r="BL94" s="29"/>
      <c r="BM94" s="11"/>
    </row>
    <row r="95" spans="2:65" x14ac:dyDescent="0.25">
      <c r="B95" s="10">
        <f t="shared" si="35"/>
        <v>76</v>
      </c>
      <c r="C95">
        <v>-2.6761699700728059</v>
      </c>
      <c r="D95">
        <v>-0.51486495067365468</v>
      </c>
      <c r="E95">
        <v>0.25174718466750085</v>
      </c>
      <c r="H95" s="18">
        <f>1</f>
        <v>1</v>
      </c>
      <c r="I95" s="19">
        <f t="shared" si="36"/>
        <v>2.3493272738954096</v>
      </c>
      <c r="J95" s="19">
        <f t="shared" si="37"/>
        <v>4.2571274329394786</v>
      </c>
      <c r="K95" s="18">
        <f t="shared" si="38"/>
        <v>1</v>
      </c>
      <c r="L95" s="17"/>
      <c r="M95" s="17"/>
      <c r="N95" s="18">
        <f t="shared" si="39"/>
        <v>2.3493272738954096</v>
      </c>
      <c r="O95" s="18">
        <f t="shared" si="39"/>
        <v>4.2571274329394786</v>
      </c>
      <c r="P95" s="18">
        <f t="shared" si="40"/>
        <v>-100</v>
      </c>
      <c r="Q95" s="18">
        <f t="shared" si="40"/>
        <v>-100</v>
      </c>
      <c r="S95" s="10">
        <f t="shared" si="41"/>
        <v>42.26445495752445</v>
      </c>
      <c r="T95" s="10">
        <f t="shared" si="42"/>
        <v>1</v>
      </c>
      <c r="U95" s="10">
        <f t="shared" si="43"/>
        <v>0</v>
      </c>
      <c r="V95" s="10">
        <f t="shared" si="44"/>
        <v>0</v>
      </c>
      <c r="Y95" s="10">
        <f t="shared" si="52"/>
        <v>0</v>
      </c>
      <c r="Z95" s="10">
        <f t="shared" si="45"/>
        <v>0</v>
      </c>
      <c r="AA95" s="10">
        <f t="shared" si="46"/>
        <v>0</v>
      </c>
      <c r="AB95" s="10">
        <f t="shared" si="47"/>
        <v>0.80082399975499996</v>
      </c>
      <c r="AC95" s="10">
        <f t="shared" si="48"/>
        <v>-3.2644142003594299</v>
      </c>
      <c r="AD95" s="10">
        <f t="shared" si="49"/>
        <v>11.541305503753716</v>
      </c>
      <c r="AE95" s="10">
        <f t="shared" si="50"/>
        <v>1</v>
      </c>
      <c r="AF95" s="10">
        <f t="shared" si="51"/>
        <v>0</v>
      </c>
      <c r="AI95" s="10">
        <f t="shared" si="53"/>
        <v>-1</v>
      </c>
      <c r="AJ95" s="10">
        <f t="shared" si="54"/>
        <v>0</v>
      </c>
      <c r="AK95" s="10">
        <f t="shared" si="55"/>
        <v>0</v>
      </c>
      <c r="BJ95" s="11"/>
      <c r="BK95" s="29"/>
      <c r="BL95" s="29"/>
      <c r="BM95" s="11"/>
    </row>
    <row r="96" spans="2:65" x14ac:dyDescent="0.25">
      <c r="B96" s="10">
        <f t="shared" si="35"/>
        <v>77</v>
      </c>
      <c r="C96">
        <v>0.12698365026153624</v>
      </c>
      <c r="D96">
        <v>-1.6054173102020286</v>
      </c>
      <c r="E96">
        <v>0.62291329691457864</v>
      </c>
      <c r="H96" s="18">
        <f>1</f>
        <v>1</v>
      </c>
      <c r="I96" s="19">
        <f t="shared" si="36"/>
        <v>6.3905325679709692</v>
      </c>
      <c r="J96" s="19">
        <f t="shared" si="37"/>
        <v>2.6849174988057221</v>
      </c>
      <c r="K96" s="18">
        <f t="shared" si="38"/>
        <v>-1</v>
      </c>
      <c r="L96" s="17"/>
      <c r="M96" s="17"/>
      <c r="N96" s="18">
        <f t="shared" si="39"/>
        <v>-100</v>
      </c>
      <c r="O96" s="18">
        <f t="shared" si="39"/>
        <v>-100</v>
      </c>
      <c r="P96" s="18">
        <f t="shared" si="40"/>
        <v>6.3905325679709692</v>
      </c>
      <c r="Q96" s="18">
        <f t="shared" si="40"/>
        <v>2.6849174988057221</v>
      </c>
      <c r="S96" s="10">
        <f t="shared" si="41"/>
        <v>10.926931843102295</v>
      </c>
      <c r="T96" s="10">
        <f t="shared" si="42"/>
        <v>1</v>
      </c>
      <c r="U96" s="10">
        <f t="shared" si="43"/>
        <v>-1</v>
      </c>
      <c r="V96" s="10">
        <f t="shared" si="44"/>
        <v>1</v>
      </c>
      <c r="Y96" s="10">
        <f t="shared" si="52"/>
        <v>-0.70082399975499998</v>
      </c>
      <c r="Z96" s="10">
        <f t="shared" si="45"/>
        <v>-4.4786385948500058</v>
      </c>
      <c r="AA96" s="10">
        <f t="shared" si="46"/>
        <v>-1.8816546205252165</v>
      </c>
      <c r="AB96" s="10">
        <f t="shared" si="47"/>
        <v>9.9999999999999978E-2</v>
      </c>
      <c r="AC96" s="10">
        <f t="shared" si="48"/>
        <v>-7.7430527952094357</v>
      </c>
      <c r="AD96" s="10">
        <f t="shared" si="49"/>
        <v>9.6596508832284993</v>
      </c>
      <c r="AE96" s="10">
        <f t="shared" si="50"/>
        <v>-1</v>
      </c>
      <c r="AF96" s="10">
        <f t="shared" si="51"/>
        <v>0</v>
      </c>
      <c r="AI96" s="10">
        <f t="shared" si="53"/>
        <v>-1</v>
      </c>
      <c r="AJ96" s="10">
        <f t="shared" si="54"/>
        <v>0</v>
      </c>
      <c r="AK96" s="10">
        <f t="shared" si="55"/>
        <v>0</v>
      </c>
      <c r="BJ96" s="11"/>
      <c r="BK96" s="29"/>
      <c r="BL96" s="29"/>
      <c r="BM96" s="11"/>
    </row>
    <row r="97" spans="2:65" x14ac:dyDescent="0.25">
      <c r="B97" s="10">
        <f t="shared" si="35"/>
        <v>78</v>
      </c>
      <c r="C97">
        <v>-0.64885171013884246</v>
      </c>
      <c r="D97">
        <v>0.38222879084059969</v>
      </c>
      <c r="E97">
        <v>0.64815210425122838</v>
      </c>
      <c r="H97" s="18">
        <f>1</f>
        <v>1</v>
      </c>
      <c r="I97" s="19">
        <f t="shared" si="36"/>
        <v>5.2720387604831478</v>
      </c>
      <c r="J97" s="19">
        <f t="shared" si="37"/>
        <v>5.5504350673091745</v>
      </c>
      <c r="K97" s="18">
        <f t="shared" si="38"/>
        <v>1</v>
      </c>
      <c r="L97" s="17"/>
      <c r="M97" s="17"/>
      <c r="N97" s="18">
        <f t="shared" si="39"/>
        <v>5.2720387604831478</v>
      </c>
      <c r="O97" s="18">
        <f t="shared" si="39"/>
        <v>5.5504350673091745</v>
      </c>
      <c r="P97" s="18">
        <f t="shared" si="40"/>
        <v>-100</v>
      </c>
      <c r="Q97" s="18">
        <f t="shared" si="40"/>
        <v>-100</v>
      </c>
      <c r="S97" s="10">
        <f t="shared" si="41"/>
        <v>12.893590539423975</v>
      </c>
      <c r="T97" s="10">
        <f t="shared" si="42"/>
        <v>1</v>
      </c>
      <c r="U97" s="10">
        <f t="shared" si="43"/>
        <v>0</v>
      </c>
      <c r="V97" s="10">
        <f t="shared" si="44"/>
        <v>0</v>
      </c>
      <c r="Y97" s="10">
        <f t="shared" si="52"/>
        <v>0</v>
      </c>
      <c r="Z97" s="10">
        <f t="shared" si="45"/>
        <v>0</v>
      </c>
      <c r="AA97" s="10">
        <f t="shared" si="46"/>
        <v>0</v>
      </c>
      <c r="AB97" s="10">
        <f t="shared" si="47"/>
        <v>9.9999999999999978E-2</v>
      </c>
      <c r="AC97" s="10">
        <f t="shared" si="48"/>
        <v>-7.7430527952094357</v>
      </c>
      <c r="AD97" s="10">
        <f t="shared" si="49"/>
        <v>9.6596508832284993</v>
      </c>
      <c r="AE97" s="10">
        <f t="shared" si="50"/>
        <v>1</v>
      </c>
      <c r="AF97" s="10">
        <f t="shared" si="51"/>
        <v>0</v>
      </c>
      <c r="AI97" s="10">
        <f t="shared" si="53"/>
        <v>1</v>
      </c>
      <c r="AJ97" s="10">
        <f t="shared" si="54"/>
        <v>0</v>
      </c>
      <c r="AK97" s="10">
        <f t="shared" si="55"/>
        <v>0</v>
      </c>
      <c r="BJ97" s="11"/>
      <c r="BK97" s="29"/>
      <c r="BL97" s="29"/>
      <c r="BM97" s="11"/>
    </row>
    <row r="98" spans="2:65" x14ac:dyDescent="0.25">
      <c r="B98" s="10">
        <f t="shared" si="35"/>
        <v>79</v>
      </c>
      <c r="C98">
        <v>6.2807430367683992E-2</v>
      </c>
      <c r="D98">
        <v>-1.380328740197001</v>
      </c>
      <c r="E98">
        <v>0.85113071077608571</v>
      </c>
      <c r="H98" s="18">
        <f>1</f>
        <v>1</v>
      </c>
      <c r="I98" s="19">
        <f t="shared" si="36"/>
        <v>6.2980120304922345</v>
      </c>
      <c r="J98" s="19">
        <f t="shared" si="37"/>
        <v>3.0094195575376013</v>
      </c>
      <c r="K98" s="18">
        <f t="shared" si="38"/>
        <v>-1</v>
      </c>
      <c r="L98" s="17"/>
      <c r="M98" s="17"/>
      <c r="N98" s="18">
        <f t="shared" si="39"/>
        <v>-100</v>
      </c>
      <c r="O98" s="18">
        <f t="shared" si="39"/>
        <v>-100</v>
      </c>
      <c r="P98" s="18">
        <f t="shared" si="40"/>
        <v>6.2980120304922345</v>
      </c>
      <c r="Q98" s="18">
        <f t="shared" si="40"/>
        <v>3.0094195575376013</v>
      </c>
      <c r="S98" s="10">
        <f t="shared" si="41"/>
        <v>-19.595897369992336</v>
      </c>
      <c r="T98" s="10">
        <f t="shared" si="42"/>
        <v>-1</v>
      </c>
      <c r="U98" s="10">
        <f t="shared" si="43"/>
        <v>0</v>
      </c>
      <c r="V98" s="10">
        <f t="shared" si="44"/>
        <v>0</v>
      </c>
      <c r="Y98" s="10">
        <f t="shared" si="52"/>
        <v>0</v>
      </c>
      <c r="Z98" s="10">
        <f t="shared" si="45"/>
        <v>0</v>
      </c>
      <c r="AA98" s="10">
        <f t="shared" si="46"/>
        <v>0</v>
      </c>
      <c r="AB98" s="10">
        <f t="shared" si="47"/>
        <v>9.9999999999999978E-2</v>
      </c>
      <c r="AC98" s="10">
        <f t="shared" si="48"/>
        <v>-7.7430527952094357</v>
      </c>
      <c r="AD98" s="10">
        <f t="shared" si="49"/>
        <v>9.6596508832284993</v>
      </c>
      <c r="AE98" s="10">
        <f t="shared" si="50"/>
        <v>-1</v>
      </c>
      <c r="AF98" s="10">
        <f t="shared" si="51"/>
        <v>0</v>
      </c>
      <c r="AI98" s="10">
        <f t="shared" si="53"/>
        <v>1</v>
      </c>
      <c r="AJ98" s="10">
        <f t="shared" si="54"/>
        <v>0</v>
      </c>
      <c r="AK98" s="10">
        <f t="shared" si="55"/>
        <v>0</v>
      </c>
      <c r="BJ98" s="11"/>
      <c r="BK98" s="29"/>
      <c r="BL98" s="29"/>
      <c r="BM98" s="11"/>
    </row>
    <row r="99" spans="2:65" x14ac:dyDescent="0.25">
      <c r="B99" s="10">
        <f t="shared" si="35"/>
        <v>80</v>
      </c>
      <c r="C99">
        <v>-0.38206394492590334</v>
      </c>
      <c r="D99">
        <v>0.53029907576274127</v>
      </c>
      <c r="E99">
        <v>0.82174138615070036</v>
      </c>
      <c r="H99" s="18">
        <f>1</f>
        <v>1</v>
      </c>
      <c r="I99" s="19">
        <f t="shared" si="36"/>
        <v>5.656657042318348</v>
      </c>
      <c r="J99" s="19">
        <f t="shared" si="37"/>
        <v>5.7639026471741923</v>
      </c>
      <c r="K99" s="18">
        <f t="shared" si="38"/>
        <v>1</v>
      </c>
      <c r="L99" s="17"/>
      <c r="M99" s="17"/>
      <c r="N99" s="18">
        <f t="shared" si="39"/>
        <v>5.656657042318348</v>
      </c>
      <c r="O99" s="18">
        <f t="shared" si="39"/>
        <v>5.7639026471741923</v>
      </c>
      <c r="P99" s="18">
        <f t="shared" si="40"/>
        <v>-100</v>
      </c>
      <c r="Q99" s="18">
        <f t="shared" si="40"/>
        <v>-100</v>
      </c>
      <c r="S99" s="10">
        <f t="shared" si="41"/>
        <v>11.977493173555047</v>
      </c>
      <c r="T99" s="10">
        <f t="shared" si="42"/>
        <v>1</v>
      </c>
      <c r="U99" s="10">
        <f t="shared" si="43"/>
        <v>0</v>
      </c>
      <c r="V99" s="10">
        <f t="shared" si="44"/>
        <v>0</v>
      </c>
      <c r="X99" s="10">
        <f>SUM(V81:V99)</f>
        <v>2</v>
      </c>
      <c r="Y99" s="10">
        <f t="shared" si="52"/>
        <v>0</v>
      </c>
      <c r="Z99" s="10">
        <f t="shared" si="45"/>
        <v>0</v>
      </c>
      <c r="AA99" s="10">
        <f t="shared" si="46"/>
        <v>0</v>
      </c>
      <c r="AB99" s="10">
        <f t="shared" si="47"/>
        <v>9.9999999999999978E-2</v>
      </c>
      <c r="AC99" s="10">
        <f t="shared" si="48"/>
        <v>-7.7430527952094357</v>
      </c>
      <c r="AD99" s="10">
        <f t="shared" si="49"/>
        <v>9.6596508832284993</v>
      </c>
      <c r="AE99" s="10">
        <f t="shared" si="50"/>
        <v>1</v>
      </c>
      <c r="AF99" s="10">
        <f t="shared" si="51"/>
        <v>0</v>
      </c>
      <c r="AI99" s="10">
        <f t="shared" si="53"/>
        <v>-1</v>
      </c>
      <c r="AJ99" s="10">
        <f t="shared" si="54"/>
        <v>0</v>
      </c>
      <c r="AK99" s="10">
        <f t="shared" si="55"/>
        <v>0</v>
      </c>
      <c r="BJ99" s="11"/>
      <c r="BK99" s="29"/>
      <c r="BL99" s="29"/>
      <c r="BM99" s="11"/>
    </row>
    <row r="100" spans="2:65" x14ac:dyDescent="0.25">
      <c r="B100" s="10">
        <f t="shared" si="35"/>
        <v>81</v>
      </c>
      <c r="C100">
        <v>0.63803099692449905</v>
      </c>
      <c r="D100">
        <v>-0.77794993558200076</v>
      </c>
      <c r="E100">
        <v>0.4247260963774529</v>
      </c>
      <c r="H100" s="18">
        <f>1</f>
        <v>1</v>
      </c>
      <c r="I100" s="19">
        <f t="shared" si="36"/>
        <v>7.1272910630731046</v>
      </c>
      <c r="J100" s="19">
        <f t="shared" si="37"/>
        <v>3.8778473156847602</v>
      </c>
      <c r="K100" s="18">
        <f t="shared" si="38"/>
        <v>-1</v>
      </c>
      <c r="L100" s="17"/>
      <c r="M100" s="17"/>
      <c r="N100" s="18">
        <f t="shared" si="39"/>
        <v>-100</v>
      </c>
      <c r="O100" s="18">
        <f t="shared" si="39"/>
        <v>-100</v>
      </c>
      <c r="P100" s="18">
        <f t="shared" si="40"/>
        <v>7.1272910630731046</v>
      </c>
      <c r="Q100" s="18">
        <f t="shared" si="40"/>
        <v>3.8778473156847602</v>
      </c>
      <c r="S100" s="12">
        <f t="shared" si="41"/>
        <v>-17.628339740219872</v>
      </c>
      <c r="T100" s="12">
        <f t="shared" si="42"/>
        <v>-1</v>
      </c>
      <c r="U100" s="12">
        <f t="shared" si="43"/>
        <v>0</v>
      </c>
      <c r="V100" s="12">
        <f t="shared" si="44"/>
        <v>0</v>
      </c>
      <c r="W100" s="12"/>
      <c r="X100" s="12"/>
      <c r="Y100" s="10">
        <f t="shared" si="52"/>
        <v>0</v>
      </c>
      <c r="Z100" s="10">
        <f t="shared" si="45"/>
        <v>0</v>
      </c>
      <c r="AA100" s="10">
        <f t="shared" si="46"/>
        <v>0</v>
      </c>
      <c r="AB100" s="10">
        <f t="shared" si="47"/>
        <v>9.9999999999999978E-2</v>
      </c>
      <c r="AC100" s="10">
        <f t="shared" si="48"/>
        <v>-7.7430527952094357</v>
      </c>
      <c r="AD100" s="10">
        <f t="shared" si="49"/>
        <v>9.6596508832284993</v>
      </c>
      <c r="AE100" s="10">
        <f t="shared" si="50"/>
        <v>-1</v>
      </c>
      <c r="AF100" s="10">
        <f t="shared" si="51"/>
        <v>0</v>
      </c>
      <c r="AI100" s="10">
        <f t="shared" si="53"/>
        <v>1</v>
      </c>
      <c r="AJ100" s="10">
        <f t="shared" si="54"/>
        <v>0</v>
      </c>
      <c r="AK100" s="10">
        <f t="shared" si="55"/>
        <v>0</v>
      </c>
      <c r="BJ100" s="11"/>
      <c r="BK100" s="29"/>
      <c r="BL100" s="29"/>
      <c r="BM100" s="11"/>
    </row>
    <row r="101" spans="2:65" x14ac:dyDescent="0.25">
      <c r="B101" s="10">
        <f t="shared" si="35"/>
        <v>82</v>
      </c>
      <c r="C101">
        <v>1.6183184925466776</v>
      </c>
      <c r="D101">
        <v>1.6291824067593552</v>
      </c>
      <c r="E101">
        <v>0.81081575975829345</v>
      </c>
      <c r="H101" s="18">
        <f>1</f>
        <v>1</v>
      </c>
      <c r="I101" s="19">
        <f t="shared" si="36"/>
        <v>8.5405361268780311</v>
      </c>
      <c r="J101" s="19">
        <f t="shared" si="37"/>
        <v>7.3481230418685186</v>
      </c>
      <c r="K101" s="18">
        <f t="shared" si="38"/>
        <v>-1</v>
      </c>
      <c r="L101" s="17"/>
      <c r="M101" s="17"/>
      <c r="N101" s="18">
        <f t="shared" si="39"/>
        <v>-100</v>
      </c>
      <c r="O101" s="18">
        <f t="shared" si="39"/>
        <v>-100</v>
      </c>
      <c r="P101" s="18">
        <f t="shared" si="40"/>
        <v>8.5405361268780311</v>
      </c>
      <c r="Q101" s="18">
        <f t="shared" si="40"/>
        <v>7.3481230418685186</v>
      </c>
      <c r="S101" s="10">
        <f t="shared" si="41"/>
        <v>4.9504811016468153</v>
      </c>
      <c r="T101" s="10">
        <f t="shared" si="42"/>
        <v>1</v>
      </c>
      <c r="U101" s="10">
        <f t="shared" si="43"/>
        <v>-1</v>
      </c>
      <c r="V101" s="10">
        <f t="shared" si="44"/>
        <v>1</v>
      </c>
      <c r="Y101" s="10">
        <f t="shared" si="52"/>
        <v>-0.70082399975499998</v>
      </c>
      <c r="Z101" s="10">
        <f t="shared" si="45"/>
        <v>-5.9854126884907375</v>
      </c>
      <c r="AA101" s="10">
        <f t="shared" si="46"/>
        <v>-5.1497409808941725</v>
      </c>
      <c r="AB101" s="10">
        <f t="shared" si="47"/>
        <v>-0.600823999755</v>
      </c>
      <c r="AC101" s="10">
        <f t="shared" si="48"/>
        <v>-13.728465483700173</v>
      </c>
      <c r="AD101" s="10">
        <f t="shared" si="49"/>
        <v>4.5099099023343268</v>
      </c>
      <c r="AE101" s="10">
        <f t="shared" si="50"/>
        <v>-1</v>
      </c>
      <c r="AF101" s="10">
        <f t="shared" si="51"/>
        <v>0</v>
      </c>
      <c r="AI101" s="10">
        <f t="shared" si="53"/>
        <v>-1</v>
      </c>
      <c r="AJ101" s="10">
        <f t="shared" si="54"/>
        <v>0</v>
      </c>
      <c r="AK101" s="10">
        <f t="shared" si="55"/>
        <v>0</v>
      </c>
      <c r="BJ101" s="11"/>
      <c r="BK101" s="29"/>
      <c r="BL101" s="29"/>
      <c r="BM101" s="11"/>
    </row>
    <row r="102" spans="2:65" x14ac:dyDescent="0.25">
      <c r="B102" s="10">
        <f t="shared" si="35"/>
        <v>83</v>
      </c>
      <c r="C102">
        <v>0.83048917076666839</v>
      </c>
      <c r="D102">
        <v>1.6338117347913794</v>
      </c>
      <c r="E102">
        <v>0.34809411908322396</v>
      </c>
      <c r="H102" s="18">
        <f>1</f>
        <v>1</v>
      </c>
      <c r="I102" s="19">
        <f t="shared" si="36"/>
        <v>7.4047510586213772</v>
      </c>
      <c r="J102" s="19">
        <f t="shared" si="37"/>
        <v>7.3547969768306691</v>
      </c>
      <c r="K102" s="18">
        <f t="shared" si="38"/>
        <v>-1</v>
      </c>
      <c r="L102" s="17"/>
      <c r="M102" s="17"/>
      <c r="N102" s="18">
        <f t="shared" si="39"/>
        <v>-100</v>
      </c>
      <c r="O102" s="18">
        <f t="shared" si="39"/>
        <v>-100</v>
      </c>
      <c r="P102" s="18">
        <f t="shared" si="40"/>
        <v>7.4047510586213772</v>
      </c>
      <c r="Q102" s="18">
        <f t="shared" si="40"/>
        <v>7.3547969768306691</v>
      </c>
      <c r="S102" s="10">
        <f t="shared" si="41"/>
        <v>-69.08722160796367</v>
      </c>
      <c r="T102" s="10">
        <f t="shared" si="42"/>
        <v>-1</v>
      </c>
      <c r="U102" s="10">
        <f t="shared" si="43"/>
        <v>0</v>
      </c>
      <c r="V102" s="10">
        <f t="shared" si="44"/>
        <v>0</v>
      </c>
      <c r="Y102" s="10">
        <f t="shared" si="52"/>
        <v>0</v>
      </c>
      <c r="Z102" s="10">
        <f t="shared" si="45"/>
        <v>0</v>
      </c>
      <c r="AA102" s="10">
        <f t="shared" si="46"/>
        <v>0</v>
      </c>
      <c r="AB102" s="10">
        <f t="shared" si="47"/>
        <v>-0.600823999755</v>
      </c>
      <c r="AC102" s="10">
        <f t="shared" si="48"/>
        <v>-13.728465483700173</v>
      </c>
      <c r="AD102" s="10">
        <f t="shared" si="49"/>
        <v>4.5099099023343268</v>
      </c>
      <c r="AE102" s="10">
        <f t="shared" si="50"/>
        <v>-1</v>
      </c>
      <c r="AF102" s="10">
        <f t="shared" si="51"/>
        <v>0</v>
      </c>
      <c r="AI102" s="10">
        <f t="shared" si="53"/>
        <v>1</v>
      </c>
      <c r="AJ102" s="10">
        <f t="shared" si="54"/>
        <v>0</v>
      </c>
      <c r="AK102" s="10">
        <f t="shared" si="55"/>
        <v>0</v>
      </c>
      <c r="BJ102" s="11"/>
      <c r="BK102" s="29"/>
      <c r="BL102" s="29"/>
      <c r="BM102" s="11"/>
    </row>
    <row r="103" spans="2:65" x14ac:dyDescent="0.25">
      <c r="B103" s="10">
        <f t="shared" si="35"/>
        <v>84</v>
      </c>
      <c r="C103">
        <v>-1.0798225957842078</v>
      </c>
      <c r="D103">
        <v>1.3127237252774648</v>
      </c>
      <c r="E103">
        <v>0.3073519089327677</v>
      </c>
      <c r="H103" s="18">
        <f>1</f>
        <v>1</v>
      </c>
      <c r="I103" s="19">
        <f t="shared" si="36"/>
        <v>4.6507236059984098</v>
      </c>
      <c r="J103" s="19">
        <f t="shared" si="37"/>
        <v>6.8918959947014597</v>
      </c>
      <c r="K103" s="18">
        <f t="shared" si="38"/>
        <v>1</v>
      </c>
      <c r="L103" s="17"/>
      <c r="M103" s="17"/>
      <c r="N103" s="18">
        <f t="shared" si="39"/>
        <v>4.6507236059984098</v>
      </c>
      <c r="O103" s="18">
        <f t="shared" si="39"/>
        <v>6.8918959947014597</v>
      </c>
      <c r="P103" s="18">
        <f t="shared" si="40"/>
        <v>-100</v>
      </c>
      <c r="Q103" s="18">
        <f t="shared" si="40"/>
        <v>-100</v>
      </c>
      <c r="S103" s="10">
        <f t="shared" si="41"/>
        <v>-33.366292506571369</v>
      </c>
      <c r="T103" s="10">
        <f t="shared" si="42"/>
        <v>-1</v>
      </c>
      <c r="U103" s="10">
        <f t="shared" si="43"/>
        <v>1</v>
      </c>
      <c r="V103" s="10">
        <f t="shared" si="44"/>
        <v>1</v>
      </c>
      <c r="Y103" s="10">
        <f t="shared" si="52"/>
        <v>0.70082399975499998</v>
      </c>
      <c r="Z103" s="10">
        <f t="shared" si="45"/>
        <v>3.2593387193108021</v>
      </c>
      <c r="AA103" s="10">
        <f t="shared" si="46"/>
        <v>4.8300061169021413</v>
      </c>
      <c r="AB103" s="10">
        <f t="shared" si="47"/>
        <v>9.9999999999999978E-2</v>
      </c>
      <c r="AC103" s="10">
        <f t="shared" si="48"/>
        <v>-10.469126764389371</v>
      </c>
      <c r="AD103" s="10">
        <f t="shared" si="49"/>
        <v>9.339916019236469</v>
      </c>
      <c r="AE103" s="10">
        <f t="shared" si="50"/>
        <v>1</v>
      </c>
      <c r="AF103" s="10">
        <f t="shared" si="51"/>
        <v>0</v>
      </c>
      <c r="AI103" s="10">
        <f t="shared" si="53"/>
        <v>-1</v>
      </c>
      <c r="AJ103" s="10">
        <f t="shared" si="54"/>
        <v>0</v>
      </c>
      <c r="AK103" s="10">
        <f t="shared" si="55"/>
        <v>0</v>
      </c>
      <c r="BJ103" s="11"/>
      <c r="BK103" s="29"/>
      <c r="BL103" s="29"/>
      <c r="BM103" s="11"/>
    </row>
    <row r="104" spans="2:65" x14ac:dyDescent="0.25">
      <c r="B104" s="10">
        <f t="shared" si="35"/>
        <v>85</v>
      </c>
      <c r="C104">
        <v>-0.67408109316602349</v>
      </c>
      <c r="D104">
        <v>0.92026766651542857</v>
      </c>
      <c r="E104">
        <v>0.24314096499526963</v>
      </c>
      <c r="H104" s="18">
        <f>1</f>
        <v>1</v>
      </c>
      <c r="I104" s="19">
        <f t="shared" si="36"/>
        <v>5.2356664705322515</v>
      </c>
      <c r="J104" s="19">
        <f t="shared" si="37"/>
        <v>6.3261062745604697</v>
      </c>
      <c r="K104" s="18">
        <f t="shared" si="38"/>
        <v>1</v>
      </c>
      <c r="L104" s="17"/>
      <c r="M104" s="17"/>
      <c r="N104" s="18">
        <f t="shared" si="39"/>
        <v>5.2356664705322515</v>
      </c>
      <c r="O104" s="18">
        <f t="shared" si="39"/>
        <v>6.3261062745604697</v>
      </c>
      <c r="P104" s="18">
        <f t="shared" si="40"/>
        <v>-100</v>
      </c>
      <c r="Q104" s="18">
        <f t="shared" si="40"/>
        <v>-100</v>
      </c>
      <c r="S104" s="10">
        <f t="shared" si="41"/>
        <v>4.3724453570944419</v>
      </c>
      <c r="T104" s="10">
        <f t="shared" si="42"/>
        <v>1</v>
      </c>
      <c r="U104" s="10">
        <f t="shared" si="43"/>
        <v>0</v>
      </c>
      <c r="V104" s="10">
        <f t="shared" si="44"/>
        <v>0</v>
      </c>
      <c r="Y104" s="10">
        <f t="shared" si="52"/>
        <v>0</v>
      </c>
      <c r="Z104" s="10">
        <f t="shared" si="45"/>
        <v>0</v>
      </c>
      <c r="AA104" s="10">
        <f t="shared" si="46"/>
        <v>0</v>
      </c>
      <c r="AB104" s="10">
        <f t="shared" si="47"/>
        <v>9.9999999999999978E-2</v>
      </c>
      <c r="AC104" s="10">
        <f t="shared" si="48"/>
        <v>-10.469126764389371</v>
      </c>
      <c r="AD104" s="10">
        <f t="shared" si="49"/>
        <v>9.339916019236469</v>
      </c>
      <c r="AE104" s="10">
        <f t="shared" si="50"/>
        <v>1</v>
      </c>
      <c r="AF104" s="10">
        <f t="shared" si="51"/>
        <v>0</v>
      </c>
      <c r="AI104" s="10">
        <f t="shared" si="53"/>
        <v>-1</v>
      </c>
      <c r="AJ104" s="10">
        <f t="shared" si="54"/>
        <v>0</v>
      </c>
      <c r="AK104" s="10">
        <f t="shared" si="55"/>
        <v>0</v>
      </c>
      <c r="BJ104" s="11"/>
      <c r="BK104" s="29"/>
      <c r="BL104" s="29"/>
      <c r="BM104" s="11"/>
    </row>
    <row r="105" spans="2:65" x14ac:dyDescent="0.25">
      <c r="B105" s="10">
        <f t="shared" si="35"/>
        <v>86</v>
      </c>
      <c r="C105">
        <v>-0.80388872447656468</v>
      </c>
      <c r="D105">
        <v>-6.165919330669567E-2</v>
      </c>
      <c r="E105">
        <v>0.91460921048615984</v>
      </c>
      <c r="H105" s="18">
        <f>1</f>
        <v>1</v>
      </c>
      <c r="I105" s="19">
        <f t="shared" si="36"/>
        <v>5.0485274985336357</v>
      </c>
      <c r="J105" s="19">
        <f t="shared" si="37"/>
        <v>4.910497798620125</v>
      </c>
      <c r="K105" s="18">
        <f t="shared" si="38"/>
        <v>-1</v>
      </c>
      <c r="L105" s="17"/>
      <c r="M105" s="17"/>
      <c r="N105" s="18">
        <f t="shared" si="39"/>
        <v>-100</v>
      </c>
      <c r="O105" s="18">
        <f t="shared" si="39"/>
        <v>-100</v>
      </c>
      <c r="P105" s="18">
        <f t="shared" si="40"/>
        <v>5.0485274985336357</v>
      </c>
      <c r="Q105" s="18">
        <f t="shared" si="40"/>
        <v>4.910497798620125</v>
      </c>
      <c r="S105" s="10">
        <f t="shared" si="41"/>
        <v>-6.8900373038966833</v>
      </c>
      <c r="T105" s="10">
        <f t="shared" si="42"/>
        <v>-1</v>
      </c>
      <c r="U105" s="10">
        <f t="shared" si="43"/>
        <v>0</v>
      </c>
      <c r="V105" s="10">
        <f t="shared" si="44"/>
        <v>0</v>
      </c>
      <c r="Y105" s="10">
        <f t="shared" si="52"/>
        <v>0</v>
      </c>
      <c r="Z105" s="10">
        <f t="shared" si="45"/>
        <v>0</v>
      </c>
      <c r="AA105" s="10">
        <f t="shared" si="46"/>
        <v>0</v>
      </c>
      <c r="AB105" s="10">
        <f t="shared" si="47"/>
        <v>9.9999999999999978E-2</v>
      </c>
      <c r="AC105" s="10">
        <f t="shared" si="48"/>
        <v>-10.469126764389371</v>
      </c>
      <c r="AD105" s="10">
        <f t="shared" si="49"/>
        <v>9.339916019236469</v>
      </c>
      <c r="AE105" s="10">
        <f t="shared" si="50"/>
        <v>-1</v>
      </c>
      <c r="AF105" s="10">
        <f t="shared" si="51"/>
        <v>0</v>
      </c>
      <c r="AI105" s="10">
        <f t="shared" si="53"/>
        <v>-1</v>
      </c>
      <c r="AJ105" s="10">
        <f t="shared" si="54"/>
        <v>0</v>
      </c>
      <c r="AK105" s="10">
        <f t="shared" si="55"/>
        <v>0</v>
      </c>
      <c r="BJ105" s="11"/>
      <c r="BK105" s="29"/>
      <c r="BL105" s="29"/>
      <c r="BM105" s="11"/>
    </row>
    <row r="106" spans="2:65" x14ac:dyDescent="0.25">
      <c r="B106" s="10">
        <f t="shared" si="35"/>
        <v>87</v>
      </c>
      <c r="C106">
        <v>0.40446138882543892</v>
      </c>
      <c r="D106">
        <v>1.0820190254889894</v>
      </c>
      <c r="E106">
        <v>0.20542008728293709</v>
      </c>
      <c r="H106" s="18">
        <f>1</f>
        <v>1</v>
      </c>
      <c r="I106" s="19">
        <f t="shared" si="36"/>
        <v>6.7905621981482875</v>
      </c>
      <c r="J106" s="19">
        <f t="shared" si="37"/>
        <v>6.5592973645764019</v>
      </c>
      <c r="K106" s="18">
        <f t="shared" si="38"/>
        <v>-1</v>
      </c>
      <c r="L106" s="17"/>
      <c r="M106" s="17"/>
      <c r="N106" s="18">
        <f t="shared" si="39"/>
        <v>-100</v>
      </c>
      <c r="O106" s="18">
        <f t="shared" si="39"/>
        <v>-100</v>
      </c>
      <c r="P106" s="18">
        <f t="shared" si="40"/>
        <v>6.7905621981482875</v>
      </c>
      <c r="Q106" s="18">
        <f t="shared" si="40"/>
        <v>6.5592973645764019</v>
      </c>
      <c r="S106" s="10">
        <f t="shared" si="41"/>
        <v>-9.7279699235422683</v>
      </c>
      <c r="T106" s="10">
        <f t="shared" si="42"/>
        <v>-1</v>
      </c>
      <c r="U106" s="10">
        <f t="shared" si="43"/>
        <v>0</v>
      </c>
      <c r="V106" s="10">
        <f t="shared" si="44"/>
        <v>0</v>
      </c>
      <c r="Y106" s="10">
        <f t="shared" si="52"/>
        <v>0</v>
      </c>
      <c r="Z106" s="10">
        <f t="shared" si="45"/>
        <v>0</v>
      </c>
      <c r="AA106" s="10">
        <f t="shared" si="46"/>
        <v>0</v>
      </c>
      <c r="AB106" s="10">
        <f t="shared" si="47"/>
        <v>9.9999999999999978E-2</v>
      </c>
      <c r="AC106" s="10">
        <f t="shared" si="48"/>
        <v>-10.469126764389371</v>
      </c>
      <c r="AD106" s="10">
        <f t="shared" si="49"/>
        <v>9.339916019236469</v>
      </c>
      <c r="AE106" s="10">
        <f t="shared" si="50"/>
        <v>-1</v>
      </c>
      <c r="AF106" s="10">
        <f t="shared" si="51"/>
        <v>0</v>
      </c>
      <c r="AI106" s="10">
        <f t="shared" si="53"/>
        <v>1</v>
      </c>
      <c r="AJ106" s="10">
        <f t="shared" si="54"/>
        <v>0</v>
      </c>
      <c r="AK106" s="10">
        <f t="shared" si="55"/>
        <v>0</v>
      </c>
      <c r="BJ106" s="11"/>
      <c r="BK106" s="29"/>
      <c r="BL106" s="29"/>
      <c r="BM106" s="11"/>
    </row>
    <row r="107" spans="2:65" x14ac:dyDescent="0.25">
      <c r="B107" s="10">
        <f t="shared" si="35"/>
        <v>88</v>
      </c>
      <c r="C107">
        <v>-5.0702055887086317E-2</v>
      </c>
      <c r="D107">
        <v>-2.2803942556492984</v>
      </c>
      <c r="E107">
        <v>0.69234290597247228</v>
      </c>
      <c r="H107" s="18">
        <f>1</f>
        <v>1</v>
      </c>
      <c r="I107" s="19">
        <f t="shared" si="36"/>
        <v>6.1343695053544716</v>
      </c>
      <c r="J107" s="19">
        <f t="shared" si="37"/>
        <v>1.711827624054187</v>
      </c>
      <c r="K107" s="18">
        <f t="shared" si="38"/>
        <v>-1</v>
      </c>
      <c r="L107" s="17"/>
      <c r="M107" s="17"/>
      <c r="N107" s="18">
        <f t="shared" si="39"/>
        <v>-100</v>
      </c>
      <c r="O107" s="18">
        <f t="shared" si="39"/>
        <v>-100</v>
      </c>
      <c r="P107" s="18">
        <f t="shared" si="40"/>
        <v>6.1343695053544716</v>
      </c>
      <c r="Q107" s="18">
        <f t="shared" si="40"/>
        <v>1.711827624054187</v>
      </c>
      <c r="S107" s="10">
        <f t="shared" si="41"/>
        <v>-48.133165723085291</v>
      </c>
      <c r="T107" s="10">
        <f t="shared" si="42"/>
        <v>-1</v>
      </c>
      <c r="U107" s="10">
        <f t="shared" si="43"/>
        <v>0</v>
      </c>
      <c r="V107" s="10">
        <f t="shared" si="44"/>
        <v>0</v>
      </c>
      <c r="Y107" s="10">
        <f t="shared" si="52"/>
        <v>0</v>
      </c>
      <c r="Z107" s="10">
        <f t="shared" si="45"/>
        <v>0</v>
      </c>
      <c r="AA107" s="10">
        <f t="shared" si="46"/>
        <v>0</v>
      </c>
      <c r="AB107" s="10">
        <f t="shared" si="47"/>
        <v>9.9999999999999978E-2</v>
      </c>
      <c r="AC107" s="10">
        <f t="shared" si="48"/>
        <v>-10.469126764389371</v>
      </c>
      <c r="AD107" s="10">
        <f t="shared" si="49"/>
        <v>9.339916019236469</v>
      </c>
      <c r="AE107" s="10">
        <f t="shared" si="50"/>
        <v>-1</v>
      </c>
      <c r="AF107" s="10">
        <f t="shared" si="51"/>
        <v>0</v>
      </c>
      <c r="AI107" s="10">
        <f t="shared" si="53"/>
        <v>1</v>
      </c>
      <c r="AJ107" s="10">
        <f t="shared" si="54"/>
        <v>0</v>
      </c>
      <c r="AK107" s="10">
        <f t="shared" si="55"/>
        <v>0</v>
      </c>
      <c r="BJ107" s="11"/>
      <c r="BK107" s="29"/>
      <c r="BL107" s="29"/>
      <c r="BM107" s="11"/>
    </row>
    <row r="108" spans="2:65" x14ac:dyDescent="0.25">
      <c r="B108" s="10">
        <f t="shared" si="35"/>
        <v>89</v>
      </c>
      <c r="C108">
        <v>3.6689016269519925E-2</v>
      </c>
      <c r="D108">
        <v>-0.22828885448689107</v>
      </c>
      <c r="E108">
        <v>0.82851649525437177</v>
      </c>
      <c r="H108" s="18">
        <f>1</f>
        <v>1</v>
      </c>
      <c r="I108" s="19">
        <f t="shared" si="36"/>
        <v>6.260358056567763</v>
      </c>
      <c r="J108" s="19">
        <f t="shared" si="37"/>
        <v>4.6702738365701588</v>
      </c>
      <c r="K108" s="18">
        <f t="shared" si="38"/>
        <v>-1</v>
      </c>
      <c r="L108" s="17"/>
      <c r="M108" s="17"/>
      <c r="N108" s="18">
        <f t="shared" si="39"/>
        <v>-100</v>
      </c>
      <c r="O108" s="18">
        <f t="shared" si="39"/>
        <v>-100</v>
      </c>
      <c r="P108" s="18">
        <f t="shared" si="40"/>
        <v>6.260358056567763</v>
      </c>
      <c r="Q108" s="18">
        <f t="shared" si="40"/>
        <v>4.6702738365701588</v>
      </c>
      <c r="S108" s="10">
        <f t="shared" si="41"/>
        <v>-21.820516664271615</v>
      </c>
      <c r="T108" s="10">
        <f t="shared" si="42"/>
        <v>-1</v>
      </c>
      <c r="U108" s="10">
        <f t="shared" si="43"/>
        <v>0</v>
      </c>
      <c r="V108" s="10">
        <f t="shared" si="44"/>
        <v>0</v>
      </c>
      <c r="Y108" s="10">
        <f t="shared" si="52"/>
        <v>0</v>
      </c>
      <c r="Z108" s="10">
        <f t="shared" si="45"/>
        <v>0</v>
      </c>
      <c r="AA108" s="10">
        <f t="shared" si="46"/>
        <v>0</v>
      </c>
      <c r="AB108" s="10">
        <f t="shared" si="47"/>
        <v>9.9999999999999978E-2</v>
      </c>
      <c r="AC108" s="10">
        <f t="shared" si="48"/>
        <v>-10.469126764389371</v>
      </c>
      <c r="AD108" s="10">
        <f t="shared" si="49"/>
        <v>9.339916019236469</v>
      </c>
      <c r="AE108" s="10">
        <f t="shared" si="50"/>
        <v>-1</v>
      </c>
      <c r="AF108" s="10">
        <f t="shared" si="51"/>
        <v>0</v>
      </c>
      <c r="AI108" s="10">
        <f t="shared" si="53"/>
        <v>-1</v>
      </c>
      <c r="AJ108" s="10">
        <f t="shared" si="54"/>
        <v>0</v>
      </c>
      <c r="AK108" s="10">
        <f t="shared" si="55"/>
        <v>0</v>
      </c>
      <c r="BJ108" s="11"/>
      <c r="BK108" s="29"/>
      <c r="BL108" s="29"/>
      <c r="BM108" s="11"/>
    </row>
    <row r="109" spans="2:65" x14ac:dyDescent="0.25">
      <c r="B109" s="10">
        <f t="shared" si="35"/>
        <v>90</v>
      </c>
      <c r="C109">
        <v>1.3597946235677227</v>
      </c>
      <c r="D109">
        <v>-1.1466318028396927</v>
      </c>
      <c r="E109">
        <v>0.10342722861415449</v>
      </c>
      <c r="H109" s="18">
        <f>1</f>
        <v>1</v>
      </c>
      <c r="I109" s="19">
        <f t="shared" si="36"/>
        <v>8.1678316056616609</v>
      </c>
      <c r="J109" s="19">
        <f t="shared" si="37"/>
        <v>3.3463319884535188</v>
      </c>
      <c r="K109" s="18">
        <f t="shared" si="38"/>
        <v>-1</v>
      </c>
      <c r="L109" s="17"/>
      <c r="M109" s="17"/>
      <c r="N109" s="18">
        <f t="shared" si="39"/>
        <v>-100</v>
      </c>
      <c r="O109" s="18">
        <f t="shared" si="39"/>
        <v>-100</v>
      </c>
      <c r="P109" s="18">
        <f t="shared" si="40"/>
        <v>8.1678316056616609</v>
      </c>
      <c r="Q109" s="18">
        <f t="shared" si="40"/>
        <v>3.3463319884535188</v>
      </c>
      <c r="S109" s="10">
        <f t="shared" si="41"/>
        <v>-54.155604725217458</v>
      </c>
      <c r="T109" s="10">
        <f t="shared" si="42"/>
        <v>-1</v>
      </c>
      <c r="U109" s="10">
        <f t="shared" si="43"/>
        <v>0</v>
      </c>
      <c r="V109" s="10">
        <f t="shared" si="44"/>
        <v>0</v>
      </c>
      <c r="Y109" s="10">
        <f t="shared" si="52"/>
        <v>0</v>
      </c>
      <c r="Z109" s="10">
        <f t="shared" si="45"/>
        <v>0</v>
      </c>
      <c r="AA109" s="10">
        <f t="shared" si="46"/>
        <v>0</v>
      </c>
      <c r="AB109" s="10">
        <f t="shared" si="47"/>
        <v>9.9999999999999978E-2</v>
      </c>
      <c r="AC109" s="10">
        <f t="shared" si="48"/>
        <v>-10.469126764389371</v>
      </c>
      <c r="AD109" s="10">
        <f t="shared" si="49"/>
        <v>9.339916019236469</v>
      </c>
      <c r="AE109" s="10">
        <f t="shared" si="50"/>
        <v>-1</v>
      </c>
      <c r="AF109" s="10">
        <f t="shared" si="51"/>
        <v>0</v>
      </c>
      <c r="AI109" s="10">
        <f t="shared" si="53"/>
        <v>-1</v>
      </c>
      <c r="AJ109" s="10">
        <f t="shared" si="54"/>
        <v>0</v>
      </c>
      <c r="AK109" s="10">
        <f t="shared" si="55"/>
        <v>0</v>
      </c>
      <c r="BJ109" s="11"/>
      <c r="BK109" s="29"/>
      <c r="BL109" s="29"/>
      <c r="BM109" s="11"/>
    </row>
    <row r="110" spans="2:65" x14ac:dyDescent="0.25">
      <c r="B110" s="10">
        <f t="shared" si="35"/>
        <v>91</v>
      </c>
      <c r="C110">
        <v>1.6815602066344582</v>
      </c>
      <c r="D110">
        <v>0.43697468754544389</v>
      </c>
      <c r="E110">
        <v>0.30610065004425185</v>
      </c>
      <c r="H110" s="18">
        <f>1</f>
        <v>1</v>
      </c>
      <c r="I110" s="19">
        <f t="shared" si="36"/>
        <v>8.6317094211006538</v>
      </c>
      <c r="J110" s="19">
        <f t="shared" si="37"/>
        <v>5.6293602485720342</v>
      </c>
      <c r="K110" s="18">
        <f t="shared" si="38"/>
        <v>-1</v>
      </c>
      <c r="L110" s="17"/>
      <c r="M110" s="17"/>
      <c r="N110" s="18">
        <f t="shared" si="39"/>
        <v>-100</v>
      </c>
      <c r="O110" s="18">
        <f t="shared" si="39"/>
        <v>-100</v>
      </c>
      <c r="P110" s="18">
        <f t="shared" si="40"/>
        <v>8.6317094211006538</v>
      </c>
      <c r="Q110" s="18">
        <f t="shared" si="40"/>
        <v>5.6293602485720342</v>
      </c>
      <c r="S110" s="10">
        <f t="shared" si="41"/>
        <v>-37.688708159185801</v>
      </c>
      <c r="T110" s="10">
        <f t="shared" si="42"/>
        <v>-1</v>
      </c>
      <c r="U110" s="10">
        <f t="shared" si="43"/>
        <v>0</v>
      </c>
      <c r="V110" s="10">
        <f t="shared" si="44"/>
        <v>0</v>
      </c>
      <c r="Y110" s="10">
        <f t="shared" si="52"/>
        <v>0</v>
      </c>
      <c r="Z110" s="10">
        <f t="shared" si="45"/>
        <v>0</v>
      </c>
      <c r="AA110" s="10">
        <f t="shared" si="46"/>
        <v>0</v>
      </c>
      <c r="AB110" s="10">
        <f t="shared" si="47"/>
        <v>9.9999999999999978E-2</v>
      </c>
      <c r="AC110" s="10">
        <f t="shared" si="48"/>
        <v>-10.469126764389371</v>
      </c>
      <c r="AD110" s="10">
        <f t="shared" si="49"/>
        <v>9.339916019236469</v>
      </c>
      <c r="AE110" s="10">
        <f t="shared" si="50"/>
        <v>-1</v>
      </c>
      <c r="AF110" s="10">
        <f t="shared" si="51"/>
        <v>0</v>
      </c>
      <c r="AI110" s="10">
        <f t="shared" si="53"/>
        <v>-1</v>
      </c>
      <c r="AJ110" s="10">
        <f t="shared" si="54"/>
        <v>0</v>
      </c>
      <c r="AK110" s="10">
        <f t="shared" si="55"/>
        <v>0</v>
      </c>
      <c r="BJ110" s="11"/>
      <c r="BK110" s="29"/>
      <c r="BL110" s="29"/>
      <c r="BM110" s="11"/>
    </row>
    <row r="111" spans="2:65" x14ac:dyDescent="0.25">
      <c r="B111" s="10">
        <f t="shared" si="35"/>
        <v>92</v>
      </c>
      <c r="C111">
        <v>0.34455297281965613</v>
      </c>
      <c r="D111">
        <v>0.76138803706271574</v>
      </c>
      <c r="E111">
        <v>0.88290047914059877</v>
      </c>
      <c r="H111" s="18">
        <f>1</f>
        <v>1</v>
      </c>
      <c r="I111" s="19">
        <f t="shared" si="36"/>
        <v>6.7041943993355435</v>
      </c>
      <c r="J111" s="19">
        <f t="shared" si="37"/>
        <v>6.097055253236678</v>
      </c>
      <c r="K111" s="18">
        <f t="shared" si="38"/>
        <v>-1</v>
      </c>
      <c r="L111" s="17"/>
      <c r="M111" s="17"/>
      <c r="N111" s="18">
        <f t="shared" si="39"/>
        <v>-100</v>
      </c>
      <c r="O111" s="18">
        <f t="shared" si="39"/>
        <v>-100</v>
      </c>
      <c r="P111" s="18">
        <f t="shared" si="40"/>
        <v>6.7041943993355435</v>
      </c>
      <c r="Q111" s="18">
        <f t="shared" si="40"/>
        <v>6.097055253236678</v>
      </c>
      <c r="S111" s="10">
        <f t="shared" si="41"/>
        <v>-13.141076989877952</v>
      </c>
      <c r="T111" s="10">
        <f t="shared" si="42"/>
        <v>-1</v>
      </c>
      <c r="U111" s="10">
        <f t="shared" si="43"/>
        <v>0</v>
      </c>
      <c r="V111" s="10">
        <f t="shared" si="44"/>
        <v>0</v>
      </c>
      <c r="Y111" s="10">
        <f t="shared" si="52"/>
        <v>0</v>
      </c>
      <c r="Z111" s="10">
        <f t="shared" si="45"/>
        <v>0</v>
      </c>
      <c r="AA111" s="10">
        <f t="shared" si="46"/>
        <v>0</v>
      </c>
      <c r="AB111" s="10">
        <f t="shared" si="47"/>
        <v>9.9999999999999978E-2</v>
      </c>
      <c r="AC111" s="10">
        <f t="shared" si="48"/>
        <v>-10.469126764389371</v>
      </c>
      <c r="AD111" s="10">
        <f t="shared" si="49"/>
        <v>9.339916019236469</v>
      </c>
      <c r="AE111" s="10">
        <f t="shared" si="50"/>
        <v>-1</v>
      </c>
      <c r="AF111" s="10">
        <f t="shared" si="51"/>
        <v>0</v>
      </c>
      <c r="AI111" s="10">
        <f t="shared" si="53"/>
        <v>-1</v>
      </c>
      <c r="AJ111" s="10">
        <f t="shared" si="54"/>
        <v>0</v>
      </c>
      <c r="AK111" s="10">
        <f t="shared" si="55"/>
        <v>0</v>
      </c>
      <c r="BJ111" s="11"/>
      <c r="BK111" s="29"/>
      <c r="BL111" s="29"/>
      <c r="BM111" s="11"/>
    </row>
    <row r="112" spans="2:65" x14ac:dyDescent="0.25">
      <c r="B112" s="10">
        <f t="shared" si="35"/>
        <v>93</v>
      </c>
      <c r="C112">
        <v>0.27607029551290907</v>
      </c>
      <c r="D112">
        <v>0.5519973456102889</v>
      </c>
      <c r="E112">
        <v>0.29685354167302469</v>
      </c>
      <c r="H112" s="18">
        <f>1</f>
        <v>1</v>
      </c>
      <c r="I112" s="19">
        <f t="shared" si="36"/>
        <v>6.6054653978006632</v>
      </c>
      <c r="J112" s="19">
        <f t="shared" si="37"/>
        <v>5.7951842588361782</v>
      </c>
      <c r="K112" s="18">
        <f t="shared" si="38"/>
        <v>-1</v>
      </c>
      <c r="L112" s="17"/>
      <c r="M112" s="17"/>
      <c r="N112" s="18">
        <f t="shared" si="39"/>
        <v>-100</v>
      </c>
      <c r="O112" s="18">
        <f t="shared" si="39"/>
        <v>-100</v>
      </c>
      <c r="P112" s="18">
        <f t="shared" si="40"/>
        <v>6.6054653978006632</v>
      </c>
      <c r="Q112" s="18">
        <f t="shared" si="40"/>
        <v>5.7951842588361782</v>
      </c>
      <c r="S112" s="10">
        <f t="shared" si="41"/>
        <v>-14.926920293831763</v>
      </c>
      <c r="T112" s="10">
        <f t="shared" si="42"/>
        <v>-1</v>
      </c>
      <c r="U112" s="10">
        <f t="shared" si="43"/>
        <v>0</v>
      </c>
      <c r="V112" s="10">
        <f t="shared" si="44"/>
        <v>0</v>
      </c>
      <c r="Y112" s="10">
        <f t="shared" si="52"/>
        <v>0</v>
      </c>
      <c r="Z112" s="10">
        <f t="shared" si="45"/>
        <v>0</v>
      </c>
      <c r="AA112" s="10">
        <f t="shared" si="46"/>
        <v>0</v>
      </c>
      <c r="AB112" s="10">
        <f t="shared" si="47"/>
        <v>9.9999999999999978E-2</v>
      </c>
      <c r="AC112" s="10">
        <f t="shared" si="48"/>
        <v>-10.469126764389371</v>
      </c>
      <c r="AD112" s="10">
        <f t="shared" si="49"/>
        <v>9.339916019236469</v>
      </c>
      <c r="AE112" s="10">
        <f t="shared" si="50"/>
        <v>-1</v>
      </c>
      <c r="AF112" s="10">
        <f t="shared" si="51"/>
        <v>0</v>
      </c>
      <c r="AI112" s="10">
        <f t="shared" si="53"/>
        <v>-1</v>
      </c>
      <c r="AJ112" s="10">
        <f t="shared" si="54"/>
        <v>0</v>
      </c>
      <c r="AK112" s="10">
        <f t="shared" si="55"/>
        <v>0</v>
      </c>
      <c r="BJ112" s="11"/>
      <c r="BK112" s="29"/>
      <c r="BL112" s="29"/>
      <c r="BM112" s="11"/>
    </row>
    <row r="113" spans="2:65" x14ac:dyDescent="0.25">
      <c r="B113" s="10">
        <f t="shared" si="35"/>
        <v>94</v>
      </c>
      <c r="C113">
        <v>-2.55495251622051</v>
      </c>
      <c r="D113">
        <v>0.40986378735397011</v>
      </c>
      <c r="E113">
        <v>2.5788140507217627E-2</v>
      </c>
      <c r="H113" s="18">
        <f>1</f>
        <v>1</v>
      </c>
      <c r="I113" s="19">
        <f t="shared" si="36"/>
        <v>2.5240820974230016</v>
      </c>
      <c r="J113" s="19">
        <f t="shared" si="37"/>
        <v>5.5902754433062167</v>
      </c>
      <c r="K113" s="18">
        <f t="shared" si="38"/>
        <v>1</v>
      </c>
      <c r="L113" s="17"/>
      <c r="M113" s="17"/>
      <c r="N113" s="18">
        <f t="shared" si="39"/>
        <v>2.5240820974230016</v>
      </c>
      <c r="O113" s="18">
        <f t="shared" si="39"/>
        <v>5.5902754433062167</v>
      </c>
      <c r="P113" s="18">
        <f t="shared" si="40"/>
        <v>-100</v>
      </c>
      <c r="Q113" s="18">
        <f t="shared" si="40"/>
        <v>-100</v>
      </c>
      <c r="S113" s="10">
        <f t="shared" si="41"/>
        <v>25.887767723232788</v>
      </c>
      <c r="T113" s="10">
        <f t="shared" si="42"/>
        <v>1</v>
      </c>
      <c r="U113" s="10">
        <f t="shared" si="43"/>
        <v>0</v>
      </c>
      <c r="V113" s="10">
        <f t="shared" si="44"/>
        <v>0</v>
      </c>
      <c r="Y113" s="10">
        <f t="shared" si="52"/>
        <v>0</v>
      </c>
      <c r="Z113" s="10">
        <f t="shared" si="45"/>
        <v>0</v>
      </c>
      <c r="AA113" s="10">
        <f t="shared" si="46"/>
        <v>0</v>
      </c>
      <c r="AB113" s="10">
        <f t="shared" si="47"/>
        <v>9.9999999999999978E-2</v>
      </c>
      <c r="AC113" s="10">
        <f t="shared" si="48"/>
        <v>-10.469126764389371</v>
      </c>
      <c r="AD113" s="10">
        <f t="shared" si="49"/>
        <v>9.339916019236469</v>
      </c>
      <c r="AE113" s="10">
        <f t="shared" si="50"/>
        <v>1</v>
      </c>
      <c r="AF113" s="10">
        <f t="shared" si="51"/>
        <v>0</v>
      </c>
      <c r="AI113" s="10">
        <f t="shared" si="53"/>
        <v>-1</v>
      </c>
      <c r="AJ113" s="10">
        <f t="shared" si="54"/>
        <v>0</v>
      </c>
      <c r="AK113" s="10">
        <f t="shared" si="55"/>
        <v>0</v>
      </c>
      <c r="BJ113" s="11"/>
      <c r="BK113" s="29"/>
      <c r="BL113" s="29"/>
      <c r="BM113" s="11"/>
    </row>
    <row r="114" spans="2:65" x14ac:dyDescent="0.25">
      <c r="B114" s="10">
        <f t="shared" si="35"/>
        <v>95</v>
      </c>
      <c r="C114">
        <v>0.17115553418989293</v>
      </c>
      <c r="D114">
        <v>-0.67398559622233734</v>
      </c>
      <c r="E114">
        <v>0.21503341776787621</v>
      </c>
      <c r="H114" s="18">
        <f>1</f>
        <v>1</v>
      </c>
      <c r="I114" s="19">
        <f t="shared" si="36"/>
        <v>6.4542135770621778</v>
      </c>
      <c r="J114" s="19">
        <f t="shared" si="37"/>
        <v>4.0277289474182467</v>
      </c>
      <c r="K114" s="18">
        <f t="shared" si="38"/>
        <v>-1</v>
      </c>
      <c r="L114" s="17"/>
      <c r="M114" s="17"/>
      <c r="N114" s="18">
        <f t="shared" si="39"/>
        <v>-100</v>
      </c>
      <c r="O114" s="18">
        <f t="shared" si="39"/>
        <v>-100</v>
      </c>
      <c r="P114" s="18">
        <f t="shared" si="40"/>
        <v>6.4542135770621778</v>
      </c>
      <c r="Q114" s="18">
        <f t="shared" si="40"/>
        <v>4.0277289474182467</v>
      </c>
      <c r="S114" s="10">
        <f t="shared" si="41"/>
        <v>-29.851329985572789</v>
      </c>
      <c r="T114" s="10">
        <f t="shared" si="42"/>
        <v>-1</v>
      </c>
      <c r="U114" s="10">
        <f t="shared" si="43"/>
        <v>0</v>
      </c>
      <c r="V114" s="10">
        <f t="shared" si="44"/>
        <v>0</v>
      </c>
      <c r="Y114" s="10">
        <f t="shared" si="52"/>
        <v>0</v>
      </c>
      <c r="Z114" s="10">
        <f t="shared" si="45"/>
        <v>0</v>
      </c>
      <c r="AA114" s="10">
        <f t="shared" si="46"/>
        <v>0</v>
      </c>
      <c r="AB114" s="10">
        <f t="shared" si="47"/>
        <v>9.9999999999999978E-2</v>
      </c>
      <c r="AC114" s="10">
        <f t="shared" si="48"/>
        <v>-10.469126764389371</v>
      </c>
      <c r="AD114" s="10">
        <f t="shared" si="49"/>
        <v>9.339916019236469</v>
      </c>
      <c r="AE114" s="10">
        <f t="shared" si="50"/>
        <v>-1</v>
      </c>
      <c r="AF114" s="10">
        <f t="shared" si="51"/>
        <v>0</v>
      </c>
      <c r="AI114" s="10">
        <f t="shared" si="53"/>
        <v>-1</v>
      </c>
      <c r="AJ114" s="10">
        <f t="shared" si="54"/>
        <v>0</v>
      </c>
      <c r="AK114" s="10">
        <f t="shared" si="55"/>
        <v>0</v>
      </c>
      <c r="BJ114" s="11"/>
      <c r="BK114" s="29"/>
      <c r="BL114" s="29"/>
      <c r="BM114" s="11"/>
    </row>
    <row r="115" spans="2:65" x14ac:dyDescent="0.25">
      <c r="B115" s="10">
        <f t="shared" si="35"/>
        <v>96</v>
      </c>
      <c r="C115">
        <v>-0.20268544176360592</v>
      </c>
      <c r="D115">
        <v>-0.16657850210322067</v>
      </c>
      <c r="E115">
        <v>0.15338602862636189</v>
      </c>
      <c r="H115" s="18">
        <f>1</f>
        <v>1</v>
      </c>
      <c r="I115" s="19">
        <f t="shared" si="36"/>
        <v>5.9152605492272432</v>
      </c>
      <c r="J115" s="19">
        <f t="shared" si="37"/>
        <v>4.759239421953386</v>
      </c>
      <c r="K115" s="18">
        <f t="shared" si="38"/>
        <v>-1</v>
      </c>
      <c r="L115" s="17"/>
      <c r="M115" s="17"/>
      <c r="N115" s="18">
        <f t="shared" si="39"/>
        <v>-100</v>
      </c>
      <c r="O115" s="18">
        <f t="shared" si="39"/>
        <v>-100</v>
      </c>
      <c r="P115" s="18">
        <f t="shared" si="40"/>
        <v>5.9152605492272432</v>
      </c>
      <c r="Q115" s="18">
        <f t="shared" si="40"/>
        <v>4.759239421953386</v>
      </c>
      <c r="S115" s="10">
        <f t="shared" si="41"/>
        <v>-17.376716017767357</v>
      </c>
      <c r="T115" s="10">
        <f t="shared" si="42"/>
        <v>-1</v>
      </c>
      <c r="U115" s="10">
        <f t="shared" si="43"/>
        <v>0</v>
      </c>
      <c r="V115" s="10">
        <f t="shared" si="44"/>
        <v>0</v>
      </c>
      <c r="Y115" s="10">
        <f t="shared" si="52"/>
        <v>0</v>
      </c>
      <c r="Z115" s="10">
        <f t="shared" si="45"/>
        <v>0</v>
      </c>
      <c r="AA115" s="10">
        <f t="shared" si="46"/>
        <v>0</v>
      </c>
      <c r="AB115" s="10">
        <f t="shared" si="47"/>
        <v>9.9999999999999978E-2</v>
      </c>
      <c r="AC115" s="10">
        <f t="shared" si="48"/>
        <v>-10.469126764389371</v>
      </c>
      <c r="AD115" s="10">
        <f t="shared" si="49"/>
        <v>9.339916019236469</v>
      </c>
      <c r="AE115" s="10">
        <f t="shared" si="50"/>
        <v>-1</v>
      </c>
      <c r="AF115" s="10">
        <f t="shared" si="51"/>
        <v>0</v>
      </c>
      <c r="AI115" s="10">
        <f t="shared" si="53"/>
        <v>-1</v>
      </c>
      <c r="AJ115" s="10">
        <f t="shared" si="54"/>
        <v>0</v>
      </c>
      <c r="AK115" s="10">
        <f t="shared" si="55"/>
        <v>0</v>
      </c>
      <c r="BJ115" s="11"/>
      <c r="BK115" s="29"/>
      <c r="BL115" s="29"/>
      <c r="BM115" s="11"/>
    </row>
    <row r="116" spans="2:65" x14ac:dyDescent="0.25">
      <c r="B116" s="10">
        <f t="shared" si="35"/>
        <v>97</v>
      </c>
      <c r="C116">
        <v>0.87404941950808279</v>
      </c>
      <c r="D116">
        <v>1.9355775293661281</v>
      </c>
      <c r="E116">
        <v>0.41715750602740564</v>
      </c>
      <c r="H116" s="18">
        <f>1</f>
        <v>1</v>
      </c>
      <c r="I116" s="19">
        <f t="shared" si="36"/>
        <v>7.4675502953624786</v>
      </c>
      <c r="J116" s="19">
        <f t="shared" si="37"/>
        <v>7.7898418198103911</v>
      </c>
      <c r="K116" s="18">
        <f t="shared" si="38"/>
        <v>1</v>
      </c>
      <c r="L116" s="17"/>
      <c r="M116" s="17"/>
      <c r="N116" s="18">
        <f t="shared" si="39"/>
        <v>7.4675502953624786</v>
      </c>
      <c r="O116" s="18">
        <f t="shared" si="39"/>
        <v>7.7898418198103911</v>
      </c>
      <c r="P116" s="18">
        <f t="shared" si="40"/>
        <v>-100</v>
      </c>
      <c r="Q116" s="18">
        <f t="shared" si="40"/>
        <v>-100</v>
      </c>
      <c r="S116" s="10">
        <f t="shared" si="41"/>
        <v>-5.3222622614378281</v>
      </c>
      <c r="T116" s="10">
        <f t="shared" si="42"/>
        <v>-1</v>
      </c>
      <c r="U116" s="10">
        <f t="shared" si="43"/>
        <v>1</v>
      </c>
      <c r="V116" s="10">
        <f t="shared" si="44"/>
        <v>1</v>
      </c>
      <c r="Y116" s="10">
        <f t="shared" si="52"/>
        <v>0.70082399975499998</v>
      </c>
      <c r="Z116" s="10">
        <f t="shared" si="45"/>
        <v>5.2334384663675637</v>
      </c>
      <c r="AA116" s="10">
        <f t="shared" si="46"/>
        <v>5.4593081016182863</v>
      </c>
      <c r="AB116" s="10">
        <f t="shared" si="47"/>
        <v>0.80082399975499996</v>
      </c>
      <c r="AC116" s="10">
        <f t="shared" si="48"/>
        <v>-5.2356882980218069</v>
      </c>
      <c r="AD116" s="10">
        <f t="shared" si="49"/>
        <v>14.799224120854756</v>
      </c>
      <c r="AE116" s="10">
        <f t="shared" si="50"/>
        <v>1</v>
      </c>
      <c r="AF116" s="10">
        <f t="shared" si="51"/>
        <v>0</v>
      </c>
      <c r="AI116" s="10">
        <f t="shared" si="53"/>
        <v>1</v>
      </c>
      <c r="AJ116" s="10">
        <f t="shared" si="54"/>
        <v>0</v>
      </c>
      <c r="AK116" s="10">
        <f t="shared" si="55"/>
        <v>0</v>
      </c>
      <c r="BJ116" s="11"/>
      <c r="BK116" s="29"/>
      <c r="BL116" s="29"/>
      <c r="BM116" s="11"/>
    </row>
    <row r="117" spans="2:65" x14ac:dyDescent="0.25">
      <c r="B117" s="10">
        <f t="shared" si="35"/>
        <v>98</v>
      </c>
      <c r="C117">
        <v>-4.289063326723408E-2</v>
      </c>
      <c r="D117">
        <v>0.94496726887882687</v>
      </c>
      <c r="E117">
        <v>9.787285988952299E-2</v>
      </c>
      <c r="H117" s="18">
        <f>1</f>
        <v>1</v>
      </c>
      <c r="I117" s="19">
        <f t="shared" si="36"/>
        <v>6.1456309511120688</v>
      </c>
      <c r="J117" s="19">
        <f t="shared" si="37"/>
        <v>6.3617147988698228</v>
      </c>
      <c r="K117" s="18">
        <f t="shared" si="38"/>
        <v>1</v>
      </c>
      <c r="L117" s="17"/>
      <c r="M117" s="17"/>
      <c r="N117" s="18">
        <f t="shared" si="39"/>
        <v>6.1456309511120688</v>
      </c>
      <c r="O117" s="18">
        <f t="shared" si="39"/>
        <v>6.3617147988698228</v>
      </c>
      <c r="P117" s="18">
        <f t="shared" si="40"/>
        <v>-100</v>
      </c>
      <c r="Q117" s="18">
        <f t="shared" si="40"/>
        <v>-100</v>
      </c>
      <c r="S117" s="10">
        <f t="shared" si="41"/>
        <v>62.772659046489863</v>
      </c>
      <c r="T117" s="10">
        <f t="shared" si="42"/>
        <v>1</v>
      </c>
      <c r="U117" s="10">
        <f t="shared" si="43"/>
        <v>0</v>
      </c>
      <c r="V117" s="10">
        <f t="shared" si="44"/>
        <v>0</v>
      </c>
      <c r="Y117" s="10">
        <f t="shared" si="52"/>
        <v>0</v>
      </c>
      <c r="Z117" s="10">
        <f t="shared" si="45"/>
        <v>0</v>
      </c>
      <c r="AA117" s="10">
        <f t="shared" si="46"/>
        <v>0</v>
      </c>
      <c r="AB117" s="10">
        <f t="shared" si="47"/>
        <v>0.80082399975499996</v>
      </c>
      <c r="AC117" s="10">
        <f t="shared" si="48"/>
        <v>-5.2356882980218069</v>
      </c>
      <c r="AD117" s="10">
        <f t="shared" si="49"/>
        <v>14.799224120854756</v>
      </c>
      <c r="AE117" s="10">
        <f t="shared" si="50"/>
        <v>1</v>
      </c>
      <c r="AF117" s="10">
        <f t="shared" si="51"/>
        <v>0</v>
      </c>
      <c r="AI117" s="10">
        <f t="shared" si="53"/>
        <v>-1</v>
      </c>
      <c r="AJ117" s="10">
        <f t="shared" si="54"/>
        <v>0</v>
      </c>
      <c r="AK117" s="10">
        <f t="shared" si="55"/>
        <v>0</v>
      </c>
      <c r="BJ117" s="11"/>
      <c r="BK117" s="29"/>
      <c r="BL117" s="29"/>
      <c r="BM117" s="11"/>
    </row>
    <row r="118" spans="2:65" x14ac:dyDescent="0.25">
      <c r="B118" s="10">
        <f t="shared" si="35"/>
        <v>99</v>
      </c>
      <c r="C118">
        <v>-1.9141225493513048</v>
      </c>
      <c r="D118">
        <v>0.42572537495288998</v>
      </c>
      <c r="E118">
        <v>1.4191106906338695E-2</v>
      </c>
      <c r="H118" s="18">
        <f>1</f>
        <v>1</v>
      </c>
      <c r="I118" s="19">
        <f t="shared" si="36"/>
        <v>3.4479435069183584</v>
      </c>
      <c r="J118" s="19">
        <f t="shared" si="37"/>
        <v>5.6131425210547254</v>
      </c>
      <c r="K118" s="18">
        <f t="shared" si="38"/>
        <v>1</v>
      </c>
      <c r="L118" s="17"/>
      <c r="M118" s="17"/>
      <c r="N118" s="18">
        <f t="shared" si="39"/>
        <v>3.4479435069183584</v>
      </c>
      <c r="O118" s="18">
        <f t="shared" si="39"/>
        <v>5.6131425210547254</v>
      </c>
      <c r="P118" s="18">
        <f t="shared" si="40"/>
        <v>-100</v>
      </c>
      <c r="Q118" s="18">
        <f t="shared" si="40"/>
        <v>-100</v>
      </c>
      <c r="S118" s="10">
        <f t="shared" si="41"/>
        <v>65.818620719730845</v>
      </c>
      <c r="T118" s="10">
        <f t="shared" si="42"/>
        <v>1</v>
      </c>
      <c r="U118" s="10">
        <f t="shared" si="43"/>
        <v>0</v>
      </c>
      <c r="V118" s="10">
        <f t="shared" si="44"/>
        <v>0</v>
      </c>
      <c r="Y118" s="10">
        <f t="shared" si="52"/>
        <v>0</v>
      </c>
      <c r="Z118" s="10">
        <f t="shared" si="45"/>
        <v>0</v>
      </c>
      <c r="AA118" s="10">
        <f t="shared" si="46"/>
        <v>0</v>
      </c>
      <c r="AB118" s="10">
        <f t="shared" si="47"/>
        <v>0.80082399975499996</v>
      </c>
      <c r="AC118" s="10">
        <f t="shared" si="48"/>
        <v>-5.2356882980218069</v>
      </c>
      <c r="AD118" s="10">
        <f t="shared" si="49"/>
        <v>14.799224120854756</v>
      </c>
      <c r="AE118" s="10">
        <f t="shared" si="50"/>
        <v>1</v>
      </c>
      <c r="AF118" s="10">
        <f t="shared" si="51"/>
        <v>0</v>
      </c>
      <c r="AI118" s="10">
        <f t="shared" si="53"/>
        <v>-1</v>
      </c>
      <c r="AJ118" s="10">
        <f t="shared" si="54"/>
        <v>0</v>
      </c>
      <c r="AK118" s="10">
        <f t="shared" si="55"/>
        <v>0</v>
      </c>
      <c r="BJ118" s="11"/>
      <c r="BK118" s="29"/>
      <c r="BL118" s="29"/>
      <c r="BM118" s="11"/>
    </row>
    <row r="119" spans="2:65" x14ac:dyDescent="0.25">
      <c r="B119" s="10">
        <f t="shared" si="35"/>
        <v>100</v>
      </c>
      <c r="C119">
        <v>0.57856368584907614</v>
      </c>
      <c r="D119">
        <v>-1.1203110261703841</v>
      </c>
      <c r="E119">
        <v>0.76635029145176548</v>
      </c>
      <c r="H119" s="18">
        <f>1</f>
        <v>1</v>
      </c>
      <c r="I119" s="19">
        <f t="shared" si="36"/>
        <v>7.0415591893009593</v>
      </c>
      <c r="J119" s="19">
        <f t="shared" si="37"/>
        <v>3.3842777011852752</v>
      </c>
      <c r="K119" s="18">
        <f t="shared" si="38"/>
        <v>-1</v>
      </c>
      <c r="L119" s="17"/>
      <c r="M119" s="17"/>
      <c r="N119" s="18">
        <f t="shared" si="39"/>
        <v>-100</v>
      </c>
      <c r="O119" s="18">
        <f t="shared" si="39"/>
        <v>-100</v>
      </c>
      <c r="P119" s="18">
        <f t="shared" si="40"/>
        <v>7.0415591893009593</v>
      </c>
      <c r="Q119" s="18">
        <f t="shared" si="40"/>
        <v>3.3842777011852752</v>
      </c>
      <c r="S119" s="10">
        <f t="shared" si="41"/>
        <v>14.018099139556064</v>
      </c>
      <c r="T119" s="10">
        <f t="shared" si="42"/>
        <v>1</v>
      </c>
      <c r="U119" s="10">
        <f t="shared" si="43"/>
        <v>-1</v>
      </c>
      <c r="V119" s="10">
        <f t="shared" si="44"/>
        <v>1</v>
      </c>
      <c r="X119" s="10">
        <f>SUM(V101:V119)</f>
        <v>4</v>
      </c>
      <c r="Y119" s="10">
        <f t="shared" si="52"/>
        <v>-0.70082399975499998</v>
      </c>
      <c r="Z119" s="10">
        <f t="shared" si="45"/>
        <v>-4.9348936755574737</v>
      </c>
      <c r="AA119" s="10">
        <f t="shared" si="46"/>
        <v>-2.3717830348263211</v>
      </c>
      <c r="AB119" s="10">
        <f t="shared" si="47"/>
        <v>9.9999999999999978E-2</v>
      </c>
      <c r="AC119" s="10">
        <f t="shared" si="48"/>
        <v>-10.170581973579282</v>
      </c>
      <c r="AD119" s="10">
        <f t="shared" si="49"/>
        <v>12.427441086028434</v>
      </c>
      <c r="AE119" s="10">
        <f t="shared" si="50"/>
        <v>-1</v>
      </c>
      <c r="AF119" s="10">
        <f t="shared" si="51"/>
        <v>0</v>
      </c>
      <c r="AI119" s="10">
        <f t="shared" si="53"/>
        <v>1</v>
      </c>
      <c r="AJ119" s="10">
        <f t="shared" si="54"/>
        <v>0</v>
      </c>
      <c r="AK119" s="10">
        <f t="shared" si="55"/>
        <v>0</v>
      </c>
      <c r="BJ119" s="11"/>
      <c r="BK119" s="29"/>
      <c r="BL119" s="29"/>
      <c r="BM119" s="11"/>
    </row>
    <row r="120" spans="2:65" x14ac:dyDescent="0.25">
      <c r="B120" s="10">
        <f t="shared" si="35"/>
        <v>101</v>
      </c>
      <c r="C120">
        <v>-0.62300614445121028</v>
      </c>
      <c r="D120">
        <v>1.6882040654309094</v>
      </c>
      <c r="E120">
        <v>0.3770867030854213</v>
      </c>
      <c r="H120" s="18">
        <f>1</f>
        <v>1</v>
      </c>
      <c r="I120" s="19">
        <f t="shared" si="36"/>
        <v>5.3092993787124039</v>
      </c>
      <c r="J120" s="19">
        <f t="shared" si="37"/>
        <v>7.4332124346718125</v>
      </c>
      <c r="K120" s="18">
        <f t="shared" si="38"/>
        <v>1</v>
      </c>
      <c r="L120" s="17"/>
      <c r="M120" s="17"/>
      <c r="N120" s="18">
        <f t="shared" si="39"/>
        <v>5.3092993787124039</v>
      </c>
      <c r="O120" s="18">
        <f t="shared" si="39"/>
        <v>7.4332124346718125</v>
      </c>
      <c r="P120" s="18">
        <f t="shared" si="40"/>
        <v>-100</v>
      </c>
      <c r="Q120" s="18">
        <f t="shared" si="40"/>
        <v>-100</v>
      </c>
      <c r="S120" s="12">
        <f t="shared" si="41"/>
        <v>38.477145058349876</v>
      </c>
      <c r="T120" s="12">
        <f t="shared" si="42"/>
        <v>1</v>
      </c>
      <c r="U120" s="12">
        <f t="shared" si="43"/>
        <v>0</v>
      </c>
      <c r="V120" s="12">
        <f t="shared" si="44"/>
        <v>0</v>
      </c>
      <c r="W120" s="12"/>
      <c r="X120" s="12"/>
      <c r="Y120" s="10">
        <f t="shared" si="52"/>
        <v>0</v>
      </c>
      <c r="Z120" s="10">
        <f t="shared" si="45"/>
        <v>0</v>
      </c>
      <c r="AA120" s="10">
        <f t="shared" si="46"/>
        <v>0</v>
      </c>
      <c r="AB120" s="10">
        <f t="shared" si="47"/>
        <v>9.9999999999999978E-2</v>
      </c>
      <c r="AC120" s="10">
        <f t="shared" si="48"/>
        <v>-10.170581973579282</v>
      </c>
      <c r="AD120" s="10">
        <f t="shared" si="49"/>
        <v>12.427441086028434</v>
      </c>
      <c r="AE120" s="10">
        <f t="shared" si="50"/>
        <v>1</v>
      </c>
      <c r="AF120" s="10">
        <f t="shared" si="51"/>
        <v>0</v>
      </c>
      <c r="AI120" s="10">
        <f t="shared" si="53"/>
        <v>1</v>
      </c>
      <c r="AJ120" s="10">
        <f t="shared" si="54"/>
        <v>0</v>
      </c>
      <c r="AK120" s="10">
        <f t="shared" si="55"/>
        <v>0</v>
      </c>
      <c r="BJ120" s="11"/>
      <c r="BK120" s="29"/>
      <c r="BL120" s="29"/>
      <c r="BM120" s="11"/>
    </row>
    <row r="121" spans="2:65" x14ac:dyDescent="0.25">
      <c r="B121" s="10">
        <f t="shared" si="35"/>
        <v>102</v>
      </c>
      <c r="C121">
        <v>-8.2520728028612211E-2</v>
      </c>
      <c r="D121">
        <v>-1.1230372365389485</v>
      </c>
      <c r="E121">
        <v>0.33140049439985353</v>
      </c>
      <c r="H121" s="18">
        <f>1</f>
        <v>1</v>
      </c>
      <c r="I121" s="19">
        <f t="shared" si="36"/>
        <v>6.0884976753641293</v>
      </c>
      <c r="J121" s="19">
        <f t="shared" si="37"/>
        <v>3.3803474221972505</v>
      </c>
      <c r="K121" s="18">
        <f t="shared" si="38"/>
        <v>-1</v>
      </c>
      <c r="L121" s="17"/>
      <c r="M121" s="17"/>
      <c r="N121" s="18">
        <f t="shared" si="39"/>
        <v>-100</v>
      </c>
      <c r="O121" s="18">
        <f t="shared" si="39"/>
        <v>-100</v>
      </c>
      <c r="P121" s="18">
        <f t="shared" si="40"/>
        <v>6.0884976753641293</v>
      </c>
      <c r="Q121" s="18">
        <f t="shared" si="40"/>
        <v>3.3803474221972505</v>
      </c>
      <c r="S121" s="10">
        <f t="shared" si="41"/>
        <v>-19.814496263573353</v>
      </c>
      <c r="T121" s="10">
        <f t="shared" si="42"/>
        <v>-1</v>
      </c>
      <c r="U121" s="10">
        <f t="shared" si="43"/>
        <v>0</v>
      </c>
      <c r="V121" s="10">
        <f t="shared" si="44"/>
        <v>0</v>
      </c>
      <c r="Y121" s="10">
        <f t="shared" si="52"/>
        <v>0</v>
      </c>
      <c r="Z121" s="10">
        <f t="shared" si="45"/>
        <v>0</v>
      </c>
      <c r="AA121" s="10">
        <f t="shared" si="46"/>
        <v>0</v>
      </c>
      <c r="AB121" s="10">
        <f t="shared" si="47"/>
        <v>9.9999999999999978E-2</v>
      </c>
      <c r="AC121" s="10">
        <f t="shared" si="48"/>
        <v>-10.170581973579282</v>
      </c>
      <c r="AD121" s="10">
        <f t="shared" si="49"/>
        <v>12.427441086028434</v>
      </c>
      <c r="AE121" s="10">
        <f t="shared" si="50"/>
        <v>-1</v>
      </c>
      <c r="AF121" s="10">
        <f t="shared" si="51"/>
        <v>0</v>
      </c>
      <c r="AI121" s="10">
        <f t="shared" si="53"/>
        <v>1</v>
      </c>
      <c r="AJ121" s="10">
        <f t="shared" si="54"/>
        <v>0</v>
      </c>
      <c r="AK121" s="10">
        <f t="shared" si="55"/>
        <v>0</v>
      </c>
      <c r="BJ121" s="11"/>
      <c r="BK121" s="29"/>
      <c r="BL121" s="29"/>
      <c r="BM121" s="11"/>
    </row>
    <row r="122" spans="2:65" x14ac:dyDescent="0.25">
      <c r="B122" s="10">
        <f t="shared" si="35"/>
        <v>103</v>
      </c>
      <c r="C122">
        <v>-0.68690724219777621</v>
      </c>
      <c r="D122">
        <v>1.5903378880466335</v>
      </c>
      <c r="E122">
        <v>0.44422742393261511</v>
      </c>
      <c r="H122" s="18">
        <f>1</f>
        <v>1</v>
      </c>
      <c r="I122" s="19">
        <f t="shared" si="36"/>
        <v>5.2171754748930121</v>
      </c>
      <c r="J122" s="19">
        <f t="shared" si="37"/>
        <v>7.2921223027263853</v>
      </c>
      <c r="K122" s="18">
        <f t="shared" si="38"/>
        <v>1</v>
      </c>
      <c r="L122" s="17"/>
      <c r="M122" s="17"/>
      <c r="N122" s="18">
        <f t="shared" si="39"/>
        <v>5.2171754748930121</v>
      </c>
      <c r="O122" s="18">
        <f t="shared" si="39"/>
        <v>7.2921223027263853</v>
      </c>
      <c r="P122" s="18">
        <f t="shared" si="40"/>
        <v>-100</v>
      </c>
      <c r="Q122" s="18">
        <f t="shared" si="40"/>
        <v>-100</v>
      </c>
      <c r="S122" s="10">
        <f t="shared" si="41"/>
        <v>37.660709471299356</v>
      </c>
      <c r="T122" s="10">
        <f t="shared" si="42"/>
        <v>1</v>
      </c>
      <c r="U122" s="10">
        <f t="shared" si="43"/>
        <v>0</v>
      </c>
      <c r="V122" s="10">
        <f t="shared" si="44"/>
        <v>0</v>
      </c>
      <c r="Y122" s="10">
        <f t="shared" si="52"/>
        <v>0</v>
      </c>
      <c r="Z122" s="10">
        <f t="shared" si="45"/>
        <v>0</v>
      </c>
      <c r="AA122" s="10">
        <f t="shared" si="46"/>
        <v>0</v>
      </c>
      <c r="AB122" s="10">
        <f t="shared" si="47"/>
        <v>9.9999999999999978E-2</v>
      </c>
      <c r="AC122" s="10">
        <f t="shared" si="48"/>
        <v>-10.170581973579282</v>
      </c>
      <c r="AD122" s="10">
        <f t="shared" si="49"/>
        <v>12.427441086028434</v>
      </c>
      <c r="AE122" s="10">
        <f t="shared" si="50"/>
        <v>1</v>
      </c>
      <c r="AF122" s="10">
        <f t="shared" si="51"/>
        <v>0</v>
      </c>
      <c r="AI122" s="10">
        <f t="shared" si="53"/>
        <v>-1</v>
      </c>
      <c r="AJ122" s="10">
        <f t="shared" si="54"/>
        <v>0</v>
      </c>
      <c r="AK122" s="10">
        <f t="shared" si="55"/>
        <v>0</v>
      </c>
      <c r="BJ122" s="11"/>
      <c r="BK122" s="29"/>
      <c r="BL122" s="29"/>
      <c r="BM122" s="11"/>
    </row>
    <row r="123" spans="2:65" x14ac:dyDescent="0.25">
      <c r="B123" s="10">
        <f t="shared" si="35"/>
        <v>104</v>
      </c>
      <c r="C123">
        <v>-1.1293832358205691</v>
      </c>
      <c r="D123">
        <v>-3.1696981750428677</v>
      </c>
      <c r="E123">
        <v>0.67210913418988616</v>
      </c>
      <c r="H123" s="18">
        <f>1</f>
        <v>1</v>
      </c>
      <c r="I123" s="19">
        <f t="shared" si="36"/>
        <v>4.5792738219267015</v>
      </c>
      <c r="J123" s="19">
        <f t="shared" si="37"/>
        <v>0.42975029478288462</v>
      </c>
      <c r="K123" s="18">
        <f t="shared" si="38"/>
        <v>-1</v>
      </c>
      <c r="L123" s="17"/>
      <c r="M123" s="17"/>
      <c r="N123" s="18">
        <f t="shared" si="39"/>
        <v>-100</v>
      </c>
      <c r="O123" s="18">
        <f t="shared" si="39"/>
        <v>-100</v>
      </c>
      <c r="P123" s="18">
        <f t="shared" si="40"/>
        <v>4.5792738219267015</v>
      </c>
      <c r="Q123" s="18">
        <f t="shared" si="40"/>
        <v>0.42975029478288462</v>
      </c>
      <c r="S123" s="10">
        <f t="shared" si="41"/>
        <v>-41.133183315253561</v>
      </c>
      <c r="T123" s="10">
        <f t="shared" si="42"/>
        <v>-1</v>
      </c>
      <c r="U123" s="10">
        <f t="shared" si="43"/>
        <v>0</v>
      </c>
      <c r="V123" s="10">
        <f t="shared" si="44"/>
        <v>0</v>
      </c>
      <c r="Y123" s="10">
        <f t="shared" si="52"/>
        <v>0</v>
      </c>
      <c r="Z123" s="10">
        <f t="shared" si="45"/>
        <v>0</v>
      </c>
      <c r="AA123" s="10">
        <f t="shared" si="46"/>
        <v>0</v>
      </c>
      <c r="AB123" s="10">
        <f t="shared" si="47"/>
        <v>9.9999999999999978E-2</v>
      </c>
      <c r="AC123" s="10">
        <f t="shared" si="48"/>
        <v>-10.170581973579282</v>
      </c>
      <c r="AD123" s="10">
        <f t="shared" si="49"/>
        <v>12.427441086028434</v>
      </c>
      <c r="AE123" s="10">
        <f t="shared" si="50"/>
        <v>-1</v>
      </c>
      <c r="AF123" s="10">
        <f t="shared" si="51"/>
        <v>0</v>
      </c>
      <c r="AI123" s="10">
        <f t="shared" si="53"/>
        <v>1</v>
      </c>
      <c r="AJ123" s="10">
        <f t="shared" si="54"/>
        <v>0</v>
      </c>
      <c r="AK123" s="10">
        <f t="shared" si="55"/>
        <v>0</v>
      </c>
      <c r="BJ123" s="11"/>
      <c r="BK123" s="29"/>
      <c r="BL123" s="29"/>
      <c r="BM123" s="11"/>
    </row>
    <row r="124" spans="2:65" x14ac:dyDescent="0.25">
      <c r="B124" s="10">
        <f t="shared" si="35"/>
        <v>105</v>
      </c>
      <c r="C124">
        <v>0.87550688476767391</v>
      </c>
      <c r="D124">
        <v>3.9403857954312116E-3</v>
      </c>
      <c r="E124">
        <v>0.30851161229285562</v>
      </c>
      <c r="H124" s="18">
        <f>1</f>
        <v>1</v>
      </c>
      <c r="I124" s="19">
        <f t="shared" si="36"/>
        <v>7.4696514703677526</v>
      </c>
      <c r="J124" s="19">
        <f t="shared" si="37"/>
        <v>5.0050703416422317</v>
      </c>
      <c r="K124" s="18">
        <f t="shared" si="38"/>
        <v>-1</v>
      </c>
      <c r="L124" s="17"/>
      <c r="M124" s="17"/>
      <c r="N124" s="18">
        <f t="shared" si="39"/>
        <v>-100</v>
      </c>
      <c r="O124" s="18">
        <f t="shared" si="39"/>
        <v>-100</v>
      </c>
      <c r="P124" s="18">
        <f t="shared" si="40"/>
        <v>7.4696514703677526</v>
      </c>
      <c r="Q124" s="18">
        <f t="shared" si="40"/>
        <v>5.0050703416422317</v>
      </c>
      <c r="S124" s="10">
        <f t="shared" si="41"/>
        <v>-13.670485791255203</v>
      </c>
      <c r="T124" s="10">
        <f t="shared" si="42"/>
        <v>-1</v>
      </c>
      <c r="U124" s="10">
        <f t="shared" si="43"/>
        <v>0</v>
      </c>
      <c r="V124" s="10">
        <f t="shared" si="44"/>
        <v>0</v>
      </c>
      <c r="Y124" s="10">
        <f t="shared" si="52"/>
        <v>0</v>
      </c>
      <c r="Z124" s="10">
        <f t="shared" si="45"/>
        <v>0</v>
      </c>
      <c r="AA124" s="10">
        <f t="shared" si="46"/>
        <v>0</v>
      </c>
      <c r="AB124" s="10">
        <f t="shared" si="47"/>
        <v>9.9999999999999978E-2</v>
      </c>
      <c r="AC124" s="10">
        <f t="shared" si="48"/>
        <v>-10.170581973579282</v>
      </c>
      <c r="AD124" s="10">
        <f t="shared" si="49"/>
        <v>12.427441086028434</v>
      </c>
      <c r="AE124" s="10">
        <f t="shared" si="50"/>
        <v>-1</v>
      </c>
      <c r="AF124" s="10">
        <f t="shared" si="51"/>
        <v>0</v>
      </c>
      <c r="AI124" s="10">
        <f t="shared" si="53"/>
        <v>-1</v>
      </c>
      <c r="AJ124" s="10">
        <f t="shared" si="54"/>
        <v>0</v>
      </c>
      <c r="AK124" s="10">
        <f t="shared" si="55"/>
        <v>0</v>
      </c>
      <c r="BJ124" s="11"/>
      <c r="BK124" s="29"/>
      <c r="BL124" s="29"/>
      <c r="BM124" s="11"/>
    </row>
    <row r="125" spans="2:65" x14ac:dyDescent="0.25">
      <c r="B125" s="10">
        <f t="shared" si="35"/>
        <v>106</v>
      </c>
      <c r="C125">
        <v>-0.22114932107797358</v>
      </c>
      <c r="D125">
        <v>-0.86712134361732751</v>
      </c>
      <c r="E125">
        <v>0.88216803491317486</v>
      </c>
      <c r="H125" s="18">
        <f>1</f>
        <v>1</v>
      </c>
      <c r="I125" s="19">
        <f t="shared" si="36"/>
        <v>5.8886418415356196</v>
      </c>
      <c r="J125" s="19">
        <f t="shared" si="37"/>
        <v>3.7492921185601897</v>
      </c>
      <c r="K125" s="18">
        <f t="shared" si="38"/>
        <v>-1</v>
      </c>
      <c r="L125" s="17"/>
      <c r="M125" s="17"/>
      <c r="N125" s="18">
        <f t="shared" si="39"/>
        <v>-100</v>
      </c>
      <c r="O125" s="18">
        <f t="shared" si="39"/>
        <v>-100</v>
      </c>
      <c r="P125" s="18">
        <f t="shared" si="40"/>
        <v>5.8886418415356196</v>
      </c>
      <c r="Q125" s="18">
        <f t="shared" si="40"/>
        <v>3.7492921185601897</v>
      </c>
      <c r="S125" s="10">
        <f t="shared" si="41"/>
        <v>-13.196807644669384</v>
      </c>
      <c r="T125" s="10">
        <f t="shared" si="42"/>
        <v>-1</v>
      </c>
      <c r="U125" s="10">
        <f t="shared" si="43"/>
        <v>0</v>
      </c>
      <c r="V125" s="10">
        <f t="shared" si="44"/>
        <v>0</v>
      </c>
      <c r="Y125" s="10">
        <f t="shared" si="52"/>
        <v>0</v>
      </c>
      <c r="Z125" s="10">
        <f t="shared" si="45"/>
        <v>0</v>
      </c>
      <c r="AA125" s="10">
        <f t="shared" si="46"/>
        <v>0</v>
      </c>
      <c r="AB125" s="10">
        <f t="shared" si="47"/>
        <v>9.9999999999999978E-2</v>
      </c>
      <c r="AC125" s="10">
        <f t="shared" si="48"/>
        <v>-10.170581973579282</v>
      </c>
      <c r="AD125" s="10">
        <f t="shared" si="49"/>
        <v>12.427441086028434</v>
      </c>
      <c r="AE125" s="10">
        <f t="shared" si="50"/>
        <v>-1</v>
      </c>
      <c r="AF125" s="10">
        <f t="shared" si="51"/>
        <v>0</v>
      </c>
      <c r="AI125" s="10">
        <f t="shared" si="53"/>
        <v>1</v>
      </c>
      <c r="AJ125" s="10">
        <f t="shared" si="54"/>
        <v>0</v>
      </c>
      <c r="AK125" s="10">
        <f t="shared" si="55"/>
        <v>0</v>
      </c>
      <c r="BJ125" s="11"/>
      <c r="BK125" s="29"/>
      <c r="BL125" s="29"/>
      <c r="BM125" s="11"/>
    </row>
    <row r="126" spans="2:65" x14ac:dyDescent="0.25">
      <c r="B126" s="10">
        <f t="shared" si="35"/>
        <v>107</v>
      </c>
      <c r="C126">
        <v>-0.29567331694124732</v>
      </c>
      <c r="D126">
        <v>-1.1095835361629725E-3</v>
      </c>
      <c r="E126">
        <v>0.88418225653859062</v>
      </c>
      <c r="H126" s="18">
        <f>1</f>
        <v>1</v>
      </c>
      <c r="I126" s="19">
        <f t="shared" si="36"/>
        <v>5.78120328931585</v>
      </c>
      <c r="J126" s="19">
        <f t="shared" si="37"/>
        <v>4.9977899833166246</v>
      </c>
      <c r="K126" s="18">
        <f t="shared" si="38"/>
        <v>-1</v>
      </c>
      <c r="L126" s="17"/>
      <c r="M126" s="17"/>
      <c r="N126" s="18">
        <f t="shared" si="39"/>
        <v>-100</v>
      </c>
      <c r="O126" s="18">
        <f t="shared" si="39"/>
        <v>-100</v>
      </c>
      <c r="P126" s="18">
        <f t="shared" si="40"/>
        <v>5.78120328931585</v>
      </c>
      <c r="Q126" s="18">
        <f t="shared" si="40"/>
        <v>4.9977899833166246</v>
      </c>
      <c r="S126" s="10">
        <f t="shared" si="41"/>
        <v>3.411538618097353</v>
      </c>
      <c r="T126" s="10">
        <f t="shared" si="42"/>
        <v>1</v>
      </c>
      <c r="U126" s="10">
        <f t="shared" si="43"/>
        <v>-1</v>
      </c>
      <c r="V126" s="10">
        <f t="shared" si="44"/>
        <v>1</v>
      </c>
      <c r="Y126" s="10">
        <f t="shared" si="52"/>
        <v>-0.70082399975499998</v>
      </c>
      <c r="Z126" s="10">
        <f t="shared" si="45"/>
        <v>-4.0516060126150961</v>
      </c>
      <c r="AA126" s="10">
        <f t="shared" si="46"/>
        <v>-3.5025711660434315</v>
      </c>
      <c r="AB126" s="10">
        <f t="shared" si="47"/>
        <v>-0.600823999755</v>
      </c>
      <c r="AC126" s="10">
        <f t="shared" si="48"/>
        <v>-14.222187986194378</v>
      </c>
      <c r="AD126" s="10">
        <f t="shared" si="49"/>
        <v>8.924869919985003</v>
      </c>
      <c r="AE126" s="10">
        <f t="shared" si="50"/>
        <v>-1</v>
      </c>
      <c r="AF126" s="10">
        <f t="shared" si="51"/>
        <v>0</v>
      </c>
      <c r="AI126" s="10">
        <f t="shared" si="53"/>
        <v>-1</v>
      </c>
      <c r="AJ126" s="10">
        <f t="shared" si="54"/>
        <v>0</v>
      </c>
      <c r="AK126" s="10">
        <f t="shared" si="55"/>
        <v>0</v>
      </c>
      <c r="BJ126" s="11"/>
      <c r="BK126" s="29"/>
      <c r="BL126" s="29"/>
      <c r="BM126" s="11"/>
    </row>
    <row r="127" spans="2:65" x14ac:dyDescent="0.25">
      <c r="B127" s="10">
        <f t="shared" si="35"/>
        <v>108</v>
      </c>
      <c r="C127">
        <v>0.6240281891223276</v>
      </c>
      <c r="D127">
        <v>1.0303074304829352</v>
      </c>
      <c r="E127">
        <v>0.69505905331583606</v>
      </c>
      <c r="H127" s="18">
        <f>1</f>
        <v>1</v>
      </c>
      <c r="I127" s="19">
        <f t="shared" si="36"/>
        <v>7.1071037209982499</v>
      </c>
      <c r="J127" s="19">
        <f t="shared" si="37"/>
        <v>6.4847466264407476</v>
      </c>
      <c r="K127" s="18">
        <f t="shared" si="38"/>
        <v>-1</v>
      </c>
      <c r="L127" s="17"/>
      <c r="M127" s="17"/>
      <c r="N127" s="18">
        <f t="shared" si="39"/>
        <v>-100</v>
      </c>
      <c r="O127" s="18">
        <f t="shared" si="39"/>
        <v>-100</v>
      </c>
      <c r="P127" s="18">
        <f t="shared" si="40"/>
        <v>7.1071037209982499</v>
      </c>
      <c r="Q127" s="18">
        <f t="shared" si="40"/>
        <v>6.4847466264407476</v>
      </c>
      <c r="S127" s="10">
        <f t="shared" si="41"/>
        <v>-43.803869052128405</v>
      </c>
      <c r="T127" s="10">
        <f t="shared" si="42"/>
        <v>-1</v>
      </c>
      <c r="U127" s="10">
        <f t="shared" si="43"/>
        <v>0</v>
      </c>
      <c r="V127" s="10">
        <f t="shared" si="44"/>
        <v>0</v>
      </c>
      <c r="Y127" s="10">
        <f t="shared" si="52"/>
        <v>0</v>
      </c>
      <c r="Z127" s="10">
        <f t="shared" si="45"/>
        <v>0</v>
      </c>
      <c r="AA127" s="10">
        <f t="shared" si="46"/>
        <v>0</v>
      </c>
      <c r="AB127" s="10">
        <f t="shared" si="47"/>
        <v>-0.600823999755</v>
      </c>
      <c r="AC127" s="10">
        <f t="shared" si="48"/>
        <v>-14.222187986194378</v>
      </c>
      <c r="AD127" s="10">
        <f t="shared" si="49"/>
        <v>8.924869919985003</v>
      </c>
      <c r="AE127" s="10">
        <f t="shared" si="50"/>
        <v>-1</v>
      </c>
      <c r="AF127" s="10">
        <f t="shared" si="51"/>
        <v>0</v>
      </c>
      <c r="AI127" s="10">
        <f t="shared" si="53"/>
        <v>-1</v>
      </c>
      <c r="AJ127" s="10">
        <f t="shared" si="54"/>
        <v>0</v>
      </c>
      <c r="AK127" s="10">
        <f t="shared" si="55"/>
        <v>0</v>
      </c>
      <c r="BJ127" s="11"/>
      <c r="BK127" s="29"/>
      <c r="BL127" s="29"/>
      <c r="BM127" s="11"/>
    </row>
    <row r="128" spans="2:65" x14ac:dyDescent="0.25">
      <c r="B128" s="10">
        <f t="shared" si="35"/>
        <v>109</v>
      </c>
      <c r="C128">
        <v>1.1080737749580294</v>
      </c>
      <c r="D128">
        <v>0.78970288086566143</v>
      </c>
      <c r="E128">
        <v>0.35395367290261542</v>
      </c>
      <c r="H128" s="18">
        <f>1</f>
        <v>1</v>
      </c>
      <c r="I128" s="19">
        <f t="shared" si="36"/>
        <v>7.8049347531126543</v>
      </c>
      <c r="J128" s="19">
        <f t="shared" si="37"/>
        <v>6.1378757405076323</v>
      </c>
      <c r="K128" s="18">
        <f t="shared" si="38"/>
        <v>-1</v>
      </c>
      <c r="L128" s="17"/>
      <c r="M128" s="17"/>
      <c r="N128" s="18">
        <f t="shared" si="39"/>
        <v>-100</v>
      </c>
      <c r="O128" s="18">
        <f t="shared" si="39"/>
        <v>-100</v>
      </c>
      <c r="P128" s="18">
        <f t="shared" si="40"/>
        <v>7.8049347531126543</v>
      </c>
      <c r="Q128" s="18">
        <f t="shared" si="40"/>
        <v>6.1378757405076323</v>
      </c>
      <c r="S128" s="10">
        <f t="shared" si="41"/>
        <v>-56.824330709442528</v>
      </c>
      <c r="T128" s="10">
        <f t="shared" si="42"/>
        <v>-1</v>
      </c>
      <c r="U128" s="10">
        <f t="shared" si="43"/>
        <v>0</v>
      </c>
      <c r="V128" s="10">
        <f t="shared" si="44"/>
        <v>0</v>
      </c>
      <c r="Y128" s="10">
        <f t="shared" si="52"/>
        <v>0</v>
      </c>
      <c r="Z128" s="10">
        <f t="shared" si="45"/>
        <v>0</v>
      </c>
      <c r="AA128" s="10">
        <f t="shared" si="46"/>
        <v>0</v>
      </c>
      <c r="AB128" s="10">
        <f t="shared" si="47"/>
        <v>-0.600823999755</v>
      </c>
      <c r="AC128" s="10">
        <f t="shared" si="48"/>
        <v>-14.222187986194378</v>
      </c>
      <c r="AD128" s="10">
        <f t="shared" si="49"/>
        <v>8.924869919985003</v>
      </c>
      <c r="AE128" s="10">
        <f t="shared" si="50"/>
        <v>-1</v>
      </c>
      <c r="AF128" s="10">
        <f t="shared" si="51"/>
        <v>0</v>
      </c>
      <c r="AI128" s="10">
        <f t="shared" si="53"/>
        <v>-1</v>
      </c>
      <c r="AJ128" s="10">
        <f t="shared" si="54"/>
        <v>0</v>
      </c>
      <c r="AK128" s="10">
        <f t="shared" si="55"/>
        <v>0</v>
      </c>
      <c r="BJ128" s="11"/>
      <c r="BK128" s="29"/>
      <c r="BL128" s="29"/>
      <c r="BM128" s="11"/>
    </row>
    <row r="129" spans="2:65" x14ac:dyDescent="0.25">
      <c r="B129" s="10">
        <f t="shared" si="35"/>
        <v>110</v>
      </c>
      <c r="C129">
        <v>-0.15417981558130123</v>
      </c>
      <c r="D129">
        <v>0.73437149694655091</v>
      </c>
      <c r="E129">
        <v>0.97521897030549032</v>
      </c>
      <c r="H129" s="18">
        <f>1</f>
        <v>1</v>
      </c>
      <c r="I129" s="19">
        <f t="shared" si="36"/>
        <v>5.9851893579441189</v>
      </c>
      <c r="J129" s="19">
        <f t="shared" si="37"/>
        <v>6.0581064834821232</v>
      </c>
      <c r="K129" s="18">
        <f t="shared" si="38"/>
        <v>1</v>
      </c>
      <c r="L129" s="17"/>
      <c r="M129" s="17"/>
      <c r="N129" s="18">
        <f t="shared" si="39"/>
        <v>5.9851893579441189</v>
      </c>
      <c r="O129" s="18">
        <f t="shared" si="39"/>
        <v>6.0581064834821232</v>
      </c>
      <c r="P129" s="18">
        <f t="shared" si="40"/>
        <v>-100</v>
      </c>
      <c r="Q129" s="18">
        <f t="shared" si="40"/>
        <v>-100</v>
      </c>
      <c r="S129" s="10">
        <f t="shared" si="41"/>
        <v>-31.655499854910559</v>
      </c>
      <c r="T129" s="10">
        <f t="shared" si="42"/>
        <v>-1</v>
      </c>
      <c r="U129" s="10">
        <f t="shared" si="43"/>
        <v>1</v>
      </c>
      <c r="V129" s="10">
        <f t="shared" si="44"/>
        <v>1</v>
      </c>
      <c r="Y129" s="10">
        <f t="shared" si="52"/>
        <v>0.70082399975499998</v>
      </c>
      <c r="Z129" s="10">
        <f t="shared" si="45"/>
        <v>4.1945643451254577</v>
      </c>
      <c r="AA129" s="10">
        <f t="shared" si="46"/>
        <v>4.2456664166956397</v>
      </c>
      <c r="AB129" s="10">
        <f t="shared" si="47"/>
        <v>9.9999999999999978E-2</v>
      </c>
      <c r="AC129" s="10">
        <f t="shared" si="48"/>
        <v>-10.027623641068921</v>
      </c>
      <c r="AD129" s="10">
        <f t="shared" si="49"/>
        <v>13.170536336680643</v>
      </c>
      <c r="AE129" s="10">
        <f t="shared" si="50"/>
        <v>1</v>
      </c>
      <c r="AF129" s="10">
        <f t="shared" si="51"/>
        <v>0</v>
      </c>
      <c r="AI129" s="10">
        <f t="shared" si="53"/>
        <v>-1</v>
      </c>
      <c r="AJ129" s="10">
        <f t="shared" si="54"/>
        <v>0</v>
      </c>
      <c r="AK129" s="10">
        <f t="shared" si="55"/>
        <v>0</v>
      </c>
      <c r="BJ129" s="11"/>
      <c r="BK129" s="29"/>
      <c r="BL129" s="29"/>
      <c r="BM129" s="11"/>
    </row>
    <row r="130" spans="2:65" x14ac:dyDescent="0.25">
      <c r="B130" s="10">
        <f t="shared" si="35"/>
        <v>111</v>
      </c>
      <c r="C130">
        <v>0.98692453320836648</v>
      </c>
      <c r="D130">
        <v>-1.0007147466239985</v>
      </c>
      <c r="E130">
        <v>0.20010986663411359</v>
      </c>
      <c r="H130" s="18">
        <f>1</f>
        <v>1</v>
      </c>
      <c r="I130" s="19">
        <f t="shared" si="36"/>
        <v>7.6302782685088664</v>
      </c>
      <c r="J130" s="19">
        <f t="shared" si="37"/>
        <v>3.5566953362904634</v>
      </c>
      <c r="K130" s="18">
        <f t="shared" si="38"/>
        <v>-1</v>
      </c>
      <c r="L130" s="17"/>
      <c r="M130" s="17"/>
      <c r="N130" s="18">
        <f t="shared" si="39"/>
        <v>-100</v>
      </c>
      <c r="O130" s="18">
        <f t="shared" si="39"/>
        <v>-100</v>
      </c>
      <c r="P130" s="18">
        <f t="shared" si="40"/>
        <v>7.6302782685088664</v>
      </c>
      <c r="Q130" s="18">
        <f t="shared" si="40"/>
        <v>3.5566953362904634</v>
      </c>
      <c r="S130" s="10">
        <f t="shared" si="41"/>
        <v>-29.569973588117819</v>
      </c>
      <c r="T130" s="10">
        <f t="shared" si="42"/>
        <v>-1</v>
      </c>
      <c r="U130" s="10">
        <f t="shared" si="43"/>
        <v>0</v>
      </c>
      <c r="V130" s="10">
        <f t="shared" si="44"/>
        <v>0</v>
      </c>
      <c r="Y130" s="10">
        <f t="shared" si="52"/>
        <v>0</v>
      </c>
      <c r="Z130" s="10">
        <f t="shared" si="45"/>
        <v>0</v>
      </c>
      <c r="AA130" s="10">
        <f t="shared" si="46"/>
        <v>0</v>
      </c>
      <c r="AB130" s="10">
        <f t="shared" si="47"/>
        <v>9.9999999999999978E-2</v>
      </c>
      <c r="AC130" s="10">
        <f t="shared" si="48"/>
        <v>-10.027623641068921</v>
      </c>
      <c r="AD130" s="10">
        <f t="shared" si="49"/>
        <v>13.170536336680643</v>
      </c>
      <c r="AE130" s="10">
        <f t="shared" si="50"/>
        <v>-1</v>
      </c>
      <c r="AF130" s="10">
        <f t="shared" si="51"/>
        <v>0</v>
      </c>
      <c r="AI130" s="10">
        <f t="shared" si="53"/>
        <v>-1</v>
      </c>
      <c r="AJ130" s="10">
        <f t="shared" si="54"/>
        <v>0</v>
      </c>
      <c r="AK130" s="10">
        <f t="shared" si="55"/>
        <v>0</v>
      </c>
      <c r="BJ130" s="11"/>
      <c r="BK130" s="29"/>
      <c r="BL130" s="29"/>
      <c r="BM130" s="11"/>
    </row>
    <row r="131" spans="2:65" x14ac:dyDescent="0.25">
      <c r="B131" s="10">
        <f t="shared" si="35"/>
        <v>112</v>
      </c>
      <c r="C131">
        <v>2.3680149752181023</v>
      </c>
      <c r="D131">
        <v>-7.1241856858250685E-2</v>
      </c>
      <c r="E131">
        <v>0.11233863338114566</v>
      </c>
      <c r="H131" s="18">
        <f>1</f>
        <v>1</v>
      </c>
      <c r="I131" s="19">
        <f t="shared" si="36"/>
        <v>9.6213464587642399</v>
      </c>
      <c r="J131" s="19">
        <f t="shared" si="37"/>
        <v>4.896682818807756</v>
      </c>
      <c r="K131" s="18">
        <f t="shared" si="38"/>
        <v>-1</v>
      </c>
      <c r="L131" s="17"/>
      <c r="M131" s="17"/>
      <c r="N131" s="18">
        <f t="shared" si="39"/>
        <v>-100</v>
      </c>
      <c r="O131" s="18">
        <f t="shared" si="39"/>
        <v>-100</v>
      </c>
      <c r="P131" s="18">
        <f t="shared" si="40"/>
        <v>9.6213464587642399</v>
      </c>
      <c r="Q131" s="18">
        <f t="shared" si="40"/>
        <v>4.896682818807756</v>
      </c>
      <c r="S131" s="10">
        <f t="shared" si="41"/>
        <v>-31.887302214511692</v>
      </c>
      <c r="T131" s="10">
        <f t="shared" si="42"/>
        <v>-1</v>
      </c>
      <c r="U131" s="10">
        <f t="shared" si="43"/>
        <v>0</v>
      </c>
      <c r="V131" s="10">
        <f t="shared" si="44"/>
        <v>0</v>
      </c>
      <c r="Y131" s="10">
        <f t="shared" si="52"/>
        <v>0</v>
      </c>
      <c r="Z131" s="10">
        <f t="shared" si="45"/>
        <v>0</v>
      </c>
      <c r="AA131" s="10">
        <f t="shared" si="46"/>
        <v>0</v>
      </c>
      <c r="AB131" s="10">
        <f t="shared" si="47"/>
        <v>9.9999999999999978E-2</v>
      </c>
      <c r="AC131" s="10">
        <f t="shared" si="48"/>
        <v>-10.027623641068921</v>
      </c>
      <c r="AD131" s="10">
        <f t="shared" si="49"/>
        <v>13.170536336680643</v>
      </c>
      <c r="AE131" s="10">
        <f t="shared" si="50"/>
        <v>-1</v>
      </c>
      <c r="AF131" s="10">
        <f t="shared" si="51"/>
        <v>0</v>
      </c>
      <c r="AI131" s="10">
        <f t="shared" si="53"/>
        <v>-1</v>
      </c>
      <c r="AJ131" s="10">
        <f t="shared" si="54"/>
        <v>0</v>
      </c>
      <c r="AK131" s="10">
        <f t="shared" si="55"/>
        <v>0</v>
      </c>
      <c r="BJ131" s="11"/>
      <c r="BK131" s="29"/>
      <c r="BL131" s="29"/>
      <c r="BM131" s="11"/>
    </row>
    <row r="132" spans="2:65" x14ac:dyDescent="0.25">
      <c r="B132" s="10">
        <f t="shared" si="35"/>
        <v>113</v>
      </c>
      <c r="C132">
        <v>4.6259174268925563E-2</v>
      </c>
      <c r="D132">
        <v>-1.0700091479520779</v>
      </c>
      <c r="E132">
        <v>0.55549790948210087</v>
      </c>
      <c r="H132" s="18">
        <f>1</f>
        <v>1</v>
      </c>
      <c r="I132" s="19">
        <f t="shared" si="36"/>
        <v>6.2741550075774351</v>
      </c>
      <c r="J132" s="19">
        <f t="shared" si="37"/>
        <v>3.4567961015623183</v>
      </c>
      <c r="K132" s="18">
        <f t="shared" si="38"/>
        <v>-1</v>
      </c>
      <c r="L132" s="17"/>
      <c r="M132" s="17"/>
      <c r="N132" s="18">
        <f t="shared" si="39"/>
        <v>-100</v>
      </c>
      <c r="O132" s="18">
        <f t="shared" si="39"/>
        <v>-100</v>
      </c>
      <c r="P132" s="18">
        <f t="shared" si="40"/>
        <v>6.2741550075774351</v>
      </c>
      <c r="Q132" s="18">
        <f t="shared" si="40"/>
        <v>3.4567961015623183</v>
      </c>
      <c r="S132" s="10">
        <f t="shared" si="41"/>
        <v>-17.287006417591932</v>
      </c>
      <c r="T132" s="10">
        <f t="shared" si="42"/>
        <v>-1</v>
      </c>
      <c r="U132" s="10">
        <f t="shared" si="43"/>
        <v>0</v>
      </c>
      <c r="V132" s="10">
        <f t="shared" si="44"/>
        <v>0</v>
      </c>
      <c r="Y132" s="10">
        <f t="shared" si="52"/>
        <v>0</v>
      </c>
      <c r="Z132" s="10">
        <f t="shared" si="45"/>
        <v>0</v>
      </c>
      <c r="AA132" s="10">
        <f t="shared" si="46"/>
        <v>0</v>
      </c>
      <c r="AB132" s="10">
        <f t="shared" si="47"/>
        <v>9.9999999999999978E-2</v>
      </c>
      <c r="AC132" s="10">
        <f t="shared" si="48"/>
        <v>-10.027623641068921</v>
      </c>
      <c r="AD132" s="10">
        <f t="shared" si="49"/>
        <v>13.170536336680643</v>
      </c>
      <c r="AE132" s="10">
        <f t="shared" si="50"/>
        <v>-1</v>
      </c>
      <c r="AF132" s="10">
        <f t="shared" si="51"/>
        <v>0</v>
      </c>
      <c r="AI132" s="10">
        <f t="shared" si="53"/>
        <v>1</v>
      </c>
      <c r="AJ132" s="10">
        <f t="shared" si="54"/>
        <v>0</v>
      </c>
      <c r="AK132" s="10">
        <f t="shared" si="55"/>
        <v>0</v>
      </c>
      <c r="BJ132" s="11"/>
      <c r="BK132" s="29"/>
      <c r="BL132" s="29"/>
      <c r="BM132" s="11"/>
    </row>
    <row r="133" spans="2:65" x14ac:dyDescent="0.25">
      <c r="B133" s="10">
        <f t="shared" si="35"/>
        <v>114</v>
      </c>
      <c r="C133">
        <v>0.79851133705233224</v>
      </c>
      <c r="D133">
        <v>-0.330867351294728</v>
      </c>
      <c r="E133">
        <v>0.36371959593493453</v>
      </c>
      <c r="H133" s="18">
        <f>1</f>
        <v>1</v>
      </c>
      <c r="I133" s="19">
        <f t="shared" si="36"/>
        <v>7.3586497711421588</v>
      </c>
      <c r="J133" s="19">
        <f t="shared" si="37"/>
        <v>4.5223901239719533</v>
      </c>
      <c r="K133" s="18">
        <f t="shared" si="38"/>
        <v>-1</v>
      </c>
      <c r="L133" s="17"/>
      <c r="M133" s="17"/>
      <c r="N133" s="18">
        <f t="shared" si="39"/>
        <v>-100</v>
      </c>
      <c r="O133" s="18">
        <f t="shared" si="39"/>
        <v>-100</v>
      </c>
      <c r="P133" s="18">
        <f t="shared" si="40"/>
        <v>7.3586497711421588</v>
      </c>
      <c r="Q133" s="18">
        <f t="shared" si="40"/>
        <v>4.5223901239719533</v>
      </c>
      <c r="S133" s="10">
        <f t="shared" si="41"/>
        <v>-14.127466955033235</v>
      </c>
      <c r="T133" s="10">
        <f t="shared" si="42"/>
        <v>-1</v>
      </c>
      <c r="U133" s="10">
        <f t="shared" si="43"/>
        <v>0</v>
      </c>
      <c r="V133" s="10">
        <f t="shared" si="44"/>
        <v>0</v>
      </c>
      <c r="Y133" s="10">
        <f t="shared" si="52"/>
        <v>0</v>
      </c>
      <c r="Z133" s="10">
        <f t="shared" si="45"/>
        <v>0</v>
      </c>
      <c r="AA133" s="10">
        <f t="shared" si="46"/>
        <v>0</v>
      </c>
      <c r="AB133" s="10">
        <f t="shared" si="47"/>
        <v>9.9999999999999978E-2</v>
      </c>
      <c r="AC133" s="10">
        <f t="shared" si="48"/>
        <v>-10.027623641068921</v>
      </c>
      <c r="AD133" s="10">
        <f t="shared" si="49"/>
        <v>13.170536336680643</v>
      </c>
      <c r="AE133" s="10">
        <f t="shared" si="50"/>
        <v>-1</v>
      </c>
      <c r="AF133" s="10">
        <f t="shared" si="51"/>
        <v>0</v>
      </c>
      <c r="AI133" s="10">
        <f t="shared" si="53"/>
        <v>-1</v>
      </c>
      <c r="AJ133" s="10">
        <f t="shared" si="54"/>
        <v>0</v>
      </c>
      <c r="AK133" s="10">
        <f t="shared" si="55"/>
        <v>0</v>
      </c>
      <c r="BJ133" s="11"/>
      <c r="BK133" s="29"/>
      <c r="BL133" s="29"/>
      <c r="BM133" s="11"/>
    </row>
    <row r="134" spans="2:65" x14ac:dyDescent="0.25">
      <c r="B134" s="10">
        <f t="shared" si="35"/>
        <v>115</v>
      </c>
      <c r="C134">
        <v>-0.36778374123969115</v>
      </c>
      <c r="D134">
        <v>0.93059725259081461</v>
      </c>
      <c r="E134">
        <v>0.99444563127536856</v>
      </c>
      <c r="H134" s="18">
        <f>1</f>
        <v>1</v>
      </c>
      <c r="I134" s="19">
        <f t="shared" si="36"/>
        <v>5.6772442960166716</v>
      </c>
      <c r="J134" s="19">
        <f t="shared" si="37"/>
        <v>6.340998065588491</v>
      </c>
      <c r="K134" s="18">
        <f t="shared" si="38"/>
        <v>1</v>
      </c>
      <c r="L134" s="17"/>
      <c r="M134" s="17"/>
      <c r="N134" s="18">
        <f t="shared" si="39"/>
        <v>5.6772442960166716</v>
      </c>
      <c r="O134" s="18">
        <f t="shared" si="39"/>
        <v>6.340998065588491</v>
      </c>
      <c r="P134" s="18">
        <f t="shared" si="40"/>
        <v>-100</v>
      </c>
      <c r="Q134" s="18">
        <f t="shared" si="40"/>
        <v>-100</v>
      </c>
      <c r="S134" s="10">
        <f t="shared" si="41"/>
        <v>26.685076314794422</v>
      </c>
      <c r="T134" s="10">
        <f t="shared" si="42"/>
        <v>1</v>
      </c>
      <c r="U134" s="10">
        <f t="shared" si="43"/>
        <v>0</v>
      </c>
      <c r="V134" s="10">
        <f t="shared" si="44"/>
        <v>0</v>
      </c>
      <c r="Y134" s="10">
        <f t="shared" si="52"/>
        <v>0</v>
      </c>
      <c r="Z134" s="10">
        <f t="shared" si="45"/>
        <v>0</v>
      </c>
      <c r="AA134" s="10">
        <f t="shared" si="46"/>
        <v>0</v>
      </c>
      <c r="AB134" s="10">
        <f t="shared" si="47"/>
        <v>9.9999999999999978E-2</v>
      </c>
      <c r="AC134" s="10">
        <f t="shared" si="48"/>
        <v>-10.027623641068921</v>
      </c>
      <c r="AD134" s="10">
        <f t="shared" si="49"/>
        <v>13.170536336680643</v>
      </c>
      <c r="AE134" s="10">
        <f t="shared" si="50"/>
        <v>1</v>
      </c>
      <c r="AF134" s="10">
        <f t="shared" si="51"/>
        <v>0</v>
      </c>
      <c r="AI134" s="10">
        <f t="shared" si="53"/>
        <v>-1</v>
      </c>
      <c r="AJ134" s="10">
        <f t="shared" si="54"/>
        <v>0</v>
      </c>
      <c r="AK134" s="10">
        <f t="shared" si="55"/>
        <v>0</v>
      </c>
      <c r="BJ134" s="11"/>
      <c r="BK134" s="29"/>
      <c r="BL134" s="29"/>
      <c r="BM134" s="11"/>
    </row>
    <row r="135" spans="2:65" x14ac:dyDescent="0.25">
      <c r="B135" s="10">
        <f t="shared" si="35"/>
        <v>116</v>
      </c>
      <c r="C135">
        <v>0.70199803303694353</v>
      </c>
      <c r="D135">
        <v>0.25143663151538931</v>
      </c>
      <c r="E135">
        <v>3.1464583269753106E-2</v>
      </c>
      <c r="H135" s="18">
        <f>1</f>
        <v>1</v>
      </c>
      <c r="I135" s="19">
        <f t="shared" si="36"/>
        <v>7.2195100278521736</v>
      </c>
      <c r="J135" s="19">
        <f t="shared" si="37"/>
        <v>5.3618767368436568</v>
      </c>
      <c r="K135" s="18">
        <f t="shared" si="38"/>
        <v>-1</v>
      </c>
      <c r="L135" s="17"/>
      <c r="M135" s="17"/>
      <c r="N135" s="18">
        <f t="shared" si="39"/>
        <v>-100</v>
      </c>
      <c r="O135" s="18">
        <f t="shared" si="39"/>
        <v>-100</v>
      </c>
      <c r="P135" s="18">
        <f t="shared" si="40"/>
        <v>7.2195100278521736</v>
      </c>
      <c r="Q135" s="18">
        <f t="shared" si="40"/>
        <v>5.3618767368436568</v>
      </c>
      <c r="S135" s="10">
        <f t="shared" si="41"/>
        <v>-1.6757370368225963</v>
      </c>
      <c r="T135" s="10">
        <f t="shared" si="42"/>
        <v>-1</v>
      </c>
      <c r="U135" s="10">
        <f t="shared" si="43"/>
        <v>0</v>
      </c>
      <c r="V135" s="10">
        <f t="shared" si="44"/>
        <v>0</v>
      </c>
      <c r="Y135" s="10">
        <f t="shared" si="52"/>
        <v>0</v>
      </c>
      <c r="Z135" s="10">
        <f t="shared" si="45"/>
        <v>0</v>
      </c>
      <c r="AA135" s="10">
        <f t="shared" si="46"/>
        <v>0</v>
      </c>
      <c r="AB135" s="10">
        <f t="shared" si="47"/>
        <v>9.9999999999999978E-2</v>
      </c>
      <c r="AC135" s="10">
        <f t="shared" si="48"/>
        <v>-10.027623641068921</v>
      </c>
      <c r="AD135" s="10">
        <f t="shared" si="49"/>
        <v>13.170536336680643</v>
      </c>
      <c r="AE135" s="10">
        <f t="shared" si="50"/>
        <v>-1</v>
      </c>
      <c r="AF135" s="10">
        <f t="shared" si="51"/>
        <v>0</v>
      </c>
      <c r="AI135" s="10">
        <f t="shared" si="53"/>
        <v>-1</v>
      </c>
      <c r="AJ135" s="10">
        <f t="shared" si="54"/>
        <v>0</v>
      </c>
      <c r="AK135" s="10">
        <f t="shared" si="55"/>
        <v>0</v>
      </c>
      <c r="BJ135" s="11"/>
      <c r="BK135" s="29"/>
      <c r="BL135" s="29"/>
      <c r="BM135" s="11"/>
    </row>
    <row r="136" spans="2:65" x14ac:dyDescent="0.25">
      <c r="B136" s="10">
        <f t="shared" si="35"/>
        <v>117</v>
      </c>
      <c r="C136">
        <v>0.4571802492137067</v>
      </c>
      <c r="D136">
        <v>0.12752366274071392</v>
      </c>
      <c r="E136">
        <v>0.34708700827051608</v>
      </c>
      <c r="H136" s="18">
        <f>1</f>
        <v>1</v>
      </c>
      <c r="I136" s="19">
        <f t="shared" si="36"/>
        <v>6.8665650743921116</v>
      </c>
      <c r="J136" s="19">
        <f t="shared" si="37"/>
        <v>5.183235886843752</v>
      </c>
      <c r="K136" s="18">
        <f t="shared" si="38"/>
        <v>-1</v>
      </c>
      <c r="L136" s="17"/>
      <c r="M136" s="17"/>
      <c r="N136" s="18">
        <f t="shared" si="39"/>
        <v>-100</v>
      </c>
      <c r="O136" s="18">
        <f t="shared" si="39"/>
        <v>-100</v>
      </c>
      <c r="P136" s="18">
        <f t="shared" si="40"/>
        <v>6.8665650743921116</v>
      </c>
      <c r="Q136" s="18">
        <f t="shared" si="40"/>
        <v>5.183235886843752</v>
      </c>
      <c r="S136" s="10">
        <f t="shared" si="41"/>
        <v>-0.48933368364976104</v>
      </c>
      <c r="T136" s="10">
        <f t="shared" si="42"/>
        <v>-1</v>
      </c>
      <c r="U136" s="10">
        <f t="shared" si="43"/>
        <v>0</v>
      </c>
      <c r="V136" s="10">
        <f t="shared" si="44"/>
        <v>0</v>
      </c>
      <c r="Y136" s="10">
        <f t="shared" si="52"/>
        <v>0</v>
      </c>
      <c r="Z136" s="10">
        <f t="shared" si="45"/>
        <v>0</v>
      </c>
      <c r="AA136" s="10">
        <f t="shared" si="46"/>
        <v>0</v>
      </c>
      <c r="AB136" s="10">
        <f t="shared" si="47"/>
        <v>9.9999999999999978E-2</v>
      </c>
      <c r="AC136" s="10">
        <f t="shared" si="48"/>
        <v>-10.027623641068921</v>
      </c>
      <c r="AD136" s="10">
        <f t="shared" si="49"/>
        <v>13.170536336680643</v>
      </c>
      <c r="AE136" s="10">
        <f t="shared" si="50"/>
        <v>-1</v>
      </c>
      <c r="AF136" s="10">
        <f t="shared" si="51"/>
        <v>0</v>
      </c>
      <c r="AI136" s="10">
        <f t="shared" si="53"/>
        <v>-1</v>
      </c>
      <c r="AJ136" s="10">
        <f t="shared" si="54"/>
        <v>0</v>
      </c>
      <c r="AK136" s="10">
        <f t="shared" si="55"/>
        <v>0</v>
      </c>
      <c r="BJ136" s="11"/>
      <c r="BK136" s="29"/>
      <c r="BL136" s="29"/>
      <c r="BM136" s="11"/>
    </row>
    <row r="137" spans="2:65" x14ac:dyDescent="0.25">
      <c r="B137" s="10">
        <f t="shared" si="35"/>
        <v>118</v>
      </c>
      <c r="C137">
        <v>-0.2392164333286928</v>
      </c>
      <c r="D137">
        <v>5.820993465022184E-2</v>
      </c>
      <c r="E137">
        <v>0.97695852534562211</v>
      </c>
      <c r="H137" s="18">
        <f>1</f>
        <v>1</v>
      </c>
      <c r="I137" s="19">
        <f t="shared" si="36"/>
        <v>5.8625951385841226</v>
      </c>
      <c r="J137" s="19">
        <f t="shared" si="37"/>
        <v>5.0833087894205287</v>
      </c>
      <c r="K137" s="18">
        <f t="shared" si="38"/>
        <v>-1</v>
      </c>
      <c r="L137" s="17"/>
      <c r="M137" s="17"/>
      <c r="N137" s="18">
        <f t="shared" si="39"/>
        <v>-100</v>
      </c>
      <c r="O137" s="18">
        <f t="shared" si="39"/>
        <v>-100</v>
      </c>
      <c r="P137" s="18">
        <f t="shared" si="40"/>
        <v>5.8625951385841226</v>
      </c>
      <c r="Q137" s="18">
        <f t="shared" si="40"/>
        <v>5.0833087894205287</v>
      </c>
      <c r="S137" s="10">
        <f t="shared" si="41"/>
        <v>8.2620055119492903</v>
      </c>
      <c r="T137" s="10">
        <f t="shared" si="42"/>
        <v>1</v>
      </c>
      <c r="U137" s="10">
        <f t="shared" si="43"/>
        <v>-1</v>
      </c>
      <c r="V137" s="10">
        <f t="shared" si="44"/>
        <v>1</v>
      </c>
      <c r="Y137" s="10">
        <f t="shared" si="52"/>
        <v>-0.70082399975499998</v>
      </c>
      <c r="Z137" s="10">
        <f t="shared" si="45"/>
        <v>-4.1086473739667433</v>
      </c>
      <c r="AA137" s="10">
        <f t="shared" si="46"/>
        <v>-3.5625047977914419</v>
      </c>
      <c r="AB137" s="10">
        <f t="shared" si="47"/>
        <v>-0.600823999755</v>
      </c>
      <c r="AC137" s="10">
        <f t="shared" si="48"/>
        <v>-14.136271015035664</v>
      </c>
      <c r="AD137" s="10">
        <f t="shared" si="49"/>
        <v>9.6080315388892004</v>
      </c>
      <c r="AE137" s="10">
        <f t="shared" si="50"/>
        <v>-1</v>
      </c>
      <c r="AF137" s="10">
        <f t="shared" si="51"/>
        <v>0</v>
      </c>
      <c r="AI137" s="10">
        <f t="shared" si="53"/>
        <v>1</v>
      </c>
      <c r="AJ137" s="10">
        <f t="shared" si="54"/>
        <v>0</v>
      </c>
      <c r="AK137" s="10">
        <f t="shared" si="55"/>
        <v>0</v>
      </c>
      <c r="BJ137" s="11"/>
      <c r="BK137" s="29"/>
      <c r="BL137" s="29"/>
      <c r="BM137" s="11"/>
    </row>
    <row r="138" spans="2:65" x14ac:dyDescent="0.25">
      <c r="B138" s="10">
        <f t="shared" si="35"/>
        <v>119</v>
      </c>
      <c r="C138">
        <v>-0.60086563280492555</v>
      </c>
      <c r="D138">
        <v>0.70650685302098282</v>
      </c>
      <c r="E138">
        <v>0.28647724845118566</v>
      </c>
      <c r="H138" s="18">
        <f>1</f>
        <v>1</v>
      </c>
      <c r="I138" s="19">
        <f t="shared" si="36"/>
        <v>5.3412185543970514</v>
      </c>
      <c r="J138" s="19">
        <f t="shared" si="37"/>
        <v>6.0179350331082739</v>
      </c>
      <c r="K138" s="18">
        <f t="shared" si="38"/>
        <v>1</v>
      </c>
      <c r="L138" s="17"/>
      <c r="M138" s="17"/>
      <c r="N138" s="18">
        <f t="shared" si="39"/>
        <v>5.3412185543970514</v>
      </c>
      <c r="O138" s="18">
        <f t="shared" si="39"/>
        <v>6.0179350331082739</v>
      </c>
      <c r="P138" s="18">
        <f t="shared" si="40"/>
        <v>-100</v>
      </c>
      <c r="Q138" s="18">
        <f t="shared" si="40"/>
        <v>-100</v>
      </c>
      <c r="S138" s="10">
        <f t="shared" si="41"/>
        <v>-18.285227438158202</v>
      </c>
      <c r="T138" s="10">
        <f t="shared" si="42"/>
        <v>-1</v>
      </c>
      <c r="U138" s="10">
        <f t="shared" si="43"/>
        <v>1</v>
      </c>
      <c r="V138" s="10">
        <f t="shared" si="44"/>
        <v>1</v>
      </c>
      <c r="Y138" s="10">
        <f t="shared" si="52"/>
        <v>0.70082399975499998</v>
      </c>
      <c r="Z138" s="10">
        <f t="shared" si="45"/>
        <v>3.7432541508581605</v>
      </c>
      <c r="AA138" s="10">
        <f t="shared" si="46"/>
        <v>4.2175133001686786</v>
      </c>
      <c r="AB138" s="10">
        <f t="shared" si="47"/>
        <v>9.9999999999999978E-2</v>
      </c>
      <c r="AC138" s="10">
        <f t="shared" si="48"/>
        <v>-10.393016864177504</v>
      </c>
      <c r="AD138" s="10">
        <f t="shared" si="49"/>
        <v>13.82554483905788</v>
      </c>
      <c r="AE138" s="10">
        <f t="shared" si="50"/>
        <v>1</v>
      </c>
      <c r="AF138" s="10">
        <f t="shared" si="51"/>
        <v>0</v>
      </c>
      <c r="AI138" s="10">
        <f t="shared" si="53"/>
        <v>-1</v>
      </c>
      <c r="AJ138" s="10">
        <f t="shared" si="54"/>
        <v>0</v>
      </c>
      <c r="AK138" s="10">
        <f t="shared" si="55"/>
        <v>0</v>
      </c>
      <c r="BJ138" s="11"/>
      <c r="BK138" s="29"/>
      <c r="BL138" s="29"/>
      <c r="BM138" s="11"/>
    </row>
    <row r="139" spans="2:65" x14ac:dyDescent="0.25">
      <c r="B139" s="10">
        <f t="shared" si="35"/>
        <v>120</v>
      </c>
      <c r="C139">
        <v>-0.16177068573597353</v>
      </c>
      <c r="D139">
        <v>-0.10188045962422621</v>
      </c>
      <c r="E139">
        <v>0.47285378582110049</v>
      </c>
      <c r="H139" s="18">
        <f>1</f>
        <v>1</v>
      </c>
      <c r="I139" s="19">
        <f t="shared" si="36"/>
        <v>5.9742458747068206</v>
      </c>
      <c r="J139" s="19">
        <f t="shared" si="37"/>
        <v>4.8525122521992197</v>
      </c>
      <c r="K139" s="18">
        <f t="shared" si="38"/>
        <v>-1</v>
      </c>
      <c r="L139" s="17"/>
      <c r="M139" s="17"/>
      <c r="N139" s="18">
        <f t="shared" si="39"/>
        <v>-100</v>
      </c>
      <c r="O139" s="18">
        <f t="shared" si="39"/>
        <v>-100</v>
      </c>
      <c r="P139" s="18">
        <f t="shared" si="40"/>
        <v>5.9742458747068206</v>
      </c>
      <c r="Q139" s="18">
        <f t="shared" si="40"/>
        <v>4.8525122521992197</v>
      </c>
      <c r="S139" s="10">
        <f t="shared" si="41"/>
        <v>5.0981875982871827</v>
      </c>
      <c r="T139" s="10">
        <f t="shared" si="42"/>
        <v>1</v>
      </c>
      <c r="U139" s="10">
        <f t="shared" si="43"/>
        <v>-1</v>
      </c>
      <c r="V139" s="10">
        <f t="shared" si="44"/>
        <v>1</v>
      </c>
      <c r="X139" s="10">
        <f>SUM(V120:V139)</f>
        <v>5</v>
      </c>
      <c r="Y139" s="10">
        <f t="shared" si="52"/>
        <v>-0.70082399975499998</v>
      </c>
      <c r="Z139" s="10">
        <f t="shared" si="45"/>
        <v>-4.1868948894318425</v>
      </c>
      <c r="AA139" s="10">
        <f t="shared" si="46"/>
        <v>-3.4007570454464005</v>
      </c>
      <c r="AB139" s="10">
        <f t="shared" si="47"/>
        <v>-0.600823999755</v>
      </c>
      <c r="AC139" s="10">
        <f t="shared" si="48"/>
        <v>-14.579911753609347</v>
      </c>
      <c r="AD139" s="10">
        <f t="shared" si="49"/>
        <v>10.424787793611479</v>
      </c>
      <c r="AE139" s="10">
        <f t="shared" si="50"/>
        <v>-1</v>
      </c>
      <c r="AF139" s="10">
        <f t="shared" si="51"/>
        <v>0</v>
      </c>
      <c r="AI139" s="10">
        <f t="shared" si="53"/>
        <v>-1</v>
      </c>
      <c r="AJ139" s="10">
        <f t="shared" si="54"/>
        <v>0</v>
      </c>
      <c r="AK139" s="10">
        <f t="shared" si="55"/>
        <v>0</v>
      </c>
      <c r="BJ139" s="11"/>
      <c r="BK139" s="29"/>
      <c r="BL139" s="29"/>
      <c r="BM139" s="11"/>
    </row>
    <row r="140" spans="2:65" x14ac:dyDescent="0.25">
      <c r="B140" s="10">
        <f t="shared" si="35"/>
        <v>121</v>
      </c>
      <c r="C140">
        <v>-0.3100092271779431</v>
      </c>
      <c r="D140">
        <v>0.60040747484890744</v>
      </c>
      <c r="E140">
        <v>0.93151646473586225</v>
      </c>
      <c r="H140" s="18">
        <f>1</f>
        <v>1</v>
      </c>
      <c r="I140" s="19">
        <f t="shared" si="36"/>
        <v>5.7605357254964202</v>
      </c>
      <c r="J140" s="19">
        <f t="shared" si="37"/>
        <v>5.864975393059729</v>
      </c>
      <c r="K140" s="18">
        <f t="shared" si="38"/>
        <v>1</v>
      </c>
      <c r="L140" s="17"/>
      <c r="M140" s="17"/>
      <c r="N140" s="18">
        <f t="shared" si="39"/>
        <v>5.7605357254964202</v>
      </c>
      <c r="O140" s="18">
        <f t="shared" si="39"/>
        <v>5.864975393059729</v>
      </c>
      <c r="P140" s="18">
        <f t="shared" si="40"/>
        <v>-100</v>
      </c>
      <c r="Q140" s="18">
        <f t="shared" si="40"/>
        <v>-100</v>
      </c>
      <c r="S140" s="12">
        <f t="shared" si="41"/>
        <v>-23.447802643606039</v>
      </c>
      <c r="T140" s="12">
        <f t="shared" si="42"/>
        <v>-1</v>
      </c>
      <c r="U140" s="12">
        <f t="shared" si="43"/>
        <v>1</v>
      </c>
      <c r="V140" s="12">
        <f t="shared" si="44"/>
        <v>1</v>
      </c>
      <c r="W140" s="12"/>
      <c r="X140" s="12"/>
      <c r="Y140" s="10">
        <f t="shared" si="52"/>
        <v>0.70082399975499998</v>
      </c>
      <c r="Z140" s="10">
        <f t="shared" si="45"/>
        <v>4.037121687873972</v>
      </c>
      <c r="AA140" s="10">
        <f t="shared" si="46"/>
        <v>4.1103155134287723</v>
      </c>
      <c r="AB140" s="10">
        <f t="shared" si="47"/>
        <v>9.9999999999999978E-2</v>
      </c>
      <c r="AC140" s="10">
        <f t="shared" si="48"/>
        <v>-10.542790065735375</v>
      </c>
      <c r="AD140" s="10">
        <f t="shared" si="49"/>
        <v>14.535103307040252</v>
      </c>
      <c r="AE140" s="10">
        <f t="shared" si="50"/>
        <v>1</v>
      </c>
      <c r="AF140" s="10">
        <f t="shared" si="51"/>
        <v>0</v>
      </c>
      <c r="AI140" s="10">
        <f t="shared" si="53"/>
        <v>-1</v>
      </c>
      <c r="AJ140" s="10">
        <f t="shared" si="54"/>
        <v>0</v>
      </c>
      <c r="AK140" s="10">
        <f t="shared" si="55"/>
        <v>0</v>
      </c>
      <c r="BJ140" s="11"/>
      <c r="BK140" s="29"/>
      <c r="BL140" s="29"/>
      <c r="BM140" s="11"/>
    </row>
    <row r="141" spans="2:65" x14ac:dyDescent="0.25">
      <c r="B141" s="10">
        <f t="shared" si="35"/>
        <v>122</v>
      </c>
      <c r="C141">
        <v>0.38379312172764912</v>
      </c>
      <c r="D141">
        <v>0.3674563231470529</v>
      </c>
      <c r="E141">
        <v>0.91402935880611591</v>
      </c>
      <c r="H141" s="18">
        <f>1</f>
        <v>1</v>
      </c>
      <c r="I141" s="19">
        <f t="shared" si="36"/>
        <v>6.7607655042357386</v>
      </c>
      <c r="J141" s="19">
        <f t="shared" si="37"/>
        <v>5.5291381343773995</v>
      </c>
      <c r="K141" s="18">
        <f t="shared" si="38"/>
        <v>-1</v>
      </c>
      <c r="L141" s="17"/>
      <c r="M141" s="17"/>
      <c r="N141" s="18">
        <f t="shared" si="39"/>
        <v>-100</v>
      </c>
      <c r="O141" s="18">
        <f t="shared" si="39"/>
        <v>-100</v>
      </c>
      <c r="P141" s="18">
        <f t="shared" si="40"/>
        <v>6.7607655042357386</v>
      </c>
      <c r="Q141" s="18">
        <f t="shared" si="40"/>
        <v>5.5291381343773995</v>
      </c>
      <c r="S141" s="10">
        <f t="shared" si="41"/>
        <v>9.1892625872483507</v>
      </c>
      <c r="T141" s="10">
        <f t="shared" si="42"/>
        <v>1</v>
      </c>
      <c r="U141" s="10">
        <f t="shared" si="43"/>
        <v>-1</v>
      </c>
      <c r="V141" s="10">
        <f t="shared" si="44"/>
        <v>1</v>
      </c>
      <c r="Y141" s="10">
        <f t="shared" si="52"/>
        <v>-0.70082399975499998</v>
      </c>
      <c r="Z141" s="10">
        <f t="shared" si="45"/>
        <v>-4.7381067220841198</v>
      </c>
      <c r="AA141" s="10">
        <f t="shared" si="46"/>
        <v>-3.8749527025322679</v>
      </c>
      <c r="AB141" s="10">
        <f t="shared" si="47"/>
        <v>-0.600823999755</v>
      </c>
      <c r="AC141" s="10">
        <f t="shared" si="48"/>
        <v>-15.280896787819493</v>
      </c>
      <c r="AD141" s="10">
        <f t="shared" si="49"/>
        <v>10.660150604507985</v>
      </c>
      <c r="AE141" s="10">
        <f t="shared" si="50"/>
        <v>-1</v>
      </c>
      <c r="AF141" s="10">
        <f t="shared" si="51"/>
        <v>0</v>
      </c>
      <c r="AI141" s="10">
        <f t="shared" si="53"/>
        <v>1</v>
      </c>
      <c r="AJ141" s="10">
        <f t="shared" si="54"/>
        <v>0</v>
      </c>
      <c r="AK141" s="10">
        <f t="shared" si="55"/>
        <v>0</v>
      </c>
      <c r="BJ141" s="11"/>
      <c r="BK141" s="29"/>
      <c r="BL141" s="29"/>
      <c r="BM141" s="11"/>
    </row>
    <row r="142" spans="2:65" x14ac:dyDescent="0.25">
      <c r="B142" s="10">
        <f t="shared" si="35"/>
        <v>123</v>
      </c>
      <c r="C142">
        <v>1.1601719052123372</v>
      </c>
      <c r="D142">
        <v>4.7816683945711702E-3</v>
      </c>
      <c r="E142">
        <v>0.15640736106448561</v>
      </c>
      <c r="H142" s="18">
        <f>1</f>
        <v>1</v>
      </c>
      <c r="I142" s="19">
        <f t="shared" si="36"/>
        <v>7.8800427451498631</v>
      </c>
      <c r="J142" s="19">
        <f t="shared" si="37"/>
        <v>5.006283188369145</v>
      </c>
      <c r="K142" s="18">
        <f t="shared" si="38"/>
        <v>-1</v>
      </c>
      <c r="L142" s="17"/>
      <c r="M142" s="17"/>
      <c r="N142" s="18">
        <f t="shared" si="39"/>
        <v>-100</v>
      </c>
      <c r="O142" s="18">
        <f t="shared" si="39"/>
        <v>-100</v>
      </c>
      <c r="P142" s="18">
        <f t="shared" si="40"/>
        <v>7.8800427451498631</v>
      </c>
      <c r="Q142" s="18">
        <f t="shared" si="40"/>
        <v>5.006283188369145</v>
      </c>
      <c r="S142" s="10">
        <f t="shared" si="41"/>
        <v>-67.647211115164339</v>
      </c>
      <c r="T142" s="10">
        <f t="shared" si="42"/>
        <v>-1</v>
      </c>
      <c r="U142" s="10">
        <f t="shared" si="43"/>
        <v>0</v>
      </c>
      <c r="V142" s="10">
        <f t="shared" si="44"/>
        <v>0</v>
      </c>
      <c r="Y142" s="10">
        <f t="shared" si="52"/>
        <v>0</v>
      </c>
      <c r="Z142" s="10">
        <f t="shared" si="45"/>
        <v>0</v>
      </c>
      <c r="AA142" s="10">
        <f t="shared" si="46"/>
        <v>0</v>
      </c>
      <c r="AB142" s="10">
        <f t="shared" si="47"/>
        <v>-0.600823999755</v>
      </c>
      <c r="AC142" s="10">
        <f t="shared" si="48"/>
        <v>-15.280896787819493</v>
      </c>
      <c r="AD142" s="10">
        <f t="shared" si="49"/>
        <v>10.660150604507985</v>
      </c>
      <c r="AE142" s="10">
        <f t="shared" si="50"/>
        <v>-1</v>
      </c>
      <c r="AF142" s="10">
        <f t="shared" si="51"/>
        <v>0</v>
      </c>
      <c r="AI142" s="10">
        <f t="shared" si="53"/>
        <v>-1</v>
      </c>
      <c r="AJ142" s="10">
        <f t="shared" si="54"/>
        <v>0</v>
      </c>
      <c r="AK142" s="10">
        <f t="shared" si="55"/>
        <v>0</v>
      </c>
      <c r="BJ142" s="11"/>
      <c r="BK142" s="29"/>
      <c r="BL142" s="29"/>
      <c r="BM142" s="11"/>
    </row>
    <row r="143" spans="2:65" x14ac:dyDescent="0.25">
      <c r="B143" s="10">
        <f t="shared" si="35"/>
        <v>124</v>
      </c>
      <c r="C143">
        <v>-0.72797547545633279</v>
      </c>
      <c r="D143">
        <v>1.8825903680408373</v>
      </c>
      <c r="E143">
        <v>0.56392101809747608</v>
      </c>
      <c r="H143" s="18">
        <f>1</f>
        <v>1</v>
      </c>
      <c r="I143" s="19">
        <f t="shared" si="36"/>
        <v>5.1579688868348761</v>
      </c>
      <c r="J143" s="19">
        <f t="shared" si="37"/>
        <v>7.7134521437996053</v>
      </c>
      <c r="K143" s="18">
        <f t="shared" si="38"/>
        <v>1</v>
      </c>
      <c r="L143" s="17"/>
      <c r="M143" s="17"/>
      <c r="N143" s="18">
        <f t="shared" si="39"/>
        <v>5.1579688868348761</v>
      </c>
      <c r="O143" s="18">
        <f t="shared" si="39"/>
        <v>7.7134521437996053</v>
      </c>
      <c r="P143" s="18">
        <f t="shared" si="40"/>
        <v>-100</v>
      </c>
      <c r="Q143" s="18">
        <f t="shared" si="40"/>
        <v>-100</v>
      </c>
      <c r="S143" s="10">
        <f t="shared" si="41"/>
        <v>2.807347339305835</v>
      </c>
      <c r="T143" s="10">
        <f t="shared" si="42"/>
        <v>1</v>
      </c>
      <c r="U143" s="10">
        <f t="shared" si="43"/>
        <v>0</v>
      </c>
      <c r="V143" s="10">
        <f t="shared" si="44"/>
        <v>0</v>
      </c>
      <c r="Y143" s="10">
        <f t="shared" si="52"/>
        <v>0</v>
      </c>
      <c r="Z143" s="10">
        <f t="shared" si="45"/>
        <v>0</v>
      </c>
      <c r="AA143" s="10">
        <f t="shared" si="46"/>
        <v>0</v>
      </c>
      <c r="AB143" s="10">
        <f t="shared" si="47"/>
        <v>-0.600823999755</v>
      </c>
      <c r="AC143" s="10">
        <f t="shared" si="48"/>
        <v>-15.280896787819493</v>
      </c>
      <c r="AD143" s="10">
        <f t="shared" si="49"/>
        <v>10.660150604507985</v>
      </c>
      <c r="AE143" s="10">
        <f t="shared" si="50"/>
        <v>1</v>
      </c>
      <c r="AF143" s="10">
        <f t="shared" si="51"/>
        <v>0</v>
      </c>
      <c r="AI143" s="10">
        <f t="shared" si="53"/>
        <v>1</v>
      </c>
      <c r="AJ143" s="10">
        <f t="shared" si="54"/>
        <v>0</v>
      </c>
      <c r="AK143" s="10">
        <f t="shared" si="55"/>
        <v>0</v>
      </c>
      <c r="BJ143" s="11"/>
      <c r="BK143" s="29"/>
      <c r="BL143" s="29"/>
      <c r="BM143" s="11"/>
    </row>
    <row r="144" spans="2:65" x14ac:dyDescent="0.25">
      <c r="B144" s="10">
        <f t="shared" si="35"/>
        <v>125</v>
      </c>
      <c r="C144">
        <v>-0.77815798249503132</v>
      </c>
      <c r="D144">
        <v>1.0104804459842853</v>
      </c>
      <c r="E144">
        <v>0.32349620044557026</v>
      </c>
      <c r="H144" s="18">
        <f>1</f>
        <v>1</v>
      </c>
      <c r="I144" s="19">
        <f t="shared" si="36"/>
        <v>5.0856225795744896</v>
      </c>
      <c r="J144" s="19">
        <f t="shared" si="37"/>
        <v>6.4561627792551119</v>
      </c>
      <c r="K144" s="18">
        <f t="shared" si="38"/>
        <v>1</v>
      </c>
      <c r="L144" s="17"/>
      <c r="M144" s="17"/>
      <c r="N144" s="18">
        <f t="shared" si="39"/>
        <v>5.0856225795744896</v>
      </c>
      <c r="O144" s="18">
        <f t="shared" si="39"/>
        <v>6.4561627792551119</v>
      </c>
      <c r="P144" s="18">
        <f t="shared" si="40"/>
        <v>-100</v>
      </c>
      <c r="Q144" s="18">
        <f t="shared" si="40"/>
        <v>-100</v>
      </c>
      <c r="S144" s="10">
        <f t="shared" si="41"/>
        <v>-9.4900301859587728</v>
      </c>
      <c r="T144" s="10">
        <f t="shared" si="42"/>
        <v>-1</v>
      </c>
      <c r="U144" s="10">
        <f t="shared" si="43"/>
        <v>1</v>
      </c>
      <c r="V144" s="10">
        <f t="shared" si="44"/>
        <v>1</v>
      </c>
      <c r="Y144" s="10">
        <f t="shared" si="52"/>
        <v>0.70082399975499998</v>
      </c>
      <c r="Z144" s="10">
        <f t="shared" si="45"/>
        <v>3.5641263574617343</v>
      </c>
      <c r="AA144" s="10">
        <f t="shared" si="46"/>
        <v>4.5246338220269244</v>
      </c>
      <c r="AB144" s="10">
        <f t="shared" si="47"/>
        <v>9.9999999999999978E-2</v>
      </c>
      <c r="AC144" s="10">
        <f t="shared" si="48"/>
        <v>-11.716770430357759</v>
      </c>
      <c r="AD144" s="10">
        <f t="shared" si="49"/>
        <v>15.184784426534909</v>
      </c>
      <c r="AE144" s="10">
        <f t="shared" si="50"/>
        <v>1</v>
      </c>
      <c r="AF144" s="10">
        <f t="shared" si="51"/>
        <v>0</v>
      </c>
      <c r="AI144" s="10">
        <f t="shared" si="53"/>
        <v>-1</v>
      </c>
      <c r="AJ144" s="10">
        <f t="shared" si="54"/>
        <v>0</v>
      </c>
      <c r="AK144" s="10">
        <f t="shared" si="55"/>
        <v>0</v>
      </c>
      <c r="BJ144" s="11"/>
      <c r="BK144" s="29"/>
      <c r="BL144" s="29"/>
      <c r="BM144" s="11"/>
    </row>
    <row r="145" spans="2:65" x14ac:dyDescent="0.25">
      <c r="B145" s="10">
        <f t="shared" si="35"/>
        <v>126</v>
      </c>
      <c r="C145">
        <v>-1.1742304195649922</v>
      </c>
      <c r="D145">
        <v>0.10603343980619684</v>
      </c>
      <c r="E145">
        <v>0.43961912900173955</v>
      </c>
      <c r="H145" s="18">
        <f>1</f>
        <v>1</v>
      </c>
      <c r="I145" s="19">
        <f t="shared" si="36"/>
        <v>4.5146192574898354</v>
      </c>
      <c r="J145" s="19">
        <f t="shared" si="37"/>
        <v>5.1522542088993672</v>
      </c>
      <c r="K145" s="18">
        <f t="shared" si="38"/>
        <v>1</v>
      </c>
      <c r="L145" s="17"/>
      <c r="M145" s="17"/>
      <c r="N145" s="18">
        <f t="shared" si="39"/>
        <v>4.5146192574898354</v>
      </c>
      <c r="O145" s="18">
        <f t="shared" si="39"/>
        <v>5.1522542088993672</v>
      </c>
      <c r="P145" s="18">
        <f t="shared" si="40"/>
        <v>-100</v>
      </c>
      <c r="Q145" s="18">
        <f t="shared" si="40"/>
        <v>-100</v>
      </c>
      <c r="S145" s="10">
        <f t="shared" si="41"/>
        <v>25.439112052363441</v>
      </c>
      <c r="T145" s="10">
        <f t="shared" si="42"/>
        <v>1</v>
      </c>
      <c r="U145" s="10">
        <f t="shared" si="43"/>
        <v>0</v>
      </c>
      <c r="V145" s="10">
        <f t="shared" si="44"/>
        <v>0</v>
      </c>
      <c r="Y145" s="10">
        <f t="shared" si="52"/>
        <v>0</v>
      </c>
      <c r="Z145" s="10">
        <f t="shared" si="45"/>
        <v>0</v>
      </c>
      <c r="AA145" s="10">
        <f t="shared" si="46"/>
        <v>0</v>
      </c>
      <c r="AB145" s="10">
        <f t="shared" si="47"/>
        <v>9.9999999999999978E-2</v>
      </c>
      <c r="AC145" s="10">
        <f t="shared" si="48"/>
        <v>-11.716770430357759</v>
      </c>
      <c r="AD145" s="10">
        <f t="shared" si="49"/>
        <v>15.184784426534909</v>
      </c>
      <c r="AE145" s="10">
        <f t="shared" si="50"/>
        <v>1</v>
      </c>
      <c r="AF145" s="10">
        <f t="shared" si="51"/>
        <v>0</v>
      </c>
      <c r="AI145" s="10">
        <f t="shared" si="53"/>
        <v>-1</v>
      </c>
      <c r="AJ145" s="10">
        <f t="shared" si="54"/>
        <v>0</v>
      </c>
      <c r="AK145" s="10">
        <f t="shared" si="55"/>
        <v>0</v>
      </c>
      <c r="BJ145" s="11"/>
      <c r="BK145" s="29"/>
      <c r="BL145" s="29"/>
      <c r="BM145" s="11"/>
    </row>
    <row r="146" spans="2:65" x14ac:dyDescent="0.25">
      <c r="B146" s="10">
        <f t="shared" si="35"/>
        <v>127</v>
      </c>
      <c r="C146">
        <v>1.2350733413768467</v>
      </c>
      <c r="D146">
        <v>-0.27686382964020595</v>
      </c>
      <c r="E146">
        <v>0.38276314584795679</v>
      </c>
      <c r="H146" s="18">
        <f>1</f>
        <v>1</v>
      </c>
      <c r="I146" s="19">
        <f t="shared" si="36"/>
        <v>7.988025439414681</v>
      </c>
      <c r="J146" s="19">
        <f t="shared" si="37"/>
        <v>4.6002450499474152</v>
      </c>
      <c r="K146" s="18">
        <f t="shared" si="38"/>
        <v>-1</v>
      </c>
      <c r="L146" s="17"/>
      <c r="M146" s="17"/>
      <c r="N146" s="18">
        <f t="shared" si="39"/>
        <v>-100</v>
      </c>
      <c r="O146" s="18">
        <f t="shared" si="39"/>
        <v>-100</v>
      </c>
      <c r="P146" s="18">
        <f t="shared" si="40"/>
        <v>7.988025439414681</v>
      </c>
      <c r="Q146" s="18">
        <f t="shared" si="40"/>
        <v>4.6002450499474152</v>
      </c>
      <c r="S146" s="10">
        <f t="shared" si="41"/>
        <v>-23.640130872793662</v>
      </c>
      <c r="T146" s="10">
        <f t="shared" si="42"/>
        <v>-1</v>
      </c>
      <c r="U146" s="10">
        <f t="shared" si="43"/>
        <v>0</v>
      </c>
      <c r="V146" s="10">
        <f t="shared" si="44"/>
        <v>0</v>
      </c>
      <c r="Y146" s="10">
        <f t="shared" si="52"/>
        <v>0</v>
      </c>
      <c r="Z146" s="10">
        <f t="shared" si="45"/>
        <v>0</v>
      </c>
      <c r="AA146" s="10">
        <f t="shared" si="46"/>
        <v>0</v>
      </c>
      <c r="AB146" s="10">
        <f t="shared" si="47"/>
        <v>9.9999999999999978E-2</v>
      </c>
      <c r="AC146" s="10">
        <f t="shared" si="48"/>
        <v>-11.716770430357759</v>
      </c>
      <c r="AD146" s="10">
        <f t="shared" si="49"/>
        <v>15.184784426534909</v>
      </c>
      <c r="AE146" s="10">
        <f t="shared" si="50"/>
        <v>-1</v>
      </c>
      <c r="AF146" s="10">
        <f t="shared" si="51"/>
        <v>0</v>
      </c>
      <c r="AI146" s="10">
        <f t="shared" si="53"/>
        <v>1</v>
      </c>
      <c r="AJ146" s="10">
        <f t="shared" si="54"/>
        <v>0</v>
      </c>
      <c r="AK146" s="10">
        <f t="shared" si="55"/>
        <v>0</v>
      </c>
      <c r="BJ146" s="11"/>
      <c r="BK146" s="29"/>
      <c r="BL146" s="29"/>
      <c r="BM146" s="11"/>
    </row>
    <row r="147" spans="2:65" x14ac:dyDescent="0.25">
      <c r="B147" s="10">
        <f t="shared" si="35"/>
        <v>128</v>
      </c>
      <c r="C147">
        <v>0.1723208242765395</v>
      </c>
      <c r="D147">
        <v>0.14025999917066656</v>
      </c>
      <c r="E147">
        <v>0.75054170354319893</v>
      </c>
      <c r="H147" s="18">
        <f>1</f>
        <v>1</v>
      </c>
      <c r="I147" s="19">
        <f t="shared" si="36"/>
        <v>6.455893533677159</v>
      </c>
      <c r="J147" s="19">
        <f t="shared" si="37"/>
        <v>5.2015974028999832</v>
      </c>
      <c r="K147" s="18">
        <f t="shared" si="38"/>
        <v>-1</v>
      </c>
      <c r="L147" s="17"/>
      <c r="M147" s="17"/>
      <c r="N147" s="18">
        <f t="shared" si="39"/>
        <v>-100</v>
      </c>
      <c r="O147" s="18">
        <f t="shared" si="39"/>
        <v>-100</v>
      </c>
      <c r="P147" s="18">
        <f t="shared" si="40"/>
        <v>6.455893533677159</v>
      </c>
      <c r="Q147" s="18">
        <f t="shared" si="40"/>
        <v>5.2015974028999832</v>
      </c>
      <c r="S147" s="10">
        <f t="shared" si="41"/>
        <v>3.4429127797336889</v>
      </c>
      <c r="T147" s="10">
        <f t="shared" si="42"/>
        <v>1</v>
      </c>
      <c r="U147" s="10">
        <f t="shared" si="43"/>
        <v>-1</v>
      </c>
      <c r="V147" s="10">
        <f t="shared" si="44"/>
        <v>1</v>
      </c>
      <c r="Y147" s="10">
        <f t="shared" si="52"/>
        <v>-0.70082399975499998</v>
      </c>
      <c r="Z147" s="10">
        <f t="shared" si="45"/>
        <v>-4.524445128264067</v>
      </c>
      <c r="AA147" s="10">
        <f t="shared" si="46"/>
        <v>-3.6454042970155864</v>
      </c>
      <c r="AB147" s="10">
        <f t="shared" si="47"/>
        <v>-0.600823999755</v>
      </c>
      <c r="AC147" s="10">
        <f t="shared" si="48"/>
        <v>-16.241215558621825</v>
      </c>
      <c r="AD147" s="10">
        <f t="shared" si="49"/>
        <v>11.539380129519323</v>
      </c>
      <c r="AE147" s="10">
        <f t="shared" si="50"/>
        <v>-1</v>
      </c>
      <c r="AF147" s="10">
        <f t="shared" si="51"/>
        <v>0</v>
      </c>
      <c r="AI147" s="10">
        <f t="shared" si="53"/>
        <v>1</v>
      </c>
      <c r="AJ147" s="10">
        <f t="shared" si="54"/>
        <v>0</v>
      </c>
      <c r="AK147" s="10">
        <f t="shared" si="55"/>
        <v>0</v>
      </c>
      <c r="BJ147" s="11"/>
      <c r="BK147" s="29"/>
      <c r="BL147" s="29"/>
      <c r="BM147" s="11"/>
    </row>
    <row r="148" spans="2:65" x14ac:dyDescent="0.25">
      <c r="B148" s="10">
        <f t="shared" si="35"/>
        <v>129</v>
      </c>
      <c r="C148">
        <v>1.255671122635249</v>
      </c>
      <c r="D148">
        <v>1.2210875866003335</v>
      </c>
      <c r="E148">
        <v>0.34025086214789269</v>
      </c>
      <c r="H148" s="18">
        <f>1</f>
        <v>1</v>
      </c>
      <c r="I148" s="19">
        <f t="shared" si="36"/>
        <v>8.0177205164392991</v>
      </c>
      <c r="J148" s="19">
        <f t="shared" si="37"/>
        <v>6.7597874844634465</v>
      </c>
      <c r="K148" s="18">
        <f t="shared" si="38"/>
        <v>-1</v>
      </c>
      <c r="L148" s="17"/>
      <c r="M148" s="17"/>
      <c r="N148" s="18">
        <f t="shared" si="39"/>
        <v>-100</v>
      </c>
      <c r="O148" s="18">
        <f t="shared" si="39"/>
        <v>-100</v>
      </c>
      <c r="P148" s="18">
        <f t="shared" si="40"/>
        <v>8.0177205164392991</v>
      </c>
      <c r="Q148" s="18">
        <f t="shared" si="40"/>
        <v>6.7597874844634465</v>
      </c>
      <c r="S148" s="10">
        <f t="shared" si="41"/>
        <v>-52.814593818039455</v>
      </c>
      <c r="T148" s="10">
        <f t="shared" si="42"/>
        <v>-1</v>
      </c>
      <c r="U148" s="10">
        <f t="shared" si="43"/>
        <v>0</v>
      </c>
      <c r="V148" s="10">
        <f t="shared" si="44"/>
        <v>0</v>
      </c>
      <c r="Y148" s="10">
        <f t="shared" si="52"/>
        <v>0</v>
      </c>
      <c r="Z148" s="10">
        <f t="shared" si="45"/>
        <v>0</v>
      </c>
      <c r="AA148" s="10">
        <f t="shared" si="46"/>
        <v>0</v>
      </c>
      <c r="AB148" s="10">
        <f t="shared" si="47"/>
        <v>-0.600823999755</v>
      </c>
      <c r="AC148" s="10">
        <f t="shared" si="48"/>
        <v>-16.241215558621825</v>
      </c>
      <c r="AD148" s="10">
        <f t="shared" si="49"/>
        <v>11.539380129519323</v>
      </c>
      <c r="AE148" s="10">
        <f t="shared" si="50"/>
        <v>-1</v>
      </c>
      <c r="AF148" s="10">
        <f t="shared" si="51"/>
        <v>0</v>
      </c>
      <c r="AI148" s="10">
        <f t="shared" si="53"/>
        <v>1</v>
      </c>
      <c r="AJ148" s="10">
        <f t="shared" si="54"/>
        <v>0</v>
      </c>
      <c r="AK148" s="10">
        <f t="shared" si="55"/>
        <v>0</v>
      </c>
      <c r="BJ148" s="11"/>
      <c r="BK148" s="29"/>
      <c r="BL148" s="29"/>
      <c r="BM148" s="11"/>
    </row>
    <row r="149" spans="2:65" x14ac:dyDescent="0.25">
      <c r="B149" s="10">
        <f t="shared" ref="B149:B212" si="56">B148+1</f>
        <v>130</v>
      </c>
      <c r="C149">
        <v>0.30199316825019196</v>
      </c>
      <c r="D149">
        <v>0.13886847227695398</v>
      </c>
      <c r="E149">
        <v>0.13800469985045929</v>
      </c>
      <c r="H149" s="18">
        <f>1</f>
        <v>1</v>
      </c>
      <c r="I149" s="19">
        <f t="shared" ref="I149:I212" si="57">C149*$C$7 +$C$5</f>
        <v>6.6428374668102315</v>
      </c>
      <c r="J149" s="19">
        <f t="shared" ref="J149:J212" si="58">D149*$C$10 +$C$9</f>
        <v>5.1995912888543856</v>
      </c>
      <c r="K149" s="18">
        <f t="shared" ref="K149:K212" si="59">IF(SUMPRODUCT(H149:J149,$G$10:$I$10)&gt;=0,1,-1)</f>
        <v>-1</v>
      </c>
      <c r="L149" s="17"/>
      <c r="M149" s="17"/>
      <c r="N149" s="18">
        <f t="shared" ref="N149:O212" si="60">IF($K149=1,I149,-100)</f>
        <v>-100</v>
      </c>
      <c r="O149" s="18">
        <f t="shared" si="60"/>
        <v>-100</v>
      </c>
      <c r="P149" s="18">
        <f t="shared" ref="P149:Q212" si="61">IF($K149=-1,I149,-100)</f>
        <v>6.6428374668102315</v>
      </c>
      <c r="Q149" s="18">
        <f t="shared" si="61"/>
        <v>5.1995912888543856</v>
      </c>
      <c r="S149" s="10">
        <f t="shared" ref="S149:S212" si="62">SUMPRODUCT(H149:J149,AB148:AD148)</f>
        <v>-48.488518818881246</v>
      </c>
      <c r="T149" s="10">
        <f t="shared" ref="T149:T212" si="63">IF(S149&gt;=0,1,-1)</f>
        <v>-1</v>
      </c>
      <c r="U149" s="10">
        <f t="shared" ref="U149:U212" si="64">(K149-T149)/2</f>
        <v>0</v>
      </c>
      <c r="V149" s="10">
        <f t="shared" ref="V149:V212" si="65">IF(U149&lt;&gt;0,1,0)</f>
        <v>0</v>
      </c>
      <c r="Y149" s="10">
        <f t="shared" si="52"/>
        <v>0</v>
      </c>
      <c r="Z149" s="10">
        <f t="shared" ref="Z149:Z212" si="66">IF(U149=0,0,$C$12*(U149)*I149)</f>
        <v>0</v>
      </c>
      <c r="AA149" s="10">
        <f t="shared" ref="AA149:AA212" si="67">IF(U149=0,0,$C$12*(U149)*J149)</f>
        <v>0</v>
      </c>
      <c r="AB149" s="10">
        <f t="shared" ref="AB149:AB212" si="68">IF(U149=0,AB148,AB148+$C$12*(U149)*H149)</f>
        <v>-0.600823999755</v>
      </c>
      <c r="AC149" s="10">
        <f t="shared" ref="AC149:AC212" si="69">IF(U149=0,AC148,AC148+$C$12*(U149)*I149)</f>
        <v>-16.241215558621825</v>
      </c>
      <c r="AD149" s="10">
        <f t="shared" ref="AD149:AD212" si="70">IF(U149=0,AD148,AD148+$C$12*(U149)*J149)</f>
        <v>11.539380129519323</v>
      </c>
      <c r="AE149" s="10">
        <f t="shared" ref="AE149:AE212" si="71">IF(SUMPRODUCT(H149:J149,$AR$29:$AT$29)&gt;=0,1,-1)</f>
        <v>-1</v>
      </c>
      <c r="AF149" s="10">
        <f t="shared" ref="AF149:AF212" si="72">IF(K149=AE149,0,1)</f>
        <v>0</v>
      </c>
      <c r="AI149" s="10">
        <f t="shared" si="53"/>
        <v>-1</v>
      </c>
      <c r="AJ149" s="10">
        <f t="shared" si="54"/>
        <v>0</v>
      </c>
      <c r="AK149" s="10">
        <f t="shared" si="55"/>
        <v>0</v>
      </c>
      <c r="BJ149" s="11"/>
      <c r="BK149" s="29"/>
      <c r="BL149" s="29"/>
      <c r="BM149" s="11"/>
    </row>
    <row r="150" spans="2:65" x14ac:dyDescent="0.25">
      <c r="B150" s="10">
        <f t="shared" si="56"/>
        <v>131</v>
      </c>
      <c r="C150">
        <v>-1.3008661881031003</v>
      </c>
      <c r="D150">
        <v>0.62821527535561472</v>
      </c>
      <c r="E150">
        <v>0.60597552415540024</v>
      </c>
      <c r="H150" s="18">
        <f>1</f>
        <v>1</v>
      </c>
      <c r="I150" s="19">
        <f t="shared" si="57"/>
        <v>4.3320530454480952</v>
      </c>
      <c r="J150" s="19">
        <f t="shared" si="58"/>
        <v>5.9050648943304083</v>
      </c>
      <c r="K150" s="18">
        <f t="shared" si="59"/>
        <v>1</v>
      </c>
      <c r="L150" s="17"/>
      <c r="M150" s="17"/>
      <c r="N150" s="18">
        <f t="shared" si="60"/>
        <v>4.3320530454480952</v>
      </c>
      <c r="O150" s="18">
        <f t="shared" si="60"/>
        <v>5.9050648943304083</v>
      </c>
      <c r="P150" s="18">
        <f t="shared" si="61"/>
        <v>-100</v>
      </c>
      <c r="Q150" s="18">
        <f t="shared" si="61"/>
        <v>-100</v>
      </c>
      <c r="S150" s="10">
        <f t="shared" si="62"/>
        <v>-2.8178428171032266</v>
      </c>
      <c r="T150" s="10">
        <f t="shared" si="63"/>
        <v>-1</v>
      </c>
      <c r="U150" s="10">
        <f t="shared" si="64"/>
        <v>1</v>
      </c>
      <c r="V150" s="10">
        <f t="shared" si="65"/>
        <v>1</v>
      </c>
      <c r="Y150" s="10">
        <f t="shared" ref="Y150:Y213" si="73">IF(U150=0,0,$C$12*(U150)*H150)</f>
        <v>0.70082399975499998</v>
      </c>
      <c r="Z150" s="10">
        <f t="shared" si="66"/>
        <v>3.0360067424617627</v>
      </c>
      <c r="AA150" s="10">
        <f t="shared" si="67"/>
        <v>4.1384111980574732</v>
      </c>
      <c r="AB150" s="10">
        <f t="shared" si="68"/>
        <v>9.9999999999999978E-2</v>
      </c>
      <c r="AC150" s="10">
        <f t="shared" si="69"/>
        <v>-13.205208816160063</v>
      </c>
      <c r="AD150" s="10">
        <f t="shared" si="70"/>
        <v>15.677791327576795</v>
      </c>
      <c r="AE150" s="10">
        <f t="shared" si="71"/>
        <v>1</v>
      </c>
      <c r="AF150" s="10">
        <f t="shared" si="72"/>
        <v>0</v>
      </c>
      <c r="AI150" s="10">
        <f t="shared" si="53"/>
        <v>-1</v>
      </c>
      <c r="AJ150" s="10">
        <f t="shared" si="54"/>
        <v>0</v>
      </c>
      <c r="AK150" s="10">
        <f t="shared" si="55"/>
        <v>0</v>
      </c>
      <c r="BJ150" s="11"/>
      <c r="BK150" s="29"/>
      <c r="BL150" s="29"/>
      <c r="BM150" s="11"/>
    </row>
    <row r="151" spans="2:65" x14ac:dyDescent="0.25">
      <c r="B151" s="10">
        <f t="shared" si="56"/>
        <v>132</v>
      </c>
      <c r="C151">
        <v>0.2117519670719048</v>
      </c>
      <c r="D151">
        <v>0.2244428287667688</v>
      </c>
      <c r="E151">
        <v>0.43244727927488019</v>
      </c>
      <c r="H151" s="18">
        <f>1</f>
        <v>1</v>
      </c>
      <c r="I151" s="19">
        <f t="shared" si="57"/>
        <v>6.5127399875640046</v>
      </c>
      <c r="J151" s="19">
        <f t="shared" si="58"/>
        <v>5.3229607467303692</v>
      </c>
      <c r="K151" s="18">
        <f t="shared" si="59"/>
        <v>-1</v>
      </c>
      <c r="L151" s="17"/>
      <c r="M151" s="17"/>
      <c r="N151" s="18">
        <f t="shared" si="60"/>
        <v>-100</v>
      </c>
      <c r="O151" s="18">
        <f t="shared" si="60"/>
        <v>-100</v>
      </c>
      <c r="P151" s="18">
        <f t="shared" si="61"/>
        <v>6.5127399875640046</v>
      </c>
      <c r="Q151" s="18">
        <f t="shared" si="61"/>
        <v>5.3229607467303692</v>
      </c>
      <c r="S151" s="10">
        <f t="shared" si="62"/>
        <v>-2.4498236690172916</v>
      </c>
      <c r="T151" s="10">
        <f t="shared" si="63"/>
        <v>-1</v>
      </c>
      <c r="U151" s="10">
        <f t="shared" si="64"/>
        <v>0</v>
      </c>
      <c r="V151" s="10">
        <f t="shared" si="65"/>
        <v>0</v>
      </c>
      <c r="Y151" s="10">
        <f t="shared" si="73"/>
        <v>0</v>
      </c>
      <c r="Z151" s="10">
        <f t="shared" si="66"/>
        <v>0</v>
      </c>
      <c r="AA151" s="10">
        <f t="shared" si="67"/>
        <v>0</v>
      </c>
      <c r="AB151" s="10">
        <f t="shared" si="68"/>
        <v>9.9999999999999978E-2</v>
      </c>
      <c r="AC151" s="10">
        <f t="shared" si="69"/>
        <v>-13.205208816160063</v>
      </c>
      <c r="AD151" s="10">
        <f t="shared" si="70"/>
        <v>15.677791327576795</v>
      </c>
      <c r="AE151" s="10">
        <f t="shared" si="71"/>
        <v>-1</v>
      </c>
      <c r="AF151" s="10">
        <f t="shared" si="72"/>
        <v>0</v>
      </c>
      <c r="AI151" s="10">
        <f t="shared" si="53"/>
        <v>-1</v>
      </c>
      <c r="AJ151" s="10">
        <f t="shared" si="54"/>
        <v>0</v>
      </c>
      <c r="AK151" s="10">
        <f t="shared" si="55"/>
        <v>0</v>
      </c>
      <c r="BJ151" s="11"/>
      <c r="BK151" s="29"/>
      <c r="BL151" s="29"/>
      <c r="BM151" s="11"/>
    </row>
    <row r="152" spans="2:65" x14ac:dyDescent="0.25">
      <c r="B152" s="10">
        <f t="shared" si="56"/>
        <v>133</v>
      </c>
      <c r="C152">
        <v>1.2278883332328405</v>
      </c>
      <c r="D152">
        <v>0.3224749889341183</v>
      </c>
      <c r="E152">
        <v>0.32013916440321055</v>
      </c>
      <c r="H152" s="18">
        <f>1</f>
        <v>1</v>
      </c>
      <c r="I152" s="19">
        <f t="shared" si="57"/>
        <v>7.9776670727740147</v>
      </c>
      <c r="J152" s="19">
        <f t="shared" si="58"/>
        <v>5.464290170057053</v>
      </c>
      <c r="K152" s="18">
        <f t="shared" si="59"/>
        <v>-1</v>
      </c>
      <c r="L152" s="17"/>
      <c r="M152" s="17"/>
      <c r="N152" s="18">
        <f t="shared" si="60"/>
        <v>-100</v>
      </c>
      <c r="O152" s="18">
        <f t="shared" si="60"/>
        <v>-100</v>
      </c>
      <c r="P152" s="18">
        <f t="shared" si="61"/>
        <v>7.9776670727740147</v>
      </c>
      <c r="Q152" s="18">
        <f t="shared" si="61"/>
        <v>5.464290170057053</v>
      </c>
      <c r="S152" s="10">
        <f t="shared" si="62"/>
        <v>-19.578758522301669</v>
      </c>
      <c r="T152" s="10">
        <f t="shared" si="63"/>
        <v>-1</v>
      </c>
      <c r="U152" s="10">
        <f t="shared" si="64"/>
        <v>0</v>
      </c>
      <c r="V152" s="10">
        <f t="shared" si="65"/>
        <v>0</v>
      </c>
      <c r="Y152" s="10">
        <f t="shared" si="73"/>
        <v>0</v>
      </c>
      <c r="Z152" s="10">
        <f t="shared" si="66"/>
        <v>0</v>
      </c>
      <c r="AA152" s="10">
        <f t="shared" si="67"/>
        <v>0</v>
      </c>
      <c r="AB152" s="10">
        <f t="shared" si="68"/>
        <v>9.9999999999999978E-2</v>
      </c>
      <c r="AC152" s="10">
        <f t="shared" si="69"/>
        <v>-13.205208816160063</v>
      </c>
      <c r="AD152" s="10">
        <f t="shared" si="70"/>
        <v>15.677791327576795</v>
      </c>
      <c r="AE152" s="10">
        <f t="shared" si="71"/>
        <v>-1</v>
      </c>
      <c r="AF152" s="10">
        <f t="shared" si="72"/>
        <v>0</v>
      </c>
      <c r="AI152" s="10">
        <f t="shared" ref="AI152:AI215" si="74">IF(SUMPRODUCT(H149:J149,$AI$17:$AK$17)&gt;=0,1,-1)</f>
        <v>-1</v>
      </c>
      <c r="AJ152" s="10">
        <f t="shared" ref="AJ152:AJ215" si="75">(K149-AI152)/2</f>
        <v>0</v>
      </c>
      <c r="AK152" s="10">
        <f t="shared" ref="AK152:AK215" si="76">IF(AJ152&lt;&gt;0,1,0)</f>
        <v>0</v>
      </c>
      <c r="BJ152" s="11"/>
      <c r="BK152" s="29"/>
      <c r="BL152" s="29"/>
      <c r="BM152" s="11"/>
    </row>
    <row r="153" spans="2:65" x14ac:dyDescent="0.25">
      <c r="B153" s="10">
        <f t="shared" si="56"/>
        <v>134</v>
      </c>
      <c r="C153">
        <v>-0.7446283234457951</v>
      </c>
      <c r="D153">
        <v>-0.53682697398471646</v>
      </c>
      <c r="E153">
        <v>0.88137455366679895</v>
      </c>
      <c r="H153" s="18">
        <f>1</f>
        <v>1</v>
      </c>
      <c r="I153" s="19">
        <f t="shared" si="57"/>
        <v>5.1339610775702429</v>
      </c>
      <c r="J153" s="19">
        <f t="shared" si="58"/>
        <v>4.2254655774387846</v>
      </c>
      <c r="K153" s="18">
        <f t="shared" si="59"/>
        <v>-1</v>
      </c>
      <c r="L153" s="17"/>
      <c r="M153" s="17"/>
      <c r="N153" s="18">
        <f t="shared" si="60"/>
        <v>-100</v>
      </c>
      <c r="O153" s="18">
        <f t="shared" si="60"/>
        <v>-100</v>
      </c>
      <c r="P153" s="18">
        <f t="shared" si="61"/>
        <v>5.1339610775702429</v>
      </c>
      <c r="Q153" s="18">
        <f t="shared" si="61"/>
        <v>4.2254655774387846</v>
      </c>
      <c r="S153" s="10">
        <f t="shared" si="62"/>
        <v>-1.4490604984091391</v>
      </c>
      <c r="T153" s="10">
        <f t="shared" si="63"/>
        <v>-1</v>
      </c>
      <c r="U153" s="10">
        <f t="shared" si="64"/>
        <v>0</v>
      </c>
      <c r="V153" s="10">
        <f t="shared" si="65"/>
        <v>0</v>
      </c>
      <c r="Y153" s="10">
        <f t="shared" si="73"/>
        <v>0</v>
      </c>
      <c r="Z153" s="10">
        <f t="shared" si="66"/>
        <v>0</v>
      </c>
      <c r="AA153" s="10">
        <f t="shared" si="67"/>
        <v>0</v>
      </c>
      <c r="AB153" s="10">
        <f t="shared" si="68"/>
        <v>9.9999999999999978E-2</v>
      </c>
      <c r="AC153" s="10">
        <f t="shared" si="69"/>
        <v>-13.205208816160063</v>
      </c>
      <c r="AD153" s="10">
        <f t="shared" si="70"/>
        <v>15.677791327576795</v>
      </c>
      <c r="AE153" s="10">
        <f t="shared" si="71"/>
        <v>-1</v>
      </c>
      <c r="AF153" s="10">
        <f t="shared" si="72"/>
        <v>0</v>
      </c>
      <c r="AI153" s="10">
        <f t="shared" si="74"/>
        <v>1</v>
      </c>
      <c r="AJ153" s="10">
        <f t="shared" si="75"/>
        <v>0</v>
      </c>
      <c r="AK153" s="10">
        <f t="shared" si="76"/>
        <v>0</v>
      </c>
      <c r="BJ153" s="11"/>
      <c r="BK153" s="29"/>
      <c r="BL153" s="29"/>
      <c r="BM153" s="11"/>
    </row>
    <row r="154" spans="2:65" x14ac:dyDescent="0.25">
      <c r="B154" s="10">
        <f t="shared" si="56"/>
        <v>135</v>
      </c>
      <c r="C154">
        <v>-1.5363411876023747</v>
      </c>
      <c r="D154">
        <v>0.23701318241364788</v>
      </c>
      <c r="E154">
        <v>4.7883541367839594E-2</v>
      </c>
      <c r="H154" s="18">
        <f>1</f>
        <v>1</v>
      </c>
      <c r="I154" s="19">
        <f t="shared" si="57"/>
        <v>3.9925772465850256</v>
      </c>
      <c r="J154" s="19">
        <f t="shared" si="58"/>
        <v>5.3410829714053447</v>
      </c>
      <c r="K154" s="18">
        <f t="shared" si="59"/>
        <v>1</v>
      </c>
      <c r="L154" s="17"/>
      <c r="M154" s="17"/>
      <c r="N154" s="18">
        <f t="shared" si="60"/>
        <v>3.9925772465850256</v>
      </c>
      <c r="O154" s="18">
        <f t="shared" si="60"/>
        <v>5.3410829714053447</v>
      </c>
      <c r="P154" s="18">
        <f t="shared" si="61"/>
        <v>-100</v>
      </c>
      <c r="Q154" s="18">
        <f t="shared" si="61"/>
        <v>-100</v>
      </c>
      <c r="S154" s="10">
        <f t="shared" si="62"/>
        <v>31.113568033162167</v>
      </c>
      <c r="T154" s="10">
        <f t="shared" si="63"/>
        <v>1</v>
      </c>
      <c r="U154" s="10">
        <f t="shared" si="64"/>
        <v>0</v>
      </c>
      <c r="V154" s="10">
        <f t="shared" si="65"/>
        <v>0</v>
      </c>
      <c r="Y154" s="10">
        <f t="shared" si="73"/>
        <v>0</v>
      </c>
      <c r="Z154" s="10">
        <f t="shared" si="66"/>
        <v>0</v>
      </c>
      <c r="AA154" s="10">
        <f t="shared" si="67"/>
        <v>0</v>
      </c>
      <c r="AB154" s="10">
        <f t="shared" si="68"/>
        <v>9.9999999999999978E-2</v>
      </c>
      <c r="AC154" s="10">
        <f t="shared" si="69"/>
        <v>-13.205208816160063</v>
      </c>
      <c r="AD154" s="10">
        <f t="shared" si="70"/>
        <v>15.677791327576795</v>
      </c>
      <c r="AE154" s="10">
        <f t="shared" si="71"/>
        <v>1</v>
      </c>
      <c r="AF154" s="10">
        <f t="shared" si="72"/>
        <v>0</v>
      </c>
      <c r="AI154" s="10">
        <f t="shared" si="74"/>
        <v>-1</v>
      </c>
      <c r="AJ154" s="10">
        <f t="shared" si="75"/>
        <v>0</v>
      </c>
      <c r="AK154" s="10">
        <f t="shared" si="76"/>
        <v>0</v>
      </c>
      <c r="BJ154" s="11"/>
      <c r="BK154" s="29"/>
      <c r="BL154" s="29"/>
      <c r="BM154" s="11"/>
    </row>
    <row r="155" spans="2:65" x14ac:dyDescent="0.25">
      <c r="B155" s="10">
        <f t="shared" si="56"/>
        <v>136</v>
      </c>
      <c r="C155">
        <v>0.81588950706645846</v>
      </c>
      <c r="D155">
        <v>-0.11103566066594794</v>
      </c>
      <c r="E155">
        <v>0.92876979888302258</v>
      </c>
      <c r="H155" s="18">
        <f>1</f>
        <v>1</v>
      </c>
      <c r="I155" s="19">
        <f t="shared" si="57"/>
        <v>7.3837032509632383</v>
      </c>
      <c r="J155" s="19">
        <f t="shared" si="58"/>
        <v>4.8393135296426868</v>
      </c>
      <c r="K155" s="18">
        <f t="shared" si="59"/>
        <v>-1</v>
      </c>
      <c r="L155" s="17"/>
      <c r="M155" s="17"/>
      <c r="N155" s="18">
        <f t="shared" si="60"/>
        <v>-100</v>
      </c>
      <c r="O155" s="18">
        <f t="shared" si="60"/>
        <v>-100</v>
      </c>
      <c r="P155" s="18">
        <f t="shared" si="61"/>
        <v>7.3837032509632383</v>
      </c>
      <c r="Q155" s="18">
        <f t="shared" si="61"/>
        <v>4.8393135296426868</v>
      </c>
      <c r="S155" s="10">
        <f t="shared" si="62"/>
        <v>-21.533595579072312</v>
      </c>
      <c r="T155" s="10">
        <f t="shared" si="63"/>
        <v>-1</v>
      </c>
      <c r="U155" s="10">
        <f t="shared" si="64"/>
        <v>0</v>
      </c>
      <c r="V155" s="10">
        <f t="shared" si="65"/>
        <v>0</v>
      </c>
      <c r="Y155" s="10">
        <f t="shared" si="73"/>
        <v>0</v>
      </c>
      <c r="Z155" s="10">
        <f t="shared" si="66"/>
        <v>0</v>
      </c>
      <c r="AA155" s="10">
        <f t="shared" si="67"/>
        <v>0</v>
      </c>
      <c r="AB155" s="10">
        <f t="shared" si="68"/>
        <v>9.9999999999999978E-2</v>
      </c>
      <c r="AC155" s="10">
        <f t="shared" si="69"/>
        <v>-13.205208816160063</v>
      </c>
      <c r="AD155" s="10">
        <f t="shared" si="70"/>
        <v>15.677791327576795</v>
      </c>
      <c r="AE155" s="10">
        <f t="shared" si="71"/>
        <v>-1</v>
      </c>
      <c r="AF155" s="10">
        <f t="shared" si="72"/>
        <v>0</v>
      </c>
      <c r="AI155" s="10">
        <f t="shared" si="74"/>
        <v>-1</v>
      </c>
      <c r="AJ155" s="10">
        <f t="shared" si="75"/>
        <v>0</v>
      </c>
      <c r="AK155" s="10">
        <f t="shared" si="76"/>
        <v>0</v>
      </c>
      <c r="BJ155" s="11"/>
      <c r="BK155" s="29"/>
      <c r="BL155" s="29"/>
      <c r="BM155" s="11"/>
    </row>
    <row r="156" spans="2:65" x14ac:dyDescent="0.25">
      <c r="B156" s="10">
        <f t="shared" si="56"/>
        <v>137</v>
      </c>
      <c r="C156">
        <v>-0.6261666385398712</v>
      </c>
      <c r="D156">
        <v>-0.8415554475504905</v>
      </c>
      <c r="E156">
        <v>0.85131382183294169</v>
      </c>
      <c r="H156" s="18">
        <f>1</f>
        <v>1</v>
      </c>
      <c r="I156" s="19">
        <f t="shared" si="57"/>
        <v>5.3047430085761622</v>
      </c>
      <c r="J156" s="19">
        <f t="shared" si="58"/>
        <v>3.7861495472018509</v>
      </c>
      <c r="K156" s="18">
        <f t="shared" si="59"/>
        <v>-1</v>
      </c>
      <c r="L156" s="17"/>
      <c r="M156" s="17"/>
      <c r="N156" s="18">
        <f t="shared" si="60"/>
        <v>-100</v>
      </c>
      <c r="O156" s="18">
        <f t="shared" si="60"/>
        <v>-100</v>
      </c>
      <c r="P156" s="18">
        <f t="shared" si="61"/>
        <v>5.3047430085761622</v>
      </c>
      <c r="Q156" s="18">
        <f t="shared" si="61"/>
        <v>3.7861495472018509</v>
      </c>
      <c r="S156" s="10">
        <f t="shared" si="62"/>
        <v>-10.591776608283411</v>
      </c>
      <c r="T156" s="10">
        <f t="shared" si="63"/>
        <v>-1</v>
      </c>
      <c r="U156" s="10">
        <f t="shared" si="64"/>
        <v>0</v>
      </c>
      <c r="V156" s="10">
        <f t="shared" si="65"/>
        <v>0</v>
      </c>
      <c r="Y156" s="10">
        <f t="shared" si="73"/>
        <v>0</v>
      </c>
      <c r="Z156" s="10">
        <f t="shared" si="66"/>
        <v>0</v>
      </c>
      <c r="AA156" s="10">
        <f t="shared" si="67"/>
        <v>0</v>
      </c>
      <c r="AB156" s="10">
        <f t="shared" si="68"/>
        <v>9.9999999999999978E-2</v>
      </c>
      <c r="AC156" s="10">
        <f t="shared" si="69"/>
        <v>-13.205208816160063</v>
      </c>
      <c r="AD156" s="10">
        <f t="shared" si="70"/>
        <v>15.677791327576795</v>
      </c>
      <c r="AE156" s="10">
        <f t="shared" si="71"/>
        <v>-1</v>
      </c>
      <c r="AF156" s="10">
        <f t="shared" si="72"/>
        <v>0</v>
      </c>
      <c r="AI156" s="10">
        <f t="shared" si="74"/>
        <v>-1</v>
      </c>
      <c r="AJ156" s="10">
        <f t="shared" si="75"/>
        <v>0</v>
      </c>
      <c r="AK156" s="10">
        <f t="shared" si="76"/>
        <v>0</v>
      </c>
      <c r="BJ156" s="11"/>
      <c r="BK156" s="29"/>
      <c r="BL156" s="29"/>
      <c r="BM156" s="11"/>
    </row>
    <row r="157" spans="2:65" x14ac:dyDescent="0.25">
      <c r="B157" s="10">
        <f t="shared" si="56"/>
        <v>138</v>
      </c>
      <c r="C157">
        <v>5.4071733757155016E-2</v>
      </c>
      <c r="D157">
        <v>-1.8266564438818023</v>
      </c>
      <c r="E157">
        <v>0.7687612537003693</v>
      </c>
      <c r="H157" s="18">
        <f>1</f>
        <v>1</v>
      </c>
      <c r="I157" s="19">
        <f t="shared" si="57"/>
        <v>6.2854180923170961</v>
      </c>
      <c r="J157" s="19">
        <f t="shared" si="58"/>
        <v>2.3659650333405033</v>
      </c>
      <c r="K157" s="18">
        <f t="shared" si="59"/>
        <v>-1</v>
      </c>
      <c r="L157" s="17"/>
      <c r="M157" s="17"/>
      <c r="N157" s="18">
        <f t="shared" si="60"/>
        <v>-100</v>
      </c>
      <c r="O157" s="18">
        <f t="shared" si="60"/>
        <v>-100</v>
      </c>
      <c r="P157" s="18">
        <f t="shared" si="61"/>
        <v>6.2854180923170961</v>
      </c>
      <c r="Q157" s="18">
        <f t="shared" si="61"/>
        <v>2.3659650333405033</v>
      </c>
      <c r="S157" s="10">
        <f t="shared" si="62"/>
        <v>-45.807152324861995</v>
      </c>
      <c r="T157" s="10">
        <f t="shared" si="63"/>
        <v>-1</v>
      </c>
      <c r="U157" s="10">
        <f t="shared" si="64"/>
        <v>0</v>
      </c>
      <c r="V157" s="10">
        <f t="shared" si="65"/>
        <v>0</v>
      </c>
      <c r="Y157" s="10">
        <f t="shared" si="73"/>
        <v>0</v>
      </c>
      <c r="Z157" s="10">
        <f t="shared" si="66"/>
        <v>0</v>
      </c>
      <c r="AA157" s="10">
        <f t="shared" si="67"/>
        <v>0</v>
      </c>
      <c r="AB157" s="10">
        <f t="shared" si="68"/>
        <v>9.9999999999999978E-2</v>
      </c>
      <c r="AC157" s="10">
        <f t="shared" si="69"/>
        <v>-13.205208816160063</v>
      </c>
      <c r="AD157" s="10">
        <f t="shared" si="70"/>
        <v>15.677791327576795</v>
      </c>
      <c r="AE157" s="10">
        <f t="shared" si="71"/>
        <v>-1</v>
      </c>
      <c r="AF157" s="10">
        <f t="shared" si="72"/>
        <v>0</v>
      </c>
      <c r="AI157" s="10">
        <f t="shared" si="74"/>
        <v>1</v>
      </c>
      <c r="AJ157" s="10">
        <f t="shared" si="75"/>
        <v>0</v>
      </c>
      <c r="AK157" s="10">
        <f t="shared" si="76"/>
        <v>0</v>
      </c>
      <c r="BJ157" s="11"/>
      <c r="BK157" s="29"/>
      <c r="BL157" s="29"/>
      <c r="BM157" s="11"/>
    </row>
    <row r="158" spans="2:65" x14ac:dyDescent="0.25">
      <c r="B158" s="10">
        <f t="shared" si="56"/>
        <v>139</v>
      </c>
      <c r="C158">
        <v>-2.2335370886139572</v>
      </c>
      <c r="D158">
        <v>-0.88531351138954051</v>
      </c>
      <c r="E158">
        <v>0.31983397930845059</v>
      </c>
      <c r="H158" s="18">
        <f>1</f>
        <v>1</v>
      </c>
      <c r="I158" s="19">
        <f t="shared" si="57"/>
        <v>2.9874551063864687</v>
      </c>
      <c r="J158" s="19">
        <f t="shared" si="58"/>
        <v>3.7230651275817186</v>
      </c>
      <c r="K158" s="18">
        <f t="shared" si="59"/>
        <v>1</v>
      </c>
      <c r="L158" s="17"/>
      <c r="M158" s="17"/>
      <c r="N158" s="18">
        <f t="shared" si="60"/>
        <v>2.9874551063864687</v>
      </c>
      <c r="O158" s="18">
        <f t="shared" si="60"/>
        <v>3.7230651275817186</v>
      </c>
      <c r="P158" s="18">
        <f t="shared" si="61"/>
        <v>-100</v>
      </c>
      <c r="Q158" s="18">
        <f t="shared" si="61"/>
        <v>-100</v>
      </c>
      <c r="S158" s="10">
        <f t="shared" si="62"/>
        <v>19.019469660467266</v>
      </c>
      <c r="T158" s="10">
        <f t="shared" si="63"/>
        <v>1</v>
      </c>
      <c r="U158" s="10">
        <f t="shared" si="64"/>
        <v>0</v>
      </c>
      <c r="V158" s="10">
        <f t="shared" si="65"/>
        <v>0</v>
      </c>
      <c r="Y158" s="10">
        <f t="shared" si="73"/>
        <v>0</v>
      </c>
      <c r="Z158" s="10">
        <f t="shared" si="66"/>
        <v>0</v>
      </c>
      <c r="AA158" s="10">
        <f t="shared" si="67"/>
        <v>0</v>
      </c>
      <c r="AB158" s="10">
        <f t="shared" si="68"/>
        <v>9.9999999999999978E-2</v>
      </c>
      <c r="AC158" s="10">
        <f t="shared" si="69"/>
        <v>-13.205208816160063</v>
      </c>
      <c r="AD158" s="10">
        <f t="shared" si="70"/>
        <v>15.677791327576795</v>
      </c>
      <c r="AE158" s="10">
        <f t="shared" si="71"/>
        <v>1</v>
      </c>
      <c r="AF158" s="10">
        <f t="shared" si="72"/>
        <v>0</v>
      </c>
      <c r="AI158" s="10">
        <f t="shared" si="74"/>
        <v>-1</v>
      </c>
      <c r="AJ158" s="10">
        <f t="shared" si="75"/>
        <v>0</v>
      </c>
      <c r="AK158" s="10">
        <f t="shared" si="76"/>
        <v>0</v>
      </c>
      <c r="BJ158" s="11"/>
      <c r="BK158" s="29"/>
      <c r="BL158" s="29"/>
      <c r="BM158" s="11"/>
    </row>
    <row r="159" spans="2:65" x14ac:dyDescent="0.25">
      <c r="B159" s="10">
        <f t="shared" si="56"/>
        <v>140</v>
      </c>
      <c r="C159">
        <v>1.0269309314026032</v>
      </c>
      <c r="D159">
        <v>-0.67734958975051995</v>
      </c>
      <c r="E159">
        <v>0.17957090975676748</v>
      </c>
      <c r="H159" s="18">
        <f>1</f>
        <v>1</v>
      </c>
      <c r="I159" s="19">
        <f t="shared" si="57"/>
        <v>7.6879540473197903</v>
      </c>
      <c r="J159" s="19">
        <f t="shared" si="58"/>
        <v>4.0228791994926558</v>
      </c>
      <c r="K159" s="18">
        <f t="shared" si="59"/>
        <v>-1</v>
      </c>
      <c r="L159" s="17"/>
      <c r="M159" s="17"/>
      <c r="N159" s="18">
        <f t="shared" si="60"/>
        <v>-100</v>
      </c>
      <c r="O159" s="18">
        <f t="shared" si="60"/>
        <v>-100</v>
      </c>
      <c r="P159" s="18">
        <f t="shared" si="61"/>
        <v>7.6879540473197903</v>
      </c>
      <c r="Q159" s="18">
        <f t="shared" si="61"/>
        <v>4.0228791994926558</v>
      </c>
      <c r="S159" s="10">
        <f t="shared" si="62"/>
        <v>-38.351177938205701</v>
      </c>
      <c r="T159" s="10">
        <f t="shared" si="63"/>
        <v>-1</v>
      </c>
      <c r="U159" s="10">
        <f t="shared" si="64"/>
        <v>0</v>
      </c>
      <c r="V159" s="10">
        <f t="shared" si="65"/>
        <v>0</v>
      </c>
      <c r="X159" s="10">
        <f>SUM(V140:V159)</f>
        <v>5</v>
      </c>
      <c r="Y159" s="10">
        <f t="shared" si="73"/>
        <v>0</v>
      </c>
      <c r="Z159" s="10">
        <f t="shared" si="66"/>
        <v>0</v>
      </c>
      <c r="AA159" s="10">
        <f t="shared" si="67"/>
        <v>0</v>
      </c>
      <c r="AB159" s="10">
        <f t="shared" si="68"/>
        <v>9.9999999999999978E-2</v>
      </c>
      <c r="AC159" s="10">
        <f t="shared" si="69"/>
        <v>-13.205208816160063</v>
      </c>
      <c r="AD159" s="10">
        <f t="shared" si="70"/>
        <v>15.677791327576795</v>
      </c>
      <c r="AE159" s="10">
        <f t="shared" si="71"/>
        <v>-1</v>
      </c>
      <c r="AF159" s="10">
        <f t="shared" si="72"/>
        <v>0</v>
      </c>
      <c r="AI159" s="10">
        <f t="shared" si="74"/>
        <v>-1</v>
      </c>
      <c r="AJ159" s="10">
        <f t="shared" si="75"/>
        <v>0</v>
      </c>
      <c r="AK159" s="10">
        <f t="shared" si="76"/>
        <v>0</v>
      </c>
      <c r="BJ159" s="11"/>
      <c r="BK159" s="29"/>
      <c r="BL159" s="29"/>
      <c r="BM159" s="11"/>
    </row>
    <row r="160" spans="2:65" x14ac:dyDescent="0.25">
      <c r="B160" s="10">
        <f t="shared" si="56"/>
        <v>141</v>
      </c>
      <c r="C160">
        <v>0.23331722331931815</v>
      </c>
      <c r="D160">
        <v>-0.37286326914909296</v>
      </c>
      <c r="E160">
        <v>0.29151280251472517</v>
      </c>
      <c r="H160" s="18">
        <f>1</f>
        <v>1</v>
      </c>
      <c r="I160" s="19">
        <f t="shared" si="57"/>
        <v>6.543829838324573</v>
      </c>
      <c r="J160" s="19">
        <f t="shared" si="58"/>
        <v>4.4618461265500855</v>
      </c>
      <c r="K160" s="18">
        <f t="shared" si="59"/>
        <v>-1</v>
      </c>
      <c r="L160" s="17"/>
      <c r="M160" s="17"/>
      <c r="N160" s="18">
        <f t="shared" si="60"/>
        <v>-100</v>
      </c>
      <c r="O160" s="18">
        <f t="shared" si="60"/>
        <v>-100</v>
      </c>
      <c r="P160" s="18">
        <f t="shared" si="61"/>
        <v>6.543829838324573</v>
      </c>
      <c r="Q160" s="18">
        <f t="shared" si="61"/>
        <v>4.4618461265500855</v>
      </c>
      <c r="S160" s="12">
        <f t="shared" si="62"/>
        <v>-16.360746964685887</v>
      </c>
      <c r="T160" s="12">
        <f t="shared" si="63"/>
        <v>-1</v>
      </c>
      <c r="U160" s="12">
        <f t="shared" si="64"/>
        <v>0</v>
      </c>
      <c r="V160" s="12">
        <f t="shared" si="65"/>
        <v>0</v>
      </c>
      <c r="W160" s="12"/>
      <c r="X160" s="12"/>
      <c r="Y160" s="10">
        <f t="shared" si="73"/>
        <v>0</v>
      </c>
      <c r="Z160" s="10">
        <f t="shared" si="66"/>
        <v>0</v>
      </c>
      <c r="AA160" s="10">
        <f t="shared" si="67"/>
        <v>0</v>
      </c>
      <c r="AB160" s="10">
        <f t="shared" si="68"/>
        <v>9.9999999999999978E-2</v>
      </c>
      <c r="AC160" s="10">
        <f t="shared" si="69"/>
        <v>-13.205208816160063</v>
      </c>
      <c r="AD160" s="10">
        <f t="shared" si="70"/>
        <v>15.677791327576795</v>
      </c>
      <c r="AE160" s="10">
        <f t="shared" si="71"/>
        <v>-1</v>
      </c>
      <c r="AF160" s="10">
        <f t="shared" si="72"/>
        <v>0</v>
      </c>
      <c r="AI160" s="10">
        <f t="shared" si="74"/>
        <v>-1</v>
      </c>
      <c r="AJ160" s="10">
        <f t="shared" si="75"/>
        <v>0</v>
      </c>
      <c r="AK160" s="10">
        <f t="shared" si="76"/>
        <v>0</v>
      </c>
      <c r="BJ160" s="11"/>
      <c r="BK160" s="29"/>
      <c r="BL160" s="29"/>
      <c r="BM160" s="11"/>
    </row>
    <row r="161" spans="2:65" x14ac:dyDescent="0.25">
      <c r="B161" s="10">
        <f t="shared" si="56"/>
        <v>142</v>
      </c>
      <c r="C161">
        <v>1.2409986993588973</v>
      </c>
      <c r="D161">
        <v>0.5268680070003029</v>
      </c>
      <c r="E161">
        <v>0.69243446150090027</v>
      </c>
      <c r="H161" s="18">
        <f>1</f>
        <v>1</v>
      </c>
      <c r="I161" s="19">
        <f t="shared" si="57"/>
        <v>7.9965678139291034</v>
      </c>
      <c r="J161" s="19">
        <f t="shared" si="58"/>
        <v>5.7589561993068612</v>
      </c>
      <c r="K161" s="18">
        <f t="shared" si="59"/>
        <v>-1</v>
      </c>
      <c r="L161" s="17"/>
      <c r="M161" s="17"/>
      <c r="N161" s="18">
        <f t="shared" si="60"/>
        <v>-100</v>
      </c>
      <c r="O161" s="18">
        <f t="shared" si="60"/>
        <v>-100</v>
      </c>
      <c r="P161" s="18">
        <f t="shared" si="61"/>
        <v>7.9965678139291034</v>
      </c>
      <c r="Q161" s="18">
        <f t="shared" si="61"/>
        <v>5.7589561993068612</v>
      </c>
      <c r="S161" s="10">
        <f t="shared" si="62"/>
        <v>-15.208634238130671</v>
      </c>
      <c r="T161" s="10">
        <f t="shared" si="63"/>
        <v>-1</v>
      </c>
      <c r="U161" s="10">
        <f t="shared" si="64"/>
        <v>0</v>
      </c>
      <c r="V161" s="10">
        <f t="shared" si="65"/>
        <v>0</v>
      </c>
      <c r="Y161" s="10">
        <f t="shared" si="73"/>
        <v>0</v>
      </c>
      <c r="Z161" s="10">
        <f t="shared" si="66"/>
        <v>0</v>
      </c>
      <c r="AA161" s="10">
        <f t="shared" si="67"/>
        <v>0</v>
      </c>
      <c r="AB161" s="10">
        <f t="shared" si="68"/>
        <v>9.9999999999999978E-2</v>
      </c>
      <c r="AC161" s="10">
        <f t="shared" si="69"/>
        <v>-13.205208816160063</v>
      </c>
      <c r="AD161" s="10">
        <f t="shared" si="70"/>
        <v>15.677791327576795</v>
      </c>
      <c r="AE161" s="10">
        <f t="shared" si="71"/>
        <v>-1</v>
      </c>
      <c r="AF161" s="10">
        <f t="shared" si="72"/>
        <v>0</v>
      </c>
      <c r="AI161" s="10">
        <f t="shared" si="74"/>
        <v>1</v>
      </c>
      <c r="AJ161" s="10">
        <f t="shared" si="75"/>
        <v>0</v>
      </c>
      <c r="AK161" s="10">
        <f t="shared" si="76"/>
        <v>0</v>
      </c>
      <c r="BJ161" s="11"/>
      <c r="BK161" s="29"/>
      <c r="BL161" s="29"/>
      <c r="BM161" s="11"/>
    </row>
    <row r="162" spans="2:65" x14ac:dyDescent="0.25">
      <c r="B162" s="10">
        <f t="shared" si="56"/>
        <v>143</v>
      </c>
      <c r="C162">
        <v>0.89794866653392091</v>
      </c>
      <c r="D162">
        <v>1.5232762962114066</v>
      </c>
      <c r="E162">
        <v>0.34922330393383588</v>
      </c>
      <c r="H162" s="18">
        <f>1</f>
        <v>1</v>
      </c>
      <c r="I162" s="19">
        <f t="shared" si="57"/>
        <v>7.5020049762992</v>
      </c>
      <c r="J162" s="19">
        <f t="shared" si="58"/>
        <v>7.195442028770751</v>
      </c>
      <c r="K162" s="18">
        <f t="shared" si="59"/>
        <v>-1</v>
      </c>
      <c r="L162" s="17"/>
      <c r="M162" s="17"/>
      <c r="N162" s="18">
        <f t="shared" si="60"/>
        <v>-100</v>
      </c>
      <c r="O162" s="18">
        <f t="shared" si="60"/>
        <v>-100</v>
      </c>
      <c r="P162" s="18">
        <f t="shared" si="61"/>
        <v>7.5020049762992</v>
      </c>
      <c r="Q162" s="18">
        <f t="shared" si="61"/>
        <v>7.195442028770751</v>
      </c>
      <c r="S162" s="10">
        <f t="shared" si="62"/>
        <v>13.843096384840806</v>
      </c>
      <c r="T162" s="10">
        <f t="shared" si="63"/>
        <v>1</v>
      </c>
      <c r="U162" s="10">
        <f t="shared" si="64"/>
        <v>-1</v>
      </c>
      <c r="V162" s="10">
        <f t="shared" si="65"/>
        <v>1</v>
      </c>
      <c r="Y162" s="10">
        <f t="shared" si="73"/>
        <v>-0.70082399975499998</v>
      </c>
      <c r="Z162" s="10">
        <f t="shared" si="66"/>
        <v>-5.2575851336719195</v>
      </c>
      <c r="AA162" s="10">
        <f t="shared" si="67"/>
        <v>-5.0427384626083498</v>
      </c>
      <c r="AB162" s="10">
        <f t="shared" si="68"/>
        <v>-0.600823999755</v>
      </c>
      <c r="AC162" s="10">
        <f t="shared" si="69"/>
        <v>-18.462793949831983</v>
      </c>
      <c r="AD162" s="10">
        <f t="shared" si="70"/>
        <v>10.635052864968445</v>
      </c>
      <c r="AE162" s="10">
        <f t="shared" si="71"/>
        <v>-1</v>
      </c>
      <c r="AF162" s="10">
        <f t="shared" si="72"/>
        <v>0</v>
      </c>
      <c r="AI162" s="10">
        <f t="shared" si="74"/>
        <v>-1</v>
      </c>
      <c r="AJ162" s="10">
        <f t="shared" si="75"/>
        <v>0</v>
      </c>
      <c r="AK162" s="10">
        <f t="shared" si="76"/>
        <v>0</v>
      </c>
      <c r="BJ162" s="11"/>
      <c r="BK162" s="29"/>
      <c r="BL162" s="29"/>
      <c r="BM162" s="11"/>
    </row>
    <row r="163" spans="2:65" x14ac:dyDescent="0.25">
      <c r="B163" s="10">
        <f t="shared" si="56"/>
        <v>144</v>
      </c>
      <c r="C163">
        <v>-0.1606076693860814</v>
      </c>
      <c r="D163">
        <v>-1.3847056834492832</v>
      </c>
      <c r="E163">
        <v>9.0548417615283663E-2</v>
      </c>
      <c r="H163" s="18">
        <f>1</f>
        <v>1</v>
      </c>
      <c r="I163" s="19">
        <f t="shared" si="57"/>
        <v>5.975922553357675</v>
      </c>
      <c r="J163" s="19">
        <f t="shared" si="58"/>
        <v>3.0031094765935245</v>
      </c>
      <c r="K163" s="18">
        <f t="shared" si="59"/>
        <v>-1</v>
      </c>
      <c r="L163" s="17"/>
      <c r="M163" s="17"/>
      <c r="N163" s="18">
        <f t="shared" si="60"/>
        <v>-100</v>
      </c>
      <c r="O163" s="18">
        <f t="shared" si="60"/>
        <v>-100</v>
      </c>
      <c r="P163" s="18">
        <f t="shared" si="61"/>
        <v>5.975922553357675</v>
      </c>
      <c r="Q163" s="18">
        <f t="shared" si="61"/>
        <v>3.0031094765935245</v>
      </c>
      <c r="S163" s="10">
        <f t="shared" si="62"/>
        <v>-78.994822719691726</v>
      </c>
      <c r="T163" s="10">
        <f t="shared" si="63"/>
        <v>-1</v>
      </c>
      <c r="U163" s="10">
        <f t="shared" si="64"/>
        <v>0</v>
      </c>
      <c r="V163" s="10">
        <f t="shared" si="65"/>
        <v>0</v>
      </c>
      <c r="Y163" s="10">
        <f t="shared" si="73"/>
        <v>0</v>
      </c>
      <c r="Z163" s="10">
        <f t="shared" si="66"/>
        <v>0</v>
      </c>
      <c r="AA163" s="10">
        <f t="shared" si="67"/>
        <v>0</v>
      </c>
      <c r="AB163" s="10">
        <f t="shared" si="68"/>
        <v>-0.600823999755</v>
      </c>
      <c r="AC163" s="10">
        <f t="shared" si="69"/>
        <v>-18.462793949831983</v>
      </c>
      <c r="AD163" s="10">
        <f t="shared" si="70"/>
        <v>10.635052864968445</v>
      </c>
      <c r="AE163" s="10">
        <f t="shared" si="71"/>
        <v>-1</v>
      </c>
      <c r="AF163" s="10">
        <f t="shared" si="72"/>
        <v>0</v>
      </c>
      <c r="AI163" s="10">
        <f t="shared" si="74"/>
        <v>-1</v>
      </c>
      <c r="AJ163" s="10">
        <f t="shared" si="75"/>
        <v>0</v>
      </c>
      <c r="AK163" s="10">
        <f t="shared" si="76"/>
        <v>0</v>
      </c>
      <c r="BJ163" s="11"/>
      <c r="BK163" s="29"/>
      <c r="BL163" s="29"/>
      <c r="BM163" s="11"/>
    </row>
    <row r="164" spans="2:65" x14ac:dyDescent="0.25">
      <c r="B164" s="10">
        <f t="shared" si="56"/>
        <v>145</v>
      </c>
      <c r="C164">
        <v>3.2971729524433613</v>
      </c>
      <c r="D164">
        <v>-0.57089437177637592</v>
      </c>
      <c r="E164">
        <v>0.35987426374095888</v>
      </c>
      <c r="H164" s="18">
        <f>1</f>
        <v>1</v>
      </c>
      <c r="I164" s="19">
        <f t="shared" si="57"/>
        <v>10.960879943249971</v>
      </c>
      <c r="J164" s="19">
        <f t="shared" si="58"/>
        <v>4.1763518409270439</v>
      </c>
      <c r="K164" s="18">
        <f t="shared" si="59"/>
        <v>-1</v>
      </c>
      <c r="L164" s="17"/>
      <c r="M164" s="17"/>
      <c r="N164" s="18">
        <f t="shared" si="60"/>
        <v>-100</v>
      </c>
      <c r="O164" s="18">
        <f t="shared" si="60"/>
        <v>-100</v>
      </c>
      <c r="P164" s="18">
        <f t="shared" si="61"/>
        <v>10.960879943249971</v>
      </c>
      <c r="Q164" s="18">
        <f t="shared" si="61"/>
        <v>4.1763518409270439</v>
      </c>
      <c r="S164" s="10">
        <f t="shared" si="62"/>
        <v>-158.55356928985788</v>
      </c>
      <c r="T164" s="10">
        <f t="shared" si="63"/>
        <v>-1</v>
      </c>
      <c r="U164" s="10">
        <f t="shared" si="64"/>
        <v>0</v>
      </c>
      <c r="V164" s="10">
        <f t="shared" si="65"/>
        <v>0</v>
      </c>
      <c r="Y164" s="10">
        <f t="shared" si="73"/>
        <v>0</v>
      </c>
      <c r="Z164" s="10">
        <f t="shared" si="66"/>
        <v>0</v>
      </c>
      <c r="AA164" s="10">
        <f t="shared" si="67"/>
        <v>0</v>
      </c>
      <c r="AB164" s="10">
        <f t="shared" si="68"/>
        <v>-0.600823999755</v>
      </c>
      <c r="AC164" s="10">
        <f t="shared" si="69"/>
        <v>-18.462793949831983</v>
      </c>
      <c r="AD164" s="10">
        <f t="shared" si="70"/>
        <v>10.635052864968445</v>
      </c>
      <c r="AE164" s="10">
        <f t="shared" si="71"/>
        <v>-1</v>
      </c>
      <c r="AF164" s="10">
        <f t="shared" si="72"/>
        <v>0</v>
      </c>
      <c r="AI164" s="10">
        <f t="shared" si="74"/>
        <v>-1</v>
      </c>
      <c r="AJ164" s="10">
        <f t="shared" si="75"/>
        <v>0</v>
      </c>
      <c r="AK164" s="10">
        <f t="shared" si="76"/>
        <v>0</v>
      </c>
      <c r="BJ164" s="11"/>
      <c r="BK164" s="29"/>
      <c r="BL164" s="29"/>
      <c r="BM164" s="11"/>
    </row>
    <row r="165" spans="2:65" x14ac:dyDescent="0.25">
      <c r="B165" s="10">
        <f t="shared" si="56"/>
        <v>146</v>
      </c>
      <c r="C165">
        <v>-2.1928099158685654</v>
      </c>
      <c r="D165">
        <v>4.3196450860705227E-2</v>
      </c>
      <c r="E165">
        <v>0.68684957426679283</v>
      </c>
      <c r="H165" s="18">
        <f>1</f>
        <v>1</v>
      </c>
      <c r="I165" s="19">
        <f t="shared" si="57"/>
        <v>3.0461699998255862</v>
      </c>
      <c r="J165" s="19">
        <f t="shared" si="58"/>
        <v>5.0616643922913145</v>
      </c>
      <c r="K165" s="18">
        <f t="shared" si="59"/>
        <v>1</v>
      </c>
      <c r="L165" s="17"/>
      <c r="M165" s="17"/>
      <c r="N165" s="18">
        <f t="shared" si="60"/>
        <v>3.0461699998255862</v>
      </c>
      <c r="O165" s="18">
        <f t="shared" si="60"/>
        <v>5.0616643922913145</v>
      </c>
      <c r="P165" s="18">
        <f t="shared" si="61"/>
        <v>-100</v>
      </c>
      <c r="Q165" s="18">
        <f t="shared" si="61"/>
        <v>-100</v>
      </c>
      <c r="S165" s="10">
        <f t="shared" si="62"/>
        <v>-3.0105646459480155</v>
      </c>
      <c r="T165" s="10">
        <f t="shared" si="63"/>
        <v>-1</v>
      </c>
      <c r="U165" s="10">
        <f t="shared" si="64"/>
        <v>1</v>
      </c>
      <c r="V165" s="10">
        <f t="shared" si="65"/>
        <v>1</v>
      </c>
      <c r="Y165" s="10">
        <f t="shared" si="73"/>
        <v>0.70082399975499998</v>
      </c>
      <c r="Z165" s="10">
        <f t="shared" si="66"/>
        <v>2.1348290432114547</v>
      </c>
      <c r="AA165" s="10">
        <f t="shared" si="67"/>
        <v>3.5473358848230605</v>
      </c>
      <c r="AB165" s="10">
        <f t="shared" si="68"/>
        <v>9.9999999999999978E-2</v>
      </c>
      <c r="AC165" s="10">
        <f t="shared" si="69"/>
        <v>-16.327964906620529</v>
      </c>
      <c r="AD165" s="10">
        <f t="shared" si="70"/>
        <v>14.182388749791507</v>
      </c>
      <c r="AE165" s="10">
        <f t="shared" si="71"/>
        <v>1</v>
      </c>
      <c r="AF165" s="10">
        <f t="shared" si="72"/>
        <v>0</v>
      </c>
      <c r="AI165" s="10">
        <f t="shared" si="74"/>
        <v>-1</v>
      </c>
      <c r="AJ165" s="10">
        <f t="shared" si="75"/>
        <v>0</v>
      </c>
      <c r="AK165" s="10">
        <f t="shared" si="76"/>
        <v>0</v>
      </c>
      <c r="BJ165" s="11"/>
      <c r="BK165" s="29"/>
      <c r="BL165" s="29"/>
      <c r="BM165" s="11"/>
    </row>
    <row r="166" spans="2:65" x14ac:dyDescent="0.25">
      <c r="B166" s="10">
        <f t="shared" si="56"/>
        <v>147</v>
      </c>
      <c r="C166">
        <v>-1.3211001714807935</v>
      </c>
      <c r="D166">
        <v>-1.2097189028281718</v>
      </c>
      <c r="E166">
        <v>0.95702993865779595</v>
      </c>
      <c r="H166" s="18">
        <f>1</f>
        <v>1</v>
      </c>
      <c r="I166" s="19">
        <f t="shared" si="57"/>
        <v>4.3028824426837637</v>
      </c>
      <c r="J166" s="19">
        <f t="shared" si="58"/>
        <v>3.2553815957915186</v>
      </c>
      <c r="K166" s="18">
        <f t="shared" si="59"/>
        <v>-1</v>
      </c>
      <c r="L166" s="17"/>
      <c r="M166" s="17"/>
      <c r="N166" s="18">
        <f t="shared" si="60"/>
        <v>-100</v>
      </c>
      <c r="O166" s="18">
        <f t="shared" si="60"/>
        <v>-100</v>
      </c>
      <c r="P166" s="18">
        <f t="shared" si="61"/>
        <v>4.3028824426837637</v>
      </c>
      <c r="Q166" s="18">
        <f t="shared" si="61"/>
        <v>3.2553815957915186</v>
      </c>
      <c r="S166" s="10">
        <f t="shared" si="62"/>
        <v>-23.988226201022172</v>
      </c>
      <c r="T166" s="10">
        <f t="shared" si="63"/>
        <v>-1</v>
      </c>
      <c r="U166" s="10">
        <f t="shared" si="64"/>
        <v>0</v>
      </c>
      <c r="V166" s="10">
        <f t="shared" si="65"/>
        <v>0</v>
      </c>
      <c r="Y166" s="10">
        <f t="shared" si="73"/>
        <v>0</v>
      </c>
      <c r="Z166" s="10">
        <f t="shared" si="66"/>
        <v>0</v>
      </c>
      <c r="AA166" s="10">
        <f t="shared" si="67"/>
        <v>0</v>
      </c>
      <c r="AB166" s="10">
        <f t="shared" si="68"/>
        <v>9.9999999999999978E-2</v>
      </c>
      <c r="AC166" s="10">
        <f t="shared" si="69"/>
        <v>-16.327964906620529</v>
      </c>
      <c r="AD166" s="10">
        <f t="shared" si="70"/>
        <v>14.182388749791507</v>
      </c>
      <c r="AE166" s="10">
        <f t="shared" si="71"/>
        <v>-1</v>
      </c>
      <c r="AF166" s="10">
        <f t="shared" si="72"/>
        <v>0</v>
      </c>
      <c r="AI166" s="10">
        <f t="shared" si="74"/>
        <v>-1</v>
      </c>
      <c r="AJ166" s="10">
        <f t="shared" si="75"/>
        <v>0</v>
      </c>
      <c r="AK166" s="10">
        <f t="shared" si="76"/>
        <v>0</v>
      </c>
      <c r="BJ166" s="11"/>
      <c r="BK166" s="29"/>
      <c r="BL166" s="29"/>
      <c r="BM166" s="11"/>
    </row>
    <row r="167" spans="2:65" x14ac:dyDescent="0.25">
      <c r="B167" s="10">
        <f t="shared" si="56"/>
        <v>148</v>
      </c>
      <c r="C167">
        <v>-0.52748418966075405</v>
      </c>
      <c r="D167">
        <v>-1.8028367776423693</v>
      </c>
      <c r="E167">
        <v>0.9260231330301828</v>
      </c>
      <c r="H167" s="18">
        <f>1</f>
        <v>1</v>
      </c>
      <c r="I167" s="19">
        <f t="shared" si="57"/>
        <v>5.4470099296431078</v>
      </c>
      <c r="J167" s="19">
        <f t="shared" si="58"/>
        <v>2.4003049855327876</v>
      </c>
      <c r="K167" s="18">
        <f t="shared" si="59"/>
        <v>-1</v>
      </c>
      <c r="L167" s="17"/>
      <c r="M167" s="17"/>
      <c r="N167" s="18">
        <f t="shared" si="60"/>
        <v>-100</v>
      </c>
      <c r="O167" s="18">
        <f t="shared" si="60"/>
        <v>-100</v>
      </c>
      <c r="P167" s="18">
        <f t="shared" si="61"/>
        <v>5.4470099296431078</v>
      </c>
      <c r="Q167" s="18">
        <f t="shared" si="61"/>
        <v>2.4003049855327876</v>
      </c>
      <c r="S167" s="10">
        <f t="shared" si="62"/>
        <v>-54.796528554337556</v>
      </c>
      <c r="T167" s="10">
        <f t="shared" si="63"/>
        <v>-1</v>
      </c>
      <c r="U167" s="10">
        <f t="shared" si="64"/>
        <v>0</v>
      </c>
      <c r="V167" s="10">
        <f t="shared" si="65"/>
        <v>0</v>
      </c>
      <c r="Y167" s="10">
        <f t="shared" si="73"/>
        <v>0</v>
      </c>
      <c r="Z167" s="10">
        <f t="shared" si="66"/>
        <v>0</v>
      </c>
      <c r="AA167" s="10">
        <f t="shared" si="67"/>
        <v>0</v>
      </c>
      <c r="AB167" s="10">
        <f t="shared" si="68"/>
        <v>9.9999999999999978E-2</v>
      </c>
      <c r="AC167" s="10">
        <f t="shared" si="69"/>
        <v>-16.327964906620529</v>
      </c>
      <c r="AD167" s="10">
        <f t="shared" si="70"/>
        <v>14.182388749791507</v>
      </c>
      <c r="AE167" s="10">
        <f t="shared" si="71"/>
        <v>-1</v>
      </c>
      <c r="AF167" s="10">
        <f t="shared" si="72"/>
        <v>0</v>
      </c>
      <c r="AI167" s="10">
        <f t="shared" si="74"/>
        <v>-1</v>
      </c>
      <c r="AJ167" s="10">
        <f t="shared" si="75"/>
        <v>0</v>
      </c>
      <c r="AK167" s="10">
        <f t="shared" si="76"/>
        <v>0</v>
      </c>
      <c r="BJ167" s="11"/>
      <c r="BK167" s="29"/>
      <c r="BL167" s="29"/>
      <c r="BM167" s="11"/>
    </row>
    <row r="168" spans="2:65" x14ac:dyDescent="0.25">
      <c r="B168" s="10">
        <f t="shared" si="56"/>
        <v>149</v>
      </c>
      <c r="C168">
        <v>-0.381899099011207</v>
      </c>
      <c r="D168">
        <v>-1.2614145816769451</v>
      </c>
      <c r="E168">
        <v>0.58241523483993041</v>
      </c>
      <c r="H168" s="18">
        <f>1</f>
        <v>1</v>
      </c>
      <c r="I168" s="19">
        <f t="shared" si="57"/>
        <v>5.6568946947175407</v>
      </c>
      <c r="J168" s="19">
        <f t="shared" si="58"/>
        <v>3.1808538034047515</v>
      </c>
      <c r="K168" s="18">
        <f t="shared" si="59"/>
        <v>-1</v>
      </c>
      <c r="L168" s="17"/>
      <c r="M168" s="17"/>
      <c r="N168" s="18">
        <f t="shared" si="60"/>
        <v>-100</v>
      </c>
      <c r="O168" s="18">
        <f t="shared" si="60"/>
        <v>-100</v>
      </c>
      <c r="P168" s="18">
        <f t="shared" si="61"/>
        <v>5.6568946947175407</v>
      </c>
      <c r="Q168" s="18">
        <f t="shared" si="61"/>
        <v>3.1808538034047515</v>
      </c>
      <c r="S168" s="10">
        <f t="shared" si="62"/>
        <v>-47.15347285965678</v>
      </c>
      <c r="T168" s="10">
        <f t="shared" si="63"/>
        <v>-1</v>
      </c>
      <c r="U168" s="10">
        <f t="shared" si="64"/>
        <v>0</v>
      </c>
      <c r="V168" s="10">
        <f t="shared" si="65"/>
        <v>0</v>
      </c>
      <c r="Y168" s="10">
        <f t="shared" si="73"/>
        <v>0</v>
      </c>
      <c r="Z168" s="10">
        <f t="shared" si="66"/>
        <v>0</v>
      </c>
      <c r="AA168" s="10">
        <f t="shared" si="67"/>
        <v>0</v>
      </c>
      <c r="AB168" s="10">
        <f t="shared" si="68"/>
        <v>9.9999999999999978E-2</v>
      </c>
      <c r="AC168" s="10">
        <f t="shared" si="69"/>
        <v>-16.327964906620529</v>
      </c>
      <c r="AD168" s="10">
        <f t="shared" si="70"/>
        <v>14.182388749791507</v>
      </c>
      <c r="AE168" s="10">
        <f t="shared" si="71"/>
        <v>-1</v>
      </c>
      <c r="AF168" s="10">
        <f t="shared" si="72"/>
        <v>0</v>
      </c>
      <c r="AI168" s="10">
        <f t="shared" si="74"/>
        <v>1</v>
      </c>
      <c r="AJ168" s="10">
        <f t="shared" si="75"/>
        <v>0</v>
      </c>
      <c r="AK168" s="10">
        <f t="shared" si="76"/>
        <v>0</v>
      </c>
      <c r="BJ168" s="11"/>
      <c r="BK168" s="29"/>
      <c r="BL168" s="29"/>
      <c r="BM168" s="11"/>
    </row>
    <row r="169" spans="2:65" x14ac:dyDescent="0.25">
      <c r="B169" s="10">
        <f t="shared" si="56"/>
        <v>150</v>
      </c>
      <c r="C169">
        <v>-0.20432480596355163</v>
      </c>
      <c r="D169">
        <v>-0.68323060986585915</v>
      </c>
      <c r="E169">
        <v>0.71742912076174203</v>
      </c>
      <c r="H169" s="18">
        <f>1</f>
        <v>1</v>
      </c>
      <c r="I169" s="19">
        <f t="shared" si="57"/>
        <v>5.9128971370918251</v>
      </c>
      <c r="J169" s="19">
        <f t="shared" si="58"/>
        <v>4.0144007452787056</v>
      </c>
      <c r="K169" s="18">
        <f t="shared" si="59"/>
        <v>-1</v>
      </c>
      <c r="L169" s="17"/>
      <c r="M169" s="17"/>
      <c r="N169" s="18">
        <f t="shared" si="60"/>
        <v>-100</v>
      </c>
      <c r="O169" s="18">
        <f t="shared" si="60"/>
        <v>-100</v>
      </c>
      <c r="P169" s="18">
        <f t="shared" si="61"/>
        <v>5.9128971370918251</v>
      </c>
      <c r="Q169" s="18">
        <f t="shared" si="61"/>
        <v>4.0144007452787056</v>
      </c>
      <c r="S169" s="10">
        <f t="shared" si="62"/>
        <v>-39.511784983896966</v>
      </c>
      <c r="T169" s="10">
        <f t="shared" si="63"/>
        <v>-1</v>
      </c>
      <c r="U169" s="10">
        <f t="shared" si="64"/>
        <v>0</v>
      </c>
      <c r="V169" s="10">
        <f t="shared" si="65"/>
        <v>0</v>
      </c>
      <c r="Y169" s="10">
        <f t="shared" si="73"/>
        <v>0</v>
      </c>
      <c r="Z169" s="10">
        <f t="shared" si="66"/>
        <v>0</v>
      </c>
      <c r="AA169" s="10">
        <f t="shared" si="67"/>
        <v>0</v>
      </c>
      <c r="AB169" s="10">
        <f t="shared" si="68"/>
        <v>9.9999999999999978E-2</v>
      </c>
      <c r="AC169" s="10">
        <f t="shared" si="69"/>
        <v>-16.327964906620529</v>
      </c>
      <c r="AD169" s="10">
        <f t="shared" si="70"/>
        <v>14.182388749791507</v>
      </c>
      <c r="AE169" s="10">
        <f t="shared" si="71"/>
        <v>-1</v>
      </c>
      <c r="AF169" s="10">
        <f t="shared" si="72"/>
        <v>0</v>
      </c>
      <c r="AI169" s="10">
        <f t="shared" si="74"/>
        <v>-1</v>
      </c>
      <c r="AJ169" s="10">
        <f t="shared" si="75"/>
        <v>0</v>
      </c>
      <c r="AK169" s="10">
        <f t="shared" si="76"/>
        <v>0</v>
      </c>
      <c r="BJ169" s="11"/>
      <c r="BK169" s="29"/>
      <c r="BL169" s="29"/>
      <c r="BM169" s="11"/>
    </row>
    <row r="170" spans="2:65" x14ac:dyDescent="0.25">
      <c r="B170" s="10">
        <f t="shared" si="56"/>
        <v>151</v>
      </c>
      <c r="C170">
        <v>-9.1121137302252464E-2</v>
      </c>
      <c r="D170">
        <v>-1.0957182894344442</v>
      </c>
      <c r="E170">
        <v>0.11642811365092928</v>
      </c>
      <c r="H170" s="18">
        <f>1</f>
        <v>1</v>
      </c>
      <c r="I170" s="19">
        <f t="shared" si="57"/>
        <v>6.0760987760545344</v>
      </c>
      <c r="J170" s="19">
        <f t="shared" si="58"/>
        <v>3.419732161180669</v>
      </c>
      <c r="K170" s="18">
        <f t="shared" si="59"/>
        <v>-1</v>
      </c>
      <c r="L170" s="17"/>
      <c r="M170" s="17"/>
      <c r="N170" s="18">
        <f t="shared" si="60"/>
        <v>-100</v>
      </c>
      <c r="O170" s="18">
        <f t="shared" si="60"/>
        <v>-100</v>
      </c>
      <c r="P170" s="18">
        <f t="shared" si="61"/>
        <v>6.0760987760545344</v>
      </c>
      <c r="Q170" s="18">
        <f t="shared" si="61"/>
        <v>3.419732161180669</v>
      </c>
      <c r="S170" s="10">
        <f t="shared" si="62"/>
        <v>-50.610356654549484</v>
      </c>
      <c r="T170" s="10">
        <f t="shared" si="63"/>
        <v>-1</v>
      </c>
      <c r="U170" s="10">
        <f t="shared" si="64"/>
        <v>0</v>
      </c>
      <c r="V170" s="10">
        <f t="shared" si="65"/>
        <v>0</v>
      </c>
      <c r="Y170" s="10">
        <f t="shared" si="73"/>
        <v>0</v>
      </c>
      <c r="Z170" s="10">
        <f t="shared" si="66"/>
        <v>0</v>
      </c>
      <c r="AA170" s="10">
        <f t="shared" si="67"/>
        <v>0</v>
      </c>
      <c r="AB170" s="10">
        <f t="shared" si="68"/>
        <v>9.9999999999999978E-2</v>
      </c>
      <c r="AC170" s="10">
        <f t="shared" si="69"/>
        <v>-16.327964906620529</v>
      </c>
      <c r="AD170" s="10">
        <f t="shared" si="70"/>
        <v>14.182388749791507</v>
      </c>
      <c r="AE170" s="10">
        <f t="shared" si="71"/>
        <v>-1</v>
      </c>
      <c r="AF170" s="10">
        <f t="shared" si="72"/>
        <v>0</v>
      </c>
      <c r="AI170" s="10">
        <f t="shared" si="74"/>
        <v>-1</v>
      </c>
      <c r="AJ170" s="10">
        <f t="shared" si="75"/>
        <v>0</v>
      </c>
      <c r="AK170" s="10">
        <f t="shared" si="76"/>
        <v>0</v>
      </c>
      <c r="BJ170" s="11"/>
      <c r="BK170" s="29"/>
      <c r="BL170" s="29"/>
      <c r="BM170" s="11"/>
    </row>
    <row r="171" spans="2:65" x14ac:dyDescent="0.25">
      <c r="B171" s="10">
        <f t="shared" si="56"/>
        <v>152</v>
      </c>
      <c r="C171">
        <v>-0.31796616895007901</v>
      </c>
      <c r="D171">
        <v>0.56738599596428685</v>
      </c>
      <c r="E171">
        <v>0.65709402752769552</v>
      </c>
      <c r="H171" s="18">
        <f>1</f>
        <v>1</v>
      </c>
      <c r="I171" s="19">
        <f t="shared" si="57"/>
        <v>5.7490644900347077</v>
      </c>
      <c r="J171" s="19">
        <f t="shared" si="58"/>
        <v>5.8173695200463138</v>
      </c>
      <c r="K171" s="18">
        <f t="shared" si="59"/>
        <v>1</v>
      </c>
      <c r="L171" s="17"/>
      <c r="M171" s="17"/>
      <c r="N171" s="18">
        <f t="shared" si="60"/>
        <v>5.7490644900347077</v>
      </c>
      <c r="O171" s="18">
        <f t="shared" si="60"/>
        <v>5.8173695200463138</v>
      </c>
      <c r="P171" s="18">
        <f t="shared" si="61"/>
        <v>-100</v>
      </c>
      <c r="Q171" s="18">
        <f t="shared" si="61"/>
        <v>-100</v>
      </c>
      <c r="S171" s="10">
        <f t="shared" si="62"/>
        <v>-11.266327204700104</v>
      </c>
      <c r="T171" s="10">
        <f t="shared" si="63"/>
        <v>-1</v>
      </c>
      <c r="U171" s="10">
        <f t="shared" si="64"/>
        <v>1</v>
      </c>
      <c r="V171" s="10">
        <f t="shared" si="65"/>
        <v>1</v>
      </c>
      <c r="Y171" s="10">
        <f t="shared" si="73"/>
        <v>0.70082399975499998</v>
      </c>
      <c r="Z171" s="10">
        <f t="shared" si="66"/>
        <v>4.029082370755563</v>
      </c>
      <c r="AA171" s="10">
        <f t="shared" si="67"/>
        <v>4.076952175091682</v>
      </c>
      <c r="AB171" s="10">
        <f t="shared" si="68"/>
        <v>0.80082399975499996</v>
      </c>
      <c r="AC171" s="10">
        <f t="shared" si="69"/>
        <v>-12.298882535864966</v>
      </c>
      <c r="AD171" s="10">
        <f t="shared" si="70"/>
        <v>18.25934092488319</v>
      </c>
      <c r="AE171" s="10">
        <f t="shared" si="71"/>
        <v>1</v>
      </c>
      <c r="AF171" s="10">
        <f t="shared" si="72"/>
        <v>0</v>
      </c>
      <c r="AI171" s="10">
        <f t="shared" si="74"/>
        <v>-1</v>
      </c>
      <c r="AJ171" s="10">
        <f t="shared" si="75"/>
        <v>0</v>
      </c>
      <c r="AK171" s="10">
        <f t="shared" si="76"/>
        <v>0</v>
      </c>
      <c r="BJ171" s="11"/>
      <c r="BK171" s="29"/>
      <c r="BL171" s="29"/>
      <c r="BM171" s="11"/>
    </row>
    <row r="172" spans="2:65" x14ac:dyDescent="0.25">
      <c r="B172" s="10">
        <f t="shared" si="56"/>
        <v>153</v>
      </c>
      <c r="C172">
        <v>0.11765791896323208</v>
      </c>
      <c r="D172">
        <v>1.6231570043601096</v>
      </c>
      <c r="E172">
        <v>0.87218848231452373</v>
      </c>
      <c r="H172" s="18">
        <f>1</f>
        <v>1</v>
      </c>
      <c r="I172" s="19">
        <f t="shared" si="57"/>
        <v>6.3770879981049271</v>
      </c>
      <c r="J172" s="19">
        <f t="shared" si="58"/>
        <v>7.3394364369325169</v>
      </c>
      <c r="K172" s="18">
        <f t="shared" si="59"/>
        <v>1</v>
      </c>
      <c r="L172" s="17"/>
      <c r="M172" s="17"/>
      <c r="N172" s="18">
        <f t="shared" si="60"/>
        <v>6.3770879981049271</v>
      </c>
      <c r="O172" s="18">
        <f t="shared" si="60"/>
        <v>7.3394364369325169</v>
      </c>
      <c r="P172" s="18">
        <f t="shared" si="61"/>
        <v>-100</v>
      </c>
      <c r="Q172" s="18">
        <f t="shared" si="61"/>
        <v>-100</v>
      </c>
      <c r="S172" s="10">
        <f t="shared" si="62"/>
        <v>56.383039888648995</v>
      </c>
      <c r="T172" s="10">
        <f t="shared" si="63"/>
        <v>1</v>
      </c>
      <c r="U172" s="10">
        <f t="shared" si="64"/>
        <v>0</v>
      </c>
      <c r="V172" s="10">
        <f t="shared" si="65"/>
        <v>0</v>
      </c>
      <c r="Y172" s="10">
        <f t="shared" si="73"/>
        <v>0</v>
      </c>
      <c r="Z172" s="10">
        <f t="shared" si="66"/>
        <v>0</v>
      </c>
      <c r="AA172" s="10">
        <f t="shared" si="67"/>
        <v>0</v>
      </c>
      <c r="AB172" s="10">
        <f t="shared" si="68"/>
        <v>0.80082399975499996</v>
      </c>
      <c r="AC172" s="10">
        <f t="shared" si="69"/>
        <v>-12.298882535864966</v>
      </c>
      <c r="AD172" s="10">
        <f t="shared" si="70"/>
        <v>18.25934092488319</v>
      </c>
      <c r="AE172" s="10">
        <f t="shared" si="71"/>
        <v>1</v>
      </c>
      <c r="AF172" s="10">
        <f t="shared" si="72"/>
        <v>0</v>
      </c>
      <c r="AI172" s="10">
        <f t="shared" si="74"/>
        <v>-1</v>
      </c>
      <c r="AJ172" s="10">
        <f t="shared" si="75"/>
        <v>0</v>
      </c>
      <c r="AK172" s="10">
        <f t="shared" si="76"/>
        <v>0</v>
      </c>
      <c r="BJ172" s="11"/>
      <c r="BK172" s="29"/>
      <c r="BL172" s="29"/>
      <c r="BM172" s="11"/>
    </row>
    <row r="173" spans="2:65" x14ac:dyDescent="0.25">
      <c r="B173" s="10">
        <f t="shared" si="56"/>
        <v>154</v>
      </c>
      <c r="C173">
        <v>-0.8140773388731759</v>
      </c>
      <c r="D173">
        <v>-1.4209217624738812</v>
      </c>
      <c r="E173">
        <v>6.4943388164922025E-2</v>
      </c>
      <c r="H173" s="18">
        <f>1</f>
        <v>1</v>
      </c>
      <c r="I173" s="19">
        <f t="shared" si="57"/>
        <v>5.0338389412814761</v>
      </c>
      <c r="J173" s="19">
        <f t="shared" si="58"/>
        <v>2.9508980639819646</v>
      </c>
      <c r="K173" s="18">
        <f t="shared" si="59"/>
        <v>-1</v>
      </c>
      <c r="L173" s="17"/>
      <c r="M173" s="17"/>
      <c r="N173" s="18">
        <f t="shared" si="60"/>
        <v>-100</v>
      </c>
      <c r="O173" s="18">
        <f t="shared" si="60"/>
        <v>-100</v>
      </c>
      <c r="P173" s="18">
        <f t="shared" si="61"/>
        <v>5.0338389412814761</v>
      </c>
      <c r="Q173" s="18">
        <f t="shared" si="61"/>
        <v>2.9508980639819646</v>
      </c>
      <c r="S173" s="10">
        <f t="shared" si="62"/>
        <v>-7.228316058704273</v>
      </c>
      <c r="T173" s="10">
        <f t="shared" si="63"/>
        <v>-1</v>
      </c>
      <c r="U173" s="10">
        <f t="shared" si="64"/>
        <v>0</v>
      </c>
      <c r="V173" s="10">
        <f t="shared" si="65"/>
        <v>0</v>
      </c>
      <c r="Y173" s="10">
        <f t="shared" si="73"/>
        <v>0</v>
      </c>
      <c r="Z173" s="10">
        <f t="shared" si="66"/>
        <v>0</v>
      </c>
      <c r="AA173" s="10">
        <f t="shared" si="67"/>
        <v>0</v>
      </c>
      <c r="AB173" s="10">
        <f t="shared" si="68"/>
        <v>0.80082399975499996</v>
      </c>
      <c r="AC173" s="10">
        <f t="shared" si="69"/>
        <v>-12.298882535864966</v>
      </c>
      <c r="AD173" s="10">
        <f t="shared" si="70"/>
        <v>18.25934092488319</v>
      </c>
      <c r="AE173" s="10">
        <f t="shared" si="71"/>
        <v>-1</v>
      </c>
      <c r="AF173" s="10">
        <f t="shared" si="72"/>
        <v>0</v>
      </c>
      <c r="AI173" s="10">
        <f t="shared" si="74"/>
        <v>-1</v>
      </c>
      <c r="AJ173" s="10">
        <f t="shared" si="75"/>
        <v>0</v>
      </c>
      <c r="AK173" s="10">
        <f t="shared" si="76"/>
        <v>0</v>
      </c>
      <c r="BJ173" s="11"/>
      <c r="BK173" s="29"/>
      <c r="BL173" s="29"/>
      <c r="BM173" s="11"/>
    </row>
    <row r="174" spans="2:65" x14ac:dyDescent="0.25">
      <c r="B174" s="10">
        <f t="shared" si="56"/>
        <v>155</v>
      </c>
      <c r="C174">
        <v>1.2912983038404491</v>
      </c>
      <c r="D174">
        <v>-6.012555786583107E-2</v>
      </c>
      <c r="E174">
        <v>0.42506179998168891</v>
      </c>
      <c r="H174" s="18">
        <f>1</f>
        <v>1</v>
      </c>
      <c r="I174" s="19">
        <f t="shared" si="57"/>
        <v>8.0690829363420189</v>
      </c>
      <c r="J174" s="19">
        <f t="shared" si="58"/>
        <v>4.9127087854236473</v>
      </c>
      <c r="K174" s="18">
        <f t="shared" si="59"/>
        <v>-1</v>
      </c>
      <c r="L174" s="17"/>
      <c r="M174" s="17"/>
      <c r="N174" s="18">
        <f t="shared" si="60"/>
        <v>-100</v>
      </c>
      <c r="O174" s="18">
        <f t="shared" si="60"/>
        <v>-100</v>
      </c>
      <c r="P174" s="18">
        <f t="shared" si="61"/>
        <v>8.0690829363420189</v>
      </c>
      <c r="Q174" s="18">
        <f t="shared" si="61"/>
        <v>4.9127087854236473</v>
      </c>
      <c r="S174" s="10">
        <f t="shared" si="62"/>
        <v>-8.7370546287486519</v>
      </c>
      <c r="T174" s="10">
        <f t="shared" si="63"/>
        <v>-1</v>
      </c>
      <c r="U174" s="10">
        <f t="shared" si="64"/>
        <v>0</v>
      </c>
      <c r="V174" s="10">
        <f t="shared" si="65"/>
        <v>0</v>
      </c>
      <c r="Y174" s="10">
        <f t="shared" si="73"/>
        <v>0</v>
      </c>
      <c r="Z174" s="10">
        <f t="shared" si="66"/>
        <v>0</v>
      </c>
      <c r="AA174" s="10">
        <f t="shared" si="67"/>
        <v>0</v>
      </c>
      <c r="AB174" s="10">
        <f t="shared" si="68"/>
        <v>0.80082399975499996</v>
      </c>
      <c r="AC174" s="10">
        <f t="shared" si="69"/>
        <v>-12.298882535864966</v>
      </c>
      <c r="AD174" s="10">
        <f t="shared" si="70"/>
        <v>18.25934092488319</v>
      </c>
      <c r="AE174" s="10">
        <f t="shared" si="71"/>
        <v>-1</v>
      </c>
      <c r="AF174" s="10">
        <f t="shared" si="72"/>
        <v>0</v>
      </c>
      <c r="AI174" s="10">
        <f t="shared" si="74"/>
        <v>1</v>
      </c>
      <c r="AJ174" s="10">
        <f t="shared" si="75"/>
        <v>0</v>
      </c>
      <c r="AK174" s="10">
        <f t="shared" si="76"/>
        <v>0</v>
      </c>
      <c r="BJ174" s="11"/>
      <c r="BK174" s="29"/>
      <c r="BL174" s="29"/>
      <c r="BM174" s="11"/>
    </row>
    <row r="175" spans="2:65" x14ac:dyDescent="0.25">
      <c r="B175" s="10">
        <f t="shared" si="56"/>
        <v>156</v>
      </c>
      <c r="C175">
        <v>-1.4579973139916547</v>
      </c>
      <c r="D175">
        <v>-0.12713826436083764</v>
      </c>
      <c r="E175">
        <v>0.67152928250984223</v>
      </c>
      <c r="H175" s="18">
        <f>1</f>
        <v>1</v>
      </c>
      <c r="I175" s="19">
        <f t="shared" si="57"/>
        <v>4.1055227785378072</v>
      </c>
      <c r="J175" s="19">
        <f t="shared" si="58"/>
        <v>4.8160989876967388</v>
      </c>
      <c r="K175" s="18">
        <f t="shared" si="59"/>
        <v>1</v>
      </c>
      <c r="L175" s="17"/>
      <c r="M175" s="17"/>
      <c r="N175" s="18">
        <f t="shared" si="60"/>
        <v>4.1055227785378072</v>
      </c>
      <c r="O175" s="18">
        <f t="shared" si="60"/>
        <v>4.8160989876967388</v>
      </c>
      <c r="P175" s="18">
        <f t="shared" si="61"/>
        <v>-100</v>
      </c>
      <c r="Q175" s="18">
        <f t="shared" si="61"/>
        <v>-100</v>
      </c>
      <c r="S175" s="10">
        <f t="shared" si="62"/>
        <v>38.246274942540126</v>
      </c>
      <c r="T175" s="10">
        <f t="shared" si="63"/>
        <v>1</v>
      </c>
      <c r="U175" s="10">
        <f t="shared" si="64"/>
        <v>0</v>
      </c>
      <c r="V175" s="10">
        <f t="shared" si="65"/>
        <v>0</v>
      </c>
      <c r="Y175" s="10">
        <f t="shared" si="73"/>
        <v>0</v>
      </c>
      <c r="Z175" s="10">
        <f t="shared" si="66"/>
        <v>0</v>
      </c>
      <c r="AA175" s="10">
        <f t="shared" si="67"/>
        <v>0</v>
      </c>
      <c r="AB175" s="10">
        <f t="shared" si="68"/>
        <v>0.80082399975499996</v>
      </c>
      <c r="AC175" s="10">
        <f t="shared" si="69"/>
        <v>-12.298882535864966</v>
      </c>
      <c r="AD175" s="10">
        <f t="shared" si="70"/>
        <v>18.25934092488319</v>
      </c>
      <c r="AE175" s="10">
        <f t="shared" si="71"/>
        <v>1</v>
      </c>
      <c r="AF175" s="10">
        <f t="shared" si="72"/>
        <v>0</v>
      </c>
      <c r="AI175" s="10">
        <f t="shared" si="74"/>
        <v>1</v>
      </c>
      <c r="AJ175" s="10">
        <f t="shared" si="75"/>
        <v>0</v>
      </c>
      <c r="AK175" s="10">
        <f t="shared" si="76"/>
        <v>0</v>
      </c>
      <c r="BJ175" s="11"/>
      <c r="BK175" s="29"/>
      <c r="BL175" s="29"/>
      <c r="BM175" s="11"/>
    </row>
    <row r="176" spans="2:65" x14ac:dyDescent="0.25">
      <c r="B176" s="10">
        <f t="shared" si="56"/>
        <v>157</v>
      </c>
      <c r="C176">
        <v>1.6104331734823063</v>
      </c>
      <c r="D176">
        <v>0.50354401537333615</v>
      </c>
      <c r="E176">
        <v>2.5543992431409649E-2</v>
      </c>
      <c r="H176" s="18">
        <f>1</f>
        <v>1</v>
      </c>
      <c r="I176" s="19">
        <f t="shared" si="57"/>
        <v>8.5291681472863132</v>
      </c>
      <c r="J176" s="19">
        <f t="shared" si="58"/>
        <v>5.725330843294218</v>
      </c>
      <c r="K176" s="18">
        <f t="shared" si="59"/>
        <v>-1</v>
      </c>
      <c r="L176" s="17"/>
      <c r="M176" s="17"/>
      <c r="N176" s="18">
        <f t="shared" si="60"/>
        <v>-100</v>
      </c>
      <c r="O176" s="18">
        <f t="shared" si="60"/>
        <v>-100</v>
      </c>
      <c r="P176" s="18">
        <f t="shared" si="61"/>
        <v>8.5291681472863132</v>
      </c>
      <c r="Q176" s="18">
        <f t="shared" si="61"/>
        <v>5.725330843294218</v>
      </c>
      <c r="S176" s="10">
        <f t="shared" si="62"/>
        <v>0.44235460309772634</v>
      </c>
      <c r="T176" s="10">
        <f t="shared" si="63"/>
        <v>1</v>
      </c>
      <c r="U176" s="10">
        <f t="shared" si="64"/>
        <v>-1</v>
      </c>
      <c r="V176" s="10">
        <f t="shared" si="65"/>
        <v>1</v>
      </c>
      <c r="Y176" s="10">
        <f t="shared" si="73"/>
        <v>-0.70082399975499998</v>
      </c>
      <c r="Z176" s="10">
        <f t="shared" si="66"/>
        <v>-5.9774457355641371</v>
      </c>
      <c r="AA176" s="10">
        <f t="shared" si="67"/>
        <v>-4.0124492615181211</v>
      </c>
      <c r="AB176" s="10">
        <f t="shared" si="68"/>
        <v>9.9999999999999978E-2</v>
      </c>
      <c r="AC176" s="10">
        <f t="shared" si="69"/>
        <v>-18.276328271429101</v>
      </c>
      <c r="AD176" s="10">
        <f t="shared" si="70"/>
        <v>14.246891663365069</v>
      </c>
      <c r="AE176" s="10">
        <f t="shared" si="71"/>
        <v>-1</v>
      </c>
      <c r="AF176" s="10">
        <f t="shared" si="72"/>
        <v>0</v>
      </c>
      <c r="AI176" s="10">
        <f t="shared" si="74"/>
        <v>-1</v>
      </c>
      <c r="AJ176" s="10">
        <f t="shared" si="75"/>
        <v>0</v>
      </c>
      <c r="AK176" s="10">
        <f t="shared" si="76"/>
        <v>0</v>
      </c>
      <c r="BJ176" s="11"/>
      <c r="BK176" s="29"/>
      <c r="BL176" s="29"/>
      <c r="BM176" s="11"/>
    </row>
    <row r="177" spans="2:65" x14ac:dyDescent="0.25">
      <c r="B177" s="10">
        <f t="shared" si="56"/>
        <v>158</v>
      </c>
      <c r="C177">
        <v>1.1777433428505901</v>
      </c>
      <c r="D177">
        <v>-1.1666429600154515</v>
      </c>
      <c r="E177">
        <v>0.96206549272133546</v>
      </c>
      <c r="H177" s="18">
        <f>1</f>
        <v>1</v>
      </c>
      <c r="I177" s="19">
        <f t="shared" si="57"/>
        <v>7.9053748519217208</v>
      </c>
      <c r="J177" s="19">
        <f t="shared" si="58"/>
        <v>3.3174826261736134</v>
      </c>
      <c r="K177" s="18">
        <f t="shared" si="59"/>
        <v>-1</v>
      </c>
      <c r="L177" s="17"/>
      <c r="M177" s="17"/>
      <c r="N177" s="18">
        <f t="shared" si="60"/>
        <v>-100</v>
      </c>
      <c r="O177" s="18">
        <f t="shared" si="60"/>
        <v>-100</v>
      </c>
      <c r="P177" s="18">
        <f t="shared" si="61"/>
        <v>7.9053748519217208</v>
      </c>
      <c r="Q177" s="18">
        <f t="shared" si="61"/>
        <v>3.3174826261736134</v>
      </c>
      <c r="S177" s="10">
        <f t="shared" si="62"/>
        <v>-97.117410332230278</v>
      </c>
      <c r="T177" s="10">
        <f t="shared" si="63"/>
        <v>-1</v>
      </c>
      <c r="U177" s="10">
        <f t="shared" si="64"/>
        <v>0</v>
      </c>
      <c r="V177" s="10">
        <f t="shared" si="65"/>
        <v>0</v>
      </c>
      <c r="Y177" s="10">
        <f t="shared" si="73"/>
        <v>0</v>
      </c>
      <c r="Z177" s="10">
        <f t="shared" si="66"/>
        <v>0</v>
      </c>
      <c r="AA177" s="10">
        <f t="shared" si="67"/>
        <v>0</v>
      </c>
      <c r="AB177" s="10">
        <f t="shared" si="68"/>
        <v>9.9999999999999978E-2</v>
      </c>
      <c r="AC177" s="10">
        <f t="shared" si="69"/>
        <v>-18.276328271429101</v>
      </c>
      <c r="AD177" s="10">
        <f t="shared" si="70"/>
        <v>14.246891663365069</v>
      </c>
      <c r="AE177" s="10">
        <f t="shared" si="71"/>
        <v>-1</v>
      </c>
      <c r="AF177" s="10">
        <f t="shared" si="72"/>
        <v>0</v>
      </c>
      <c r="AI177" s="10">
        <f t="shared" si="74"/>
        <v>-1</v>
      </c>
      <c r="AJ177" s="10">
        <f t="shared" si="75"/>
        <v>0</v>
      </c>
      <c r="AK177" s="10">
        <f t="shared" si="76"/>
        <v>0</v>
      </c>
      <c r="BJ177" s="11"/>
      <c r="BK177" s="29"/>
      <c r="BL177" s="29"/>
      <c r="BM177" s="11"/>
    </row>
    <row r="178" spans="2:65" x14ac:dyDescent="0.25">
      <c r="B178" s="10">
        <f t="shared" si="56"/>
        <v>159</v>
      </c>
      <c r="C178">
        <v>-0.74553781814756803</v>
      </c>
      <c r="D178">
        <v>-0.8824849828670267</v>
      </c>
      <c r="E178">
        <v>0.82049012726218451</v>
      </c>
      <c r="H178" s="18">
        <f>1</f>
        <v>1</v>
      </c>
      <c r="I178" s="19">
        <f t="shared" si="57"/>
        <v>5.1326498919195256</v>
      </c>
      <c r="J178" s="19">
        <f t="shared" si="58"/>
        <v>3.7271429149554494</v>
      </c>
      <c r="K178" s="18">
        <f t="shared" si="59"/>
        <v>-1</v>
      </c>
      <c r="L178" s="17"/>
      <c r="M178" s="17"/>
      <c r="N178" s="18">
        <f t="shared" si="60"/>
        <v>-100</v>
      </c>
      <c r="O178" s="18">
        <f t="shared" si="60"/>
        <v>-100</v>
      </c>
      <c r="P178" s="18">
        <f t="shared" si="61"/>
        <v>5.1326498919195256</v>
      </c>
      <c r="Q178" s="18">
        <f t="shared" si="61"/>
        <v>3.7271429149554494</v>
      </c>
      <c r="S178" s="10">
        <f t="shared" si="62"/>
        <v>-40.605793003787376</v>
      </c>
      <c r="T178" s="10">
        <f t="shared" si="63"/>
        <v>-1</v>
      </c>
      <c r="U178" s="10">
        <f t="shared" si="64"/>
        <v>0</v>
      </c>
      <c r="V178" s="10">
        <f t="shared" si="65"/>
        <v>0</v>
      </c>
      <c r="Y178" s="10">
        <f t="shared" si="73"/>
        <v>0</v>
      </c>
      <c r="Z178" s="10">
        <f t="shared" si="66"/>
        <v>0</v>
      </c>
      <c r="AA178" s="10">
        <f t="shared" si="67"/>
        <v>0</v>
      </c>
      <c r="AB178" s="10">
        <f t="shared" si="68"/>
        <v>9.9999999999999978E-2</v>
      </c>
      <c r="AC178" s="10">
        <f t="shared" si="69"/>
        <v>-18.276328271429101</v>
      </c>
      <c r="AD178" s="10">
        <f t="shared" si="70"/>
        <v>14.246891663365069</v>
      </c>
      <c r="AE178" s="10">
        <f t="shared" si="71"/>
        <v>-1</v>
      </c>
      <c r="AF178" s="10">
        <f t="shared" si="72"/>
        <v>0</v>
      </c>
      <c r="AI178" s="10">
        <f t="shared" si="74"/>
        <v>1</v>
      </c>
      <c r="AJ178" s="10">
        <f t="shared" si="75"/>
        <v>0</v>
      </c>
      <c r="AK178" s="10">
        <f t="shared" si="76"/>
        <v>0</v>
      </c>
      <c r="BJ178" s="11"/>
      <c r="BK178" s="29"/>
      <c r="BL178" s="29"/>
      <c r="BM178" s="11"/>
    </row>
    <row r="179" spans="2:65" x14ac:dyDescent="0.25">
      <c r="B179" s="10">
        <f t="shared" si="56"/>
        <v>160</v>
      </c>
      <c r="C179">
        <v>0.41277871787315235</v>
      </c>
      <c r="D179">
        <v>-1.2453074305085465</v>
      </c>
      <c r="E179">
        <v>0.75072481460005491</v>
      </c>
      <c r="H179" s="18">
        <f>1</f>
        <v>1</v>
      </c>
      <c r="I179" s="19">
        <f t="shared" si="57"/>
        <v>6.802552990924096</v>
      </c>
      <c r="J179" s="19">
        <f t="shared" si="58"/>
        <v>3.2040749012789536</v>
      </c>
      <c r="K179" s="18">
        <f t="shared" si="59"/>
        <v>-1</v>
      </c>
      <c r="L179" s="17"/>
      <c r="M179" s="17"/>
      <c r="N179" s="18">
        <f t="shared" si="60"/>
        <v>-100</v>
      </c>
      <c r="O179" s="18">
        <f t="shared" si="60"/>
        <v>-100</v>
      </c>
      <c r="P179" s="18">
        <f t="shared" si="61"/>
        <v>6.802552990924096</v>
      </c>
      <c r="Q179" s="18">
        <f t="shared" si="61"/>
        <v>3.2040749012789536</v>
      </c>
      <c r="S179" s="10">
        <f t="shared" si="62"/>
        <v>-78.577583546092271</v>
      </c>
      <c r="T179" s="10">
        <f t="shared" si="63"/>
        <v>-1</v>
      </c>
      <c r="U179" s="10">
        <f t="shared" si="64"/>
        <v>0</v>
      </c>
      <c r="V179" s="10">
        <f t="shared" si="65"/>
        <v>0</v>
      </c>
      <c r="X179" s="10">
        <f>SUM(V160:V179)</f>
        <v>4</v>
      </c>
      <c r="Y179" s="10">
        <f t="shared" si="73"/>
        <v>0</v>
      </c>
      <c r="Z179" s="10">
        <f t="shared" si="66"/>
        <v>0</v>
      </c>
      <c r="AA179" s="10">
        <f t="shared" si="67"/>
        <v>0</v>
      </c>
      <c r="AB179" s="10">
        <f t="shared" si="68"/>
        <v>9.9999999999999978E-2</v>
      </c>
      <c r="AC179" s="10">
        <f t="shared" si="69"/>
        <v>-18.276328271429101</v>
      </c>
      <c r="AD179" s="10">
        <f t="shared" si="70"/>
        <v>14.246891663365069</v>
      </c>
      <c r="AE179" s="10">
        <f t="shared" si="71"/>
        <v>-1</v>
      </c>
      <c r="AF179" s="10">
        <f t="shared" si="72"/>
        <v>0</v>
      </c>
      <c r="AI179" s="10">
        <f t="shared" si="74"/>
        <v>-1</v>
      </c>
      <c r="AJ179" s="10">
        <f t="shared" si="75"/>
        <v>0</v>
      </c>
      <c r="AK179" s="10">
        <f t="shared" si="76"/>
        <v>0</v>
      </c>
      <c r="BJ179" s="11"/>
      <c r="BK179" s="29"/>
      <c r="BL179" s="29"/>
      <c r="BM179" s="11"/>
    </row>
    <row r="180" spans="2:65" x14ac:dyDescent="0.25">
      <c r="B180" s="10">
        <f t="shared" si="56"/>
        <v>161</v>
      </c>
      <c r="C180">
        <v>1.4181978258420713</v>
      </c>
      <c r="D180">
        <v>-0.51198526307416614</v>
      </c>
      <c r="E180">
        <v>0.41560106204412978</v>
      </c>
      <c r="H180" s="18">
        <f>1</f>
        <v>1</v>
      </c>
      <c r="I180" s="19">
        <f t="shared" si="57"/>
        <v>8.2520293922224681</v>
      </c>
      <c r="J180" s="19">
        <f t="shared" si="58"/>
        <v>4.2612789745060624</v>
      </c>
      <c r="K180" s="18">
        <f t="shared" si="59"/>
        <v>-1</v>
      </c>
      <c r="L180" s="17"/>
      <c r="M180" s="17"/>
      <c r="N180" s="18">
        <f t="shared" si="60"/>
        <v>-100</v>
      </c>
      <c r="O180" s="18">
        <f t="shared" si="60"/>
        <v>-100</v>
      </c>
      <c r="P180" s="18">
        <f t="shared" si="61"/>
        <v>8.2520293922224681</v>
      </c>
      <c r="Q180" s="18">
        <f t="shared" si="61"/>
        <v>4.2612789745060624</v>
      </c>
      <c r="S180" s="12">
        <f t="shared" si="62"/>
        <v>-90.006818180576147</v>
      </c>
      <c r="T180" s="12">
        <f t="shared" si="63"/>
        <v>-1</v>
      </c>
      <c r="U180" s="12">
        <f t="shared" si="64"/>
        <v>0</v>
      </c>
      <c r="V180" s="12">
        <f t="shared" si="65"/>
        <v>0</v>
      </c>
      <c r="W180" s="12"/>
      <c r="X180" s="12"/>
      <c r="Y180" s="10">
        <f t="shared" si="73"/>
        <v>0</v>
      </c>
      <c r="Z180" s="10">
        <f t="shared" si="66"/>
        <v>0</v>
      </c>
      <c r="AA180" s="10">
        <f t="shared" si="67"/>
        <v>0</v>
      </c>
      <c r="AB180" s="10">
        <f t="shared" si="68"/>
        <v>9.9999999999999978E-2</v>
      </c>
      <c r="AC180" s="10">
        <f t="shared" si="69"/>
        <v>-18.276328271429101</v>
      </c>
      <c r="AD180" s="10">
        <f t="shared" si="70"/>
        <v>14.246891663365069</v>
      </c>
      <c r="AE180" s="10">
        <f t="shared" si="71"/>
        <v>-1</v>
      </c>
      <c r="AF180" s="10">
        <f t="shared" si="72"/>
        <v>0</v>
      </c>
      <c r="AI180" s="10">
        <f t="shared" si="74"/>
        <v>-1</v>
      </c>
      <c r="AJ180" s="10">
        <f t="shared" si="75"/>
        <v>0</v>
      </c>
      <c r="AK180" s="10">
        <f t="shared" si="76"/>
        <v>0</v>
      </c>
      <c r="BJ180" s="11"/>
      <c r="BK180" s="29"/>
      <c r="BL180" s="29"/>
      <c r="BM180" s="11"/>
    </row>
    <row r="181" spans="2:65" x14ac:dyDescent="0.25">
      <c r="B181" s="10">
        <f t="shared" si="56"/>
        <v>162</v>
      </c>
      <c r="C181">
        <v>-0.54240103963820729</v>
      </c>
      <c r="D181">
        <v>0.11966108104388695</v>
      </c>
      <c r="E181">
        <v>0.63750114444410533</v>
      </c>
      <c r="H181" s="18">
        <f>1</f>
        <v>1</v>
      </c>
      <c r="I181" s="19">
        <f t="shared" si="57"/>
        <v>5.4255048459892814</v>
      </c>
      <c r="J181" s="19">
        <f t="shared" si="58"/>
        <v>5.1719006868933013</v>
      </c>
      <c r="K181" s="18">
        <f t="shared" si="59"/>
        <v>-1</v>
      </c>
      <c r="L181" s="17"/>
      <c r="M181" s="17"/>
      <c r="N181" s="18">
        <f t="shared" si="60"/>
        <v>-100</v>
      </c>
      <c r="O181" s="18">
        <f t="shared" si="60"/>
        <v>-100</v>
      </c>
      <c r="P181" s="18">
        <f t="shared" si="61"/>
        <v>5.4255048459892814</v>
      </c>
      <c r="Q181" s="18">
        <f t="shared" si="61"/>
        <v>5.1719006868933013</v>
      </c>
      <c r="S181" s="10">
        <f t="shared" si="62"/>
        <v>-25.374798823677253</v>
      </c>
      <c r="T181" s="10">
        <f t="shared" si="63"/>
        <v>-1</v>
      </c>
      <c r="U181" s="10">
        <f t="shared" si="64"/>
        <v>0</v>
      </c>
      <c r="V181" s="10">
        <f t="shared" si="65"/>
        <v>0</v>
      </c>
      <c r="Y181" s="10">
        <f t="shared" si="73"/>
        <v>0</v>
      </c>
      <c r="Z181" s="10">
        <f t="shared" si="66"/>
        <v>0</v>
      </c>
      <c r="AA181" s="10">
        <f t="shared" si="67"/>
        <v>0</v>
      </c>
      <c r="AB181" s="10">
        <f t="shared" si="68"/>
        <v>9.9999999999999978E-2</v>
      </c>
      <c r="AC181" s="10">
        <f t="shared" si="69"/>
        <v>-18.276328271429101</v>
      </c>
      <c r="AD181" s="10">
        <f t="shared" si="70"/>
        <v>14.246891663365069</v>
      </c>
      <c r="AE181" s="10">
        <f t="shared" si="71"/>
        <v>-1</v>
      </c>
      <c r="AF181" s="10">
        <f t="shared" si="72"/>
        <v>0</v>
      </c>
      <c r="AI181" s="10">
        <f t="shared" si="74"/>
        <v>-1</v>
      </c>
      <c r="AJ181" s="10">
        <f t="shared" si="75"/>
        <v>0</v>
      </c>
      <c r="AK181" s="10">
        <f t="shared" si="76"/>
        <v>0</v>
      </c>
      <c r="BJ181" s="11"/>
      <c r="BK181" s="29"/>
      <c r="BL181" s="29"/>
      <c r="BM181" s="11"/>
    </row>
    <row r="182" spans="2:65" x14ac:dyDescent="0.25">
      <c r="B182" s="10">
        <f t="shared" si="56"/>
        <v>163</v>
      </c>
      <c r="C182">
        <v>0.59017907005909365</v>
      </c>
      <c r="D182">
        <v>-1.4069973985897377</v>
      </c>
      <c r="E182">
        <v>7.1718497268593404E-2</v>
      </c>
      <c r="H182" s="18">
        <f>1</f>
        <v>1</v>
      </c>
      <c r="I182" s="19">
        <f t="shared" si="57"/>
        <v>7.0583046690426814</v>
      </c>
      <c r="J182" s="19">
        <f t="shared" si="58"/>
        <v>2.9709723162944455</v>
      </c>
      <c r="K182" s="18">
        <f t="shared" si="59"/>
        <v>-1</v>
      </c>
      <c r="L182" s="17"/>
      <c r="M182" s="17"/>
      <c r="N182" s="18">
        <f t="shared" si="60"/>
        <v>-100</v>
      </c>
      <c r="O182" s="18">
        <f t="shared" si="60"/>
        <v>-100</v>
      </c>
      <c r="P182" s="18">
        <f t="shared" si="61"/>
        <v>7.0583046690426814</v>
      </c>
      <c r="Q182" s="18">
        <f t="shared" si="61"/>
        <v>2.9709723162944455</v>
      </c>
      <c r="S182" s="10">
        <f t="shared" si="62"/>
        <v>-86.572772446081046</v>
      </c>
      <c r="T182" s="10">
        <f t="shared" si="63"/>
        <v>-1</v>
      </c>
      <c r="U182" s="10">
        <f t="shared" si="64"/>
        <v>0</v>
      </c>
      <c r="V182" s="10">
        <f t="shared" si="65"/>
        <v>0</v>
      </c>
      <c r="Y182" s="10">
        <f t="shared" si="73"/>
        <v>0</v>
      </c>
      <c r="Z182" s="10">
        <f t="shared" si="66"/>
        <v>0</v>
      </c>
      <c r="AA182" s="10">
        <f t="shared" si="67"/>
        <v>0</v>
      </c>
      <c r="AB182" s="10">
        <f t="shared" si="68"/>
        <v>9.9999999999999978E-2</v>
      </c>
      <c r="AC182" s="10">
        <f t="shared" si="69"/>
        <v>-18.276328271429101</v>
      </c>
      <c r="AD182" s="10">
        <f t="shared" si="70"/>
        <v>14.246891663365069</v>
      </c>
      <c r="AE182" s="10">
        <f t="shared" si="71"/>
        <v>-1</v>
      </c>
      <c r="AF182" s="10">
        <f t="shared" si="72"/>
        <v>0</v>
      </c>
      <c r="AI182" s="10">
        <f t="shared" si="74"/>
        <v>-1</v>
      </c>
      <c r="AJ182" s="10">
        <f t="shared" si="75"/>
        <v>0</v>
      </c>
      <c r="AK182" s="10">
        <f t="shared" si="76"/>
        <v>0</v>
      </c>
      <c r="BJ182" s="11"/>
      <c r="BK182" s="29"/>
      <c r="BL182" s="29"/>
      <c r="BM182" s="11"/>
    </row>
    <row r="183" spans="2:65" x14ac:dyDescent="0.25">
      <c r="B183" s="10">
        <f t="shared" si="56"/>
        <v>164</v>
      </c>
      <c r="C183">
        <v>0.80589870776748285</v>
      </c>
      <c r="D183">
        <v>8.0372046795673668E-2</v>
      </c>
      <c r="E183">
        <v>0.72075563829462574</v>
      </c>
      <c r="H183" s="18">
        <f>1</f>
        <v>1</v>
      </c>
      <c r="I183" s="19">
        <f t="shared" si="57"/>
        <v>7.3692998765901097</v>
      </c>
      <c r="J183" s="19">
        <f t="shared" si="58"/>
        <v>5.1152591057643804</v>
      </c>
      <c r="K183" s="18">
        <f t="shared" si="59"/>
        <v>-1</v>
      </c>
      <c r="L183" s="17"/>
      <c r="M183" s="17"/>
      <c r="N183" s="18">
        <f t="shared" si="60"/>
        <v>-100</v>
      </c>
      <c r="O183" s="18">
        <f t="shared" si="60"/>
        <v>-100</v>
      </c>
      <c r="P183" s="18">
        <f t="shared" si="61"/>
        <v>7.3692998765901097</v>
      </c>
      <c r="Q183" s="18">
        <f t="shared" si="61"/>
        <v>5.1152591057643804</v>
      </c>
      <c r="S183" s="10">
        <f t="shared" si="62"/>
        <v>-61.707201365296015</v>
      </c>
      <c r="T183" s="10">
        <f t="shared" si="63"/>
        <v>-1</v>
      </c>
      <c r="U183" s="10">
        <f t="shared" si="64"/>
        <v>0</v>
      </c>
      <c r="V183" s="10">
        <f t="shared" si="65"/>
        <v>0</v>
      </c>
      <c r="Y183" s="10">
        <f t="shared" si="73"/>
        <v>0</v>
      </c>
      <c r="Z183" s="10">
        <f t="shared" si="66"/>
        <v>0</v>
      </c>
      <c r="AA183" s="10">
        <f t="shared" si="67"/>
        <v>0</v>
      </c>
      <c r="AB183" s="10">
        <f t="shared" si="68"/>
        <v>9.9999999999999978E-2</v>
      </c>
      <c r="AC183" s="10">
        <f t="shared" si="69"/>
        <v>-18.276328271429101</v>
      </c>
      <c r="AD183" s="10">
        <f t="shared" si="70"/>
        <v>14.246891663365069</v>
      </c>
      <c r="AE183" s="10">
        <f t="shared" si="71"/>
        <v>-1</v>
      </c>
      <c r="AF183" s="10">
        <f t="shared" si="72"/>
        <v>0</v>
      </c>
      <c r="AI183" s="10">
        <f t="shared" si="74"/>
        <v>-1</v>
      </c>
      <c r="AJ183" s="10">
        <f t="shared" si="75"/>
        <v>0</v>
      </c>
      <c r="AK183" s="10">
        <f t="shared" si="76"/>
        <v>0</v>
      </c>
      <c r="BJ183" s="11"/>
      <c r="BK183" s="29"/>
      <c r="BL183" s="29"/>
      <c r="BM183" s="11"/>
    </row>
    <row r="184" spans="2:65" x14ac:dyDescent="0.25">
      <c r="B184" s="10">
        <f t="shared" si="56"/>
        <v>165</v>
      </c>
      <c r="C184">
        <v>8.3518898463808E-2</v>
      </c>
      <c r="D184">
        <v>0.87977923612925224</v>
      </c>
      <c r="E184">
        <v>0.66420484023560289</v>
      </c>
      <c r="H184" s="18">
        <f>1</f>
        <v>1</v>
      </c>
      <c r="I184" s="19">
        <f t="shared" si="57"/>
        <v>6.3278710057231926</v>
      </c>
      <c r="J184" s="19">
        <f t="shared" si="58"/>
        <v>6.2677355673546664</v>
      </c>
      <c r="K184" s="18">
        <f t="shared" si="59"/>
        <v>-1</v>
      </c>
      <c r="L184" s="17"/>
      <c r="M184" s="17"/>
      <c r="N184" s="18">
        <f t="shared" si="60"/>
        <v>-100</v>
      </c>
      <c r="O184" s="18">
        <f t="shared" si="60"/>
        <v>-100</v>
      </c>
      <c r="P184" s="18">
        <f t="shared" si="61"/>
        <v>6.3278710057231926</v>
      </c>
      <c r="Q184" s="18">
        <f t="shared" si="61"/>
        <v>6.2677355673546664</v>
      </c>
      <c r="S184" s="10">
        <f t="shared" si="62"/>
        <v>-26.254498157133355</v>
      </c>
      <c r="T184" s="10">
        <f t="shared" si="63"/>
        <v>-1</v>
      </c>
      <c r="U184" s="10">
        <f t="shared" si="64"/>
        <v>0</v>
      </c>
      <c r="V184" s="10">
        <f t="shared" si="65"/>
        <v>0</v>
      </c>
      <c r="Y184" s="10">
        <f t="shared" si="73"/>
        <v>0</v>
      </c>
      <c r="Z184" s="10">
        <f t="shared" si="66"/>
        <v>0</v>
      </c>
      <c r="AA184" s="10">
        <f t="shared" si="67"/>
        <v>0</v>
      </c>
      <c r="AB184" s="10">
        <f t="shared" si="68"/>
        <v>9.9999999999999978E-2</v>
      </c>
      <c r="AC184" s="10">
        <f t="shared" si="69"/>
        <v>-18.276328271429101</v>
      </c>
      <c r="AD184" s="10">
        <f t="shared" si="70"/>
        <v>14.246891663365069</v>
      </c>
      <c r="AE184" s="10">
        <f t="shared" si="71"/>
        <v>-1</v>
      </c>
      <c r="AF184" s="10">
        <f t="shared" si="72"/>
        <v>0</v>
      </c>
      <c r="AI184" s="10">
        <f t="shared" si="74"/>
        <v>-1</v>
      </c>
      <c r="AJ184" s="10">
        <f t="shared" si="75"/>
        <v>0</v>
      </c>
      <c r="AK184" s="10">
        <f t="shared" si="76"/>
        <v>0</v>
      </c>
      <c r="BJ184" s="11"/>
      <c r="BK184" s="29"/>
      <c r="BL184" s="29"/>
      <c r="BM184" s="11"/>
    </row>
    <row r="185" spans="2:65" x14ac:dyDescent="0.25">
      <c r="B185" s="10">
        <f t="shared" si="56"/>
        <v>166</v>
      </c>
      <c r="C185">
        <v>0.65206450017285533</v>
      </c>
      <c r="D185">
        <v>-0.43109139369335026</v>
      </c>
      <c r="E185">
        <v>0.42542802209540087</v>
      </c>
      <c r="H185" s="18">
        <f>1</f>
        <v>1</v>
      </c>
      <c r="I185" s="19">
        <f t="shared" si="57"/>
        <v>7.1475226576636715</v>
      </c>
      <c r="J185" s="19">
        <f t="shared" si="58"/>
        <v>4.377900743227042</v>
      </c>
      <c r="K185" s="18">
        <f t="shared" si="59"/>
        <v>-1</v>
      </c>
      <c r="L185" s="17"/>
      <c r="M185" s="17"/>
      <c r="N185" s="18">
        <f t="shared" si="60"/>
        <v>-100</v>
      </c>
      <c r="O185" s="18">
        <f t="shared" si="60"/>
        <v>-100</v>
      </c>
      <c r="P185" s="18">
        <f t="shared" si="61"/>
        <v>7.1475226576636715</v>
      </c>
      <c r="Q185" s="18">
        <f t="shared" si="61"/>
        <v>4.377900743227042</v>
      </c>
      <c r="S185" s="10">
        <f t="shared" si="62"/>
        <v>-68.158992817217523</v>
      </c>
      <c r="T185" s="10">
        <f t="shared" si="63"/>
        <v>-1</v>
      </c>
      <c r="U185" s="10">
        <f t="shared" si="64"/>
        <v>0</v>
      </c>
      <c r="V185" s="10">
        <f t="shared" si="65"/>
        <v>0</v>
      </c>
      <c r="Y185" s="10">
        <f t="shared" si="73"/>
        <v>0</v>
      </c>
      <c r="Z185" s="10">
        <f t="shared" si="66"/>
        <v>0</v>
      </c>
      <c r="AA185" s="10">
        <f t="shared" si="67"/>
        <v>0</v>
      </c>
      <c r="AB185" s="10">
        <f t="shared" si="68"/>
        <v>9.9999999999999978E-2</v>
      </c>
      <c r="AC185" s="10">
        <f t="shared" si="69"/>
        <v>-18.276328271429101</v>
      </c>
      <c r="AD185" s="10">
        <f t="shared" si="70"/>
        <v>14.246891663365069</v>
      </c>
      <c r="AE185" s="10">
        <f t="shared" si="71"/>
        <v>-1</v>
      </c>
      <c r="AF185" s="10">
        <f t="shared" si="72"/>
        <v>0</v>
      </c>
      <c r="AI185" s="10">
        <f t="shared" si="74"/>
        <v>-1</v>
      </c>
      <c r="AJ185" s="10">
        <f t="shared" si="75"/>
        <v>0</v>
      </c>
      <c r="AK185" s="10">
        <f t="shared" si="76"/>
        <v>0</v>
      </c>
      <c r="BJ185" s="11"/>
      <c r="BK185" s="29"/>
      <c r="BL185" s="29"/>
      <c r="BM185" s="11"/>
    </row>
    <row r="186" spans="2:65" x14ac:dyDescent="0.25">
      <c r="B186" s="10">
        <f t="shared" si="56"/>
        <v>167</v>
      </c>
      <c r="C186">
        <v>1.0909911907219794</v>
      </c>
      <c r="D186">
        <v>-3.3321612136205658E-2</v>
      </c>
      <c r="E186">
        <v>7.733390301217688E-2</v>
      </c>
      <c r="H186" s="18">
        <f>1</f>
        <v>1</v>
      </c>
      <c r="I186" s="19">
        <f t="shared" si="57"/>
        <v>7.7803074086280581</v>
      </c>
      <c r="J186" s="19">
        <f t="shared" si="58"/>
        <v>4.9513510655323474</v>
      </c>
      <c r="K186" s="18">
        <f t="shared" si="59"/>
        <v>-1</v>
      </c>
      <c r="L186" s="17"/>
      <c r="M186" s="17"/>
      <c r="N186" s="18">
        <f t="shared" si="60"/>
        <v>-100</v>
      </c>
      <c r="O186" s="18">
        <f t="shared" si="60"/>
        <v>-100</v>
      </c>
      <c r="P186" s="18">
        <f t="shared" si="61"/>
        <v>7.7803074086280581</v>
      </c>
      <c r="Q186" s="18">
        <f t="shared" si="61"/>
        <v>4.9513510655323474</v>
      </c>
      <c r="S186" s="10">
        <f t="shared" si="62"/>
        <v>-71.554090034791727</v>
      </c>
      <c r="T186" s="10">
        <f t="shared" si="63"/>
        <v>-1</v>
      </c>
      <c r="U186" s="10">
        <f t="shared" si="64"/>
        <v>0</v>
      </c>
      <c r="V186" s="10">
        <f t="shared" si="65"/>
        <v>0</v>
      </c>
      <c r="Y186" s="10">
        <f t="shared" si="73"/>
        <v>0</v>
      </c>
      <c r="Z186" s="10">
        <f t="shared" si="66"/>
        <v>0</v>
      </c>
      <c r="AA186" s="10">
        <f t="shared" si="67"/>
        <v>0</v>
      </c>
      <c r="AB186" s="10">
        <f t="shared" si="68"/>
        <v>9.9999999999999978E-2</v>
      </c>
      <c r="AC186" s="10">
        <f t="shared" si="69"/>
        <v>-18.276328271429101</v>
      </c>
      <c r="AD186" s="10">
        <f t="shared" si="70"/>
        <v>14.246891663365069</v>
      </c>
      <c r="AE186" s="10">
        <f t="shared" si="71"/>
        <v>-1</v>
      </c>
      <c r="AF186" s="10">
        <f t="shared" si="72"/>
        <v>0</v>
      </c>
      <c r="AI186" s="10">
        <f t="shared" si="74"/>
        <v>-1</v>
      </c>
      <c r="AJ186" s="10">
        <f t="shared" si="75"/>
        <v>0</v>
      </c>
      <c r="AK186" s="10">
        <f t="shared" si="76"/>
        <v>0</v>
      </c>
      <c r="BJ186" s="11"/>
      <c r="BK186" s="29"/>
      <c r="BL186" s="29"/>
      <c r="BM186" s="11"/>
    </row>
    <row r="187" spans="2:65" x14ac:dyDescent="0.25">
      <c r="B187" s="10">
        <f t="shared" si="56"/>
        <v>168</v>
      </c>
      <c r="C187">
        <v>-1.0814687811944168</v>
      </c>
      <c r="D187">
        <v>0.29879174689995125</v>
      </c>
      <c r="E187">
        <v>0.68346201971495713</v>
      </c>
      <c r="H187" s="18">
        <f>1</f>
        <v>1</v>
      </c>
      <c r="I187" s="19">
        <f t="shared" si="57"/>
        <v>4.6483503599706122</v>
      </c>
      <c r="J187" s="19">
        <f t="shared" si="58"/>
        <v>5.430146895712376</v>
      </c>
      <c r="K187" s="18">
        <f t="shared" si="59"/>
        <v>1</v>
      </c>
      <c r="L187" s="17"/>
      <c r="M187" s="17"/>
      <c r="N187" s="18">
        <f t="shared" si="60"/>
        <v>4.6483503599706122</v>
      </c>
      <c r="O187" s="18">
        <f t="shared" si="60"/>
        <v>5.430146895712376</v>
      </c>
      <c r="P187" s="18">
        <f t="shared" si="61"/>
        <v>-100</v>
      </c>
      <c r="Q187" s="18">
        <f t="shared" si="61"/>
        <v>-100</v>
      </c>
      <c r="S187" s="10">
        <f t="shared" si="62"/>
        <v>-7.4920625600661879</v>
      </c>
      <c r="T187" s="10">
        <f t="shared" si="63"/>
        <v>-1</v>
      </c>
      <c r="U187" s="10">
        <f t="shared" si="64"/>
        <v>1</v>
      </c>
      <c r="V187" s="10">
        <f t="shared" si="65"/>
        <v>1</v>
      </c>
      <c r="Y187" s="10">
        <f t="shared" si="73"/>
        <v>0.70082399975499998</v>
      </c>
      <c r="Z187" s="10">
        <f t="shared" si="66"/>
        <v>3.2576754915371984</v>
      </c>
      <c r="AA187" s="10">
        <f t="shared" si="67"/>
        <v>3.805577266710344</v>
      </c>
      <c r="AB187" s="10">
        <f t="shared" si="68"/>
        <v>0.80082399975499996</v>
      </c>
      <c r="AC187" s="10">
        <f t="shared" si="69"/>
        <v>-15.018652779891902</v>
      </c>
      <c r="AD187" s="10">
        <f t="shared" si="70"/>
        <v>18.052468930075413</v>
      </c>
      <c r="AE187" s="10">
        <f t="shared" si="71"/>
        <v>1</v>
      </c>
      <c r="AF187" s="10">
        <f t="shared" si="72"/>
        <v>0</v>
      </c>
      <c r="AI187" s="10">
        <f t="shared" si="74"/>
        <v>-1</v>
      </c>
      <c r="AJ187" s="10">
        <f t="shared" si="75"/>
        <v>0</v>
      </c>
      <c r="AK187" s="10">
        <f t="shared" si="76"/>
        <v>0</v>
      </c>
      <c r="BJ187" s="11"/>
      <c r="BK187" s="29"/>
      <c r="BL187" s="29"/>
      <c r="BM187" s="11"/>
    </row>
    <row r="188" spans="2:65" x14ac:dyDescent="0.25">
      <c r="B188" s="10">
        <f t="shared" si="56"/>
        <v>169</v>
      </c>
      <c r="C188">
        <v>-0.44397097553883214</v>
      </c>
      <c r="D188">
        <v>1.2750933819916099</v>
      </c>
      <c r="E188">
        <v>0.57374797814874723</v>
      </c>
      <c r="H188" s="18">
        <f>1</f>
        <v>1</v>
      </c>
      <c r="I188" s="19">
        <f t="shared" si="57"/>
        <v>5.5674079130381529</v>
      </c>
      <c r="J188" s="19">
        <f t="shared" si="58"/>
        <v>6.8376456884030343</v>
      </c>
      <c r="K188" s="18">
        <f t="shared" si="59"/>
        <v>1</v>
      </c>
      <c r="L188" s="17"/>
      <c r="M188" s="17"/>
      <c r="N188" s="18">
        <f t="shared" si="60"/>
        <v>5.5674079130381529</v>
      </c>
      <c r="O188" s="18">
        <f t="shared" si="60"/>
        <v>6.8376456884030343</v>
      </c>
      <c r="P188" s="18">
        <f t="shared" si="61"/>
        <v>-100</v>
      </c>
      <c r="Q188" s="18">
        <f t="shared" si="61"/>
        <v>-100</v>
      </c>
      <c r="S188" s="10">
        <f t="shared" si="62"/>
        <v>40.62224401457226</v>
      </c>
      <c r="T188" s="10">
        <f t="shared" si="63"/>
        <v>1</v>
      </c>
      <c r="U188" s="10">
        <f t="shared" si="64"/>
        <v>0</v>
      </c>
      <c r="V188" s="10">
        <f t="shared" si="65"/>
        <v>0</v>
      </c>
      <c r="Y188" s="10">
        <f t="shared" si="73"/>
        <v>0</v>
      </c>
      <c r="Z188" s="10">
        <f t="shared" si="66"/>
        <v>0</v>
      </c>
      <c r="AA188" s="10">
        <f t="shared" si="67"/>
        <v>0</v>
      </c>
      <c r="AB188" s="10">
        <f t="shared" si="68"/>
        <v>0.80082399975499996</v>
      </c>
      <c r="AC188" s="10">
        <f t="shared" si="69"/>
        <v>-15.018652779891902</v>
      </c>
      <c r="AD188" s="10">
        <f t="shared" si="70"/>
        <v>18.052468930075413</v>
      </c>
      <c r="AE188" s="10">
        <f t="shared" si="71"/>
        <v>1</v>
      </c>
      <c r="AF188" s="10">
        <f t="shared" si="72"/>
        <v>0</v>
      </c>
      <c r="AI188" s="10">
        <f t="shared" si="74"/>
        <v>-1</v>
      </c>
      <c r="AJ188" s="10">
        <f t="shared" si="75"/>
        <v>0</v>
      </c>
      <c r="AK188" s="10">
        <f t="shared" si="76"/>
        <v>0</v>
      </c>
      <c r="BJ188" s="11"/>
      <c r="BK188" s="29"/>
      <c r="BL188" s="29"/>
      <c r="BM188" s="11"/>
    </row>
    <row r="189" spans="2:65" x14ac:dyDescent="0.25">
      <c r="B189" s="10">
        <f t="shared" si="56"/>
        <v>170</v>
      </c>
      <c r="C189">
        <v>-0.96038093033712357</v>
      </c>
      <c r="D189">
        <v>0.36950268622604199</v>
      </c>
      <c r="E189">
        <v>9.4973601489303269E-2</v>
      </c>
      <c r="H189" s="18">
        <f>1</f>
        <v>1</v>
      </c>
      <c r="I189" s="19">
        <f t="shared" si="57"/>
        <v>4.8229183395429764</v>
      </c>
      <c r="J189" s="19">
        <f t="shared" si="58"/>
        <v>5.5320883020915135</v>
      </c>
      <c r="K189" s="18">
        <f t="shared" si="59"/>
        <v>1</v>
      </c>
      <c r="L189" s="17"/>
      <c r="M189" s="17"/>
      <c r="N189" s="18">
        <f t="shared" si="60"/>
        <v>4.8229183395429764</v>
      </c>
      <c r="O189" s="18">
        <f t="shared" si="60"/>
        <v>5.5320883020915135</v>
      </c>
      <c r="P189" s="18">
        <f t="shared" si="61"/>
        <v>-100</v>
      </c>
      <c r="Q189" s="18">
        <f t="shared" si="61"/>
        <v>-100</v>
      </c>
      <c r="S189" s="10">
        <f t="shared" si="62"/>
        <v>28.234940264326937</v>
      </c>
      <c r="T189" s="10">
        <f t="shared" si="63"/>
        <v>1</v>
      </c>
      <c r="U189" s="10">
        <f t="shared" si="64"/>
        <v>0</v>
      </c>
      <c r="V189" s="10">
        <f t="shared" si="65"/>
        <v>0</v>
      </c>
      <c r="Y189" s="10">
        <f t="shared" si="73"/>
        <v>0</v>
      </c>
      <c r="Z189" s="10">
        <f t="shared" si="66"/>
        <v>0</v>
      </c>
      <c r="AA189" s="10">
        <f t="shared" si="67"/>
        <v>0</v>
      </c>
      <c r="AB189" s="10">
        <f t="shared" si="68"/>
        <v>0.80082399975499996</v>
      </c>
      <c r="AC189" s="10">
        <f t="shared" si="69"/>
        <v>-15.018652779891902</v>
      </c>
      <c r="AD189" s="10">
        <f t="shared" si="70"/>
        <v>18.052468930075413</v>
      </c>
      <c r="AE189" s="10">
        <f t="shared" si="71"/>
        <v>1</v>
      </c>
      <c r="AF189" s="10">
        <f t="shared" si="72"/>
        <v>0</v>
      </c>
      <c r="AI189" s="10">
        <f t="shared" si="74"/>
        <v>-1</v>
      </c>
      <c r="AJ189" s="10">
        <f t="shared" si="75"/>
        <v>0</v>
      </c>
      <c r="AK189" s="10">
        <f t="shared" si="76"/>
        <v>0</v>
      </c>
      <c r="BJ189" s="11"/>
      <c r="BK189" s="29"/>
      <c r="BL189" s="29"/>
      <c r="BM189" s="11"/>
    </row>
    <row r="190" spans="2:65" x14ac:dyDescent="0.25">
      <c r="B190" s="10">
        <f t="shared" si="56"/>
        <v>171</v>
      </c>
      <c r="C190">
        <v>-0.89429022409603931</v>
      </c>
      <c r="D190">
        <v>0.49721506911737379</v>
      </c>
      <c r="E190">
        <v>0.50114444410534986</v>
      </c>
      <c r="H190" s="18">
        <f>1</f>
        <v>1</v>
      </c>
      <c r="I190" s="19">
        <f t="shared" si="57"/>
        <v>4.9181989228164706</v>
      </c>
      <c r="J190" s="19">
        <f t="shared" si="58"/>
        <v>5.7162066301472896</v>
      </c>
      <c r="K190" s="18">
        <f t="shared" si="59"/>
        <v>1</v>
      </c>
      <c r="L190" s="17"/>
      <c r="M190" s="17"/>
      <c r="N190" s="18">
        <f t="shared" si="60"/>
        <v>4.9181989228164706</v>
      </c>
      <c r="O190" s="18">
        <f t="shared" si="60"/>
        <v>5.7162066301472896</v>
      </c>
      <c r="P190" s="18">
        <f t="shared" si="61"/>
        <v>-100</v>
      </c>
      <c r="Q190" s="18">
        <f t="shared" si="61"/>
        <v>-100</v>
      </c>
      <c r="S190" s="10">
        <f t="shared" si="62"/>
        <v>30.127744664161085</v>
      </c>
      <c r="T190" s="10">
        <f t="shared" si="63"/>
        <v>1</v>
      </c>
      <c r="U190" s="10">
        <f t="shared" si="64"/>
        <v>0</v>
      </c>
      <c r="V190" s="10">
        <f t="shared" si="65"/>
        <v>0</v>
      </c>
      <c r="Y190" s="10">
        <f t="shared" si="73"/>
        <v>0</v>
      </c>
      <c r="Z190" s="10">
        <f t="shared" si="66"/>
        <v>0</v>
      </c>
      <c r="AA190" s="10">
        <f t="shared" si="67"/>
        <v>0</v>
      </c>
      <c r="AB190" s="10">
        <f t="shared" si="68"/>
        <v>0.80082399975499996</v>
      </c>
      <c r="AC190" s="10">
        <f t="shared" si="69"/>
        <v>-15.018652779891902</v>
      </c>
      <c r="AD190" s="10">
        <f t="shared" si="70"/>
        <v>18.052468930075413</v>
      </c>
      <c r="AE190" s="10">
        <f t="shared" si="71"/>
        <v>1</v>
      </c>
      <c r="AF190" s="10">
        <f t="shared" si="72"/>
        <v>0</v>
      </c>
      <c r="AI190" s="10">
        <f t="shared" si="74"/>
        <v>1</v>
      </c>
      <c r="AJ190" s="10">
        <f t="shared" si="75"/>
        <v>0</v>
      </c>
      <c r="AK190" s="10">
        <f t="shared" si="76"/>
        <v>0</v>
      </c>
      <c r="BJ190" s="11"/>
      <c r="BK190" s="29"/>
      <c r="BL190" s="29"/>
      <c r="BM190" s="11"/>
    </row>
    <row r="191" spans="2:65" x14ac:dyDescent="0.25">
      <c r="B191" s="10">
        <f t="shared" si="56"/>
        <v>172</v>
      </c>
      <c r="C191">
        <v>-0.90058392743230797</v>
      </c>
      <c r="D191">
        <v>2.37823769566603</v>
      </c>
      <c r="E191">
        <v>0.23380230109561448</v>
      </c>
      <c r="H191" s="18">
        <f>1</f>
        <v>1</v>
      </c>
      <c r="I191" s="19">
        <f t="shared" si="57"/>
        <v>4.9091255181135072</v>
      </c>
      <c r="J191" s="19">
        <f t="shared" si="58"/>
        <v>8.428008987870971</v>
      </c>
      <c r="K191" s="18">
        <f t="shared" si="59"/>
        <v>1</v>
      </c>
      <c r="L191" s="17"/>
      <c r="M191" s="17"/>
      <c r="N191" s="18">
        <f t="shared" si="60"/>
        <v>4.9091255181135072</v>
      </c>
      <c r="O191" s="18">
        <f t="shared" si="60"/>
        <v>8.428008987870971</v>
      </c>
      <c r="P191" s="18">
        <f t="shared" si="61"/>
        <v>-100</v>
      </c>
      <c r="Q191" s="18">
        <f t="shared" si="61"/>
        <v>-100</v>
      </c>
      <c r="S191" s="10">
        <f t="shared" si="62"/>
        <v>79.218742786238323</v>
      </c>
      <c r="T191" s="10">
        <f t="shared" si="63"/>
        <v>1</v>
      </c>
      <c r="U191" s="10">
        <f t="shared" si="64"/>
        <v>0</v>
      </c>
      <c r="V191" s="10">
        <f t="shared" si="65"/>
        <v>0</v>
      </c>
      <c r="Y191" s="10">
        <f t="shared" si="73"/>
        <v>0</v>
      </c>
      <c r="Z191" s="10">
        <f t="shared" si="66"/>
        <v>0</v>
      </c>
      <c r="AA191" s="10">
        <f t="shared" si="67"/>
        <v>0</v>
      </c>
      <c r="AB191" s="10">
        <f t="shared" si="68"/>
        <v>0.80082399975499996</v>
      </c>
      <c r="AC191" s="10">
        <f t="shared" si="69"/>
        <v>-15.018652779891902</v>
      </c>
      <c r="AD191" s="10">
        <f t="shared" si="70"/>
        <v>18.052468930075413</v>
      </c>
      <c r="AE191" s="10">
        <f t="shared" si="71"/>
        <v>1</v>
      </c>
      <c r="AF191" s="10">
        <f t="shared" si="72"/>
        <v>0</v>
      </c>
      <c r="AI191" s="10">
        <f t="shared" si="74"/>
        <v>1</v>
      </c>
      <c r="AJ191" s="10">
        <f t="shared" si="75"/>
        <v>0</v>
      </c>
      <c r="AK191" s="10">
        <f t="shared" si="76"/>
        <v>0</v>
      </c>
      <c r="BJ191" s="11"/>
      <c r="BK191" s="29"/>
      <c r="BL191" s="29"/>
      <c r="BM191" s="11"/>
    </row>
    <row r="192" spans="2:65" x14ac:dyDescent="0.25">
      <c r="B192" s="10">
        <f t="shared" si="56"/>
        <v>173</v>
      </c>
      <c r="C192">
        <v>-0.6128209406597307</v>
      </c>
      <c r="D192">
        <v>-1.0822941476362757</v>
      </c>
      <c r="E192">
        <v>9.9887081514938816E-2</v>
      </c>
      <c r="H192" s="18">
        <f>1</f>
        <v>1</v>
      </c>
      <c r="I192" s="19">
        <f t="shared" si="57"/>
        <v>5.3239830190183737</v>
      </c>
      <c r="J192" s="19">
        <f t="shared" si="58"/>
        <v>3.4390852613852552</v>
      </c>
      <c r="K192" s="18">
        <f t="shared" si="59"/>
        <v>-1</v>
      </c>
      <c r="L192" s="17"/>
      <c r="M192" s="17"/>
      <c r="N192" s="18">
        <f t="shared" si="60"/>
        <v>-100</v>
      </c>
      <c r="O192" s="18">
        <f t="shared" si="60"/>
        <v>-100</v>
      </c>
      <c r="P192" s="18">
        <f t="shared" si="61"/>
        <v>5.3239830190183737</v>
      </c>
      <c r="Q192" s="18">
        <f t="shared" si="61"/>
        <v>3.4390852613852552</v>
      </c>
      <c r="S192" s="10">
        <f t="shared" si="62"/>
        <v>-17.074248539884977</v>
      </c>
      <c r="T192" s="10">
        <f t="shared" si="63"/>
        <v>-1</v>
      </c>
      <c r="U192" s="10">
        <f t="shared" si="64"/>
        <v>0</v>
      </c>
      <c r="V192" s="10">
        <f t="shared" si="65"/>
        <v>0</v>
      </c>
      <c r="Y192" s="10">
        <f t="shared" si="73"/>
        <v>0</v>
      </c>
      <c r="Z192" s="10">
        <f t="shared" si="66"/>
        <v>0</v>
      </c>
      <c r="AA192" s="10">
        <f t="shared" si="67"/>
        <v>0</v>
      </c>
      <c r="AB192" s="10">
        <f t="shared" si="68"/>
        <v>0.80082399975499996</v>
      </c>
      <c r="AC192" s="10">
        <f t="shared" si="69"/>
        <v>-15.018652779891902</v>
      </c>
      <c r="AD192" s="10">
        <f t="shared" si="70"/>
        <v>18.052468930075413</v>
      </c>
      <c r="AE192" s="10">
        <f t="shared" si="71"/>
        <v>-1</v>
      </c>
      <c r="AF192" s="10">
        <f t="shared" si="72"/>
        <v>0</v>
      </c>
      <c r="AI192" s="10">
        <f t="shared" si="74"/>
        <v>1</v>
      </c>
      <c r="AJ192" s="10">
        <f t="shared" si="75"/>
        <v>0</v>
      </c>
      <c r="AK192" s="10">
        <f t="shared" si="76"/>
        <v>0</v>
      </c>
      <c r="BJ192" s="11"/>
      <c r="BK192" s="29"/>
      <c r="BL192" s="29"/>
      <c r="BM192" s="11"/>
    </row>
    <row r="193" spans="2:65" x14ac:dyDescent="0.25">
      <c r="B193" s="10">
        <f t="shared" si="56"/>
        <v>174</v>
      </c>
      <c r="C193">
        <v>-2.7046098693972453E-2</v>
      </c>
      <c r="D193">
        <v>0.98692453320836648</v>
      </c>
      <c r="E193">
        <v>5.6947538682210759E-2</v>
      </c>
      <c r="H193" s="18">
        <f>1</f>
        <v>1</v>
      </c>
      <c r="I193" s="19">
        <f t="shared" si="57"/>
        <v>6.1684734441296269</v>
      </c>
      <c r="J193" s="19">
        <f t="shared" si="58"/>
        <v>6.4222030709015359</v>
      </c>
      <c r="K193" s="18">
        <f t="shared" si="59"/>
        <v>1</v>
      </c>
      <c r="L193" s="17"/>
      <c r="M193" s="17"/>
      <c r="N193" s="18">
        <f t="shared" si="60"/>
        <v>6.1684734441296269</v>
      </c>
      <c r="O193" s="18">
        <f t="shared" si="60"/>
        <v>6.4222030709015359</v>
      </c>
      <c r="P193" s="18">
        <f t="shared" si="61"/>
        <v>-100</v>
      </c>
      <c r="Q193" s="18">
        <f t="shared" si="61"/>
        <v>-100</v>
      </c>
      <c r="S193" s="10">
        <f t="shared" si="62"/>
        <v>24.09528456047309</v>
      </c>
      <c r="T193" s="10">
        <f t="shared" si="63"/>
        <v>1</v>
      </c>
      <c r="U193" s="10">
        <f t="shared" si="64"/>
        <v>0</v>
      </c>
      <c r="V193" s="10">
        <f t="shared" si="65"/>
        <v>0</v>
      </c>
      <c r="Y193" s="10">
        <f t="shared" si="73"/>
        <v>0</v>
      </c>
      <c r="Z193" s="10">
        <f t="shared" si="66"/>
        <v>0</v>
      </c>
      <c r="AA193" s="10">
        <f t="shared" si="67"/>
        <v>0</v>
      </c>
      <c r="AB193" s="10">
        <f t="shared" si="68"/>
        <v>0.80082399975499996</v>
      </c>
      <c r="AC193" s="10">
        <f t="shared" si="69"/>
        <v>-15.018652779891902</v>
      </c>
      <c r="AD193" s="10">
        <f t="shared" si="70"/>
        <v>18.052468930075413</v>
      </c>
      <c r="AE193" s="10">
        <f t="shared" si="71"/>
        <v>1</v>
      </c>
      <c r="AF193" s="10">
        <f t="shared" si="72"/>
        <v>0</v>
      </c>
      <c r="AI193" s="10">
        <f t="shared" si="74"/>
        <v>1</v>
      </c>
      <c r="AJ193" s="10">
        <f t="shared" si="75"/>
        <v>0</v>
      </c>
      <c r="AK193" s="10">
        <f t="shared" si="76"/>
        <v>0</v>
      </c>
      <c r="BJ193" s="11"/>
      <c r="BK193" s="29"/>
      <c r="BL193" s="29"/>
      <c r="BM193" s="11"/>
    </row>
    <row r="194" spans="2:65" x14ac:dyDescent="0.25">
      <c r="B194" s="10">
        <f t="shared" si="56"/>
        <v>175</v>
      </c>
      <c r="C194">
        <v>-0.58572368288878351</v>
      </c>
      <c r="D194">
        <v>1.6440708350273781</v>
      </c>
      <c r="E194">
        <v>0.7772148808252205</v>
      </c>
      <c r="H194" s="18">
        <f>1</f>
        <v>1</v>
      </c>
      <c r="I194" s="19">
        <f t="shared" si="57"/>
        <v>5.3630481564994303</v>
      </c>
      <c r="J194" s="19">
        <f t="shared" si="58"/>
        <v>7.3695871509707596</v>
      </c>
      <c r="K194" s="18">
        <f t="shared" si="59"/>
        <v>1</v>
      </c>
      <c r="L194" s="17"/>
      <c r="M194" s="17"/>
      <c r="N194" s="18">
        <f t="shared" si="60"/>
        <v>5.3630481564994303</v>
      </c>
      <c r="O194" s="18">
        <f t="shared" si="60"/>
        <v>7.3695871509707596</v>
      </c>
      <c r="P194" s="18">
        <f t="shared" si="61"/>
        <v>-100</v>
      </c>
      <c r="Q194" s="18">
        <f t="shared" si="61"/>
        <v>-100</v>
      </c>
      <c r="S194" s="10">
        <f t="shared" si="62"/>
        <v>53.294308965833295</v>
      </c>
      <c r="T194" s="10">
        <f t="shared" si="63"/>
        <v>1</v>
      </c>
      <c r="U194" s="10">
        <f t="shared" si="64"/>
        <v>0</v>
      </c>
      <c r="V194" s="10">
        <f t="shared" si="65"/>
        <v>0</v>
      </c>
      <c r="Y194" s="10">
        <f t="shared" si="73"/>
        <v>0</v>
      </c>
      <c r="Z194" s="10">
        <f t="shared" si="66"/>
        <v>0</v>
      </c>
      <c r="AA194" s="10">
        <f t="shared" si="67"/>
        <v>0</v>
      </c>
      <c r="AB194" s="10">
        <f t="shared" si="68"/>
        <v>0.80082399975499996</v>
      </c>
      <c r="AC194" s="10">
        <f t="shared" si="69"/>
        <v>-15.018652779891902</v>
      </c>
      <c r="AD194" s="10">
        <f t="shared" si="70"/>
        <v>18.052468930075413</v>
      </c>
      <c r="AE194" s="10">
        <f t="shared" si="71"/>
        <v>1</v>
      </c>
      <c r="AF194" s="10">
        <f t="shared" si="72"/>
        <v>0</v>
      </c>
      <c r="AI194" s="10">
        <f t="shared" si="74"/>
        <v>1</v>
      </c>
      <c r="AJ194" s="10">
        <f t="shared" si="75"/>
        <v>0</v>
      </c>
      <c r="AK194" s="10">
        <f t="shared" si="76"/>
        <v>0</v>
      </c>
      <c r="BJ194" s="11"/>
      <c r="BK194" s="29"/>
      <c r="BL194" s="29"/>
      <c r="BM194" s="11"/>
    </row>
    <row r="195" spans="2:65" x14ac:dyDescent="0.25">
      <c r="B195" s="10">
        <f t="shared" si="56"/>
        <v>176</v>
      </c>
      <c r="C195">
        <v>-1.3592170944320969</v>
      </c>
      <c r="D195">
        <v>-0.425388861913234</v>
      </c>
      <c r="E195">
        <v>0.57005523850215156</v>
      </c>
      <c r="H195" s="18">
        <f>1</f>
        <v>1</v>
      </c>
      <c r="I195" s="19">
        <f t="shared" si="57"/>
        <v>4.2479306520622053</v>
      </c>
      <c r="J195" s="19">
        <f t="shared" si="58"/>
        <v>4.3861218772570387</v>
      </c>
      <c r="K195" s="18">
        <f t="shared" si="59"/>
        <v>1</v>
      </c>
      <c r="L195" s="17"/>
      <c r="M195" s="17"/>
      <c r="N195" s="18">
        <f t="shared" si="60"/>
        <v>4.2479306520622053</v>
      </c>
      <c r="O195" s="18">
        <f t="shared" si="60"/>
        <v>4.3861218772570387</v>
      </c>
      <c r="P195" s="18">
        <f t="shared" si="61"/>
        <v>-100</v>
      </c>
      <c r="Q195" s="18">
        <f t="shared" si="61"/>
        <v>-100</v>
      </c>
      <c r="S195" s="10">
        <f t="shared" si="62"/>
        <v>16.182957416079688</v>
      </c>
      <c r="T195" s="10">
        <f t="shared" si="63"/>
        <v>1</v>
      </c>
      <c r="U195" s="10">
        <f t="shared" si="64"/>
        <v>0</v>
      </c>
      <c r="V195" s="10">
        <f t="shared" si="65"/>
        <v>0</v>
      </c>
      <c r="Y195" s="10">
        <f t="shared" si="73"/>
        <v>0</v>
      </c>
      <c r="Z195" s="10">
        <f t="shared" si="66"/>
        <v>0</v>
      </c>
      <c r="AA195" s="10">
        <f t="shared" si="67"/>
        <v>0</v>
      </c>
      <c r="AB195" s="10">
        <f t="shared" si="68"/>
        <v>0.80082399975499996</v>
      </c>
      <c r="AC195" s="10">
        <f t="shared" si="69"/>
        <v>-15.018652779891902</v>
      </c>
      <c r="AD195" s="10">
        <f t="shared" si="70"/>
        <v>18.052468930075413</v>
      </c>
      <c r="AE195" s="10">
        <f t="shared" si="71"/>
        <v>1</v>
      </c>
      <c r="AF195" s="10">
        <f t="shared" si="72"/>
        <v>0</v>
      </c>
      <c r="AI195" s="10">
        <f t="shared" si="74"/>
        <v>-1</v>
      </c>
      <c r="AJ195" s="10">
        <f t="shared" si="75"/>
        <v>0</v>
      </c>
      <c r="AK195" s="10">
        <f t="shared" si="76"/>
        <v>0</v>
      </c>
      <c r="BJ195" s="11"/>
      <c r="BK195" s="29"/>
      <c r="BL195" s="29"/>
      <c r="BM195" s="11"/>
    </row>
    <row r="196" spans="2:65" x14ac:dyDescent="0.25">
      <c r="B196" s="10">
        <f t="shared" si="56"/>
        <v>177</v>
      </c>
      <c r="C196">
        <v>0.78897301136748865</v>
      </c>
      <c r="D196">
        <v>0.96573330665705726</v>
      </c>
      <c r="E196">
        <v>0.64665669728690456</v>
      </c>
      <c r="H196" s="18">
        <f>1</f>
        <v>1</v>
      </c>
      <c r="I196" s="19">
        <f t="shared" si="57"/>
        <v>7.344898711630262</v>
      </c>
      <c r="J196" s="19">
        <f t="shared" si="58"/>
        <v>6.3916524452398242</v>
      </c>
      <c r="K196" s="18">
        <f t="shared" si="59"/>
        <v>-1</v>
      </c>
      <c r="L196" s="17"/>
      <c r="M196" s="17"/>
      <c r="N196" s="18">
        <f t="shared" si="60"/>
        <v>-100</v>
      </c>
      <c r="O196" s="18">
        <f t="shared" si="60"/>
        <v>-100</v>
      </c>
      <c r="P196" s="18">
        <f t="shared" si="61"/>
        <v>7.344898711630262</v>
      </c>
      <c r="Q196" s="18">
        <f t="shared" si="61"/>
        <v>6.3916524452398242</v>
      </c>
      <c r="S196" s="10">
        <f t="shared" si="62"/>
        <v>5.8754477258371907</v>
      </c>
      <c r="T196" s="10">
        <f t="shared" si="63"/>
        <v>1</v>
      </c>
      <c r="U196" s="10">
        <f t="shared" si="64"/>
        <v>-1</v>
      </c>
      <c r="V196" s="10">
        <f t="shared" si="65"/>
        <v>1</v>
      </c>
      <c r="Y196" s="10">
        <f t="shared" si="73"/>
        <v>-0.70082399975499998</v>
      </c>
      <c r="Z196" s="10">
        <f t="shared" si="66"/>
        <v>-5.1474812928800668</v>
      </c>
      <c r="AA196" s="10">
        <f t="shared" si="67"/>
        <v>-4.4794234317167998</v>
      </c>
      <c r="AB196" s="10">
        <f t="shared" si="68"/>
        <v>9.9999999999999978E-2</v>
      </c>
      <c r="AC196" s="10">
        <f t="shared" si="69"/>
        <v>-20.166134072771968</v>
      </c>
      <c r="AD196" s="10">
        <f t="shared" si="70"/>
        <v>13.573045498358614</v>
      </c>
      <c r="AE196" s="10">
        <f t="shared" si="71"/>
        <v>-1</v>
      </c>
      <c r="AF196" s="10">
        <f t="shared" si="72"/>
        <v>0</v>
      </c>
      <c r="AI196" s="10">
        <f t="shared" si="74"/>
        <v>1</v>
      </c>
      <c r="AJ196" s="10">
        <f t="shared" si="75"/>
        <v>0</v>
      </c>
      <c r="AK196" s="10">
        <f t="shared" si="76"/>
        <v>0</v>
      </c>
      <c r="BJ196" s="11"/>
      <c r="BK196" s="29"/>
      <c r="BL196" s="29"/>
      <c r="BM196" s="11"/>
    </row>
    <row r="197" spans="2:65" x14ac:dyDescent="0.25">
      <c r="B197" s="10">
        <f t="shared" si="56"/>
        <v>178</v>
      </c>
      <c r="C197">
        <v>-1.569287633174099</v>
      </c>
      <c r="D197">
        <v>-1.3167186807550024</v>
      </c>
      <c r="E197">
        <v>0.60368663594470051</v>
      </c>
      <c r="H197" s="18">
        <f>1</f>
        <v>1</v>
      </c>
      <c r="I197" s="19">
        <f t="shared" si="57"/>
        <v>3.9450795463877943</v>
      </c>
      <c r="J197" s="19">
        <f t="shared" si="58"/>
        <v>3.1011238819487641</v>
      </c>
      <c r="K197" s="18">
        <f t="shared" si="59"/>
        <v>-1</v>
      </c>
      <c r="L197" s="17"/>
      <c r="M197" s="17"/>
      <c r="N197" s="18">
        <f t="shared" si="60"/>
        <v>-100</v>
      </c>
      <c r="O197" s="18">
        <f t="shared" si="60"/>
        <v>-100</v>
      </c>
      <c r="P197" s="18">
        <f t="shared" si="61"/>
        <v>3.9450795463877943</v>
      </c>
      <c r="Q197" s="18">
        <f t="shared" si="61"/>
        <v>3.1011238819487641</v>
      </c>
      <c r="S197" s="10">
        <f t="shared" si="62"/>
        <v>-37.365307514469627</v>
      </c>
      <c r="T197" s="10">
        <f t="shared" si="63"/>
        <v>-1</v>
      </c>
      <c r="U197" s="10">
        <f t="shared" si="64"/>
        <v>0</v>
      </c>
      <c r="V197" s="10">
        <f t="shared" si="65"/>
        <v>0</v>
      </c>
      <c r="Y197" s="10">
        <f t="shared" si="73"/>
        <v>0</v>
      </c>
      <c r="Z197" s="10">
        <f t="shared" si="66"/>
        <v>0</v>
      </c>
      <c r="AA197" s="10">
        <f t="shared" si="67"/>
        <v>0</v>
      </c>
      <c r="AB197" s="10">
        <f t="shared" si="68"/>
        <v>9.9999999999999978E-2</v>
      </c>
      <c r="AC197" s="10">
        <f t="shared" si="69"/>
        <v>-20.166134072771968</v>
      </c>
      <c r="AD197" s="10">
        <f t="shared" si="70"/>
        <v>13.573045498358614</v>
      </c>
      <c r="AE197" s="10">
        <f t="shared" si="71"/>
        <v>-1</v>
      </c>
      <c r="AF197" s="10">
        <f t="shared" si="72"/>
        <v>0</v>
      </c>
      <c r="AI197" s="10">
        <f t="shared" si="74"/>
        <v>1</v>
      </c>
      <c r="AJ197" s="10">
        <f t="shared" si="75"/>
        <v>0</v>
      </c>
      <c r="AK197" s="10">
        <f t="shared" si="76"/>
        <v>0</v>
      </c>
      <c r="BJ197" s="11"/>
      <c r="BK197" s="29"/>
      <c r="BL197" s="29"/>
      <c r="BM197" s="11"/>
    </row>
    <row r="198" spans="2:65" x14ac:dyDescent="0.25">
      <c r="B198" s="10">
        <f t="shared" si="56"/>
        <v>179</v>
      </c>
      <c r="C198">
        <v>1.236221578437835</v>
      </c>
      <c r="D198">
        <v>-0.9853079063759651</v>
      </c>
      <c r="E198">
        <v>1.5350810266426589E-2</v>
      </c>
      <c r="H198" s="18">
        <f>1</f>
        <v>1</v>
      </c>
      <c r="I198" s="19">
        <f t="shared" si="57"/>
        <v>7.9896808112987117</v>
      </c>
      <c r="J198" s="19">
        <f t="shared" si="58"/>
        <v>3.5789068212136135</v>
      </c>
      <c r="K198" s="18">
        <f t="shared" si="59"/>
        <v>-1</v>
      </c>
      <c r="L198" s="17"/>
      <c r="M198" s="17"/>
      <c r="N198" s="18">
        <f t="shared" si="60"/>
        <v>-100</v>
      </c>
      <c r="O198" s="18">
        <f t="shared" si="60"/>
        <v>-100</v>
      </c>
      <c r="P198" s="18">
        <f t="shared" si="61"/>
        <v>7.9896808112987117</v>
      </c>
      <c r="Q198" s="18">
        <f t="shared" si="61"/>
        <v>3.5789068212136135</v>
      </c>
      <c r="S198" s="10">
        <f t="shared" si="62"/>
        <v>-112.44430932058495</v>
      </c>
      <c r="T198" s="10">
        <f t="shared" si="63"/>
        <v>-1</v>
      </c>
      <c r="U198" s="10">
        <f t="shared" si="64"/>
        <v>0</v>
      </c>
      <c r="V198" s="10">
        <f t="shared" si="65"/>
        <v>0</v>
      </c>
      <c r="Y198" s="10">
        <f t="shared" si="73"/>
        <v>0</v>
      </c>
      <c r="Z198" s="10">
        <f t="shared" si="66"/>
        <v>0</v>
      </c>
      <c r="AA198" s="10">
        <f t="shared" si="67"/>
        <v>0</v>
      </c>
      <c r="AB198" s="10">
        <f t="shared" si="68"/>
        <v>9.9999999999999978E-2</v>
      </c>
      <c r="AC198" s="10">
        <f t="shared" si="69"/>
        <v>-20.166134072771968</v>
      </c>
      <c r="AD198" s="10">
        <f t="shared" si="70"/>
        <v>13.573045498358614</v>
      </c>
      <c r="AE198" s="10">
        <f t="shared" si="71"/>
        <v>-1</v>
      </c>
      <c r="AF198" s="10">
        <f t="shared" si="72"/>
        <v>0</v>
      </c>
      <c r="AI198" s="10">
        <f t="shared" si="74"/>
        <v>1</v>
      </c>
      <c r="AJ198" s="10">
        <f t="shared" si="75"/>
        <v>0</v>
      </c>
      <c r="AK198" s="10">
        <f t="shared" si="76"/>
        <v>0</v>
      </c>
      <c r="BJ198" s="11"/>
      <c r="BK198" s="29"/>
      <c r="BL198" s="29"/>
      <c r="BM198" s="11"/>
    </row>
    <row r="199" spans="2:65" x14ac:dyDescent="0.25">
      <c r="B199" s="10">
        <f t="shared" si="56"/>
        <v>180</v>
      </c>
      <c r="C199">
        <v>0.59437297750264406</v>
      </c>
      <c r="D199">
        <v>-0.45098886403138749</v>
      </c>
      <c r="E199">
        <v>0.90231025116733299</v>
      </c>
      <c r="H199" s="18">
        <f>1</f>
        <v>1</v>
      </c>
      <c r="I199" s="19">
        <f t="shared" si="57"/>
        <v>7.0643508738745506</v>
      </c>
      <c r="J199" s="19">
        <f t="shared" si="58"/>
        <v>4.3492152791534764</v>
      </c>
      <c r="K199" s="18">
        <f t="shared" si="59"/>
        <v>-1</v>
      </c>
      <c r="L199" s="17"/>
      <c r="M199" s="17"/>
      <c r="N199" s="18">
        <f t="shared" si="60"/>
        <v>-100</v>
      </c>
      <c r="O199" s="18">
        <f t="shared" si="60"/>
        <v>-100</v>
      </c>
      <c r="P199" s="18">
        <f t="shared" si="61"/>
        <v>7.0643508738745506</v>
      </c>
      <c r="Q199" s="18">
        <f t="shared" si="61"/>
        <v>4.3492152791534764</v>
      </c>
      <c r="S199" s="10">
        <f t="shared" si="62"/>
        <v>-83.328549993551405</v>
      </c>
      <c r="T199" s="10">
        <f t="shared" si="63"/>
        <v>-1</v>
      </c>
      <c r="U199" s="10">
        <f t="shared" si="64"/>
        <v>0</v>
      </c>
      <c r="V199" s="10">
        <f t="shared" si="65"/>
        <v>0</v>
      </c>
      <c r="X199" s="10">
        <f>SUM(V180:V199)</f>
        <v>2</v>
      </c>
      <c r="Y199" s="10">
        <f t="shared" si="73"/>
        <v>0</v>
      </c>
      <c r="Z199" s="10">
        <f t="shared" si="66"/>
        <v>0</v>
      </c>
      <c r="AA199" s="10">
        <f t="shared" si="67"/>
        <v>0</v>
      </c>
      <c r="AB199" s="10">
        <f t="shared" si="68"/>
        <v>9.9999999999999978E-2</v>
      </c>
      <c r="AC199" s="10">
        <f t="shared" si="69"/>
        <v>-20.166134072771968</v>
      </c>
      <c r="AD199" s="10">
        <f t="shared" si="70"/>
        <v>13.573045498358614</v>
      </c>
      <c r="AE199" s="10">
        <f t="shared" si="71"/>
        <v>-1</v>
      </c>
      <c r="AF199" s="10">
        <f t="shared" si="72"/>
        <v>0</v>
      </c>
      <c r="AI199" s="10">
        <f t="shared" si="74"/>
        <v>-1</v>
      </c>
      <c r="AJ199" s="10">
        <f t="shared" si="75"/>
        <v>0</v>
      </c>
      <c r="AK199" s="10">
        <f t="shared" si="76"/>
        <v>0</v>
      </c>
      <c r="BJ199" s="11"/>
      <c r="BK199" s="29"/>
      <c r="BL199" s="29"/>
      <c r="BM199" s="11"/>
    </row>
    <row r="200" spans="2:65" x14ac:dyDescent="0.25">
      <c r="B200" s="10">
        <f t="shared" si="56"/>
        <v>181</v>
      </c>
      <c r="C200">
        <v>1.5661498764529824</v>
      </c>
      <c r="D200">
        <v>-4.5647539081983268E-2</v>
      </c>
      <c r="E200">
        <v>0.46498001037629322</v>
      </c>
      <c r="H200" s="18">
        <f>1</f>
        <v>1</v>
      </c>
      <c r="I200" s="19">
        <f t="shared" si="57"/>
        <v>8.4653265179528923</v>
      </c>
      <c r="J200" s="19">
        <f t="shared" si="58"/>
        <v>4.9335812220010018</v>
      </c>
      <c r="K200" s="18">
        <f t="shared" si="59"/>
        <v>-1</v>
      </c>
      <c r="L200" s="17"/>
      <c r="M200" s="17"/>
      <c r="N200" s="18">
        <f t="shared" si="60"/>
        <v>-100</v>
      </c>
      <c r="O200" s="18">
        <f t="shared" si="60"/>
        <v>-100</v>
      </c>
      <c r="P200" s="18">
        <f t="shared" si="61"/>
        <v>8.4653265179528923</v>
      </c>
      <c r="Q200" s="18">
        <f t="shared" si="61"/>
        <v>4.9335812220010018</v>
      </c>
      <c r="S200" s="12">
        <f t="shared" si="62"/>
        <v>-103.64918713476263</v>
      </c>
      <c r="T200" s="12">
        <f t="shared" si="63"/>
        <v>-1</v>
      </c>
      <c r="U200" s="12">
        <f t="shared" si="64"/>
        <v>0</v>
      </c>
      <c r="V200" s="12">
        <f t="shared" si="65"/>
        <v>0</v>
      </c>
      <c r="W200" s="12"/>
      <c r="X200" s="12"/>
      <c r="Y200" s="10">
        <f t="shared" si="73"/>
        <v>0</v>
      </c>
      <c r="Z200" s="10">
        <f t="shared" si="66"/>
        <v>0</v>
      </c>
      <c r="AA200" s="10">
        <f t="shared" si="67"/>
        <v>0</v>
      </c>
      <c r="AB200" s="10">
        <f t="shared" si="68"/>
        <v>9.9999999999999978E-2</v>
      </c>
      <c r="AC200" s="10">
        <f t="shared" si="69"/>
        <v>-20.166134072771968</v>
      </c>
      <c r="AD200" s="10">
        <f t="shared" si="70"/>
        <v>13.573045498358614</v>
      </c>
      <c r="AE200" s="10">
        <f t="shared" si="71"/>
        <v>-1</v>
      </c>
      <c r="AF200" s="10">
        <f t="shared" si="72"/>
        <v>0</v>
      </c>
      <c r="AI200" s="10">
        <f t="shared" si="74"/>
        <v>-1</v>
      </c>
      <c r="AJ200" s="10">
        <f t="shared" si="75"/>
        <v>0</v>
      </c>
      <c r="AK200" s="10">
        <f t="shared" si="76"/>
        <v>0</v>
      </c>
      <c r="BJ200" s="11"/>
      <c r="BK200" s="29"/>
      <c r="BL200" s="29"/>
      <c r="BM200" s="11"/>
    </row>
    <row r="201" spans="2:65" x14ac:dyDescent="0.25">
      <c r="B201" s="10">
        <f t="shared" si="56"/>
        <v>182</v>
      </c>
      <c r="C201">
        <v>-0.68826238930341788</v>
      </c>
      <c r="D201">
        <v>0.42647798181860708</v>
      </c>
      <c r="E201">
        <v>0.83837397381511891</v>
      </c>
      <c r="H201" s="18">
        <f>1</f>
        <v>1</v>
      </c>
      <c r="I201" s="19">
        <f t="shared" si="57"/>
        <v>5.2152218082734434</v>
      </c>
      <c r="J201" s="19">
        <f t="shared" si="58"/>
        <v>5.6142275271806943</v>
      </c>
      <c r="K201" s="18">
        <f t="shared" si="59"/>
        <v>1</v>
      </c>
      <c r="L201" s="17"/>
      <c r="M201" s="17"/>
      <c r="N201" s="18">
        <f t="shared" si="60"/>
        <v>5.2152218082734434</v>
      </c>
      <c r="O201" s="18">
        <f t="shared" si="60"/>
        <v>5.6142275271806943</v>
      </c>
      <c r="P201" s="18">
        <f t="shared" si="61"/>
        <v>-100</v>
      </c>
      <c r="Q201" s="18">
        <f t="shared" si="61"/>
        <v>-100</v>
      </c>
      <c r="S201" s="10">
        <f t="shared" si="62"/>
        <v>-28.868696540325587</v>
      </c>
      <c r="T201" s="10">
        <f t="shared" si="63"/>
        <v>-1</v>
      </c>
      <c r="U201" s="10">
        <f t="shared" si="64"/>
        <v>1</v>
      </c>
      <c r="V201" s="10">
        <f t="shared" si="65"/>
        <v>1</v>
      </c>
      <c r="Y201" s="10">
        <f t="shared" si="73"/>
        <v>0.70082399975499998</v>
      </c>
      <c r="Z201" s="10">
        <f t="shared" si="66"/>
        <v>3.6549526072836982</v>
      </c>
      <c r="AA201" s="10">
        <f t="shared" si="67"/>
        <v>3.934585391133397</v>
      </c>
      <c r="AB201" s="10">
        <f t="shared" si="68"/>
        <v>0.80082399975499996</v>
      </c>
      <c r="AC201" s="10">
        <f t="shared" si="69"/>
        <v>-16.511181465488271</v>
      </c>
      <c r="AD201" s="10">
        <f t="shared" si="70"/>
        <v>17.50763088949201</v>
      </c>
      <c r="AE201" s="10">
        <f t="shared" si="71"/>
        <v>1</v>
      </c>
      <c r="AF201" s="10">
        <f t="shared" si="72"/>
        <v>0</v>
      </c>
      <c r="AI201" s="10">
        <f t="shared" si="74"/>
        <v>-1</v>
      </c>
      <c r="AJ201" s="10">
        <f t="shared" si="75"/>
        <v>0</v>
      </c>
      <c r="AK201" s="10">
        <f t="shared" si="76"/>
        <v>0</v>
      </c>
      <c r="BJ201" s="11"/>
      <c r="BK201" s="29"/>
      <c r="BL201" s="29"/>
      <c r="BM201" s="11"/>
    </row>
    <row r="202" spans="2:65" x14ac:dyDescent="0.25">
      <c r="B202" s="10">
        <f t="shared" si="56"/>
        <v>183</v>
      </c>
      <c r="C202">
        <v>-0.94043343779048882</v>
      </c>
      <c r="D202">
        <v>-1.0443250175740104</v>
      </c>
      <c r="E202">
        <v>0.83812982573931094</v>
      </c>
      <c r="H202" s="18">
        <f>1</f>
        <v>1</v>
      </c>
      <c r="I202" s="19">
        <f t="shared" si="57"/>
        <v>4.8516759188273317</v>
      </c>
      <c r="J202" s="19">
        <f t="shared" si="58"/>
        <v>3.4938239843385728</v>
      </c>
      <c r="K202" s="18">
        <f t="shared" si="59"/>
        <v>-1</v>
      </c>
      <c r="L202" s="17"/>
      <c r="M202" s="17"/>
      <c r="N202" s="18">
        <f t="shared" si="60"/>
        <v>-100</v>
      </c>
      <c r="O202" s="18">
        <f t="shared" si="60"/>
        <v>-100</v>
      </c>
      <c r="P202" s="18">
        <f t="shared" si="61"/>
        <v>4.8516759188273317</v>
      </c>
      <c r="Q202" s="18">
        <f t="shared" si="61"/>
        <v>3.4938239843385728</v>
      </c>
      <c r="S202" s="10">
        <f t="shared" si="62"/>
        <v>-18.137496797088573</v>
      </c>
      <c r="T202" s="10">
        <f t="shared" si="63"/>
        <v>-1</v>
      </c>
      <c r="U202" s="10">
        <f t="shared" si="64"/>
        <v>0</v>
      </c>
      <c r="V202" s="10">
        <f t="shared" si="65"/>
        <v>0</v>
      </c>
      <c r="Y202" s="10">
        <f t="shared" si="73"/>
        <v>0</v>
      </c>
      <c r="Z202" s="10">
        <f t="shared" si="66"/>
        <v>0</v>
      </c>
      <c r="AA202" s="10">
        <f t="shared" si="67"/>
        <v>0</v>
      </c>
      <c r="AB202" s="10">
        <f t="shared" si="68"/>
        <v>0.80082399975499996</v>
      </c>
      <c r="AC202" s="10">
        <f t="shared" si="69"/>
        <v>-16.511181465488271</v>
      </c>
      <c r="AD202" s="10">
        <f t="shared" si="70"/>
        <v>17.50763088949201</v>
      </c>
      <c r="AE202" s="10">
        <f t="shared" si="71"/>
        <v>-1</v>
      </c>
      <c r="AF202" s="10">
        <f t="shared" si="72"/>
        <v>0</v>
      </c>
      <c r="AI202" s="10">
        <f t="shared" si="74"/>
        <v>-1</v>
      </c>
      <c r="AJ202" s="10">
        <f t="shared" si="75"/>
        <v>0</v>
      </c>
      <c r="AK202" s="10">
        <f t="shared" si="76"/>
        <v>0</v>
      </c>
      <c r="BJ202" s="11"/>
      <c r="BK202" s="29"/>
      <c r="BL202" s="29"/>
      <c r="BM202" s="11"/>
    </row>
    <row r="203" spans="2:65" x14ac:dyDescent="0.25">
      <c r="B203" s="10">
        <f t="shared" si="56"/>
        <v>184</v>
      </c>
      <c r="C203">
        <v>0.92953769126324914</v>
      </c>
      <c r="D203">
        <v>-0.83742065726255532</v>
      </c>
      <c r="E203">
        <v>6.6530350657673876E-2</v>
      </c>
      <c r="H203" s="18">
        <f>1</f>
        <v>1</v>
      </c>
      <c r="I203" s="19">
        <f t="shared" si="57"/>
        <v>7.5475457319127361</v>
      </c>
      <c r="J203" s="19">
        <f t="shared" si="58"/>
        <v>3.7921105249664242</v>
      </c>
      <c r="K203" s="18">
        <f t="shared" si="59"/>
        <v>-1</v>
      </c>
      <c r="L203" s="17"/>
      <c r="M203" s="17"/>
      <c r="N203" s="18">
        <f t="shared" si="60"/>
        <v>-100</v>
      </c>
      <c r="O203" s="18">
        <f t="shared" si="60"/>
        <v>-100</v>
      </c>
      <c r="P203" s="18">
        <f t="shared" si="61"/>
        <v>7.5475457319127361</v>
      </c>
      <c r="Q203" s="18">
        <f t="shared" si="61"/>
        <v>3.7921105249664242</v>
      </c>
      <c r="S203" s="10">
        <f t="shared" si="62"/>
        <v>-57.427201835657755</v>
      </c>
      <c r="T203" s="10">
        <f t="shared" si="63"/>
        <v>-1</v>
      </c>
      <c r="U203" s="10">
        <f t="shared" si="64"/>
        <v>0</v>
      </c>
      <c r="V203" s="10">
        <f t="shared" si="65"/>
        <v>0</v>
      </c>
      <c r="Y203" s="10">
        <f t="shared" si="73"/>
        <v>0</v>
      </c>
      <c r="Z203" s="10">
        <f t="shared" si="66"/>
        <v>0</v>
      </c>
      <c r="AA203" s="10">
        <f t="shared" si="67"/>
        <v>0</v>
      </c>
      <c r="AB203" s="10">
        <f t="shared" si="68"/>
        <v>0.80082399975499996</v>
      </c>
      <c r="AC203" s="10">
        <f t="shared" si="69"/>
        <v>-16.511181465488271</v>
      </c>
      <c r="AD203" s="10">
        <f t="shared" si="70"/>
        <v>17.50763088949201</v>
      </c>
      <c r="AE203" s="10">
        <f t="shared" si="71"/>
        <v>-1</v>
      </c>
      <c r="AF203" s="10">
        <f t="shared" si="72"/>
        <v>0</v>
      </c>
      <c r="AI203" s="10">
        <f t="shared" si="74"/>
        <v>-1</v>
      </c>
      <c r="AJ203" s="10">
        <f t="shared" si="75"/>
        <v>0</v>
      </c>
      <c r="AK203" s="10">
        <f t="shared" si="76"/>
        <v>0</v>
      </c>
      <c r="BJ203" s="11"/>
      <c r="BK203" s="29"/>
      <c r="BL203" s="29"/>
      <c r="BM203" s="11"/>
    </row>
    <row r="204" spans="2:65" x14ac:dyDescent="0.25">
      <c r="B204" s="10">
        <f t="shared" si="56"/>
        <v>185</v>
      </c>
      <c r="C204">
        <v>0.67053406382910907</v>
      </c>
      <c r="D204">
        <v>1.2248051461938303</v>
      </c>
      <c r="E204">
        <v>0.43598742637409588</v>
      </c>
      <c r="H204" s="18">
        <f>1</f>
        <v>1</v>
      </c>
      <c r="I204" s="19">
        <f t="shared" si="57"/>
        <v>7.1741495602656116</v>
      </c>
      <c r="J204" s="19">
        <f t="shared" si="58"/>
        <v>6.7651469558107529</v>
      </c>
      <c r="K204" s="18">
        <f t="shared" si="59"/>
        <v>-1</v>
      </c>
      <c r="L204" s="17"/>
      <c r="M204" s="17"/>
      <c r="N204" s="18">
        <f t="shared" si="60"/>
        <v>-100</v>
      </c>
      <c r="O204" s="18">
        <f t="shared" si="60"/>
        <v>-100</v>
      </c>
      <c r="P204" s="18">
        <f t="shared" si="61"/>
        <v>7.1741495602656116</v>
      </c>
      <c r="Q204" s="18">
        <f t="shared" si="61"/>
        <v>6.7651469558107529</v>
      </c>
      <c r="S204" s="10">
        <f t="shared" si="62"/>
        <v>0.7888345651617783</v>
      </c>
      <c r="T204" s="10">
        <f t="shared" si="63"/>
        <v>1</v>
      </c>
      <c r="U204" s="10">
        <f t="shared" si="64"/>
        <v>-1</v>
      </c>
      <c r="V204" s="10">
        <f t="shared" si="65"/>
        <v>1</v>
      </c>
      <c r="Y204" s="10">
        <f t="shared" si="73"/>
        <v>-0.70082399975499998</v>
      </c>
      <c r="Z204" s="10">
        <f t="shared" si="66"/>
        <v>-5.0278161896659199</v>
      </c>
      <c r="AA204" s="10">
        <f t="shared" si="67"/>
        <v>-4.7411773485016537</v>
      </c>
      <c r="AB204" s="10">
        <f t="shared" si="68"/>
        <v>9.9999999999999978E-2</v>
      </c>
      <c r="AC204" s="10">
        <f t="shared" si="69"/>
        <v>-21.538997655154191</v>
      </c>
      <c r="AD204" s="10">
        <f t="shared" si="70"/>
        <v>12.766453540990355</v>
      </c>
      <c r="AE204" s="10">
        <f t="shared" si="71"/>
        <v>-1</v>
      </c>
      <c r="AF204" s="10">
        <f t="shared" si="72"/>
        <v>0</v>
      </c>
      <c r="AI204" s="10">
        <f t="shared" si="74"/>
        <v>1</v>
      </c>
      <c r="AJ204" s="10">
        <f t="shared" si="75"/>
        <v>0</v>
      </c>
      <c r="AK204" s="10">
        <f t="shared" si="76"/>
        <v>0</v>
      </c>
      <c r="BJ204" s="11"/>
      <c r="BK204" s="29"/>
      <c r="BL204" s="29"/>
      <c r="BM204" s="11"/>
    </row>
    <row r="205" spans="2:65" x14ac:dyDescent="0.25">
      <c r="B205" s="10">
        <f t="shared" si="56"/>
        <v>186</v>
      </c>
      <c r="C205">
        <v>-1.058685938915005</v>
      </c>
      <c r="D205">
        <v>0.70248688643914647</v>
      </c>
      <c r="E205">
        <v>0.45008697775200657</v>
      </c>
      <c r="H205" s="18">
        <f>1</f>
        <v>1</v>
      </c>
      <c r="I205" s="19">
        <f t="shared" si="57"/>
        <v>4.6811955605210782</v>
      </c>
      <c r="J205" s="19">
        <f t="shared" si="58"/>
        <v>6.0121395925321037</v>
      </c>
      <c r="K205" s="18">
        <f t="shared" si="59"/>
        <v>1</v>
      </c>
      <c r="L205" s="17"/>
      <c r="M205" s="17"/>
      <c r="N205" s="18">
        <f t="shared" si="60"/>
        <v>4.6811955605210782</v>
      </c>
      <c r="O205" s="18">
        <f t="shared" si="60"/>
        <v>6.0121395925321037</v>
      </c>
      <c r="P205" s="18">
        <f t="shared" si="61"/>
        <v>-100</v>
      </c>
      <c r="Q205" s="18">
        <f t="shared" si="61"/>
        <v>-100</v>
      </c>
      <c r="S205" s="10">
        <f t="shared" si="62"/>
        <v>-23.974559411371928</v>
      </c>
      <c r="T205" s="10">
        <f t="shared" si="63"/>
        <v>-1</v>
      </c>
      <c r="U205" s="10">
        <f t="shared" si="64"/>
        <v>1</v>
      </c>
      <c r="V205" s="10">
        <f t="shared" si="65"/>
        <v>1</v>
      </c>
      <c r="Y205" s="10">
        <f t="shared" si="73"/>
        <v>0.70082399975499998</v>
      </c>
      <c r="Z205" s="10">
        <f t="shared" si="66"/>
        <v>3.2806941963597311</v>
      </c>
      <c r="AA205" s="10">
        <f t="shared" si="67"/>
        <v>4.2134517163237444</v>
      </c>
      <c r="AB205" s="10">
        <f t="shared" si="68"/>
        <v>0.80082399975499996</v>
      </c>
      <c r="AC205" s="10">
        <f t="shared" si="69"/>
        <v>-18.258303458794458</v>
      </c>
      <c r="AD205" s="10">
        <f t="shared" si="70"/>
        <v>16.979905257314101</v>
      </c>
      <c r="AE205" s="10">
        <f t="shared" si="71"/>
        <v>1</v>
      </c>
      <c r="AF205" s="10">
        <f t="shared" si="72"/>
        <v>0</v>
      </c>
      <c r="AI205" s="10">
        <f t="shared" si="74"/>
        <v>-1</v>
      </c>
      <c r="AJ205" s="10">
        <f t="shared" si="75"/>
        <v>0</v>
      </c>
      <c r="AK205" s="10">
        <f t="shared" si="76"/>
        <v>0</v>
      </c>
      <c r="BJ205" s="11"/>
      <c r="BK205" s="29"/>
      <c r="BL205" s="29"/>
      <c r="BM205" s="11"/>
    </row>
    <row r="206" spans="2:65" x14ac:dyDescent="0.25">
      <c r="B206" s="10">
        <f t="shared" si="56"/>
        <v>187</v>
      </c>
      <c r="C206">
        <v>-1.779999365680851</v>
      </c>
      <c r="D206">
        <v>0.15611476555932313</v>
      </c>
      <c r="E206">
        <v>0.68068483535264135</v>
      </c>
      <c r="H206" s="18">
        <f>1</f>
        <v>1</v>
      </c>
      <c r="I206" s="19">
        <f t="shared" si="57"/>
        <v>3.6413040548296274</v>
      </c>
      <c r="J206" s="19">
        <f t="shared" si="58"/>
        <v>5.2244546467561115</v>
      </c>
      <c r="K206" s="18">
        <f t="shared" si="59"/>
        <v>1</v>
      </c>
      <c r="L206" s="17"/>
      <c r="M206" s="17"/>
      <c r="N206" s="18">
        <f t="shared" si="60"/>
        <v>3.6413040548296274</v>
      </c>
      <c r="O206" s="18">
        <f t="shared" si="60"/>
        <v>5.2244546467561115</v>
      </c>
      <c r="P206" s="18">
        <f t="shared" si="61"/>
        <v>-100</v>
      </c>
      <c r="Q206" s="18">
        <f t="shared" si="61"/>
        <v>-100</v>
      </c>
      <c r="S206" s="10">
        <f t="shared" si="62"/>
        <v>23.027534503990111</v>
      </c>
      <c r="T206" s="10">
        <f t="shared" si="63"/>
        <v>1</v>
      </c>
      <c r="U206" s="10">
        <f t="shared" si="64"/>
        <v>0</v>
      </c>
      <c r="V206" s="10">
        <f t="shared" si="65"/>
        <v>0</v>
      </c>
      <c r="Y206" s="10">
        <f t="shared" si="73"/>
        <v>0</v>
      </c>
      <c r="Z206" s="10">
        <f t="shared" si="66"/>
        <v>0</v>
      </c>
      <c r="AA206" s="10">
        <f t="shared" si="67"/>
        <v>0</v>
      </c>
      <c r="AB206" s="10">
        <f t="shared" si="68"/>
        <v>0.80082399975499996</v>
      </c>
      <c r="AC206" s="10">
        <f t="shared" si="69"/>
        <v>-18.258303458794458</v>
      </c>
      <c r="AD206" s="10">
        <f t="shared" si="70"/>
        <v>16.979905257314101</v>
      </c>
      <c r="AE206" s="10">
        <f t="shared" si="71"/>
        <v>1</v>
      </c>
      <c r="AF206" s="10">
        <f t="shared" si="72"/>
        <v>0</v>
      </c>
      <c r="AI206" s="10">
        <f t="shared" si="74"/>
        <v>-1</v>
      </c>
      <c r="AJ206" s="10">
        <f t="shared" si="75"/>
        <v>0</v>
      </c>
      <c r="AK206" s="10">
        <f t="shared" si="76"/>
        <v>0</v>
      </c>
      <c r="BJ206" s="11"/>
      <c r="BK206" s="29"/>
      <c r="BL206" s="29"/>
      <c r="BM206" s="11"/>
    </row>
    <row r="207" spans="2:65" x14ac:dyDescent="0.25">
      <c r="B207" s="10">
        <f t="shared" si="56"/>
        <v>188</v>
      </c>
      <c r="C207">
        <v>-0.70601572588202544</v>
      </c>
      <c r="D207">
        <v>1.6554076864849776</v>
      </c>
      <c r="E207">
        <v>0.74990081484420301</v>
      </c>
      <c r="H207" s="18">
        <f>1</f>
        <v>1</v>
      </c>
      <c r="I207" s="19">
        <f t="shared" si="57"/>
        <v>5.1896274643714433</v>
      </c>
      <c r="J207" s="19">
        <f t="shared" si="58"/>
        <v>7.3859310801069498</v>
      </c>
      <c r="K207" s="18">
        <f t="shared" si="59"/>
        <v>1</v>
      </c>
      <c r="L207" s="17"/>
      <c r="M207" s="17"/>
      <c r="N207" s="18">
        <f t="shared" si="60"/>
        <v>5.1896274643714433</v>
      </c>
      <c r="O207" s="18">
        <f t="shared" si="60"/>
        <v>7.3859310801069498</v>
      </c>
      <c r="P207" s="18">
        <f t="shared" si="61"/>
        <v>-100</v>
      </c>
      <c r="Q207" s="18">
        <f t="shared" si="61"/>
        <v>-100</v>
      </c>
      <c r="S207" s="10">
        <f t="shared" si="62"/>
        <v>31.459440894434778</v>
      </c>
      <c r="T207" s="10">
        <f t="shared" si="63"/>
        <v>1</v>
      </c>
      <c r="U207" s="10">
        <f t="shared" si="64"/>
        <v>0</v>
      </c>
      <c r="V207" s="10">
        <f t="shared" si="65"/>
        <v>0</v>
      </c>
      <c r="Y207" s="10">
        <f t="shared" si="73"/>
        <v>0</v>
      </c>
      <c r="Z207" s="10">
        <f t="shared" si="66"/>
        <v>0</v>
      </c>
      <c r="AA207" s="10">
        <f t="shared" si="67"/>
        <v>0</v>
      </c>
      <c r="AB207" s="10">
        <f t="shared" si="68"/>
        <v>0.80082399975499996</v>
      </c>
      <c r="AC207" s="10">
        <f t="shared" si="69"/>
        <v>-18.258303458794458</v>
      </c>
      <c r="AD207" s="10">
        <f t="shared" si="70"/>
        <v>16.979905257314101</v>
      </c>
      <c r="AE207" s="10">
        <f t="shared" si="71"/>
        <v>1</v>
      </c>
      <c r="AF207" s="10">
        <f t="shared" si="72"/>
        <v>0</v>
      </c>
      <c r="AI207" s="10">
        <f t="shared" si="74"/>
        <v>-1</v>
      </c>
      <c r="AJ207" s="10">
        <f t="shared" si="75"/>
        <v>0</v>
      </c>
      <c r="AK207" s="10">
        <f t="shared" si="76"/>
        <v>0</v>
      </c>
      <c r="BJ207" s="11"/>
      <c r="BK207" s="29"/>
      <c r="BL207" s="29"/>
      <c r="BM207" s="11"/>
    </row>
    <row r="208" spans="2:65" x14ac:dyDescent="0.25">
      <c r="B208" s="10">
        <f t="shared" si="56"/>
        <v>189</v>
      </c>
      <c r="C208">
        <v>0.21222149371169508</v>
      </c>
      <c r="D208">
        <v>1.1902329788426869</v>
      </c>
      <c r="E208">
        <v>2.0416882839442121E-2</v>
      </c>
      <c r="H208" s="18">
        <f>1</f>
        <v>1</v>
      </c>
      <c r="I208" s="19">
        <f t="shared" si="57"/>
        <v>6.5134168871561871</v>
      </c>
      <c r="J208" s="19">
        <f t="shared" si="58"/>
        <v>6.7153055112628639</v>
      </c>
      <c r="K208" s="18">
        <f t="shared" si="59"/>
        <v>1</v>
      </c>
      <c r="L208" s="17"/>
      <c r="M208" s="17"/>
      <c r="N208" s="18">
        <f t="shared" si="60"/>
        <v>6.5134168871561871</v>
      </c>
      <c r="O208" s="18">
        <f t="shared" si="60"/>
        <v>6.7153055112628639</v>
      </c>
      <c r="P208" s="18">
        <f t="shared" si="61"/>
        <v>-100</v>
      </c>
      <c r="Q208" s="18">
        <f t="shared" si="61"/>
        <v>-100</v>
      </c>
      <c r="S208" s="10">
        <f t="shared" si="62"/>
        <v>-4.0978667244163773</v>
      </c>
      <c r="T208" s="10">
        <f t="shared" si="63"/>
        <v>-1</v>
      </c>
      <c r="U208" s="10">
        <f t="shared" si="64"/>
        <v>1</v>
      </c>
      <c r="V208" s="10">
        <f t="shared" si="65"/>
        <v>1</v>
      </c>
      <c r="Y208" s="10">
        <f t="shared" si="73"/>
        <v>0.70082399975499998</v>
      </c>
      <c r="Z208" s="10">
        <f t="shared" si="66"/>
        <v>4.5647588749285601</v>
      </c>
      <c r="AA208" s="10">
        <f t="shared" si="67"/>
        <v>4.7062472679800358</v>
      </c>
      <c r="AB208" s="10">
        <f t="shared" si="68"/>
        <v>1.5016479995099998</v>
      </c>
      <c r="AC208" s="10">
        <f t="shared" si="69"/>
        <v>-13.693544583865897</v>
      </c>
      <c r="AD208" s="10">
        <f t="shared" si="70"/>
        <v>21.686152525294137</v>
      </c>
      <c r="AE208" s="10">
        <f t="shared" si="71"/>
        <v>1</v>
      </c>
      <c r="AF208" s="10">
        <f t="shared" si="72"/>
        <v>0</v>
      </c>
      <c r="AI208" s="10">
        <f t="shared" si="74"/>
        <v>1</v>
      </c>
      <c r="AJ208" s="10">
        <f t="shared" si="75"/>
        <v>0</v>
      </c>
      <c r="AK208" s="10">
        <f t="shared" si="76"/>
        <v>0</v>
      </c>
      <c r="BJ208" s="11"/>
      <c r="BK208" s="29"/>
      <c r="BL208" s="29"/>
      <c r="BM208" s="11"/>
    </row>
    <row r="209" spans="2:65" x14ac:dyDescent="0.25">
      <c r="B209" s="10">
        <f t="shared" si="56"/>
        <v>190</v>
      </c>
      <c r="C209">
        <v>-0.23905840862425976</v>
      </c>
      <c r="D209">
        <v>-1.751277522998862</v>
      </c>
      <c r="E209">
        <v>0.99078341013824889</v>
      </c>
      <c r="H209" s="18">
        <f>1</f>
        <v>1</v>
      </c>
      <c r="I209" s="19">
        <f t="shared" si="57"/>
        <v>5.862822957090934</v>
      </c>
      <c r="J209" s="19">
        <f t="shared" si="58"/>
        <v>2.474636100071947</v>
      </c>
      <c r="K209" s="18">
        <f t="shared" si="59"/>
        <v>-1</v>
      </c>
      <c r="L209" s="17"/>
      <c r="M209" s="17"/>
      <c r="N209" s="18">
        <f t="shared" si="60"/>
        <v>-100</v>
      </c>
      <c r="O209" s="18">
        <f t="shared" si="60"/>
        <v>-100</v>
      </c>
      <c r="P209" s="18">
        <f t="shared" si="61"/>
        <v>5.862822957090934</v>
      </c>
      <c r="Q209" s="18">
        <f t="shared" si="61"/>
        <v>2.474636100071947</v>
      </c>
      <c r="S209" s="10">
        <f t="shared" si="62"/>
        <v>-25.115843639967913</v>
      </c>
      <c r="T209" s="10">
        <f t="shared" si="63"/>
        <v>-1</v>
      </c>
      <c r="U209" s="10">
        <f t="shared" si="64"/>
        <v>0</v>
      </c>
      <c r="V209" s="10">
        <f t="shared" si="65"/>
        <v>0</v>
      </c>
      <c r="Y209" s="10">
        <f t="shared" si="73"/>
        <v>0</v>
      </c>
      <c r="Z209" s="10">
        <f t="shared" si="66"/>
        <v>0</v>
      </c>
      <c r="AA209" s="10">
        <f t="shared" si="67"/>
        <v>0</v>
      </c>
      <c r="AB209" s="10">
        <f t="shared" si="68"/>
        <v>1.5016479995099998</v>
      </c>
      <c r="AC209" s="10">
        <f t="shared" si="69"/>
        <v>-13.693544583865897</v>
      </c>
      <c r="AD209" s="10">
        <f t="shared" si="70"/>
        <v>21.686152525294137</v>
      </c>
      <c r="AE209" s="10">
        <f t="shared" si="71"/>
        <v>-1</v>
      </c>
      <c r="AF209" s="10">
        <f t="shared" si="72"/>
        <v>0</v>
      </c>
      <c r="AI209" s="10">
        <f t="shared" si="74"/>
        <v>1</v>
      </c>
      <c r="AJ209" s="10">
        <f t="shared" si="75"/>
        <v>0</v>
      </c>
      <c r="AK209" s="10">
        <f t="shared" si="76"/>
        <v>0</v>
      </c>
      <c r="BJ209" s="11"/>
      <c r="BK209" s="29"/>
      <c r="BL209" s="29"/>
      <c r="BM209" s="11"/>
    </row>
    <row r="210" spans="2:65" x14ac:dyDescent="0.25">
      <c r="B210" s="10">
        <f t="shared" si="56"/>
        <v>191</v>
      </c>
      <c r="C210">
        <v>0.38379312172764912</v>
      </c>
      <c r="D210">
        <v>-0.18452396943757776</v>
      </c>
      <c r="E210">
        <v>0.58500930814539021</v>
      </c>
      <c r="H210" s="18">
        <f>1</f>
        <v>1</v>
      </c>
      <c r="I210" s="19">
        <f t="shared" si="57"/>
        <v>6.7607655042357386</v>
      </c>
      <c r="J210" s="19">
        <f t="shared" si="58"/>
        <v>4.7333680900826725</v>
      </c>
      <c r="K210" s="18">
        <f t="shared" si="59"/>
        <v>-1</v>
      </c>
      <c r="L210" s="17"/>
      <c r="M210" s="17"/>
      <c r="N210" s="18">
        <f t="shared" si="60"/>
        <v>-100</v>
      </c>
      <c r="O210" s="18">
        <f t="shared" si="60"/>
        <v>-100</v>
      </c>
      <c r="P210" s="18">
        <f t="shared" si="61"/>
        <v>6.7607655042357386</v>
      </c>
      <c r="Q210" s="18">
        <f t="shared" si="61"/>
        <v>4.7333680900826725</v>
      </c>
      <c r="S210" s="10">
        <f t="shared" si="62"/>
        <v>11.571346506088332</v>
      </c>
      <c r="T210" s="10">
        <f t="shared" si="63"/>
        <v>1</v>
      </c>
      <c r="U210" s="10">
        <f t="shared" si="64"/>
        <v>-1</v>
      </c>
      <c r="V210" s="10">
        <f t="shared" si="65"/>
        <v>1</v>
      </c>
      <c r="Y210" s="10">
        <f t="shared" si="73"/>
        <v>-0.70082399975499998</v>
      </c>
      <c r="Z210" s="10">
        <f t="shared" si="66"/>
        <v>-4.7381067220841198</v>
      </c>
      <c r="AA210" s="10">
        <f t="shared" si="67"/>
        <v>-3.3172579572044234</v>
      </c>
      <c r="AB210" s="10">
        <f t="shared" si="68"/>
        <v>0.80082399975499985</v>
      </c>
      <c r="AC210" s="10">
        <f t="shared" si="69"/>
        <v>-18.431651305950016</v>
      </c>
      <c r="AD210" s="10">
        <f t="shared" si="70"/>
        <v>18.368894568089715</v>
      </c>
      <c r="AE210" s="10">
        <f t="shared" si="71"/>
        <v>-1</v>
      </c>
      <c r="AF210" s="10">
        <f t="shared" si="72"/>
        <v>0</v>
      </c>
      <c r="AI210" s="10">
        <f t="shared" si="74"/>
        <v>1</v>
      </c>
      <c r="AJ210" s="10">
        <f t="shared" si="75"/>
        <v>0</v>
      </c>
      <c r="AK210" s="10">
        <f t="shared" si="76"/>
        <v>0</v>
      </c>
      <c r="BJ210" s="11"/>
      <c r="BK210" s="29"/>
      <c r="BL210" s="29"/>
      <c r="BM210" s="11"/>
    </row>
    <row r="211" spans="2:65" x14ac:dyDescent="0.25">
      <c r="B211" s="10">
        <f t="shared" si="56"/>
        <v>192</v>
      </c>
      <c r="C211">
        <v>-0.39832684706198052</v>
      </c>
      <c r="D211">
        <v>-1.103701379179256</v>
      </c>
      <c r="E211">
        <v>0.23328348643452254</v>
      </c>
      <c r="H211" s="18">
        <f>1</f>
        <v>1</v>
      </c>
      <c r="I211" s="19">
        <f t="shared" si="57"/>
        <v>5.6332114039014609</v>
      </c>
      <c r="J211" s="19">
        <f t="shared" si="58"/>
        <v>3.4082232291314987</v>
      </c>
      <c r="K211" s="18">
        <f t="shared" si="59"/>
        <v>-1</v>
      </c>
      <c r="L211" s="17"/>
      <c r="M211" s="17"/>
      <c r="N211" s="18">
        <f t="shared" si="60"/>
        <v>-100</v>
      </c>
      <c r="O211" s="18">
        <f t="shared" si="60"/>
        <v>-100</v>
      </c>
      <c r="P211" s="18">
        <f t="shared" si="61"/>
        <v>5.6332114039014609</v>
      </c>
      <c r="Q211" s="18">
        <f t="shared" si="61"/>
        <v>3.4082232291314987</v>
      </c>
      <c r="S211" s="10">
        <f t="shared" si="62"/>
        <v>-40.423271169227107</v>
      </c>
      <c r="T211" s="10">
        <f t="shared" si="63"/>
        <v>-1</v>
      </c>
      <c r="U211" s="10">
        <f t="shared" si="64"/>
        <v>0</v>
      </c>
      <c r="V211" s="10">
        <f t="shared" si="65"/>
        <v>0</v>
      </c>
      <c r="Y211" s="10">
        <f t="shared" si="73"/>
        <v>0</v>
      </c>
      <c r="Z211" s="10">
        <f t="shared" si="66"/>
        <v>0</v>
      </c>
      <c r="AA211" s="10">
        <f t="shared" si="67"/>
        <v>0</v>
      </c>
      <c r="AB211" s="10">
        <f t="shared" si="68"/>
        <v>0.80082399975499985</v>
      </c>
      <c r="AC211" s="10">
        <f t="shared" si="69"/>
        <v>-18.431651305950016</v>
      </c>
      <c r="AD211" s="10">
        <f t="shared" si="70"/>
        <v>18.368894568089715</v>
      </c>
      <c r="AE211" s="10">
        <f t="shared" si="71"/>
        <v>-1</v>
      </c>
      <c r="AF211" s="10">
        <f t="shared" si="72"/>
        <v>0</v>
      </c>
      <c r="AI211" s="10">
        <f t="shared" si="74"/>
        <v>1</v>
      </c>
      <c r="AJ211" s="10">
        <f t="shared" si="75"/>
        <v>0</v>
      </c>
      <c r="AK211" s="10">
        <f t="shared" si="76"/>
        <v>0</v>
      </c>
      <c r="BJ211" s="11"/>
      <c r="BK211" s="29"/>
      <c r="BL211" s="29"/>
      <c r="BM211" s="11"/>
    </row>
    <row r="212" spans="2:65" x14ac:dyDescent="0.25">
      <c r="B212" s="10">
        <f t="shared" si="56"/>
        <v>193</v>
      </c>
      <c r="C212">
        <v>0.64989080783561803</v>
      </c>
      <c r="D212">
        <v>0.40986378735397011</v>
      </c>
      <c r="E212">
        <v>0.65514084292123176</v>
      </c>
      <c r="H212" s="18">
        <f>1</f>
        <v>1</v>
      </c>
      <c r="I212" s="19">
        <f t="shared" si="57"/>
        <v>7.1443889239584575</v>
      </c>
      <c r="J212" s="19">
        <f t="shared" si="58"/>
        <v>5.5902754433062167</v>
      </c>
      <c r="K212" s="18">
        <f t="shared" si="59"/>
        <v>-1</v>
      </c>
      <c r="L212" s="17"/>
      <c r="M212" s="17"/>
      <c r="N212" s="18">
        <f t="shared" si="60"/>
        <v>-100</v>
      </c>
      <c r="O212" s="18">
        <f t="shared" si="60"/>
        <v>-100</v>
      </c>
      <c r="P212" s="18">
        <f t="shared" si="61"/>
        <v>7.1443889239584575</v>
      </c>
      <c r="Q212" s="18">
        <f t="shared" si="61"/>
        <v>5.5902754433062167</v>
      </c>
      <c r="S212" s="10">
        <f t="shared" si="62"/>
        <v>-28.194881216065824</v>
      </c>
      <c r="T212" s="10">
        <f t="shared" si="63"/>
        <v>-1</v>
      </c>
      <c r="U212" s="10">
        <f t="shared" si="64"/>
        <v>0</v>
      </c>
      <c r="V212" s="10">
        <f t="shared" si="65"/>
        <v>0</v>
      </c>
      <c r="Y212" s="10">
        <f t="shared" si="73"/>
        <v>0</v>
      </c>
      <c r="Z212" s="10">
        <f t="shared" si="66"/>
        <v>0</v>
      </c>
      <c r="AA212" s="10">
        <f t="shared" si="67"/>
        <v>0</v>
      </c>
      <c r="AB212" s="10">
        <f t="shared" si="68"/>
        <v>0.80082399975499985</v>
      </c>
      <c r="AC212" s="10">
        <f t="shared" si="69"/>
        <v>-18.431651305950016</v>
      </c>
      <c r="AD212" s="10">
        <f t="shared" si="70"/>
        <v>18.368894568089715</v>
      </c>
      <c r="AE212" s="10">
        <f t="shared" si="71"/>
        <v>-1</v>
      </c>
      <c r="AF212" s="10">
        <f t="shared" si="72"/>
        <v>0</v>
      </c>
      <c r="AI212" s="10">
        <f t="shared" si="74"/>
        <v>-1</v>
      </c>
      <c r="AJ212" s="10">
        <f t="shared" si="75"/>
        <v>0</v>
      </c>
      <c r="AK212" s="10">
        <f t="shared" si="76"/>
        <v>0</v>
      </c>
      <c r="BJ212" s="11"/>
      <c r="BK212" s="29"/>
      <c r="BL212" s="29"/>
      <c r="BM212" s="11"/>
    </row>
    <row r="213" spans="2:65" x14ac:dyDescent="0.25">
      <c r="B213" s="10">
        <f t="shared" ref="B213:B219" si="77">B212+1</f>
        <v>194</v>
      </c>
      <c r="C213">
        <v>-0.87854004959808663</v>
      </c>
      <c r="D213">
        <v>0.70631017479172442</v>
      </c>
      <c r="E213">
        <v>0.81041901913510539</v>
      </c>
      <c r="H213" s="18">
        <f>1</f>
        <v>1</v>
      </c>
      <c r="I213" s="19">
        <f t="shared" ref="I213:I219" si="78">C213*$C$7 +$C$5</f>
        <v>4.940905380322766</v>
      </c>
      <c r="J213" s="19">
        <f t="shared" ref="J213:J219" si="79">D213*$C$10 +$C$9</f>
        <v>6.0176514892113069</v>
      </c>
      <c r="K213" s="18">
        <f t="shared" ref="K213:K219" si="80">IF(SUMPRODUCT(H213:J213,$G$10:$I$10)&gt;=0,1,-1)</f>
        <v>1</v>
      </c>
      <c r="L213" s="17"/>
      <c r="M213" s="17"/>
      <c r="N213" s="18">
        <f t="shared" ref="N213:O219" si="81">IF($K213=1,I213,-100)</f>
        <v>4.940905380322766</v>
      </c>
      <c r="O213" s="18">
        <f t="shared" si="81"/>
        <v>6.0176514892113069</v>
      </c>
      <c r="P213" s="18">
        <f t="shared" ref="P213:Q219" si="82">IF($K213=-1,I213,-100)</f>
        <v>-100</v>
      </c>
      <c r="Q213" s="18">
        <f t="shared" si="82"/>
        <v>-100</v>
      </c>
      <c r="S213" s="10">
        <f t="shared" ref="S213:S219" si="83">SUMPRODUCT(H213:J213,AB212:AD212)</f>
        <v>20.269384646783976</v>
      </c>
      <c r="T213" s="10">
        <f t="shared" ref="T213:T219" si="84">IF(S213&gt;=0,1,-1)</f>
        <v>1</v>
      </c>
      <c r="U213" s="10">
        <f t="shared" ref="U213:U219" si="85">(K213-T213)/2</f>
        <v>0</v>
      </c>
      <c r="V213" s="10">
        <f t="shared" ref="V213:V219" si="86">IF(U213&lt;&gt;0,1,0)</f>
        <v>0</v>
      </c>
      <c r="Y213" s="10">
        <f t="shared" si="73"/>
        <v>0</v>
      </c>
      <c r="Z213" s="10">
        <f t="shared" ref="Z213:Z219" si="87">IF(U213=0,0,$C$12*(U213)*I213)</f>
        <v>0</v>
      </c>
      <c r="AA213" s="10">
        <f t="shared" ref="AA213:AA219" si="88">IF(U213=0,0,$C$12*(U213)*J213)</f>
        <v>0</v>
      </c>
      <c r="AB213" s="10">
        <f t="shared" ref="AB213:AB219" si="89">IF(U213=0,AB212,AB212+$C$12*(U213)*H213)</f>
        <v>0.80082399975499985</v>
      </c>
      <c r="AC213" s="10">
        <f t="shared" ref="AC213:AC218" si="90">IF(U213=0,AC212,AC212+$C$12*(U213)*I213)</f>
        <v>-18.431651305950016</v>
      </c>
      <c r="AD213" s="10">
        <f t="shared" ref="AD213:AD219" si="91">IF(U213=0,AD212,AD212+$C$12*(U213)*J213)</f>
        <v>18.368894568089715</v>
      </c>
      <c r="AE213" s="10">
        <f t="shared" ref="AE213:AE219" si="92">IF(SUMPRODUCT(H213:J213,$AR$29:$AT$29)&gt;=0,1,-1)</f>
        <v>1</v>
      </c>
      <c r="AF213" s="10">
        <f t="shared" ref="AF213:AF219" si="93">IF(K213=AE213,0,1)</f>
        <v>0</v>
      </c>
      <c r="AI213" s="10">
        <f t="shared" si="74"/>
        <v>-1</v>
      </c>
      <c r="AJ213" s="10">
        <f t="shared" si="75"/>
        <v>0</v>
      </c>
      <c r="AK213" s="10">
        <f t="shared" si="76"/>
        <v>0</v>
      </c>
      <c r="BJ213" s="11"/>
      <c r="BK213" s="29"/>
      <c r="BL213" s="29"/>
      <c r="BM213" s="11"/>
    </row>
    <row r="214" spans="2:65" x14ac:dyDescent="0.25">
      <c r="B214" s="10">
        <f t="shared" si="77"/>
        <v>195</v>
      </c>
      <c r="C214">
        <v>-1.7509273675386794</v>
      </c>
      <c r="D214">
        <v>-0.54009888117434457</v>
      </c>
      <c r="E214">
        <v>1.913510544145024E-2</v>
      </c>
      <c r="H214" s="18">
        <f>1</f>
        <v>1</v>
      </c>
      <c r="I214" s="19">
        <f t="shared" si="78"/>
        <v>3.6832161041548037</v>
      </c>
      <c r="J214" s="19">
        <f t="shared" si="79"/>
        <v>4.2207485870603287</v>
      </c>
      <c r="K214" s="18">
        <f t="shared" si="80"/>
        <v>1</v>
      </c>
      <c r="L214" s="17"/>
      <c r="M214" s="17"/>
      <c r="N214" s="18">
        <f t="shared" si="81"/>
        <v>3.6832161041548037</v>
      </c>
      <c r="O214" s="18">
        <f t="shared" si="81"/>
        <v>4.2207485870603287</v>
      </c>
      <c r="P214" s="18">
        <f t="shared" si="82"/>
        <v>-100</v>
      </c>
      <c r="Q214" s="18">
        <f t="shared" si="82"/>
        <v>-100</v>
      </c>
      <c r="S214" s="10">
        <f t="shared" si="83"/>
        <v>10.443554877638789</v>
      </c>
      <c r="T214" s="10">
        <f t="shared" si="84"/>
        <v>1</v>
      </c>
      <c r="U214" s="10">
        <f t="shared" si="85"/>
        <v>0</v>
      </c>
      <c r="V214" s="10">
        <f t="shared" si="86"/>
        <v>0</v>
      </c>
      <c r="Y214" s="10">
        <f t="shared" ref="Y214:Y219" si="94">IF(U214=0,0,$C$12*(U214)*H214)</f>
        <v>0</v>
      </c>
      <c r="Z214" s="10">
        <f t="shared" si="87"/>
        <v>0</v>
      </c>
      <c r="AA214" s="10">
        <f t="shared" si="88"/>
        <v>0</v>
      </c>
      <c r="AB214" s="10">
        <f t="shared" si="89"/>
        <v>0.80082399975499985</v>
      </c>
      <c r="AC214" s="10">
        <f t="shared" si="90"/>
        <v>-18.431651305950016</v>
      </c>
      <c r="AD214" s="10">
        <f t="shared" si="91"/>
        <v>18.368894568089715</v>
      </c>
      <c r="AE214" s="10">
        <f t="shared" si="92"/>
        <v>1</v>
      </c>
      <c r="AF214" s="10">
        <f t="shared" si="93"/>
        <v>0</v>
      </c>
      <c r="AI214" s="10">
        <f t="shared" si="74"/>
        <v>-1</v>
      </c>
      <c r="AJ214" s="10">
        <f t="shared" si="75"/>
        <v>0</v>
      </c>
      <c r="AK214" s="10">
        <f t="shared" si="76"/>
        <v>0</v>
      </c>
      <c r="BJ214" s="11"/>
      <c r="BK214" s="29"/>
      <c r="BL214" s="29"/>
      <c r="BM214" s="11"/>
    </row>
    <row r="215" spans="2:65" x14ac:dyDescent="0.25">
      <c r="B215" s="10">
        <f t="shared" si="77"/>
        <v>196</v>
      </c>
      <c r="C215">
        <v>0.12420741768437438</v>
      </c>
      <c r="D215">
        <v>-0.46142986320774071</v>
      </c>
      <c r="E215">
        <v>5.8198797570726643E-2</v>
      </c>
      <c r="H215" s="18">
        <f>1</f>
        <v>1</v>
      </c>
      <c r="I215" s="19">
        <f t="shared" si="78"/>
        <v>6.3865301737721545</v>
      </c>
      <c r="J215" s="19">
        <f t="shared" si="79"/>
        <v>4.3341628678832418</v>
      </c>
      <c r="K215" s="18">
        <f t="shared" si="80"/>
        <v>-1</v>
      </c>
      <c r="L215" s="17"/>
      <c r="M215" s="17"/>
      <c r="N215" s="18">
        <f t="shared" si="81"/>
        <v>-100</v>
      </c>
      <c r="O215" s="18">
        <f t="shared" si="81"/>
        <v>-100</v>
      </c>
      <c r="P215" s="18">
        <f t="shared" si="82"/>
        <v>6.3865301737721545</v>
      </c>
      <c r="Q215" s="18">
        <f t="shared" si="82"/>
        <v>4.3341628678832418</v>
      </c>
      <c r="S215" s="10">
        <f t="shared" si="83"/>
        <v>-37.299692457065092</v>
      </c>
      <c r="T215" s="10">
        <f t="shared" si="84"/>
        <v>-1</v>
      </c>
      <c r="U215" s="10">
        <f t="shared" si="85"/>
        <v>0</v>
      </c>
      <c r="V215" s="10">
        <f t="shared" si="86"/>
        <v>0</v>
      </c>
      <c r="Y215" s="10">
        <f t="shared" si="94"/>
        <v>0</v>
      </c>
      <c r="Z215" s="10">
        <f t="shared" si="87"/>
        <v>0</v>
      </c>
      <c r="AA215" s="10">
        <f t="shared" si="88"/>
        <v>0</v>
      </c>
      <c r="AB215" s="10">
        <f t="shared" si="89"/>
        <v>0.80082399975499985</v>
      </c>
      <c r="AC215" s="10">
        <f t="shared" si="90"/>
        <v>-18.431651305950016</v>
      </c>
      <c r="AD215" s="10">
        <f t="shared" si="91"/>
        <v>18.368894568089715</v>
      </c>
      <c r="AE215" s="10">
        <f t="shared" si="92"/>
        <v>-1</v>
      </c>
      <c r="AF215" s="10">
        <f t="shared" si="93"/>
        <v>0</v>
      </c>
      <c r="AI215" s="10">
        <f t="shared" si="74"/>
        <v>-1</v>
      </c>
      <c r="AJ215" s="10">
        <f t="shared" si="75"/>
        <v>0</v>
      </c>
      <c r="AK215" s="10">
        <f t="shared" si="76"/>
        <v>0</v>
      </c>
      <c r="BJ215" s="11"/>
      <c r="BK215" s="29"/>
      <c r="BL215" s="29"/>
      <c r="BM215" s="11"/>
    </row>
    <row r="216" spans="2:65" x14ac:dyDescent="0.25">
      <c r="B216" s="10">
        <f t="shared" si="77"/>
        <v>197</v>
      </c>
      <c r="C216">
        <v>-1.2169084584456868</v>
      </c>
      <c r="D216">
        <v>0.70101805249578319</v>
      </c>
      <c r="E216">
        <v>0.37830744346446121</v>
      </c>
      <c r="H216" s="18">
        <f>1</f>
        <v>1</v>
      </c>
      <c r="I216" s="19">
        <f t="shared" si="78"/>
        <v>4.4530918708299296</v>
      </c>
      <c r="J216" s="19">
        <f t="shared" si="79"/>
        <v>6.0100220277061958</v>
      </c>
      <c r="K216" s="18">
        <f t="shared" si="80"/>
        <v>1</v>
      </c>
      <c r="L216" s="17"/>
      <c r="M216" s="17"/>
      <c r="N216" s="18">
        <f t="shared" si="81"/>
        <v>4.4530918708299296</v>
      </c>
      <c r="O216" s="18">
        <f t="shared" si="81"/>
        <v>6.0100220277061958</v>
      </c>
      <c r="P216" s="18">
        <f t="shared" si="82"/>
        <v>-100</v>
      </c>
      <c r="Q216" s="18">
        <f t="shared" si="82"/>
        <v>-100</v>
      </c>
      <c r="S216" s="10">
        <f t="shared" si="83"/>
        <v>29.120448382088995</v>
      </c>
      <c r="T216" s="10">
        <f t="shared" si="84"/>
        <v>1</v>
      </c>
      <c r="U216" s="10">
        <f t="shared" si="85"/>
        <v>0</v>
      </c>
      <c r="V216" s="10">
        <f t="shared" si="86"/>
        <v>0</v>
      </c>
      <c r="Y216" s="10">
        <f t="shared" si="94"/>
        <v>0</v>
      </c>
      <c r="Z216" s="10">
        <f t="shared" si="87"/>
        <v>0</v>
      </c>
      <c r="AA216" s="10">
        <f t="shared" si="88"/>
        <v>0</v>
      </c>
      <c r="AB216" s="10">
        <f t="shared" si="89"/>
        <v>0.80082399975499985</v>
      </c>
      <c r="AC216" s="10">
        <f t="shared" si="90"/>
        <v>-18.431651305950016</v>
      </c>
      <c r="AD216" s="10">
        <f t="shared" si="91"/>
        <v>18.368894568089715</v>
      </c>
      <c r="AE216" s="10">
        <f t="shared" si="92"/>
        <v>1</v>
      </c>
      <c r="AF216" s="10">
        <f t="shared" si="93"/>
        <v>0</v>
      </c>
      <c r="AI216" s="10">
        <f t="shared" ref="AI216:AI222" si="95">IF(SUMPRODUCT(H213:J213,$AI$17:$AK$17)&gt;=0,1,-1)</f>
        <v>1</v>
      </c>
      <c r="AJ216" s="10">
        <f t="shared" ref="AJ216:AJ222" si="96">(K213-AI216)/2</f>
        <v>0</v>
      </c>
      <c r="AK216" s="10">
        <f t="shared" ref="AK216:AK222" si="97">IF(AJ216&lt;&gt;0,1,0)</f>
        <v>0</v>
      </c>
      <c r="BJ216" s="11"/>
      <c r="BK216" s="29"/>
      <c r="BL216" s="29"/>
      <c r="BM216" s="11"/>
    </row>
    <row r="217" spans="2:65" x14ac:dyDescent="0.25">
      <c r="B217" s="10">
        <f t="shared" si="77"/>
        <v>198</v>
      </c>
      <c r="C217">
        <v>-0.65898802859010175</v>
      </c>
      <c r="D217">
        <v>2.7122268875245936E-2</v>
      </c>
      <c r="E217">
        <v>0.30668050172429578</v>
      </c>
      <c r="H217" s="18">
        <f>1</f>
        <v>1</v>
      </c>
      <c r="I217" s="19">
        <f t="shared" si="78"/>
        <v>5.2574255964059038</v>
      </c>
      <c r="J217" s="19">
        <f t="shared" si="79"/>
        <v>5.0384908248969502</v>
      </c>
      <c r="K217" s="18">
        <f t="shared" si="80"/>
        <v>-1</v>
      </c>
      <c r="L217" s="17"/>
      <c r="M217" s="17"/>
      <c r="N217" s="18">
        <f t="shared" si="81"/>
        <v>-100</v>
      </c>
      <c r="O217" s="18">
        <f t="shared" si="81"/>
        <v>-100</v>
      </c>
      <c r="P217" s="18">
        <f t="shared" si="82"/>
        <v>5.2574255964059038</v>
      </c>
      <c r="Q217" s="18">
        <f t="shared" si="82"/>
        <v>5.0384908248969502</v>
      </c>
      <c r="S217" s="10">
        <f t="shared" si="83"/>
        <v>-3.5507046153554711</v>
      </c>
      <c r="T217" s="10">
        <f t="shared" si="84"/>
        <v>-1</v>
      </c>
      <c r="U217" s="10">
        <f t="shared" si="85"/>
        <v>0</v>
      </c>
      <c r="V217" s="10">
        <f t="shared" si="86"/>
        <v>0</v>
      </c>
      <c r="Y217" s="10">
        <f t="shared" si="94"/>
        <v>0</v>
      </c>
      <c r="Z217" s="10">
        <f t="shared" si="87"/>
        <v>0</v>
      </c>
      <c r="AA217" s="10">
        <f t="shared" si="88"/>
        <v>0</v>
      </c>
      <c r="AB217" s="10">
        <f t="shared" si="89"/>
        <v>0.80082399975499985</v>
      </c>
      <c r="AC217" s="10">
        <f t="shared" si="90"/>
        <v>-18.431651305950016</v>
      </c>
      <c r="AD217" s="10">
        <f t="shared" si="91"/>
        <v>18.368894568089715</v>
      </c>
      <c r="AE217" s="10">
        <f t="shared" si="92"/>
        <v>-1</v>
      </c>
      <c r="AF217" s="10">
        <f t="shared" si="93"/>
        <v>0</v>
      </c>
      <c r="AI217" s="10">
        <f t="shared" si="95"/>
        <v>1</v>
      </c>
      <c r="AJ217" s="10">
        <f t="shared" si="96"/>
        <v>0</v>
      </c>
      <c r="AK217" s="10">
        <f t="shared" si="97"/>
        <v>0</v>
      </c>
      <c r="BJ217" s="11"/>
      <c r="BK217" s="29"/>
      <c r="BL217" s="29"/>
      <c r="BM217" s="11"/>
    </row>
    <row r="218" spans="2:65" x14ac:dyDescent="0.25">
      <c r="B218" s="10">
        <f t="shared" si="77"/>
        <v>199</v>
      </c>
      <c r="C218">
        <v>1.0097164704347961</v>
      </c>
      <c r="D218">
        <v>-1.8605533114168793</v>
      </c>
      <c r="E218">
        <v>0.75353251747184669</v>
      </c>
      <c r="H218" s="18">
        <f>1</f>
        <v>1</v>
      </c>
      <c r="I218" s="19">
        <f t="shared" si="78"/>
        <v>7.6631365809158396</v>
      </c>
      <c r="J218" s="19">
        <f t="shared" si="79"/>
        <v>2.3170971441382724</v>
      </c>
      <c r="K218" s="18">
        <f t="shared" si="80"/>
        <v>-1</v>
      </c>
      <c r="L218" s="17"/>
      <c r="M218" s="17"/>
      <c r="N218" s="18">
        <f t="shared" si="81"/>
        <v>-100</v>
      </c>
      <c r="O218" s="18">
        <f t="shared" si="81"/>
        <v>-100</v>
      </c>
      <c r="P218" s="18">
        <f t="shared" si="82"/>
        <v>7.6631365809158396</v>
      </c>
      <c r="Q218" s="18">
        <f t="shared" si="82"/>
        <v>2.3170971441382724</v>
      </c>
      <c r="S218" s="10">
        <f t="shared" si="83"/>
        <v>-97.880924224858063</v>
      </c>
      <c r="T218" s="10">
        <f t="shared" si="84"/>
        <v>-1</v>
      </c>
      <c r="U218" s="10">
        <f t="shared" si="85"/>
        <v>0</v>
      </c>
      <c r="V218" s="10">
        <f t="shared" si="86"/>
        <v>0</v>
      </c>
      <c r="Y218" s="10">
        <f t="shared" si="94"/>
        <v>0</v>
      </c>
      <c r="Z218" s="10">
        <f t="shared" si="87"/>
        <v>0</v>
      </c>
      <c r="AA218" s="10">
        <f t="shared" si="88"/>
        <v>0</v>
      </c>
      <c r="AB218" s="10">
        <f t="shared" si="89"/>
        <v>0.80082399975499985</v>
      </c>
      <c r="AC218" s="10">
        <f t="shared" si="90"/>
        <v>-18.431651305950016</v>
      </c>
      <c r="AD218" s="10">
        <f t="shared" si="91"/>
        <v>18.368894568089715</v>
      </c>
      <c r="AE218" s="10">
        <f t="shared" si="92"/>
        <v>-1</v>
      </c>
      <c r="AF218" s="10">
        <f t="shared" si="93"/>
        <v>0</v>
      </c>
      <c r="AI218" s="10">
        <f t="shared" si="95"/>
        <v>-1</v>
      </c>
      <c r="AJ218" s="10">
        <f t="shared" si="96"/>
        <v>0</v>
      </c>
      <c r="AK218" s="10">
        <f t="shared" si="97"/>
        <v>0</v>
      </c>
      <c r="BJ218" s="11"/>
      <c r="BK218" s="29"/>
      <c r="BL218" s="29"/>
      <c r="BM218" s="11"/>
    </row>
    <row r="219" spans="2:65" x14ac:dyDescent="0.25">
      <c r="B219" s="10">
        <f t="shared" si="77"/>
        <v>200</v>
      </c>
      <c r="C219">
        <v>1.6065314412117004</v>
      </c>
      <c r="D219">
        <v>-0.99618091553566046</v>
      </c>
      <c r="E219">
        <v>0.52336191900387585</v>
      </c>
      <c r="H219" s="18">
        <f>1</f>
        <v>1</v>
      </c>
      <c r="I219" s="19">
        <f t="shared" si="78"/>
        <v>8.5235431608447367</v>
      </c>
      <c r="J219" s="19">
        <f t="shared" si="79"/>
        <v>3.5632315967592891</v>
      </c>
      <c r="K219" s="18">
        <f t="shared" si="80"/>
        <v>-1</v>
      </c>
      <c r="L219" s="17"/>
      <c r="M219" s="17"/>
      <c r="N219" s="18">
        <f t="shared" si="81"/>
        <v>-100</v>
      </c>
      <c r="O219" s="18">
        <f t="shared" si="81"/>
        <v>-100</v>
      </c>
      <c r="P219" s="18">
        <f t="shared" si="82"/>
        <v>8.5235431608447367</v>
      </c>
      <c r="Q219" s="18">
        <f t="shared" si="82"/>
        <v>3.5632315967592891</v>
      </c>
      <c r="S219" s="10">
        <f t="shared" si="83"/>
        <v>-90.849525909592856</v>
      </c>
      <c r="T219" s="10">
        <f t="shared" si="84"/>
        <v>-1</v>
      </c>
      <c r="U219" s="10">
        <f t="shared" si="85"/>
        <v>0</v>
      </c>
      <c r="V219" s="10">
        <f t="shared" si="86"/>
        <v>0</v>
      </c>
      <c r="X219" s="10">
        <f>SUM(V200:V219)</f>
        <v>5</v>
      </c>
      <c r="Y219" s="10">
        <f t="shared" si="94"/>
        <v>0</v>
      </c>
      <c r="Z219" s="10">
        <f t="shared" si="87"/>
        <v>0</v>
      </c>
      <c r="AA219" s="10">
        <f t="shared" si="88"/>
        <v>0</v>
      </c>
      <c r="AB219" s="10">
        <f t="shared" si="89"/>
        <v>0.80082399975499985</v>
      </c>
      <c r="AC219" s="10">
        <f>IF(U219=0,AC218,AC218+$C$12*(U219)*I219)</f>
        <v>-18.431651305950016</v>
      </c>
      <c r="AD219" s="10">
        <f t="shared" si="91"/>
        <v>18.368894568089715</v>
      </c>
      <c r="AE219" s="10">
        <f t="shared" si="92"/>
        <v>-1</v>
      </c>
      <c r="AF219" s="10">
        <f t="shared" si="93"/>
        <v>0</v>
      </c>
      <c r="AI219" s="10">
        <f t="shared" si="95"/>
        <v>1</v>
      </c>
      <c r="AJ219" s="10">
        <f t="shared" si="96"/>
        <v>0</v>
      </c>
      <c r="AK219" s="10">
        <f t="shared" si="97"/>
        <v>0</v>
      </c>
      <c r="BJ219" s="11"/>
      <c r="BK219" s="29"/>
      <c r="BL219" s="29"/>
      <c r="BM219" s="11"/>
    </row>
    <row r="220" spans="2:65" x14ac:dyDescent="0.25">
      <c r="S220" s="12"/>
      <c r="T220" s="12"/>
      <c r="U220" s="12"/>
      <c r="V220" s="12"/>
      <c r="W220" s="12"/>
      <c r="X220" s="12"/>
      <c r="AI220" s="10">
        <f t="shared" si="95"/>
        <v>-1</v>
      </c>
      <c r="AJ220" s="10">
        <f t="shared" si="96"/>
        <v>0</v>
      </c>
      <c r="AK220" s="10">
        <f t="shared" si="97"/>
        <v>0</v>
      </c>
    </row>
    <row r="221" spans="2:65" x14ac:dyDescent="0.25">
      <c r="AI221" s="10">
        <f t="shared" si="95"/>
        <v>-1</v>
      </c>
      <c r="AJ221" s="10">
        <f t="shared" si="96"/>
        <v>0</v>
      </c>
      <c r="AK221" s="10">
        <f t="shared" si="97"/>
        <v>0</v>
      </c>
    </row>
    <row r="222" spans="2:65" x14ac:dyDescent="0.25">
      <c r="AI222" s="10">
        <f t="shared" si="95"/>
        <v>-1</v>
      </c>
      <c r="AJ222" s="10">
        <f t="shared" si="96"/>
        <v>0</v>
      </c>
      <c r="AK222" s="10">
        <f t="shared" si="97"/>
        <v>0</v>
      </c>
    </row>
  </sheetData>
  <mergeCells count="30">
    <mergeCell ref="BX18:BY18"/>
    <mergeCell ref="AV31:AZ31"/>
    <mergeCell ref="AW17:AZ17"/>
    <mergeCell ref="BD17:BG17"/>
    <mergeCell ref="BJ17:BM17"/>
    <mergeCell ref="BP17:BS17"/>
    <mergeCell ref="BV17:BY17"/>
    <mergeCell ref="C18:E18"/>
    <mergeCell ref="N18:O18"/>
    <mergeCell ref="P18:Q18"/>
    <mergeCell ref="BE18:BG18"/>
    <mergeCell ref="BV18:BW18"/>
    <mergeCell ref="AQ17:AT17"/>
    <mergeCell ref="A9:B9"/>
    <mergeCell ref="A10:B10"/>
    <mergeCell ref="A11:B11"/>
    <mergeCell ref="A12:B12"/>
    <mergeCell ref="A13:B13"/>
    <mergeCell ref="A14:B14"/>
    <mergeCell ref="AJ15:AL15"/>
    <mergeCell ref="B17:E17"/>
    <mergeCell ref="H17:K17"/>
    <mergeCell ref="N17:Q17"/>
    <mergeCell ref="T17:AD17"/>
    <mergeCell ref="F8:I8"/>
    <mergeCell ref="B4:E4"/>
    <mergeCell ref="A5:B5"/>
    <mergeCell ref="A6:B6"/>
    <mergeCell ref="A7:B7"/>
    <mergeCell ref="A8:B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2 переменные</vt:lpstr>
      <vt:lpstr>20 с.в.</vt:lpstr>
      <vt:lpstr> без х0</vt:lpstr>
      <vt:lpstr>3D без х0</vt:lpstr>
      <vt:lpstr>5 переменных</vt:lpstr>
      <vt:lpstr>Совм.классы</vt:lpstr>
      <vt:lpstr>Разд.классы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Sos ouda</dc:creator>
  <cp:lastModifiedBy>Sos ouda</cp:lastModifiedBy>
  <dcterms:created xsi:type="dcterms:W3CDTF">2015-06-05T18:19:34Z</dcterms:created>
  <dcterms:modified xsi:type="dcterms:W3CDTF">2025-12-07T10:58:03Z</dcterms:modified>
</cp:coreProperties>
</file>