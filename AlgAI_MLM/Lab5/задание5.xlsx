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sran\Documents\Вилисов\Задание5\"/>
    </mc:Choice>
  </mc:AlternateContent>
  <xr:revisionPtr revIDLastSave="0" documentId="13_ncr:1_{29603FC1-CEF1-493F-A4E4-F28361F60717}" xr6:coauthVersionLast="47" xr6:coauthVersionMax="47" xr10:uidLastSave="{00000000-0000-0000-0000-000000000000}"/>
  <bookViews>
    <workbookView xWindow="43095" yWindow="10395" windowWidth="14610" windowHeight="15585" xr2:uid="{00000000-000D-0000-FFFF-FFFF00000000}"/>
  </bookViews>
  <sheets>
    <sheet name="Эксп. апрокс. МНК-МНМ" sheetId="1" r:id="rId1"/>
    <sheet name="Син. апрокс. МНК-МНМ" sheetId="2" r:id="rId2"/>
  </sheets>
  <definedNames>
    <definedName name="solver_adj" localSheetId="1" hidden="1">'Син. апрокс. МНК-МНМ'!$F$3:$F$7</definedName>
    <definedName name="solver_adj" localSheetId="0" hidden="1">'Эксп. апрокс. МНК-МНМ'!$H$3:$H$5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3</definedName>
    <definedName name="solver_eng" localSheetId="0" hidden="1">1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'Син. апрокс. МНК-МНМ'!$F$3:$F$7</definedName>
    <definedName name="solver_lhs1" localSheetId="0" hidden="1">'Эксп. апрокс. МНК-МНМ'!$F$3:$F$5</definedName>
    <definedName name="solver_lhs2" localSheetId="1" hidden="1">'Син. апрокс. МНК-МНМ'!$F$3:$F$7</definedName>
    <definedName name="solver_lhs2" localSheetId="0" hidden="1">'Эксп. апрокс. МНК-МНМ'!$F$3:$F$5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2</definedName>
    <definedName name="solver_num" localSheetId="0" hidden="1">2</definedName>
    <definedName name="solver_nwt" localSheetId="1" hidden="1">1</definedName>
    <definedName name="solver_nwt" localSheetId="0" hidden="1">1</definedName>
    <definedName name="solver_opt" localSheetId="1" hidden="1">'Син. апрокс. МНК-МНМ'!$F$8</definedName>
    <definedName name="solver_opt" localSheetId="0" hidden="1">'Эксп. апрокс. МНК-МНМ'!#REF!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el1" localSheetId="1" hidden="1">1</definedName>
    <definedName name="solver_rel1" localSheetId="0" hidden="1">1</definedName>
    <definedName name="solver_rel2" localSheetId="1" hidden="1">3</definedName>
    <definedName name="solver_rel2" localSheetId="0" hidden="1">3</definedName>
    <definedName name="solver_rhs1" localSheetId="1" hidden="1">100</definedName>
    <definedName name="solver_rhs1" localSheetId="0" hidden="1">100</definedName>
    <definedName name="solver_rhs2" localSheetId="1" hidden="1">-100</definedName>
    <definedName name="solver_rhs2" localSheetId="0" hidden="1">-100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2</definedName>
    <definedName name="solver_typ" localSheetId="0" hidden="1">2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25" i="1" l="1"/>
  <c r="AG126" i="1"/>
  <c r="AF125" i="1"/>
  <c r="AF126" i="1"/>
  <c r="AE125" i="1"/>
  <c r="AE126" i="1"/>
  <c r="AC125" i="1"/>
  <c r="AC126" i="1"/>
  <c r="AD125" i="1"/>
  <c r="AD126" i="1"/>
  <c r="L23" i="2"/>
  <c r="P12" i="2"/>
  <c r="N13" i="2"/>
  <c r="O13" i="2"/>
  <c r="M13" i="2"/>
  <c r="AD24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G23" i="2"/>
  <c r="AF23" i="2"/>
  <c r="AE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23" i="2"/>
  <c r="AC23" i="2"/>
  <c r="U34" i="2"/>
  <c r="V23" i="2" s="1"/>
  <c r="V28" i="2"/>
  <c r="V29" i="2"/>
  <c r="V30" i="2"/>
  <c r="V31" i="2"/>
  <c r="V32" i="2"/>
  <c r="V33" i="2"/>
  <c r="G24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D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N34" i="2"/>
  <c r="N46" i="2"/>
  <c r="N58" i="2"/>
  <c r="N70" i="2"/>
  <c r="N82" i="2"/>
  <c r="N94" i="2"/>
  <c r="N106" i="2"/>
  <c r="N118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Q24" i="2"/>
  <c r="Q32" i="2"/>
  <c r="Q36" i="2"/>
  <c r="Q44" i="2"/>
  <c r="Q48" i="2"/>
  <c r="Q56" i="2"/>
  <c r="Q60" i="2"/>
  <c r="Q68" i="2"/>
  <c r="Q72" i="2"/>
  <c r="Q80" i="2"/>
  <c r="Q84" i="2"/>
  <c r="Q92" i="2"/>
  <c r="Q96" i="2"/>
  <c r="Q104" i="2"/>
  <c r="Q108" i="2"/>
  <c r="Q116" i="2"/>
  <c r="Q120" i="2"/>
  <c r="Q23" i="2"/>
  <c r="P23" i="2"/>
  <c r="N23" i="2"/>
  <c r="M23" i="2"/>
  <c r="G23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F57" i="2"/>
  <c r="F69" i="2"/>
  <c r="F81" i="2"/>
  <c r="F93" i="2"/>
  <c r="F105" i="2"/>
  <c r="E24" i="2"/>
  <c r="F24" i="2" s="1"/>
  <c r="E25" i="2"/>
  <c r="F25" i="2" s="1"/>
  <c r="E26" i="2"/>
  <c r="F26" i="2" s="1"/>
  <c r="E33" i="2"/>
  <c r="F33" i="2" s="1"/>
  <c r="E35" i="2"/>
  <c r="F35" i="2" s="1"/>
  <c r="E36" i="2"/>
  <c r="F36" i="2" s="1"/>
  <c r="E37" i="2"/>
  <c r="F37" i="2" s="1"/>
  <c r="E38" i="2"/>
  <c r="F38" i="2" s="1"/>
  <c r="E45" i="2"/>
  <c r="F45" i="2" s="1"/>
  <c r="E47" i="2"/>
  <c r="F47" i="2" s="1"/>
  <c r="E48" i="2"/>
  <c r="F48" i="2" s="1"/>
  <c r="E49" i="2"/>
  <c r="F49" i="2" s="1"/>
  <c r="E50" i="2"/>
  <c r="F50" i="2" s="1"/>
  <c r="E57" i="2"/>
  <c r="E59" i="2"/>
  <c r="F59" i="2" s="1"/>
  <c r="E60" i="2"/>
  <c r="F60" i="2" s="1"/>
  <c r="E61" i="2"/>
  <c r="F61" i="2" s="1"/>
  <c r="E62" i="2"/>
  <c r="F62" i="2" s="1"/>
  <c r="E69" i="2"/>
  <c r="E72" i="2"/>
  <c r="F72" i="2" s="1"/>
  <c r="E73" i="2"/>
  <c r="F73" i="2" s="1"/>
  <c r="E74" i="2"/>
  <c r="F74" i="2" s="1"/>
  <c r="E81" i="2"/>
  <c r="E84" i="2"/>
  <c r="F84" i="2" s="1"/>
  <c r="E85" i="2"/>
  <c r="F85" i="2" s="1"/>
  <c r="E86" i="2"/>
  <c r="F86" i="2" s="1"/>
  <c r="E93" i="2"/>
  <c r="E96" i="2"/>
  <c r="F96" i="2" s="1"/>
  <c r="E97" i="2"/>
  <c r="F97" i="2" s="1"/>
  <c r="E98" i="2"/>
  <c r="F98" i="2" s="1"/>
  <c r="E105" i="2"/>
  <c r="E108" i="2"/>
  <c r="F108" i="2" s="1"/>
  <c r="E109" i="2"/>
  <c r="F109" i="2" s="1"/>
  <c r="E110" i="2"/>
  <c r="F110" i="2" s="1"/>
  <c r="E117" i="2"/>
  <c r="F117" i="2" s="1"/>
  <c r="E120" i="2"/>
  <c r="F120" i="2" s="1"/>
  <c r="E121" i="2"/>
  <c r="F121" i="2" s="1"/>
  <c r="E122" i="2"/>
  <c r="F122" i="2" s="1"/>
  <c r="E23" i="2"/>
  <c r="F23" i="2" s="1"/>
  <c r="D24" i="2"/>
  <c r="N24" i="2" s="1"/>
  <c r="D25" i="2"/>
  <c r="N25" i="2" s="1"/>
  <c r="D26" i="2"/>
  <c r="Q26" i="2" s="1"/>
  <c r="D27" i="2"/>
  <c r="E27" i="2" s="1"/>
  <c r="F27" i="2" s="1"/>
  <c r="D28" i="2"/>
  <c r="E28" i="2" s="1"/>
  <c r="F28" i="2" s="1"/>
  <c r="D29" i="2"/>
  <c r="E29" i="2" s="1"/>
  <c r="F29" i="2" s="1"/>
  <c r="D30" i="2"/>
  <c r="E30" i="2" s="1"/>
  <c r="F30" i="2" s="1"/>
  <c r="D31" i="2"/>
  <c r="E31" i="2" s="1"/>
  <c r="F31" i="2" s="1"/>
  <c r="D32" i="2"/>
  <c r="E32" i="2" s="1"/>
  <c r="F32" i="2" s="1"/>
  <c r="D33" i="2"/>
  <c r="Q33" i="2" s="1"/>
  <c r="D34" i="2"/>
  <c r="E34" i="2" s="1"/>
  <c r="F34" i="2" s="1"/>
  <c r="D35" i="2"/>
  <c r="Q35" i="2" s="1"/>
  <c r="D36" i="2"/>
  <c r="N36" i="2" s="1"/>
  <c r="D37" i="2"/>
  <c r="N37" i="2" s="1"/>
  <c r="D38" i="2"/>
  <c r="Q38" i="2" s="1"/>
  <c r="D39" i="2"/>
  <c r="E39" i="2" s="1"/>
  <c r="F39" i="2" s="1"/>
  <c r="D40" i="2"/>
  <c r="E40" i="2" s="1"/>
  <c r="F40" i="2" s="1"/>
  <c r="D41" i="2"/>
  <c r="E41" i="2" s="1"/>
  <c r="F41" i="2" s="1"/>
  <c r="D42" i="2"/>
  <c r="E42" i="2" s="1"/>
  <c r="F42" i="2" s="1"/>
  <c r="D43" i="2"/>
  <c r="E43" i="2" s="1"/>
  <c r="F43" i="2" s="1"/>
  <c r="D44" i="2"/>
  <c r="E44" i="2" s="1"/>
  <c r="F44" i="2" s="1"/>
  <c r="D45" i="2"/>
  <c r="Q45" i="2" s="1"/>
  <c r="D46" i="2"/>
  <c r="E46" i="2" s="1"/>
  <c r="F46" i="2" s="1"/>
  <c r="D47" i="2"/>
  <c r="Q47" i="2" s="1"/>
  <c r="D48" i="2"/>
  <c r="N48" i="2" s="1"/>
  <c r="D49" i="2"/>
  <c r="N49" i="2" s="1"/>
  <c r="D50" i="2"/>
  <c r="Q50" i="2" s="1"/>
  <c r="D51" i="2"/>
  <c r="E51" i="2" s="1"/>
  <c r="F51" i="2" s="1"/>
  <c r="D52" i="2"/>
  <c r="E52" i="2" s="1"/>
  <c r="F52" i="2" s="1"/>
  <c r="D53" i="2"/>
  <c r="E53" i="2" s="1"/>
  <c r="F53" i="2" s="1"/>
  <c r="D54" i="2"/>
  <c r="E54" i="2" s="1"/>
  <c r="F54" i="2" s="1"/>
  <c r="D55" i="2"/>
  <c r="E55" i="2" s="1"/>
  <c r="F55" i="2" s="1"/>
  <c r="D56" i="2"/>
  <c r="E56" i="2" s="1"/>
  <c r="F56" i="2" s="1"/>
  <c r="D57" i="2"/>
  <c r="Q57" i="2" s="1"/>
  <c r="D58" i="2"/>
  <c r="E58" i="2" s="1"/>
  <c r="F58" i="2" s="1"/>
  <c r="D59" i="2"/>
  <c r="Q59" i="2" s="1"/>
  <c r="D60" i="2"/>
  <c r="N60" i="2" s="1"/>
  <c r="D61" i="2"/>
  <c r="N61" i="2" s="1"/>
  <c r="D62" i="2"/>
  <c r="Q62" i="2" s="1"/>
  <c r="D63" i="2"/>
  <c r="E63" i="2" s="1"/>
  <c r="F63" i="2" s="1"/>
  <c r="D64" i="2"/>
  <c r="E64" i="2" s="1"/>
  <c r="F64" i="2" s="1"/>
  <c r="D65" i="2"/>
  <c r="E65" i="2" s="1"/>
  <c r="F65" i="2" s="1"/>
  <c r="D66" i="2"/>
  <c r="E66" i="2" s="1"/>
  <c r="F66" i="2" s="1"/>
  <c r="D67" i="2"/>
  <c r="E67" i="2" s="1"/>
  <c r="F67" i="2" s="1"/>
  <c r="D68" i="2"/>
  <c r="E68" i="2" s="1"/>
  <c r="F68" i="2" s="1"/>
  <c r="D69" i="2"/>
  <c r="Q69" i="2" s="1"/>
  <c r="D70" i="2"/>
  <c r="E70" i="2" s="1"/>
  <c r="F70" i="2" s="1"/>
  <c r="D71" i="2"/>
  <c r="E71" i="2" s="1"/>
  <c r="F71" i="2" s="1"/>
  <c r="D72" i="2"/>
  <c r="N72" i="2" s="1"/>
  <c r="D73" i="2"/>
  <c r="N73" i="2" s="1"/>
  <c r="D74" i="2"/>
  <c r="Q74" i="2" s="1"/>
  <c r="D75" i="2"/>
  <c r="E75" i="2" s="1"/>
  <c r="F75" i="2" s="1"/>
  <c r="D76" i="2"/>
  <c r="E76" i="2" s="1"/>
  <c r="F76" i="2" s="1"/>
  <c r="D77" i="2"/>
  <c r="E77" i="2" s="1"/>
  <c r="F77" i="2" s="1"/>
  <c r="D78" i="2"/>
  <c r="E78" i="2" s="1"/>
  <c r="F78" i="2" s="1"/>
  <c r="D79" i="2"/>
  <c r="E79" i="2" s="1"/>
  <c r="F79" i="2" s="1"/>
  <c r="D80" i="2"/>
  <c r="E80" i="2" s="1"/>
  <c r="F80" i="2" s="1"/>
  <c r="D81" i="2"/>
  <c r="Q81" i="2" s="1"/>
  <c r="D82" i="2"/>
  <c r="E82" i="2" s="1"/>
  <c r="F82" i="2" s="1"/>
  <c r="D83" i="2"/>
  <c r="E83" i="2" s="1"/>
  <c r="F83" i="2" s="1"/>
  <c r="D84" i="2"/>
  <c r="N84" i="2" s="1"/>
  <c r="D85" i="2"/>
  <c r="N85" i="2" s="1"/>
  <c r="D86" i="2"/>
  <c r="Q86" i="2" s="1"/>
  <c r="D87" i="2"/>
  <c r="E87" i="2" s="1"/>
  <c r="F87" i="2" s="1"/>
  <c r="D88" i="2"/>
  <c r="E88" i="2" s="1"/>
  <c r="F88" i="2" s="1"/>
  <c r="D89" i="2"/>
  <c r="E89" i="2" s="1"/>
  <c r="F89" i="2" s="1"/>
  <c r="D90" i="2"/>
  <c r="E90" i="2" s="1"/>
  <c r="F90" i="2" s="1"/>
  <c r="D91" i="2"/>
  <c r="E91" i="2" s="1"/>
  <c r="F91" i="2" s="1"/>
  <c r="D92" i="2"/>
  <c r="E92" i="2" s="1"/>
  <c r="F92" i="2" s="1"/>
  <c r="D93" i="2"/>
  <c r="Q93" i="2" s="1"/>
  <c r="D94" i="2"/>
  <c r="E94" i="2" s="1"/>
  <c r="F94" i="2" s="1"/>
  <c r="D95" i="2"/>
  <c r="E95" i="2" s="1"/>
  <c r="F95" i="2" s="1"/>
  <c r="D96" i="2"/>
  <c r="N96" i="2" s="1"/>
  <c r="D97" i="2"/>
  <c r="N97" i="2" s="1"/>
  <c r="D98" i="2"/>
  <c r="Q98" i="2" s="1"/>
  <c r="D99" i="2"/>
  <c r="E99" i="2" s="1"/>
  <c r="F99" i="2" s="1"/>
  <c r="D100" i="2"/>
  <c r="E100" i="2" s="1"/>
  <c r="F100" i="2" s="1"/>
  <c r="D101" i="2"/>
  <c r="E101" i="2" s="1"/>
  <c r="F101" i="2" s="1"/>
  <c r="D102" i="2"/>
  <c r="E102" i="2" s="1"/>
  <c r="F102" i="2" s="1"/>
  <c r="D103" i="2"/>
  <c r="E103" i="2" s="1"/>
  <c r="F103" i="2" s="1"/>
  <c r="D104" i="2"/>
  <c r="E104" i="2" s="1"/>
  <c r="F104" i="2" s="1"/>
  <c r="D105" i="2"/>
  <c r="Q105" i="2" s="1"/>
  <c r="D106" i="2"/>
  <c r="E106" i="2" s="1"/>
  <c r="F106" i="2" s="1"/>
  <c r="D107" i="2"/>
  <c r="E107" i="2" s="1"/>
  <c r="F107" i="2" s="1"/>
  <c r="D108" i="2"/>
  <c r="N108" i="2" s="1"/>
  <c r="D109" i="2"/>
  <c r="N109" i="2" s="1"/>
  <c r="D110" i="2"/>
  <c r="Q110" i="2" s="1"/>
  <c r="D111" i="2"/>
  <c r="E111" i="2" s="1"/>
  <c r="F111" i="2" s="1"/>
  <c r="D112" i="2"/>
  <c r="E112" i="2" s="1"/>
  <c r="F112" i="2" s="1"/>
  <c r="D113" i="2"/>
  <c r="E113" i="2" s="1"/>
  <c r="F113" i="2" s="1"/>
  <c r="D114" i="2"/>
  <c r="E114" i="2" s="1"/>
  <c r="F114" i="2" s="1"/>
  <c r="D115" i="2"/>
  <c r="E115" i="2" s="1"/>
  <c r="F115" i="2" s="1"/>
  <c r="D116" i="2"/>
  <c r="E116" i="2" s="1"/>
  <c r="F116" i="2" s="1"/>
  <c r="D117" i="2"/>
  <c r="Q117" i="2" s="1"/>
  <c r="D118" i="2"/>
  <c r="E118" i="2" s="1"/>
  <c r="F118" i="2" s="1"/>
  <c r="D119" i="2"/>
  <c r="E119" i="2" s="1"/>
  <c r="F119" i="2" s="1"/>
  <c r="D120" i="2"/>
  <c r="N120" i="2" s="1"/>
  <c r="D121" i="2"/>
  <c r="N121" i="2" s="1"/>
  <c r="D122" i="2"/>
  <c r="Q122" i="2" s="1"/>
  <c r="D123" i="2"/>
  <c r="E123" i="2" s="1"/>
  <c r="F123" i="2" s="1"/>
  <c r="D124" i="2"/>
  <c r="E124" i="2" s="1"/>
  <c r="F124" i="2" s="1"/>
  <c r="D125" i="2"/>
  <c r="E125" i="2" s="1"/>
  <c r="F125" i="2" s="1"/>
  <c r="D126" i="2"/>
  <c r="E126" i="2" s="1"/>
  <c r="F126" i="2" s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E46" i="1" s="1"/>
  <c r="D47" i="1"/>
  <c r="D48" i="1"/>
  <c r="D49" i="1"/>
  <c r="D50" i="1"/>
  <c r="D51" i="1"/>
  <c r="D52" i="1"/>
  <c r="D53" i="1"/>
  <c r="D54" i="1"/>
  <c r="D55" i="1"/>
  <c r="D56" i="1"/>
  <c r="D57" i="1"/>
  <c r="D58" i="1"/>
  <c r="E58" i="1" s="1"/>
  <c r="D59" i="1"/>
  <c r="D60" i="1"/>
  <c r="D61" i="1"/>
  <c r="D62" i="1"/>
  <c r="D63" i="1"/>
  <c r="D64" i="1"/>
  <c r="D65" i="1"/>
  <c r="D66" i="1"/>
  <c r="D67" i="1"/>
  <c r="D68" i="1"/>
  <c r="D69" i="1"/>
  <c r="E69" i="1" s="1"/>
  <c r="D70" i="1"/>
  <c r="E70" i="1" s="1"/>
  <c r="D71" i="1"/>
  <c r="E71" i="1" s="1"/>
  <c r="D72" i="1"/>
  <c r="D73" i="1"/>
  <c r="D74" i="1"/>
  <c r="D75" i="1"/>
  <c r="D76" i="1"/>
  <c r="D77" i="1"/>
  <c r="D78" i="1"/>
  <c r="D79" i="1"/>
  <c r="D80" i="1"/>
  <c r="D81" i="1"/>
  <c r="D82" i="1"/>
  <c r="E82" i="1" s="1"/>
  <c r="D83" i="1"/>
  <c r="D84" i="1"/>
  <c r="D85" i="1"/>
  <c r="D86" i="1"/>
  <c r="D87" i="1"/>
  <c r="D88" i="1"/>
  <c r="E88" i="1" s="1"/>
  <c r="D89" i="1"/>
  <c r="D90" i="1"/>
  <c r="D91" i="1"/>
  <c r="D92" i="1"/>
  <c r="D93" i="1"/>
  <c r="D94" i="1"/>
  <c r="D95" i="1"/>
  <c r="E95" i="1" s="1"/>
  <c r="F95" i="1" s="1"/>
  <c r="D96" i="1"/>
  <c r="D97" i="1"/>
  <c r="D98" i="1"/>
  <c r="D99" i="1"/>
  <c r="D100" i="1"/>
  <c r="D101" i="1"/>
  <c r="D102" i="1"/>
  <c r="D103" i="1"/>
  <c r="D104" i="1"/>
  <c r="D105" i="1"/>
  <c r="E105" i="1" s="1"/>
  <c r="D106" i="1"/>
  <c r="D107" i="1"/>
  <c r="E107" i="1" s="1"/>
  <c r="D108" i="1"/>
  <c r="D109" i="1"/>
  <c r="D110" i="1"/>
  <c r="D111" i="1"/>
  <c r="E111" i="1" s="1"/>
  <c r="D112" i="1"/>
  <c r="D113" i="1"/>
  <c r="D114" i="1"/>
  <c r="D115" i="1"/>
  <c r="D116" i="1"/>
  <c r="E116" i="1" s="1"/>
  <c r="F116" i="1" s="1"/>
  <c r="D117" i="1"/>
  <c r="E117" i="1" s="1"/>
  <c r="D118" i="1"/>
  <c r="E118" i="1" s="1"/>
  <c r="D119" i="1"/>
  <c r="E119" i="1" s="1"/>
  <c r="D120" i="1"/>
  <c r="D121" i="1"/>
  <c r="D122" i="1"/>
  <c r="D123" i="1"/>
  <c r="E123" i="1" s="1"/>
  <c r="D124" i="1"/>
  <c r="E124" i="1" s="1"/>
  <c r="F124" i="1" s="1"/>
  <c r="D125" i="1"/>
  <c r="D126" i="1"/>
  <c r="D23" i="1"/>
  <c r="G126" i="1"/>
  <c r="E126" i="1"/>
  <c r="G125" i="1"/>
  <c r="E125" i="1"/>
  <c r="AD124" i="1"/>
  <c r="G124" i="1"/>
  <c r="AD123" i="1"/>
  <c r="G123" i="1"/>
  <c r="AD122" i="1"/>
  <c r="G122" i="1"/>
  <c r="E122" i="1"/>
  <c r="AD121" i="1"/>
  <c r="G121" i="1"/>
  <c r="E121" i="1"/>
  <c r="AD120" i="1"/>
  <c r="G120" i="1"/>
  <c r="E120" i="1"/>
  <c r="F120" i="1" s="1"/>
  <c r="AD119" i="1"/>
  <c r="G119" i="1"/>
  <c r="AD118" i="1"/>
  <c r="L118" i="1"/>
  <c r="G118" i="1"/>
  <c r="AD117" i="1"/>
  <c r="G117" i="1"/>
  <c r="AD116" i="1"/>
  <c r="G116" i="1"/>
  <c r="AD115" i="1"/>
  <c r="G115" i="1"/>
  <c r="E115" i="1"/>
  <c r="AD114" i="1"/>
  <c r="G114" i="1"/>
  <c r="E114" i="1"/>
  <c r="AD113" i="1"/>
  <c r="G113" i="1"/>
  <c r="E113" i="1"/>
  <c r="AD112" i="1"/>
  <c r="G112" i="1"/>
  <c r="E112" i="1"/>
  <c r="F112" i="1" s="1"/>
  <c r="AD111" i="1"/>
  <c r="G111" i="1"/>
  <c r="AD110" i="1"/>
  <c r="G110" i="1"/>
  <c r="E110" i="1"/>
  <c r="AD109" i="1"/>
  <c r="G109" i="1"/>
  <c r="E109" i="1"/>
  <c r="AD108" i="1"/>
  <c r="G108" i="1"/>
  <c r="E108" i="1"/>
  <c r="F108" i="1" s="1"/>
  <c r="AD107" i="1"/>
  <c r="G107" i="1"/>
  <c r="AD106" i="1"/>
  <c r="G106" i="1"/>
  <c r="E106" i="1"/>
  <c r="AD105" i="1"/>
  <c r="G105" i="1"/>
  <c r="AD104" i="1"/>
  <c r="G104" i="1"/>
  <c r="E104" i="1"/>
  <c r="F104" i="1" s="1"/>
  <c r="AD103" i="1"/>
  <c r="G103" i="1"/>
  <c r="E103" i="1"/>
  <c r="AD102" i="1"/>
  <c r="G102" i="1"/>
  <c r="E102" i="1"/>
  <c r="AD101" i="1"/>
  <c r="G101" i="1"/>
  <c r="E101" i="1"/>
  <c r="F101" i="1" s="1"/>
  <c r="AD100" i="1"/>
  <c r="G100" i="1"/>
  <c r="E100" i="1"/>
  <c r="AD99" i="1"/>
  <c r="G99" i="1"/>
  <c r="E99" i="1"/>
  <c r="AD98" i="1"/>
  <c r="G98" i="1"/>
  <c r="E98" i="1"/>
  <c r="F98" i="1" s="1"/>
  <c r="AD97" i="1"/>
  <c r="G97" i="1"/>
  <c r="E97" i="1"/>
  <c r="AD96" i="1"/>
  <c r="G96" i="1"/>
  <c r="E96" i="1"/>
  <c r="AD95" i="1"/>
  <c r="G95" i="1"/>
  <c r="AD94" i="1"/>
  <c r="G94" i="1"/>
  <c r="E94" i="1"/>
  <c r="AD93" i="1"/>
  <c r="G93" i="1"/>
  <c r="E93" i="1"/>
  <c r="AD92" i="1"/>
  <c r="G92" i="1"/>
  <c r="E92" i="1"/>
  <c r="F92" i="1" s="1"/>
  <c r="AD91" i="1"/>
  <c r="G91" i="1"/>
  <c r="E91" i="1"/>
  <c r="AD90" i="1"/>
  <c r="G90" i="1"/>
  <c r="F90" i="1"/>
  <c r="E90" i="1"/>
  <c r="AC90" i="1" s="1"/>
  <c r="AD89" i="1"/>
  <c r="G89" i="1"/>
  <c r="E89" i="1"/>
  <c r="AD88" i="1"/>
  <c r="G88" i="1"/>
  <c r="AD87" i="1"/>
  <c r="G87" i="1"/>
  <c r="E87" i="1"/>
  <c r="AC87" i="1" s="1"/>
  <c r="AD86" i="1"/>
  <c r="G86" i="1"/>
  <c r="E86" i="1"/>
  <c r="F86" i="1" s="1"/>
  <c r="AD85" i="1"/>
  <c r="G85" i="1"/>
  <c r="E85" i="1"/>
  <c r="AD84" i="1"/>
  <c r="G84" i="1"/>
  <c r="E84" i="1"/>
  <c r="F84" i="1" s="1"/>
  <c r="AD83" i="1"/>
  <c r="G83" i="1"/>
  <c r="E83" i="1"/>
  <c r="AD82" i="1"/>
  <c r="G82" i="1"/>
  <c r="AD81" i="1"/>
  <c r="G81" i="1"/>
  <c r="E81" i="1"/>
  <c r="AD80" i="1"/>
  <c r="G80" i="1"/>
  <c r="E80" i="1"/>
  <c r="AC80" i="1" s="1"/>
  <c r="AD79" i="1"/>
  <c r="G79" i="1"/>
  <c r="E79" i="1"/>
  <c r="AD78" i="1"/>
  <c r="G78" i="1"/>
  <c r="E78" i="1"/>
  <c r="F78" i="1" s="1"/>
  <c r="AD77" i="1"/>
  <c r="G77" i="1"/>
  <c r="E77" i="1"/>
  <c r="AD76" i="1"/>
  <c r="G76" i="1"/>
  <c r="E76" i="1"/>
  <c r="AC76" i="1" s="1"/>
  <c r="AD75" i="1"/>
  <c r="G75" i="1"/>
  <c r="E75" i="1"/>
  <c r="AC75" i="1" s="1"/>
  <c r="AD74" i="1"/>
  <c r="G74" i="1"/>
  <c r="E74" i="1"/>
  <c r="F74" i="1" s="1"/>
  <c r="AD73" i="1"/>
  <c r="G73" i="1"/>
  <c r="E73" i="1"/>
  <c r="AC73" i="1" s="1"/>
  <c r="AD72" i="1"/>
  <c r="G72" i="1"/>
  <c r="E72" i="1"/>
  <c r="AD71" i="1"/>
  <c r="G71" i="1"/>
  <c r="AD70" i="1"/>
  <c r="G70" i="1"/>
  <c r="AD69" i="1"/>
  <c r="L69" i="1"/>
  <c r="G69" i="1"/>
  <c r="AD68" i="1"/>
  <c r="L68" i="1"/>
  <c r="G68" i="1"/>
  <c r="E68" i="1"/>
  <c r="AD67" i="1"/>
  <c r="G67" i="1"/>
  <c r="E67" i="1"/>
  <c r="AD66" i="1"/>
  <c r="G66" i="1"/>
  <c r="E66" i="1"/>
  <c r="AD65" i="1"/>
  <c r="G65" i="1"/>
  <c r="E65" i="1"/>
  <c r="AD64" i="1"/>
  <c r="G64" i="1"/>
  <c r="E64" i="1"/>
  <c r="AD63" i="1"/>
  <c r="G63" i="1"/>
  <c r="E63" i="1"/>
  <c r="AD62" i="1"/>
  <c r="G62" i="1"/>
  <c r="E62" i="1"/>
  <c r="AD61" i="1"/>
  <c r="G61" i="1"/>
  <c r="E61" i="1"/>
  <c r="AD60" i="1"/>
  <c r="G60" i="1"/>
  <c r="E60" i="1"/>
  <c r="AD59" i="1"/>
  <c r="L59" i="1"/>
  <c r="G59" i="1"/>
  <c r="E59" i="1"/>
  <c r="F59" i="1" s="1"/>
  <c r="AD58" i="1"/>
  <c r="G58" i="1"/>
  <c r="AD57" i="1"/>
  <c r="G57" i="1"/>
  <c r="E57" i="1"/>
  <c r="AD56" i="1"/>
  <c r="G56" i="1"/>
  <c r="E56" i="1"/>
  <c r="AC56" i="1" s="1"/>
  <c r="AD55" i="1"/>
  <c r="G55" i="1"/>
  <c r="E55" i="1"/>
  <c r="AD54" i="1"/>
  <c r="G54" i="1"/>
  <c r="E54" i="1"/>
  <c r="AD53" i="1"/>
  <c r="L53" i="1"/>
  <c r="G53" i="1"/>
  <c r="E53" i="1"/>
  <c r="AD52" i="1"/>
  <c r="G52" i="1"/>
  <c r="E52" i="1"/>
  <c r="AD51" i="1"/>
  <c r="G51" i="1"/>
  <c r="E51" i="1"/>
  <c r="AC51" i="1" s="1"/>
  <c r="AD50" i="1"/>
  <c r="G50" i="1"/>
  <c r="E50" i="1"/>
  <c r="AD49" i="1"/>
  <c r="G49" i="1"/>
  <c r="E49" i="1"/>
  <c r="AD48" i="1"/>
  <c r="G48" i="1"/>
  <c r="E48" i="1"/>
  <c r="AD47" i="1"/>
  <c r="G47" i="1"/>
  <c r="E47" i="1"/>
  <c r="AD46" i="1"/>
  <c r="G46" i="1"/>
  <c r="AD45" i="1"/>
  <c r="G45" i="1"/>
  <c r="E45" i="1"/>
  <c r="AD44" i="1"/>
  <c r="G44" i="1"/>
  <c r="E44" i="1"/>
  <c r="AD43" i="1"/>
  <c r="G43" i="1"/>
  <c r="E43" i="1"/>
  <c r="AD42" i="1"/>
  <c r="G42" i="1"/>
  <c r="E42" i="1"/>
  <c r="AD41" i="1"/>
  <c r="G41" i="1"/>
  <c r="E41" i="1"/>
  <c r="AD40" i="1"/>
  <c r="G40" i="1"/>
  <c r="E40" i="1"/>
  <c r="AD39" i="1"/>
  <c r="G39" i="1"/>
  <c r="E39" i="1"/>
  <c r="AD38" i="1"/>
  <c r="G38" i="1"/>
  <c r="E38" i="1"/>
  <c r="AD37" i="1"/>
  <c r="G37" i="1"/>
  <c r="E37" i="1"/>
  <c r="AD36" i="1"/>
  <c r="G36" i="1"/>
  <c r="E36" i="1"/>
  <c r="AD35" i="1"/>
  <c r="G35" i="1"/>
  <c r="E35" i="1"/>
  <c r="AD34" i="1"/>
  <c r="U34" i="1"/>
  <c r="V69" i="1" s="1"/>
  <c r="G34" i="1"/>
  <c r="E34" i="1"/>
  <c r="AD33" i="1"/>
  <c r="G33" i="1"/>
  <c r="E33" i="1"/>
  <c r="AC33" i="1" s="1"/>
  <c r="AD32" i="1"/>
  <c r="G32" i="1"/>
  <c r="E32" i="1"/>
  <c r="AD31" i="1"/>
  <c r="G31" i="1"/>
  <c r="E31" i="1"/>
  <c r="AD30" i="1"/>
  <c r="L30" i="1"/>
  <c r="G30" i="1"/>
  <c r="E30" i="1"/>
  <c r="AD29" i="1"/>
  <c r="G29" i="1"/>
  <c r="E29" i="1"/>
  <c r="AD28" i="1"/>
  <c r="G28" i="1"/>
  <c r="E28" i="1"/>
  <c r="AC28" i="1" s="1"/>
  <c r="AD27" i="1"/>
  <c r="G27" i="1"/>
  <c r="E27" i="1"/>
  <c r="AD26" i="1"/>
  <c r="G26" i="1"/>
  <c r="E26" i="1"/>
  <c r="AD25" i="1"/>
  <c r="L25" i="1"/>
  <c r="G25" i="1"/>
  <c r="E25" i="1"/>
  <c r="AD24" i="1"/>
  <c r="L24" i="1"/>
  <c r="G24" i="1"/>
  <c r="E24" i="1"/>
  <c r="AD23" i="1"/>
  <c r="G23" i="1"/>
  <c r="E23" i="1"/>
  <c r="F16" i="1"/>
  <c r="L110" i="1" s="1"/>
  <c r="M13" i="1"/>
  <c r="V27" i="2" l="1"/>
  <c r="V26" i="2"/>
  <c r="V25" i="2"/>
  <c r="V24" i="2"/>
  <c r="Q121" i="2"/>
  <c r="Q109" i="2"/>
  <c r="Q97" i="2"/>
  <c r="Q85" i="2"/>
  <c r="Q73" i="2"/>
  <c r="Q61" i="2"/>
  <c r="Q49" i="2"/>
  <c r="Q37" i="2"/>
  <c r="Q25" i="2"/>
  <c r="N119" i="2"/>
  <c r="N107" i="2"/>
  <c r="N95" i="2"/>
  <c r="N83" i="2"/>
  <c r="N71" i="2"/>
  <c r="N59" i="2"/>
  <c r="N47" i="2"/>
  <c r="N35" i="2"/>
  <c r="Q119" i="2"/>
  <c r="Q107" i="2"/>
  <c r="Q95" i="2"/>
  <c r="Q83" i="2"/>
  <c r="Q71" i="2"/>
  <c r="N117" i="2"/>
  <c r="N105" i="2"/>
  <c r="N93" i="2"/>
  <c r="N81" i="2"/>
  <c r="N69" i="2"/>
  <c r="N57" i="2"/>
  <c r="N45" i="2"/>
  <c r="N33" i="2"/>
  <c r="Q118" i="2"/>
  <c r="Q106" i="2"/>
  <c r="Q94" i="2"/>
  <c r="Q82" i="2"/>
  <c r="Q70" i="2"/>
  <c r="Q58" i="2"/>
  <c r="Q46" i="2"/>
  <c r="Q34" i="2"/>
  <c r="N116" i="2"/>
  <c r="N104" i="2"/>
  <c r="N92" i="2"/>
  <c r="N80" i="2"/>
  <c r="N68" i="2"/>
  <c r="N56" i="2"/>
  <c r="N44" i="2"/>
  <c r="N32" i="2"/>
  <c r="N115" i="2"/>
  <c r="N103" i="2"/>
  <c r="N91" i="2"/>
  <c r="N79" i="2"/>
  <c r="N67" i="2"/>
  <c r="N55" i="2"/>
  <c r="N43" i="2"/>
  <c r="N31" i="2"/>
  <c r="N114" i="2"/>
  <c r="N102" i="2"/>
  <c r="N90" i="2"/>
  <c r="N78" i="2"/>
  <c r="N66" i="2"/>
  <c r="N54" i="2"/>
  <c r="N42" i="2"/>
  <c r="N30" i="2"/>
  <c r="Q115" i="2"/>
  <c r="Q103" i="2"/>
  <c r="Q91" i="2"/>
  <c r="Q79" i="2"/>
  <c r="Q67" i="2"/>
  <c r="Q55" i="2"/>
  <c r="Q43" i="2"/>
  <c r="Q31" i="2"/>
  <c r="N113" i="2"/>
  <c r="N101" i="2"/>
  <c r="N89" i="2"/>
  <c r="N77" i="2"/>
  <c r="N65" i="2"/>
  <c r="N53" i="2"/>
  <c r="N41" i="2"/>
  <c r="N29" i="2"/>
  <c r="Q114" i="2"/>
  <c r="Q102" i="2"/>
  <c r="Q90" i="2"/>
  <c r="Q78" i="2"/>
  <c r="Q66" i="2"/>
  <c r="Q54" i="2"/>
  <c r="Q42" i="2"/>
  <c r="Q30" i="2"/>
  <c r="N124" i="2"/>
  <c r="N112" i="2"/>
  <c r="N100" i="2"/>
  <c r="N88" i="2"/>
  <c r="N76" i="2"/>
  <c r="N64" i="2"/>
  <c r="N52" i="2"/>
  <c r="N40" i="2"/>
  <c r="N28" i="2"/>
  <c r="Q113" i="2"/>
  <c r="Q101" i="2"/>
  <c r="Q89" i="2"/>
  <c r="Q77" i="2"/>
  <c r="Q65" i="2"/>
  <c r="Q53" i="2"/>
  <c r="Q41" i="2"/>
  <c r="Q29" i="2"/>
  <c r="N123" i="2"/>
  <c r="N111" i="2"/>
  <c r="N99" i="2"/>
  <c r="N87" i="2"/>
  <c r="N75" i="2"/>
  <c r="N63" i="2"/>
  <c r="N51" i="2"/>
  <c r="N39" i="2"/>
  <c r="N27" i="2"/>
  <c r="Q124" i="2"/>
  <c r="Q112" i="2"/>
  <c r="Q100" i="2"/>
  <c r="Q88" i="2"/>
  <c r="Q76" i="2"/>
  <c r="Q64" i="2"/>
  <c r="Q52" i="2"/>
  <c r="Q40" i="2"/>
  <c r="Q28" i="2"/>
  <c r="N122" i="2"/>
  <c r="N110" i="2"/>
  <c r="N98" i="2"/>
  <c r="N86" i="2"/>
  <c r="N74" i="2"/>
  <c r="N62" i="2"/>
  <c r="N50" i="2"/>
  <c r="N38" i="2"/>
  <c r="N26" i="2"/>
  <c r="H14" i="2" s="1"/>
  <c r="Q123" i="2"/>
  <c r="Q111" i="2"/>
  <c r="Q99" i="2"/>
  <c r="Q87" i="2"/>
  <c r="Q75" i="2"/>
  <c r="Q63" i="2"/>
  <c r="Q51" i="2"/>
  <c r="Q39" i="2"/>
  <c r="Q27" i="2"/>
  <c r="F8" i="2"/>
  <c r="I13" i="2"/>
  <c r="AC71" i="1"/>
  <c r="F71" i="1"/>
  <c r="F87" i="1"/>
  <c r="F28" i="1"/>
  <c r="F51" i="1"/>
  <c r="F73" i="1"/>
  <c r="AC112" i="1"/>
  <c r="F56" i="1"/>
  <c r="F31" i="1"/>
  <c r="AC31" i="1"/>
  <c r="F25" i="1"/>
  <c r="AC25" i="1"/>
  <c r="F35" i="1"/>
  <c r="AC35" i="1"/>
  <c r="AC39" i="1"/>
  <c r="F39" i="1"/>
  <c r="AC43" i="1"/>
  <c r="F43" i="1"/>
  <c r="F47" i="1"/>
  <c r="AC47" i="1"/>
  <c r="F54" i="1"/>
  <c r="AC54" i="1"/>
  <c r="F61" i="1"/>
  <c r="AC61" i="1"/>
  <c r="F65" i="1"/>
  <c r="AC65" i="1"/>
  <c r="F32" i="1"/>
  <c r="AC32" i="1"/>
  <c r="F69" i="1"/>
  <c r="AC69" i="1"/>
  <c r="F58" i="1"/>
  <c r="AC58" i="1"/>
  <c r="F29" i="1"/>
  <c r="AC29" i="1"/>
  <c r="AC36" i="1"/>
  <c r="F36" i="1"/>
  <c r="AC40" i="1"/>
  <c r="F40" i="1"/>
  <c r="F44" i="1"/>
  <c r="AC44" i="1"/>
  <c r="AC48" i="1"/>
  <c r="F48" i="1"/>
  <c r="F55" i="1"/>
  <c r="AC55" i="1"/>
  <c r="F62" i="1"/>
  <c r="AC62" i="1"/>
  <c r="AC66" i="1"/>
  <c r="F66" i="1"/>
  <c r="F26" i="1"/>
  <c r="AC26" i="1"/>
  <c r="AC23" i="1"/>
  <c r="F23" i="1"/>
  <c r="F52" i="1"/>
  <c r="AC52" i="1"/>
  <c r="AC70" i="1"/>
  <c r="F70" i="1"/>
  <c r="F30" i="1"/>
  <c r="AC30" i="1"/>
  <c r="AC37" i="1"/>
  <c r="F37" i="1"/>
  <c r="F41" i="1"/>
  <c r="AC41" i="1"/>
  <c r="AC45" i="1"/>
  <c r="F45" i="1"/>
  <c r="AC49" i="1"/>
  <c r="F49" i="1"/>
  <c r="AC63" i="1"/>
  <c r="F63" i="1"/>
  <c r="F67" i="1"/>
  <c r="AC67" i="1"/>
  <c r="F27" i="1"/>
  <c r="AC27" i="1"/>
  <c r="AC57" i="1"/>
  <c r="F57" i="1"/>
  <c r="F24" i="1"/>
  <c r="AC24" i="1"/>
  <c r="AC77" i="1"/>
  <c r="F77" i="1"/>
  <c r="F34" i="1"/>
  <c r="AC34" i="1"/>
  <c r="F53" i="1"/>
  <c r="AC53" i="1"/>
  <c r="F38" i="1"/>
  <c r="AC38" i="1"/>
  <c r="AC42" i="1"/>
  <c r="F42" i="1"/>
  <c r="F46" i="1"/>
  <c r="AC46" i="1"/>
  <c r="F50" i="1"/>
  <c r="AC50" i="1"/>
  <c r="AC60" i="1"/>
  <c r="F60" i="1"/>
  <c r="AC64" i="1"/>
  <c r="F64" i="1"/>
  <c r="F68" i="1"/>
  <c r="AC68" i="1"/>
  <c r="V23" i="1"/>
  <c r="V37" i="1"/>
  <c r="V40" i="1"/>
  <c r="V43" i="1"/>
  <c r="V46" i="1"/>
  <c r="V49" i="1"/>
  <c r="F72" i="1"/>
  <c r="AC72" i="1"/>
  <c r="F82" i="1"/>
  <c r="AC82" i="1"/>
  <c r="F121" i="1"/>
  <c r="AC121" i="1"/>
  <c r="V27" i="1"/>
  <c r="F33" i="1"/>
  <c r="L36" i="1"/>
  <c r="L39" i="1"/>
  <c r="L42" i="1"/>
  <c r="L45" i="1"/>
  <c r="L48" i="1"/>
  <c r="L64" i="1"/>
  <c r="V66" i="1"/>
  <c r="L70" i="1"/>
  <c r="L71" i="1"/>
  <c r="L72" i="1"/>
  <c r="F80" i="1"/>
  <c r="L82" i="1"/>
  <c r="AC104" i="1"/>
  <c r="F113" i="1"/>
  <c r="AC113" i="1"/>
  <c r="F110" i="1"/>
  <c r="AC110" i="1"/>
  <c r="L28" i="1"/>
  <c r="V29" i="1"/>
  <c r="L51" i="1"/>
  <c r="V52" i="1"/>
  <c r="L73" i="1"/>
  <c r="F85" i="1"/>
  <c r="AC85" i="1"/>
  <c r="F93" i="1"/>
  <c r="AC93" i="1"/>
  <c r="F96" i="1"/>
  <c r="AC96" i="1"/>
  <c r="F99" i="1"/>
  <c r="AC99" i="1"/>
  <c r="F102" i="1"/>
  <c r="AC102" i="1"/>
  <c r="AC124" i="1"/>
  <c r="AC107" i="1"/>
  <c r="F107" i="1"/>
  <c r="L84" i="1"/>
  <c r="L121" i="1"/>
  <c r="L117" i="1"/>
  <c r="L113" i="1"/>
  <c r="L109" i="1"/>
  <c r="L105" i="1"/>
  <c r="L79" i="1"/>
  <c r="L75" i="1"/>
  <c r="L101" i="1"/>
  <c r="L98" i="1"/>
  <c r="L95" i="1"/>
  <c r="L92" i="1"/>
  <c r="L86" i="1"/>
  <c r="L81" i="1"/>
  <c r="L124" i="1"/>
  <c r="L120" i="1"/>
  <c r="L116" i="1"/>
  <c r="L112" i="1"/>
  <c r="L108" i="1"/>
  <c r="L104" i="1"/>
  <c r="L88" i="1"/>
  <c r="L78" i="1"/>
  <c r="L74" i="1"/>
  <c r="L56" i="1"/>
  <c r="L91" i="1"/>
  <c r="L83" i="1"/>
  <c r="L100" i="1"/>
  <c r="L97" i="1"/>
  <c r="L94" i="1"/>
  <c r="L123" i="1"/>
  <c r="L119" i="1"/>
  <c r="L115" i="1"/>
  <c r="L111" i="1"/>
  <c r="L107" i="1"/>
  <c r="L103" i="1"/>
  <c r="L85" i="1"/>
  <c r="L77" i="1"/>
  <c r="L90" i="1"/>
  <c r="L80" i="1"/>
  <c r="L87" i="1"/>
  <c r="L89" i="1"/>
  <c r="L33" i="1"/>
  <c r="V38" i="1"/>
  <c r="V41" i="1"/>
  <c r="V44" i="1"/>
  <c r="V47" i="1"/>
  <c r="V58" i="1"/>
  <c r="AC78" i="1"/>
  <c r="F105" i="1"/>
  <c r="AC105" i="1"/>
  <c r="AC119" i="1"/>
  <c r="F119" i="1"/>
  <c r="F122" i="1"/>
  <c r="AC122" i="1"/>
  <c r="G16" i="1"/>
  <c r="L23" i="1"/>
  <c r="V50" i="1"/>
  <c r="V55" i="1"/>
  <c r="V63" i="1"/>
  <c r="L65" i="1"/>
  <c r="F83" i="1"/>
  <c r="AC83" i="1"/>
  <c r="F88" i="1"/>
  <c r="AC88" i="1"/>
  <c r="L93" i="1"/>
  <c r="L96" i="1"/>
  <c r="L99" i="1"/>
  <c r="L102" i="1"/>
  <c r="AC116" i="1"/>
  <c r="F125" i="1"/>
  <c r="V26" i="1"/>
  <c r="L31" i="1"/>
  <c r="V32" i="1"/>
  <c r="L37" i="1"/>
  <c r="L40" i="1"/>
  <c r="L43" i="1"/>
  <c r="L46" i="1"/>
  <c r="L49" i="1"/>
  <c r="L54" i="1"/>
  <c r="L57" i="1"/>
  <c r="L60" i="1"/>
  <c r="V68" i="1"/>
  <c r="AC74" i="1"/>
  <c r="F79" i="1"/>
  <c r="AC79" i="1"/>
  <c r="AC111" i="1"/>
  <c r="F111" i="1"/>
  <c r="F114" i="1"/>
  <c r="AC114" i="1"/>
  <c r="L122" i="1"/>
  <c r="V100" i="1"/>
  <c r="V97" i="1"/>
  <c r="V94" i="1"/>
  <c r="V85" i="1"/>
  <c r="V80" i="1"/>
  <c r="V70" i="1"/>
  <c r="V67" i="1"/>
  <c r="V87" i="1"/>
  <c r="V82" i="1"/>
  <c r="V99" i="1"/>
  <c r="V96" i="1"/>
  <c r="V93" i="1"/>
  <c r="V57" i="1"/>
  <c r="V84" i="1"/>
  <c r="V79" i="1"/>
  <c r="V86" i="1"/>
  <c r="V101" i="1"/>
  <c r="V98" i="1"/>
  <c r="V95" i="1"/>
  <c r="V92" i="1"/>
  <c r="V81" i="1"/>
  <c r="V88" i="1"/>
  <c r="V54" i="1"/>
  <c r="I16" i="1"/>
  <c r="V25" i="1"/>
  <c r="L27" i="1"/>
  <c r="L34" i="1"/>
  <c r="V64" i="1"/>
  <c r="V71" i="1"/>
  <c r="V72" i="1"/>
  <c r="F81" i="1"/>
  <c r="AC81" i="1"/>
  <c r="V83" i="1"/>
  <c r="F91" i="1"/>
  <c r="AC91" i="1"/>
  <c r="F94" i="1"/>
  <c r="AC94" i="1"/>
  <c r="F97" i="1"/>
  <c r="AC97" i="1"/>
  <c r="F100" i="1"/>
  <c r="AC100" i="1"/>
  <c r="AC108" i="1"/>
  <c r="F117" i="1"/>
  <c r="AC117" i="1"/>
  <c r="V24" i="1"/>
  <c r="L29" i="1"/>
  <c r="V30" i="1"/>
  <c r="V36" i="1"/>
  <c r="V39" i="1"/>
  <c r="V42" i="1"/>
  <c r="V45" i="1"/>
  <c r="V48" i="1"/>
  <c r="L52" i="1"/>
  <c r="V53" i="1"/>
  <c r="V59" i="1"/>
  <c r="L61" i="1"/>
  <c r="L66" i="1"/>
  <c r="F76" i="1"/>
  <c r="AC103" i="1"/>
  <c r="F103" i="1"/>
  <c r="F106" i="1"/>
  <c r="AC106" i="1"/>
  <c r="L114" i="1"/>
  <c r="V56" i="1"/>
  <c r="AC59" i="1"/>
  <c r="L62" i="1"/>
  <c r="F89" i="1"/>
  <c r="AC89" i="1"/>
  <c r="F109" i="1"/>
  <c r="AC109" i="1"/>
  <c r="AC123" i="1"/>
  <c r="F123" i="1"/>
  <c r="F126" i="1"/>
  <c r="V28" i="1"/>
  <c r="L38" i="1"/>
  <c r="L41" i="1"/>
  <c r="L44" i="1"/>
  <c r="L47" i="1"/>
  <c r="L50" i="1"/>
  <c r="V51" i="1"/>
  <c r="L58" i="1"/>
  <c r="F75" i="1"/>
  <c r="L76" i="1"/>
  <c r="L106" i="1"/>
  <c r="AC120" i="1"/>
  <c r="V31" i="1"/>
  <c r="L26" i="1"/>
  <c r="L32" i="1"/>
  <c r="L35" i="1"/>
  <c r="L55" i="1"/>
  <c r="L63" i="1"/>
  <c r="V65" i="1"/>
  <c r="L67" i="1"/>
  <c r="AC115" i="1"/>
  <c r="F115" i="1"/>
  <c r="F118" i="1"/>
  <c r="AC118" i="1"/>
  <c r="AC92" i="1"/>
  <c r="AC95" i="1"/>
  <c r="AC98" i="1"/>
  <c r="AC101" i="1"/>
  <c r="AC86" i="1"/>
  <c r="AC84" i="1"/>
  <c r="F6" i="1" l="1"/>
  <c r="H6" i="1"/>
  <c r="O81" i="1"/>
  <c r="O124" i="1"/>
  <c r="O120" i="1"/>
  <c r="O116" i="1"/>
  <c r="O112" i="1"/>
  <c r="O108" i="1"/>
  <c r="O104" i="1"/>
  <c r="O88" i="1"/>
  <c r="O78" i="1"/>
  <c r="O74" i="1"/>
  <c r="O91" i="1"/>
  <c r="O83" i="1"/>
  <c r="O100" i="1"/>
  <c r="O97" i="1"/>
  <c r="O94" i="1"/>
  <c r="O123" i="1"/>
  <c r="O119" i="1"/>
  <c r="O115" i="1"/>
  <c r="O111" i="1"/>
  <c r="O107" i="1"/>
  <c r="O103" i="1"/>
  <c r="O85" i="1"/>
  <c r="O77" i="1"/>
  <c r="O73" i="1"/>
  <c r="O70" i="1"/>
  <c r="O67" i="1"/>
  <c r="O64" i="1"/>
  <c r="O90" i="1"/>
  <c r="O80" i="1"/>
  <c r="O87" i="1"/>
  <c r="O122" i="1"/>
  <c r="O118" i="1"/>
  <c r="O114" i="1"/>
  <c r="O110" i="1"/>
  <c r="O106" i="1"/>
  <c r="O102" i="1"/>
  <c r="O99" i="1"/>
  <c r="O96" i="1"/>
  <c r="O93" i="1"/>
  <c r="O82" i="1"/>
  <c r="O76" i="1"/>
  <c r="O89" i="1"/>
  <c r="O84" i="1"/>
  <c r="O101" i="1"/>
  <c r="O98" i="1"/>
  <c r="O95" i="1"/>
  <c r="O92" i="1"/>
  <c r="O86" i="1"/>
  <c r="O109" i="1"/>
  <c r="O66" i="1"/>
  <c r="O52" i="1"/>
  <c r="O29" i="1"/>
  <c r="O61" i="1"/>
  <c r="O34" i="1"/>
  <c r="O27" i="1"/>
  <c r="O117" i="1"/>
  <c r="O79" i="1"/>
  <c r="O60" i="1"/>
  <c r="O57" i="1"/>
  <c r="O54" i="1"/>
  <c r="O49" i="1"/>
  <c r="O46" i="1"/>
  <c r="O43" i="1"/>
  <c r="O40" i="1"/>
  <c r="O37" i="1"/>
  <c r="O31" i="1"/>
  <c r="O65" i="1"/>
  <c r="AI27" i="1"/>
  <c r="O23" i="1"/>
  <c r="O33" i="1"/>
  <c r="O47" i="1"/>
  <c r="O44" i="1"/>
  <c r="O41" i="1"/>
  <c r="O105" i="1"/>
  <c r="O51" i="1"/>
  <c r="O28" i="1"/>
  <c r="O50" i="1"/>
  <c r="O38" i="1"/>
  <c r="O72" i="1"/>
  <c r="O56" i="1"/>
  <c r="O48" i="1"/>
  <c r="O45" i="1"/>
  <c r="O42" i="1"/>
  <c r="O39" i="1"/>
  <c r="O36" i="1"/>
  <c r="O113" i="1"/>
  <c r="O71" i="1"/>
  <c r="O69" i="1"/>
  <c r="O59" i="1"/>
  <c r="O53" i="1"/>
  <c r="O30" i="1"/>
  <c r="O24" i="1"/>
  <c r="O68" i="1"/>
  <c r="O25" i="1"/>
  <c r="O121" i="1"/>
  <c r="O75" i="1"/>
  <c r="O63" i="1"/>
  <c r="O55" i="1"/>
  <c r="O35" i="1"/>
  <c r="O32" i="1"/>
  <c r="O26" i="1"/>
  <c r="O62" i="1"/>
  <c r="O58" i="1"/>
  <c r="M15" i="1"/>
  <c r="F14" i="1"/>
  <c r="F12" i="1" s="1"/>
  <c r="F13" i="1"/>
  <c r="M14" i="1"/>
  <c r="M121" i="1"/>
  <c r="M117" i="1"/>
  <c r="M113" i="1"/>
  <c r="M109" i="1"/>
  <c r="M105" i="1"/>
  <c r="M79" i="1"/>
  <c r="M101" i="1"/>
  <c r="M98" i="1"/>
  <c r="M95" i="1"/>
  <c r="M92" i="1"/>
  <c r="M86" i="1"/>
  <c r="M81" i="1"/>
  <c r="M124" i="1"/>
  <c r="M120" i="1"/>
  <c r="M116" i="1"/>
  <c r="M112" i="1"/>
  <c r="M108" i="1"/>
  <c r="M104" i="1"/>
  <c r="M88" i="1"/>
  <c r="M78" i="1"/>
  <c r="M91" i="1"/>
  <c r="M83" i="1"/>
  <c r="M61" i="1"/>
  <c r="M100" i="1"/>
  <c r="M97" i="1"/>
  <c r="M94" i="1"/>
  <c r="M123" i="1"/>
  <c r="M119" i="1"/>
  <c r="M115" i="1"/>
  <c r="M111" i="1"/>
  <c r="M107" i="1"/>
  <c r="M103" i="1"/>
  <c r="M85" i="1"/>
  <c r="M77" i="1"/>
  <c r="M73" i="1"/>
  <c r="M70" i="1"/>
  <c r="M90" i="1"/>
  <c r="M80" i="1"/>
  <c r="M87" i="1"/>
  <c r="M122" i="1"/>
  <c r="M118" i="1"/>
  <c r="M114" i="1"/>
  <c r="M110" i="1"/>
  <c r="M106" i="1"/>
  <c r="M102" i="1"/>
  <c r="M99" i="1"/>
  <c r="M96" i="1"/>
  <c r="M93" i="1"/>
  <c r="M82" i="1"/>
  <c r="M84" i="1"/>
  <c r="M89" i="1"/>
  <c r="M76" i="1"/>
  <c r="M58" i="1"/>
  <c r="M50" i="1"/>
  <c r="M47" i="1"/>
  <c r="M44" i="1"/>
  <c r="M41" i="1"/>
  <c r="M38" i="1"/>
  <c r="M62" i="1"/>
  <c r="M66" i="1"/>
  <c r="M52" i="1"/>
  <c r="M29" i="1"/>
  <c r="M34" i="1"/>
  <c r="M27" i="1"/>
  <c r="J16" i="1"/>
  <c r="M60" i="1"/>
  <c r="M57" i="1"/>
  <c r="M54" i="1"/>
  <c r="M49" i="1"/>
  <c r="M46" i="1"/>
  <c r="M43" i="1"/>
  <c r="M40" i="1"/>
  <c r="M37" i="1"/>
  <c r="M31" i="1"/>
  <c r="M65" i="1"/>
  <c r="M23" i="1"/>
  <c r="H16" i="1"/>
  <c r="M33" i="1"/>
  <c r="N13" i="1"/>
  <c r="M25" i="1"/>
  <c r="M51" i="1"/>
  <c r="M28" i="1"/>
  <c r="M72" i="1"/>
  <c r="M71" i="1"/>
  <c r="M64" i="1"/>
  <c r="M56" i="1"/>
  <c r="M48" i="1"/>
  <c r="M45" i="1"/>
  <c r="M42" i="1"/>
  <c r="M39" i="1"/>
  <c r="M36" i="1"/>
  <c r="M74" i="1"/>
  <c r="M69" i="1"/>
  <c r="M68" i="1"/>
  <c r="M59" i="1"/>
  <c r="M53" i="1"/>
  <c r="M30" i="1"/>
  <c r="M24" i="1"/>
  <c r="M75" i="1"/>
  <c r="M67" i="1"/>
  <c r="M63" i="1"/>
  <c r="M55" i="1"/>
  <c r="M35" i="1"/>
  <c r="M32" i="1"/>
  <c r="M26" i="1"/>
  <c r="S23" i="1" l="1"/>
  <c r="S24" i="1" s="1"/>
  <c r="S25" i="1" s="1"/>
  <c r="S26" i="1" s="1"/>
  <c r="S27" i="1" s="1"/>
  <c r="S28" i="1" s="1"/>
  <c r="S29" i="1" s="1"/>
  <c r="S30" i="1" s="1"/>
  <c r="S31" i="1" s="1"/>
  <c r="S32" i="1" s="1"/>
  <c r="AE90" i="1"/>
  <c r="AE82" i="1"/>
  <c r="AE99" i="1"/>
  <c r="AE96" i="1"/>
  <c r="AE93" i="1"/>
  <c r="AE122" i="1"/>
  <c r="AE118" i="1"/>
  <c r="AE114" i="1"/>
  <c r="AE110" i="1"/>
  <c r="AE106" i="1"/>
  <c r="AE102" i="1"/>
  <c r="AE84" i="1"/>
  <c r="AE76" i="1"/>
  <c r="AE89" i="1"/>
  <c r="AE79" i="1"/>
  <c r="AE86" i="1"/>
  <c r="AE121" i="1"/>
  <c r="AE117" i="1"/>
  <c r="AE113" i="1"/>
  <c r="AE109" i="1"/>
  <c r="AE105" i="1"/>
  <c r="AE101" i="1"/>
  <c r="AE98" i="1"/>
  <c r="AE95" i="1"/>
  <c r="AE92" i="1"/>
  <c r="AE81" i="1"/>
  <c r="AE88" i="1"/>
  <c r="AE71" i="1"/>
  <c r="AE68" i="1"/>
  <c r="AE83" i="1"/>
  <c r="AE124" i="1"/>
  <c r="AE120" i="1"/>
  <c r="AE116" i="1"/>
  <c r="AE112" i="1"/>
  <c r="AE108" i="1"/>
  <c r="AE104" i="1"/>
  <c r="AE78" i="1"/>
  <c r="AE100" i="1"/>
  <c r="AE97" i="1"/>
  <c r="AE94" i="1"/>
  <c r="AE91" i="1"/>
  <c r="AE85" i="1"/>
  <c r="AE123" i="1"/>
  <c r="AE119" i="1"/>
  <c r="AE115" i="1"/>
  <c r="AE111" i="1"/>
  <c r="AE107" i="1"/>
  <c r="AE103" i="1"/>
  <c r="AE87" i="1"/>
  <c r="AE59" i="1"/>
  <c r="AE53" i="1"/>
  <c r="AE48" i="1"/>
  <c r="AE45" i="1"/>
  <c r="AE42" i="1"/>
  <c r="AE39" i="1"/>
  <c r="AE36" i="1"/>
  <c r="AE30" i="1"/>
  <c r="AE24" i="1"/>
  <c r="AE60" i="1"/>
  <c r="AE77" i="1"/>
  <c r="AE64" i="1"/>
  <c r="AE25" i="1"/>
  <c r="AE72" i="1"/>
  <c r="AE32" i="1"/>
  <c r="AE26" i="1"/>
  <c r="AE74" i="1"/>
  <c r="AE73" i="1"/>
  <c r="AE70" i="1"/>
  <c r="AE69" i="1"/>
  <c r="AE55" i="1"/>
  <c r="AE50" i="1"/>
  <c r="AE63" i="1"/>
  <c r="AE58" i="1"/>
  <c r="AE47" i="1"/>
  <c r="AE44" i="1"/>
  <c r="AE41" i="1"/>
  <c r="AE38" i="1"/>
  <c r="AE35" i="1"/>
  <c r="AE75" i="1"/>
  <c r="AE67" i="1"/>
  <c r="AE52" i="1"/>
  <c r="AE29" i="1"/>
  <c r="AE80" i="1"/>
  <c r="AE62" i="1"/>
  <c r="AE27" i="1"/>
  <c r="AE51" i="1"/>
  <c r="AE66" i="1"/>
  <c r="AE54" i="1"/>
  <c r="AE34" i="1"/>
  <c r="AE31" i="1"/>
  <c r="AE61" i="1"/>
  <c r="AE57" i="1"/>
  <c r="AE49" i="1"/>
  <c r="AE46" i="1"/>
  <c r="AE43" i="1"/>
  <c r="AE40" i="1"/>
  <c r="AE37" i="1"/>
  <c r="AE23" i="1"/>
  <c r="AE28" i="1"/>
  <c r="AE65" i="1"/>
  <c r="AE56" i="1"/>
  <c r="AE33" i="1"/>
  <c r="N101" i="1"/>
  <c r="N98" i="1"/>
  <c r="N95" i="1"/>
  <c r="N92" i="1"/>
  <c r="N86" i="1"/>
  <c r="N81" i="1"/>
  <c r="N71" i="1"/>
  <c r="N68" i="1"/>
  <c r="N124" i="1"/>
  <c r="N120" i="1"/>
  <c r="N116" i="1"/>
  <c r="N112" i="1"/>
  <c r="N108" i="1"/>
  <c r="N104" i="1"/>
  <c r="N88" i="1"/>
  <c r="N78" i="1"/>
  <c r="N91" i="1"/>
  <c r="N83" i="1"/>
  <c r="N100" i="1"/>
  <c r="N97" i="1"/>
  <c r="N94" i="1"/>
  <c r="N58" i="1"/>
  <c r="N123" i="1"/>
  <c r="N119" i="1"/>
  <c r="N115" i="1"/>
  <c r="N111" i="1"/>
  <c r="N107" i="1"/>
  <c r="N103" i="1"/>
  <c r="N85" i="1"/>
  <c r="N90" i="1"/>
  <c r="N80" i="1"/>
  <c r="N87" i="1"/>
  <c r="N122" i="1"/>
  <c r="N118" i="1"/>
  <c r="N114" i="1"/>
  <c r="N110" i="1"/>
  <c r="N106" i="1"/>
  <c r="N102" i="1"/>
  <c r="N99" i="1"/>
  <c r="N96" i="1"/>
  <c r="N93" i="1"/>
  <c r="N82" i="1"/>
  <c r="N89" i="1"/>
  <c r="N121" i="1"/>
  <c r="N117" i="1"/>
  <c r="N113" i="1"/>
  <c r="N109" i="1"/>
  <c r="N105" i="1"/>
  <c r="N62" i="1"/>
  <c r="N55" i="1"/>
  <c r="N66" i="1"/>
  <c r="N52" i="1"/>
  <c r="N29" i="1"/>
  <c r="N61" i="1"/>
  <c r="N34" i="1"/>
  <c r="N27" i="1"/>
  <c r="K16" i="1"/>
  <c r="N35" i="1"/>
  <c r="N79" i="1"/>
  <c r="N77" i="1"/>
  <c r="N60" i="1"/>
  <c r="N57" i="1"/>
  <c r="N54" i="1"/>
  <c r="N49" i="1"/>
  <c r="N46" i="1"/>
  <c r="N43" i="1"/>
  <c r="N40" i="1"/>
  <c r="N37" i="1"/>
  <c r="N31" i="1"/>
  <c r="N65" i="1"/>
  <c r="N23" i="1"/>
  <c r="N75" i="1"/>
  <c r="N33" i="1"/>
  <c r="O13" i="1"/>
  <c r="N51" i="1"/>
  <c r="N28" i="1"/>
  <c r="N67" i="1"/>
  <c r="N32" i="1"/>
  <c r="N26" i="1"/>
  <c r="N73" i="1"/>
  <c r="N72" i="1"/>
  <c r="N64" i="1"/>
  <c r="N56" i="1"/>
  <c r="N48" i="1"/>
  <c r="N45" i="1"/>
  <c r="N42" i="1"/>
  <c r="N39" i="1"/>
  <c r="N36" i="1"/>
  <c r="N74" i="1"/>
  <c r="N70" i="1"/>
  <c r="N69" i="1"/>
  <c r="N59" i="1"/>
  <c r="N53" i="1"/>
  <c r="N30" i="1"/>
  <c r="N24" i="1"/>
  <c r="N25" i="1"/>
  <c r="N84" i="1"/>
  <c r="N76" i="1"/>
  <c r="N50" i="1"/>
  <c r="N47" i="1"/>
  <c r="N44" i="1"/>
  <c r="N41" i="1"/>
  <c r="N38" i="1"/>
  <c r="N63" i="1"/>
  <c r="P124" i="1"/>
  <c r="P120" i="1"/>
  <c r="P116" i="1"/>
  <c r="P112" i="1"/>
  <c r="P108" i="1"/>
  <c r="P104" i="1"/>
  <c r="P88" i="1"/>
  <c r="P78" i="1"/>
  <c r="P91" i="1"/>
  <c r="P83" i="1"/>
  <c r="P100" i="1"/>
  <c r="P97" i="1"/>
  <c r="P94" i="1"/>
  <c r="P123" i="1"/>
  <c r="P119" i="1"/>
  <c r="P115" i="1"/>
  <c r="P111" i="1"/>
  <c r="P107" i="1"/>
  <c r="P103" i="1"/>
  <c r="P85" i="1"/>
  <c r="P77" i="1"/>
  <c r="P90" i="1"/>
  <c r="P80" i="1"/>
  <c r="P60" i="1"/>
  <c r="P87" i="1"/>
  <c r="P122" i="1"/>
  <c r="P118" i="1"/>
  <c r="P114" i="1"/>
  <c r="P110" i="1"/>
  <c r="P106" i="1"/>
  <c r="P102" i="1"/>
  <c r="P99" i="1"/>
  <c r="P96" i="1"/>
  <c r="P93" i="1"/>
  <c r="P82" i="1"/>
  <c r="P76" i="1"/>
  <c r="P89" i="1"/>
  <c r="P84" i="1"/>
  <c r="P121" i="1"/>
  <c r="P117" i="1"/>
  <c r="P113" i="1"/>
  <c r="P109" i="1"/>
  <c r="P105" i="1"/>
  <c r="P61" i="1"/>
  <c r="P34" i="1"/>
  <c r="P27" i="1"/>
  <c r="P79" i="1"/>
  <c r="P57" i="1"/>
  <c r="P54" i="1"/>
  <c r="P49" i="1"/>
  <c r="P46" i="1"/>
  <c r="P43" i="1"/>
  <c r="P40" i="1"/>
  <c r="P37" i="1"/>
  <c r="P31" i="1"/>
  <c r="P101" i="1"/>
  <c r="P86" i="1"/>
  <c r="P81" i="1"/>
  <c r="P65" i="1"/>
  <c r="AJ27" i="1"/>
  <c r="P23" i="1"/>
  <c r="P33" i="1"/>
  <c r="P98" i="1"/>
  <c r="P51" i="1"/>
  <c r="P28" i="1"/>
  <c r="P95" i="1"/>
  <c r="P72" i="1"/>
  <c r="P56" i="1"/>
  <c r="P48" i="1"/>
  <c r="P45" i="1"/>
  <c r="P42" i="1"/>
  <c r="P39" i="1"/>
  <c r="P36" i="1"/>
  <c r="P62" i="1"/>
  <c r="P58" i="1"/>
  <c r="P73" i="1"/>
  <c r="P71" i="1"/>
  <c r="P69" i="1"/>
  <c r="P64" i="1"/>
  <c r="P59" i="1"/>
  <c r="P53" i="1"/>
  <c r="P30" i="1"/>
  <c r="P24" i="1"/>
  <c r="P92" i="1"/>
  <c r="P74" i="1"/>
  <c r="P70" i="1"/>
  <c r="P68" i="1"/>
  <c r="P25" i="1"/>
  <c r="P75" i="1"/>
  <c r="P63" i="1"/>
  <c r="P55" i="1"/>
  <c r="P35" i="1"/>
  <c r="P32" i="1"/>
  <c r="P26" i="1"/>
  <c r="P67" i="1"/>
  <c r="P50" i="1"/>
  <c r="P47" i="1"/>
  <c r="P44" i="1"/>
  <c r="P41" i="1"/>
  <c r="P38" i="1"/>
  <c r="P66" i="1"/>
  <c r="P52" i="1"/>
  <c r="P29" i="1"/>
  <c r="N15" i="1"/>
  <c r="G14" i="1"/>
  <c r="G13" i="1"/>
  <c r="N14" i="1"/>
  <c r="I13" i="1"/>
  <c r="P14" i="1"/>
  <c r="I14" i="1"/>
  <c r="P15" i="1"/>
  <c r="P12" i="1" l="1"/>
  <c r="P11" i="1"/>
  <c r="P13" i="1"/>
  <c r="O14" i="1"/>
  <c r="O15" i="1"/>
  <c r="H14" i="1"/>
  <c r="H13" i="1"/>
  <c r="Q14" i="1"/>
  <c r="Q15" i="1"/>
  <c r="J14" i="1"/>
  <c r="J13" i="1"/>
  <c r="Q91" i="1"/>
  <c r="Q83" i="1"/>
  <c r="Q100" i="1"/>
  <c r="Q97" i="1"/>
  <c r="Q94" i="1"/>
  <c r="Q123" i="1"/>
  <c r="Q119" i="1"/>
  <c r="Q115" i="1"/>
  <c r="Q111" i="1"/>
  <c r="Q107" i="1"/>
  <c r="Q103" i="1"/>
  <c r="Q85" i="1"/>
  <c r="Q77" i="1"/>
  <c r="Q90" i="1"/>
  <c r="Q80" i="1"/>
  <c r="Q87" i="1"/>
  <c r="Q55" i="1"/>
  <c r="Q122" i="1"/>
  <c r="Q118" i="1"/>
  <c r="Q114" i="1"/>
  <c r="Q110" i="1"/>
  <c r="Q106" i="1"/>
  <c r="Q102" i="1"/>
  <c r="Q99" i="1"/>
  <c r="Q96" i="1"/>
  <c r="Q93" i="1"/>
  <c r="Q82" i="1"/>
  <c r="Q89" i="1"/>
  <c r="Q72" i="1"/>
  <c r="Q69" i="1"/>
  <c r="Q84" i="1"/>
  <c r="Q121" i="1"/>
  <c r="Q117" i="1"/>
  <c r="Q113" i="1"/>
  <c r="Q109" i="1"/>
  <c r="Q105" i="1"/>
  <c r="Q79" i="1"/>
  <c r="Q101" i="1"/>
  <c r="Q98" i="1"/>
  <c r="Q95" i="1"/>
  <c r="Q92" i="1"/>
  <c r="Q86" i="1"/>
  <c r="Q124" i="1"/>
  <c r="Q120" i="1"/>
  <c r="Q116" i="1"/>
  <c r="Q112" i="1"/>
  <c r="Q108" i="1"/>
  <c r="Q104" i="1"/>
  <c r="Q88" i="1"/>
  <c r="Q57" i="1"/>
  <c r="Q54" i="1"/>
  <c r="Q49" i="1"/>
  <c r="Q46" i="1"/>
  <c r="Q43" i="1"/>
  <c r="Q40" i="1"/>
  <c r="Q37" i="1"/>
  <c r="Q31" i="1"/>
  <c r="Q76" i="1"/>
  <c r="Q81" i="1"/>
  <c r="Q65" i="1"/>
  <c r="Q60" i="1"/>
  <c r="AK27" i="1"/>
  <c r="Q23" i="1"/>
  <c r="Q33" i="1"/>
  <c r="Q51" i="1"/>
  <c r="Q28" i="1"/>
  <c r="Q56" i="1"/>
  <c r="Q48" i="1"/>
  <c r="Q45" i="1"/>
  <c r="Q42" i="1"/>
  <c r="Q39" i="1"/>
  <c r="Q36" i="1"/>
  <c r="Q52" i="1"/>
  <c r="Q73" i="1"/>
  <c r="Q71" i="1"/>
  <c r="Q64" i="1"/>
  <c r="Q59" i="1"/>
  <c r="Q53" i="1"/>
  <c r="Q30" i="1"/>
  <c r="Q24" i="1"/>
  <c r="Q66" i="1"/>
  <c r="Q74" i="1"/>
  <c r="Q70" i="1"/>
  <c r="Q68" i="1"/>
  <c r="Q25" i="1"/>
  <c r="Q75" i="1"/>
  <c r="Q63" i="1"/>
  <c r="Q35" i="1"/>
  <c r="Q32" i="1"/>
  <c r="Q26" i="1"/>
  <c r="Q78" i="1"/>
  <c r="Q67" i="1"/>
  <c r="Q50" i="1"/>
  <c r="Q47" i="1"/>
  <c r="Q44" i="1"/>
  <c r="Q41" i="1"/>
  <c r="Q38" i="1"/>
  <c r="Q62" i="1"/>
  <c r="Q58" i="1"/>
  <c r="Q29" i="1"/>
  <c r="Q61" i="1"/>
  <c r="Q34" i="1"/>
  <c r="Q27" i="1"/>
  <c r="AF99" i="1"/>
  <c r="AF96" i="1"/>
  <c r="AF93" i="1"/>
  <c r="AF122" i="1"/>
  <c r="AF118" i="1"/>
  <c r="AF114" i="1"/>
  <c r="AF110" i="1"/>
  <c r="AF106" i="1"/>
  <c r="AF102" i="1"/>
  <c r="AF84" i="1"/>
  <c r="AF76" i="1"/>
  <c r="AF72" i="1"/>
  <c r="AF69" i="1"/>
  <c r="AF89" i="1"/>
  <c r="AF79" i="1"/>
  <c r="AF86" i="1"/>
  <c r="AF121" i="1"/>
  <c r="AF117" i="1"/>
  <c r="AF113" i="1"/>
  <c r="AF109" i="1"/>
  <c r="AF105" i="1"/>
  <c r="AF101" i="1"/>
  <c r="AF98" i="1"/>
  <c r="AF95" i="1"/>
  <c r="AF92" i="1"/>
  <c r="AF81" i="1"/>
  <c r="AF75" i="1"/>
  <c r="AF88" i="1"/>
  <c r="AF83" i="1"/>
  <c r="AF124" i="1"/>
  <c r="AF120" i="1"/>
  <c r="AF116" i="1"/>
  <c r="AF112" i="1"/>
  <c r="AF108" i="1"/>
  <c r="AF104" i="1"/>
  <c r="AF78" i="1"/>
  <c r="AF74" i="1"/>
  <c r="AF100" i="1"/>
  <c r="AF97" i="1"/>
  <c r="AF94" i="1"/>
  <c r="AF91" i="1"/>
  <c r="AF85" i="1"/>
  <c r="AF90" i="1"/>
  <c r="AF82" i="1"/>
  <c r="AF103" i="1"/>
  <c r="AF77" i="1"/>
  <c r="AF64" i="1"/>
  <c r="AF25" i="1"/>
  <c r="AF71" i="1"/>
  <c r="AF32" i="1"/>
  <c r="AF26" i="1"/>
  <c r="AF111" i="1"/>
  <c r="AF73" i="1"/>
  <c r="AF70" i="1"/>
  <c r="AF68" i="1"/>
  <c r="AF55" i="1"/>
  <c r="AF50" i="1"/>
  <c r="AF63" i="1"/>
  <c r="AF58" i="1"/>
  <c r="AF47" i="1"/>
  <c r="AF44" i="1"/>
  <c r="AF41" i="1"/>
  <c r="AF38" i="1"/>
  <c r="AF35" i="1"/>
  <c r="AF119" i="1"/>
  <c r="AF67" i="1"/>
  <c r="AF52" i="1"/>
  <c r="AF29" i="1"/>
  <c r="AF56" i="1"/>
  <c r="AF80" i="1"/>
  <c r="AF62" i="1"/>
  <c r="AF27" i="1"/>
  <c r="AF33" i="1"/>
  <c r="AF66" i="1"/>
  <c r="AF54" i="1"/>
  <c r="AF34" i="1"/>
  <c r="AF31" i="1"/>
  <c r="AF107" i="1"/>
  <c r="AF87" i="1"/>
  <c r="AF61" i="1"/>
  <c r="AF57" i="1"/>
  <c r="AF49" i="1"/>
  <c r="AF46" i="1"/>
  <c r="AF43" i="1"/>
  <c r="AF40" i="1"/>
  <c r="AF37" i="1"/>
  <c r="AF23" i="1"/>
  <c r="AF65" i="1"/>
  <c r="AF115" i="1"/>
  <c r="AF60" i="1"/>
  <c r="AF51" i="1"/>
  <c r="AF28" i="1"/>
  <c r="AF123" i="1"/>
  <c r="AF59" i="1"/>
  <c r="AF53" i="1"/>
  <c r="AF48" i="1"/>
  <c r="AF45" i="1"/>
  <c r="AF42" i="1"/>
  <c r="AF39" i="1"/>
  <c r="AF36" i="1"/>
  <c r="AF30" i="1"/>
  <c r="AF24" i="1"/>
  <c r="AI25" i="1"/>
  <c r="AM25" i="1"/>
  <c r="AI24" i="1"/>
  <c r="AM26" i="1"/>
  <c r="G12" i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Q12" i="1" l="1"/>
  <c r="Q11" i="1"/>
  <c r="Q13" i="1"/>
  <c r="AM22" i="1"/>
  <c r="AM23" i="1"/>
  <c r="AM24" i="1"/>
  <c r="H12" i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R14" i="1"/>
  <c r="R15" i="1"/>
  <c r="K14" i="1"/>
  <c r="K13" i="1"/>
  <c r="AG122" i="1"/>
  <c r="AG118" i="1"/>
  <c r="AG114" i="1"/>
  <c r="AG110" i="1"/>
  <c r="AG106" i="1"/>
  <c r="AG102" i="1"/>
  <c r="AG84" i="1"/>
  <c r="AG89" i="1"/>
  <c r="AG79" i="1"/>
  <c r="AG86" i="1"/>
  <c r="AG121" i="1"/>
  <c r="AG117" i="1"/>
  <c r="AG113" i="1"/>
  <c r="AG109" i="1"/>
  <c r="AG105" i="1"/>
  <c r="AG101" i="1"/>
  <c r="AG98" i="1"/>
  <c r="AG95" i="1"/>
  <c r="AG92" i="1"/>
  <c r="AG81" i="1"/>
  <c r="AG75" i="1"/>
  <c r="AG88" i="1"/>
  <c r="AG71" i="1"/>
  <c r="AG68" i="1"/>
  <c r="AG65" i="1"/>
  <c r="AG62" i="1"/>
  <c r="AG56" i="1"/>
  <c r="AG83" i="1"/>
  <c r="AG124" i="1"/>
  <c r="AG120" i="1"/>
  <c r="AG116" i="1"/>
  <c r="AG112" i="1"/>
  <c r="AG108" i="1"/>
  <c r="AG104" i="1"/>
  <c r="AG78" i="1"/>
  <c r="AG74" i="1"/>
  <c r="AG100" i="1"/>
  <c r="AG97" i="1"/>
  <c r="AG94" i="1"/>
  <c r="AG91" i="1"/>
  <c r="AG85" i="1"/>
  <c r="AG80" i="1"/>
  <c r="AG123" i="1"/>
  <c r="AG119" i="1"/>
  <c r="AG115" i="1"/>
  <c r="AG111" i="1"/>
  <c r="AG107" i="1"/>
  <c r="AG103" i="1"/>
  <c r="AG87" i="1"/>
  <c r="AG99" i="1"/>
  <c r="AG96" i="1"/>
  <c r="AG93" i="1"/>
  <c r="AG32" i="1"/>
  <c r="AG26" i="1"/>
  <c r="AG48" i="1"/>
  <c r="AG36" i="1"/>
  <c r="AG73" i="1"/>
  <c r="AG72" i="1"/>
  <c r="AG70" i="1"/>
  <c r="AG55" i="1"/>
  <c r="AG50" i="1"/>
  <c r="AG30" i="1"/>
  <c r="AG69" i="1"/>
  <c r="AG63" i="1"/>
  <c r="AG58" i="1"/>
  <c r="AG47" i="1"/>
  <c r="AG44" i="1"/>
  <c r="AG41" i="1"/>
  <c r="AG38" i="1"/>
  <c r="AG35" i="1"/>
  <c r="AG67" i="1"/>
  <c r="AG52" i="1"/>
  <c r="AG29" i="1"/>
  <c r="AG27" i="1"/>
  <c r="AG59" i="1"/>
  <c r="AG90" i="1"/>
  <c r="AG66" i="1"/>
  <c r="AG54" i="1"/>
  <c r="AG34" i="1"/>
  <c r="AG31" i="1"/>
  <c r="AG42" i="1"/>
  <c r="AG24" i="1"/>
  <c r="AG61" i="1"/>
  <c r="AG57" i="1"/>
  <c r="AG49" i="1"/>
  <c r="AG46" i="1"/>
  <c r="AG43" i="1"/>
  <c r="AG40" i="1"/>
  <c r="AG37" i="1"/>
  <c r="AG23" i="1"/>
  <c r="AG53" i="1"/>
  <c r="AG45" i="1"/>
  <c r="AG39" i="1"/>
  <c r="AG82" i="1"/>
  <c r="AG76" i="1"/>
  <c r="AG60" i="1"/>
  <c r="AG51" i="1"/>
  <c r="AG28" i="1"/>
  <c r="AG33" i="1"/>
  <c r="AG77" i="1"/>
  <c r="AG64" i="1"/>
  <c r="AG25" i="1"/>
  <c r="AN25" i="1"/>
  <c r="AJ24" i="1"/>
  <c r="AJ25" i="1"/>
  <c r="AN26" i="1"/>
  <c r="AN22" i="1" l="1"/>
  <c r="AN23" i="1"/>
  <c r="AN24" i="1"/>
  <c r="R12" i="1"/>
  <c r="R11" i="1"/>
  <c r="R13" i="1"/>
  <c r="AO25" i="1"/>
  <c r="AK24" i="1"/>
  <c r="AK25" i="1"/>
  <c r="AO26" i="1"/>
  <c r="I16" i="2"/>
  <c r="G16" i="2"/>
  <c r="F16" i="2"/>
  <c r="V69" i="2" l="1"/>
  <c r="V85" i="2"/>
  <c r="V44" i="2"/>
  <c r="V39" i="2"/>
  <c r="V55" i="2"/>
  <c r="V43" i="2"/>
  <c r="V62" i="2"/>
  <c r="V40" i="2"/>
  <c r="V49" i="2"/>
  <c r="V45" i="2"/>
  <c r="V63" i="2"/>
  <c r="V71" i="2"/>
  <c r="V36" i="2"/>
  <c r="V41" i="2"/>
  <c r="V46" i="2"/>
  <c r="V51" i="2"/>
  <c r="V37" i="2"/>
  <c r="V42" i="2"/>
  <c r="V58" i="2"/>
  <c r="V52" i="2"/>
  <c r="V83" i="2"/>
  <c r="V38" i="2"/>
  <c r="H8" i="2"/>
  <c r="AO23" i="1"/>
  <c r="AO22" i="1"/>
  <c r="AO24" i="1"/>
  <c r="H16" i="2"/>
  <c r="J16" i="2"/>
  <c r="AJ27" i="2" s="1"/>
  <c r="AI27" i="2"/>
  <c r="V70" i="2"/>
  <c r="V87" i="2"/>
  <c r="V64" i="2"/>
  <c r="V66" i="2"/>
  <c r="V50" i="2"/>
  <c r="V65" i="2"/>
  <c r="V78" i="2"/>
  <c r="V80" i="2"/>
  <c r="V93" i="2"/>
  <c r="V96" i="2"/>
  <c r="V99" i="2"/>
  <c r="V57" i="2"/>
  <c r="V67" i="2"/>
  <c r="V82" i="2"/>
  <c r="V91" i="2"/>
  <c r="V94" i="2"/>
  <c r="V97" i="2"/>
  <c r="V100" i="2"/>
  <c r="V79" i="2"/>
  <c r="V86" i="2"/>
  <c r="V54" i="2"/>
  <c r="V81" i="2"/>
  <c r="V98" i="2"/>
  <c r="V95" i="2"/>
  <c r="V92" i="2"/>
  <c r="V56" i="2"/>
  <c r="V53" i="2"/>
  <c r="V68" i="2"/>
  <c r="V84" i="2"/>
  <c r="F14" i="2" l="1"/>
  <c r="N14" i="2"/>
  <c r="N15" i="2"/>
  <c r="F13" i="2"/>
  <c r="O15" i="2"/>
  <c r="H13" i="2"/>
  <c r="K16" i="2"/>
  <c r="M14" i="2"/>
  <c r="G14" i="2"/>
  <c r="P14" i="2"/>
  <c r="P13" i="2" s="1"/>
  <c r="P15" i="2"/>
  <c r="I14" i="2"/>
  <c r="M15" i="2"/>
  <c r="G13" i="2"/>
  <c r="F12" i="2" l="1"/>
  <c r="S23" i="2"/>
  <c r="J13" i="2"/>
  <c r="G12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Q15" i="2"/>
  <c r="Q14" i="2"/>
  <c r="Q13" i="2" s="1"/>
  <c r="J14" i="2"/>
  <c r="AK27" i="2"/>
  <c r="O14" i="2"/>
  <c r="P11" i="2"/>
  <c r="AJ25" i="2"/>
  <c r="AN26" i="2"/>
  <c r="AJ24" i="2"/>
  <c r="AN25" i="2"/>
  <c r="AN24" i="2" s="1"/>
  <c r="AM25" i="2"/>
  <c r="AM24" i="2" s="1"/>
  <c r="AM26" i="2"/>
  <c r="AI25" i="2"/>
  <c r="AI24" i="2"/>
  <c r="S24" i="2" l="1"/>
  <c r="S25" i="2" s="1"/>
  <c r="S26" i="2" s="1"/>
  <c r="S27" i="2" s="1"/>
  <c r="S28" i="2" s="1"/>
  <c r="S29" i="2" s="1"/>
  <c r="S30" i="2" s="1"/>
  <c r="S31" i="2" s="1"/>
  <c r="S32" i="2" s="1"/>
  <c r="Q12" i="2"/>
  <c r="Q11" i="2"/>
  <c r="R14" i="2"/>
  <c r="R13" i="2" s="1"/>
  <c r="K14" i="2"/>
  <c r="H12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R15" i="2"/>
  <c r="K13" i="2"/>
  <c r="AN22" i="2"/>
  <c r="AN23" i="2"/>
  <c r="AM23" i="2"/>
  <c r="AM22" i="2"/>
  <c r="AK25" i="2" l="1"/>
  <c r="AO26" i="2"/>
  <c r="AK24" i="2"/>
  <c r="AO25" i="2"/>
  <c r="AO24" i="2" s="1"/>
  <c r="R11" i="2"/>
  <c r="R12" i="2"/>
  <c r="AO23" i="2" l="1"/>
  <c r="AO22" i="2"/>
</calcChain>
</file>

<file path=xl/sharedStrings.xml><?xml version="1.0" encoding="utf-8"?>
<sst xmlns="http://schemas.openxmlformats.org/spreadsheetml/2006/main" count="208" uniqueCount="67">
  <si>
    <t>Параметры исходных данных</t>
  </si>
  <si>
    <t>n</t>
  </si>
  <si>
    <t>p</t>
  </si>
  <si>
    <t>q</t>
  </si>
  <si>
    <t>m_a</t>
  </si>
  <si>
    <t>m_b</t>
  </si>
  <si>
    <t>m_c</t>
  </si>
  <si>
    <t>m_h</t>
  </si>
  <si>
    <t>m_d</t>
  </si>
  <si>
    <t>m_f</t>
  </si>
  <si>
    <t>Доля СКО</t>
  </si>
  <si>
    <t>s</t>
  </si>
  <si>
    <t>Инт.прогн</t>
  </si>
  <si>
    <t>Чернов Вариант 2276</t>
  </si>
  <si>
    <t>выборка наблюдений</t>
  </si>
  <si>
    <t>x</t>
  </si>
  <si>
    <t>z</t>
  </si>
  <si>
    <t>f(x)</t>
  </si>
  <si>
    <t>y</t>
  </si>
  <si>
    <t>f(x)-y</t>
  </si>
  <si>
    <t>F_прогн</t>
  </si>
  <si>
    <t>a_оц</t>
  </si>
  <si>
    <t>b_оц</t>
  </si>
  <si>
    <t>с_оц</t>
  </si>
  <si>
    <t>v_МНК</t>
  </si>
  <si>
    <t>z1</t>
  </si>
  <si>
    <t>z2</t>
  </si>
  <si>
    <t>z3</t>
  </si>
  <si>
    <t>y1_mod</t>
  </si>
  <si>
    <t>y2_mod</t>
  </si>
  <si>
    <t>y3_mod</t>
  </si>
  <si>
    <t>y1_prog</t>
  </si>
  <si>
    <t>y2_prog</t>
  </si>
  <si>
    <t>y3_prog</t>
  </si>
  <si>
    <t>модельные</t>
  </si>
  <si>
    <t>кол-во карманов</t>
  </si>
  <si>
    <t>ширина кармана</t>
  </si>
  <si>
    <t>мин</t>
  </si>
  <si>
    <t>макс</t>
  </si>
  <si>
    <t>x1</t>
  </si>
  <si>
    <t>x2</t>
  </si>
  <si>
    <t>x3</t>
  </si>
  <si>
    <t>прогнозные</t>
  </si>
  <si>
    <t>Карман</t>
  </si>
  <si>
    <t>Еще</t>
  </si>
  <si>
    <t>Частота</t>
  </si>
  <si>
    <t>у1 мод\прогн</t>
  </si>
  <si>
    <t>У2 мод\прогн</t>
  </si>
  <si>
    <t>У3 мод\прогн</t>
  </si>
  <si>
    <t>Отн.част</t>
  </si>
  <si>
    <t>МНМ f(x)-y</t>
  </si>
  <si>
    <t>МНК</t>
  </si>
  <si>
    <t>МНМ</t>
  </si>
  <si>
    <t>v_МНМ</t>
  </si>
  <si>
    <t>f_прогн</t>
  </si>
  <si>
    <t>y1_progn</t>
  </si>
  <si>
    <t>y2_progn</t>
  </si>
  <si>
    <t>y3_progn</t>
  </si>
  <si>
    <t>min</t>
  </si>
  <si>
    <t>max</t>
  </si>
  <si>
    <t>факт.дет.</t>
  </si>
  <si>
    <t>Мат.ож.</t>
  </si>
  <si>
    <t>СКО</t>
  </si>
  <si>
    <t>интервальн. прогн.</t>
  </si>
  <si>
    <t>Мат.ож</t>
  </si>
  <si>
    <t>d_оц</t>
  </si>
  <si>
    <t>f_оц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</si>
</sst>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04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1" fontId="0" fillId="0" borderId="0" xfId="0" applyNumberFormat="1"/>
    <xf numFmtId="0" fontId="0" fillId="0" borderId="0" xfId="0" applyBorder="1"/>
    <xf numFmtId="0" fontId="0" fillId="0" borderId="1" xfId="0" applyBorder="1"/>
    <xf numFmtId="1" fontId="0" fillId="0" borderId="1" xfId="0" applyNumberFormat="1" applyBorder="1"/>
    <xf numFmtId="165" fontId="0" fillId="0" borderId="0" xfId="0" applyNumberFormat="1"/>
    <xf numFmtId="0" fontId="2" fillId="0" borderId="0" xfId="0" applyFon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0" fillId="2" borderId="3" xfId="0" applyFill="1" applyBorder="1"/>
    <xf numFmtId="0" fontId="4" fillId="0" borderId="0" xfId="0" applyFont="1"/>
    <xf numFmtId="0" fontId="5" fillId="0" borderId="0" xfId="0" applyFont="1"/>
    <xf numFmtId="1" fontId="0" fillId="2" borderId="0" xfId="0" applyNumberFormat="1" applyFill="1"/>
    <xf numFmtId="164" fontId="0" fillId="2" borderId="0" xfId="0" applyNumberFormat="1" applyFill="1"/>
    <xf numFmtId="2" fontId="0" fillId="2" borderId="0" xfId="0" applyNumberFormat="1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49787782103445"/>
          <c:y val="0.13904948123095351"/>
          <c:w val="0.78941583974865581"/>
          <c:h val="0.6244853491674196"/>
        </c:manualLayout>
      </c:layout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'Эксп. апрокс. МНК-МНМ'!$T$23:$T$33</c:f>
              <c:strCache>
                <c:ptCount val="11"/>
                <c:pt idx="0">
                  <c:v>18,81359754</c:v>
                </c:pt>
                <c:pt idx="1">
                  <c:v>19,26523301</c:v>
                </c:pt>
                <c:pt idx="2">
                  <c:v>19,71686847</c:v>
                </c:pt>
                <c:pt idx="3">
                  <c:v>20,16850394</c:v>
                </c:pt>
                <c:pt idx="4">
                  <c:v>20,62013941</c:v>
                </c:pt>
                <c:pt idx="5">
                  <c:v>21,07177487</c:v>
                </c:pt>
                <c:pt idx="6">
                  <c:v>21,52341034</c:v>
                </c:pt>
                <c:pt idx="7">
                  <c:v>21,97504581</c:v>
                </c:pt>
                <c:pt idx="8">
                  <c:v>22,42668127</c:v>
                </c:pt>
                <c:pt idx="9">
                  <c:v>22,87831674</c:v>
                </c:pt>
                <c:pt idx="10">
                  <c:v>Еще</c:v>
                </c:pt>
              </c:strCache>
            </c:strRef>
          </c:cat>
          <c:val>
            <c:numRef>
              <c:f>'Эксп. апрокс. МНК-МНМ'!$U$23:$U$33</c:f>
              <c:numCache>
                <c:formatCode>General</c:formatCode>
                <c:ptCount val="11"/>
                <c:pt idx="0">
                  <c:v>3</c:v>
                </c:pt>
                <c:pt idx="1">
                  <c:v>12</c:v>
                </c:pt>
                <c:pt idx="2">
                  <c:v>9</c:v>
                </c:pt>
                <c:pt idx="3">
                  <c:v>10</c:v>
                </c:pt>
                <c:pt idx="4">
                  <c:v>20</c:v>
                </c:pt>
                <c:pt idx="5">
                  <c:v>19</c:v>
                </c:pt>
                <c:pt idx="6">
                  <c:v>8</c:v>
                </c:pt>
                <c:pt idx="7">
                  <c:v>13</c:v>
                </c:pt>
                <c:pt idx="8">
                  <c:v>6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BC-402A-AC39-7510BE1222B9}"/>
            </c:ext>
          </c:extLst>
        </c:ser>
        <c:ser>
          <c:idx val="1"/>
          <c:order val="1"/>
          <c:invertIfNegative val="0"/>
          <c:val>
            <c:numRef>
              <c:f>'Эксп. апрокс. МНК-МНМ'!$U$36:$U$45</c:f>
              <c:numCache>
                <c:formatCode>General</c:formatCode>
                <c:ptCount val="10"/>
                <c:pt idx="0">
                  <c:v>4</c:v>
                </c:pt>
                <c:pt idx="1">
                  <c:v>11</c:v>
                </c:pt>
                <c:pt idx="2">
                  <c:v>12</c:v>
                </c:pt>
                <c:pt idx="3">
                  <c:v>8</c:v>
                </c:pt>
                <c:pt idx="4">
                  <c:v>22</c:v>
                </c:pt>
                <c:pt idx="5">
                  <c:v>18</c:v>
                </c:pt>
                <c:pt idx="6">
                  <c:v>9</c:v>
                </c:pt>
                <c:pt idx="7">
                  <c:v>11</c:v>
                </c:pt>
                <c:pt idx="8">
                  <c:v>6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BC-402A-AC39-7510BE122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6993376"/>
        <c:axId val="1476987616"/>
      </c:barChart>
      <c:catAx>
        <c:axId val="1476993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6987616"/>
        <c:crosses val="autoZero"/>
        <c:auto val="1"/>
        <c:lblAlgn val="ctr"/>
        <c:lblOffset val="100"/>
        <c:noMultiLvlLbl val="0"/>
      </c:catAx>
      <c:valAx>
        <c:axId val="1476987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6993376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'Эксп. апрокс. МНК-МНМ'!$T$50:$T$60</c:f>
              <c:strCache>
                <c:ptCount val="11"/>
                <c:pt idx="0">
                  <c:v>18,35628402</c:v>
                </c:pt>
                <c:pt idx="1">
                  <c:v>18,87252307</c:v>
                </c:pt>
                <c:pt idx="2">
                  <c:v>19,38876212</c:v>
                </c:pt>
                <c:pt idx="3">
                  <c:v>19,90500116</c:v>
                </c:pt>
                <c:pt idx="4">
                  <c:v>20,42124021</c:v>
                </c:pt>
                <c:pt idx="5">
                  <c:v>20,93747926</c:v>
                </c:pt>
                <c:pt idx="6">
                  <c:v>21,45371831</c:v>
                </c:pt>
                <c:pt idx="7">
                  <c:v>21,96995735</c:v>
                </c:pt>
                <c:pt idx="8">
                  <c:v>22,4861964</c:v>
                </c:pt>
                <c:pt idx="9">
                  <c:v>23,00244545</c:v>
                </c:pt>
                <c:pt idx="10">
                  <c:v>Еще</c:v>
                </c:pt>
              </c:strCache>
            </c:strRef>
          </c:cat>
          <c:val>
            <c:numRef>
              <c:f>'Эксп. апрокс. МНК-МНМ'!$U$50:$U$60</c:f>
              <c:numCache>
                <c:formatCode>General</c:formatCode>
                <c:ptCount val="11"/>
                <c:pt idx="0">
                  <c:v>1</c:v>
                </c:pt>
                <c:pt idx="1">
                  <c:v>7</c:v>
                </c:pt>
                <c:pt idx="2">
                  <c:v>17</c:v>
                </c:pt>
                <c:pt idx="3">
                  <c:v>16</c:v>
                </c:pt>
                <c:pt idx="4">
                  <c:v>14</c:v>
                </c:pt>
                <c:pt idx="5">
                  <c:v>20</c:v>
                </c:pt>
                <c:pt idx="6">
                  <c:v>12</c:v>
                </c:pt>
                <c:pt idx="7">
                  <c:v>11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C0-475C-BEC3-CE39CA50F1CE}"/>
            </c:ext>
          </c:extLst>
        </c:ser>
        <c:ser>
          <c:idx val="1"/>
          <c:order val="1"/>
          <c:tx>
            <c:strRef>
              <c:f>'Эксп. апрокс. МНК-МНМ'!$U$63:$U$65</c:f>
              <c:strCache>
                <c:ptCount val="3"/>
                <c:pt idx="0">
                  <c:v>2</c:v>
                </c:pt>
                <c:pt idx="1">
                  <c:v>7</c:v>
                </c:pt>
                <c:pt idx="2">
                  <c:v>17</c:v>
                </c:pt>
              </c:strCache>
            </c:strRef>
          </c:tx>
          <c:invertIfNegative val="0"/>
          <c:val>
            <c:numRef>
              <c:f>'Эксп. апрокс. МНК-МНМ'!$U$63:$U$72</c:f>
              <c:numCache>
                <c:formatCode>General</c:formatCode>
                <c:ptCount val="10"/>
                <c:pt idx="0">
                  <c:v>2</c:v>
                </c:pt>
                <c:pt idx="1">
                  <c:v>7</c:v>
                </c:pt>
                <c:pt idx="2">
                  <c:v>17</c:v>
                </c:pt>
                <c:pt idx="3">
                  <c:v>18</c:v>
                </c:pt>
                <c:pt idx="4">
                  <c:v>17</c:v>
                </c:pt>
                <c:pt idx="5">
                  <c:v>17</c:v>
                </c:pt>
                <c:pt idx="6">
                  <c:v>13</c:v>
                </c:pt>
                <c:pt idx="7">
                  <c:v>7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C0-475C-BEC3-CE39CA50F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6982336"/>
        <c:axId val="1476980896"/>
      </c:barChart>
      <c:catAx>
        <c:axId val="1476982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6980896"/>
        <c:crosses val="autoZero"/>
        <c:auto val="1"/>
        <c:lblAlgn val="ctr"/>
        <c:lblOffset val="100"/>
        <c:noMultiLvlLbl val="0"/>
      </c:catAx>
      <c:valAx>
        <c:axId val="1476980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6982336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numRef>
              <c:f>'Эксп. апрокс. МНК-МНМ'!$T$92:$T$101</c:f>
              <c:numCache>
                <c:formatCode>General</c:formatCode>
                <c:ptCount val="10"/>
                <c:pt idx="0">
                  <c:v>18.448168252271476</c:v>
                </c:pt>
                <c:pt idx="1">
                  <c:v>18.959838780910285</c:v>
                </c:pt>
                <c:pt idx="2">
                  <c:v>19.471509309549095</c:v>
                </c:pt>
                <c:pt idx="3">
                  <c:v>19.983179838187905</c:v>
                </c:pt>
                <c:pt idx="4">
                  <c:v>20.494850366826714</c:v>
                </c:pt>
                <c:pt idx="5">
                  <c:v>21.006520895465524</c:v>
                </c:pt>
                <c:pt idx="6">
                  <c:v>21.518191424104334</c:v>
                </c:pt>
                <c:pt idx="7">
                  <c:v>22.029861952743143</c:v>
                </c:pt>
                <c:pt idx="8">
                  <c:v>22.541532481381953</c:v>
                </c:pt>
                <c:pt idx="9">
                  <c:v>23.053203010020763</c:v>
                </c:pt>
              </c:numCache>
            </c:numRef>
          </c:cat>
          <c:val>
            <c:numRef>
              <c:f>'Эксп. апрокс. МНК-МНМ'!$U$79:$U$88</c:f>
              <c:numCache>
                <c:formatCode>General</c:formatCode>
                <c:ptCount val="10"/>
                <c:pt idx="0">
                  <c:v>2</c:v>
                </c:pt>
                <c:pt idx="1">
                  <c:v>7</c:v>
                </c:pt>
                <c:pt idx="2">
                  <c:v>8</c:v>
                </c:pt>
                <c:pt idx="3">
                  <c:v>19</c:v>
                </c:pt>
                <c:pt idx="4">
                  <c:v>25</c:v>
                </c:pt>
                <c:pt idx="5">
                  <c:v>23</c:v>
                </c:pt>
                <c:pt idx="6">
                  <c:v>8</c:v>
                </c:pt>
                <c:pt idx="7">
                  <c:v>5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6-4461-98B4-0F4F2CD26FD3}"/>
            </c:ext>
          </c:extLst>
        </c:ser>
        <c:ser>
          <c:idx val="1"/>
          <c:order val="1"/>
          <c:tx>
            <c:strRef>
              <c:f>'Эксп. апрокс. МНК-МНМ'!$U$63:$U$65</c:f>
              <c:strCache>
                <c:ptCount val="3"/>
                <c:pt idx="0">
                  <c:v>2</c:v>
                </c:pt>
                <c:pt idx="1">
                  <c:v>7</c:v>
                </c:pt>
                <c:pt idx="2">
                  <c:v>17</c:v>
                </c:pt>
              </c:strCache>
            </c:strRef>
          </c:tx>
          <c:invertIfNegative val="0"/>
          <c:cat>
            <c:numRef>
              <c:f>'Эксп. апрокс. МНК-МНМ'!$T$92:$T$101</c:f>
              <c:numCache>
                <c:formatCode>General</c:formatCode>
                <c:ptCount val="10"/>
                <c:pt idx="0">
                  <c:v>18.448168252271476</c:v>
                </c:pt>
                <c:pt idx="1">
                  <c:v>18.959838780910285</c:v>
                </c:pt>
                <c:pt idx="2">
                  <c:v>19.471509309549095</c:v>
                </c:pt>
                <c:pt idx="3">
                  <c:v>19.983179838187905</c:v>
                </c:pt>
                <c:pt idx="4">
                  <c:v>20.494850366826714</c:v>
                </c:pt>
                <c:pt idx="5">
                  <c:v>21.006520895465524</c:v>
                </c:pt>
                <c:pt idx="6">
                  <c:v>21.518191424104334</c:v>
                </c:pt>
                <c:pt idx="7">
                  <c:v>22.029861952743143</c:v>
                </c:pt>
                <c:pt idx="8">
                  <c:v>22.541532481381953</c:v>
                </c:pt>
                <c:pt idx="9">
                  <c:v>23.053203010020763</c:v>
                </c:pt>
              </c:numCache>
            </c:numRef>
          </c:cat>
          <c:val>
            <c:numRef>
              <c:f>'Эксп. апрокс. МНК-МНМ'!$U$92:$U$101</c:f>
              <c:numCache>
                <c:formatCode>General</c:formatCode>
                <c:ptCount val="10"/>
                <c:pt idx="0">
                  <c:v>3</c:v>
                </c:pt>
                <c:pt idx="1">
                  <c:v>7</c:v>
                </c:pt>
                <c:pt idx="2">
                  <c:v>8</c:v>
                </c:pt>
                <c:pt idx="3">
                  <c:v>18</c:v>
                </c:pt>
                <c:pt idx="4">
                  <c:v>32</c:v>
                </c:pt>
                <c:pt idx="5">
                  <c:v>17</c:v>
                </c:pt>
                <c:pt idx="6">
                  <c:v>10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6-4461-98B4-0F4F2CD26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6982336"/>
        <c:axId val="1476980896"/>
      </c:barChart>
      <c:catAx>
        <c:axId val="1476982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6980896"/>
        <c:crosses val="autoZero"/>
        <c:auto val="1"/>
        <c:lblAlgn val="ctr"/>
        <c:lblOffset val="100"/>
        <c:noMultiLvlLbl val="0"/>
      </c:catAx>
      <c:valAx>
        <c:axId val="1476980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6982336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49787782103445"/>
          <c:y val="0.13904948123095351"/>
          <c:w val="0.78941583974865581"/>
          <c:h val="0.6244853491674196"/>
        </c:manualLayout>
      </c:layout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'Эксп. апрокс. МНК-МНМ'!$T$23:$T$33</c:f>
              <c:strCache>
                <c:ptCount val="11"/>
                <c:pt idx="0">
                  <c:v>18,81359754</c:v>
                </c:pt>
                <c:pt idx="1">
                  <c:v>19,26523301</c:v>
                </c:pt>
                <c:pt idx="2">
                  <c:v>19,71686847</c:v>
                </c:pt>
                <c:pt idx="3">
                  <c:v>20,16850394</c:v>
                </c:pt>
                <c:pt idx="4">
                  <c:v>20,62013941</c:v>
                </c:pt>
                <c:pt idx="5">
                  <c:v>21,07177487</c:v>
                </c:pt>
                <c:pt idx="6">
                  <c:v>21,52341034</c:v>
                </c:pt>
                <c:pt idx="7">
                  <c:v>21,97504581</c:v>
                </c:pt>
                <c:pt idx="8">
                  <c:v>22,42668127</c:v>
                </c:pt>
                <c:pt idx="9">
                  <c:v>22,87831674</c:v>
                </c:pt>
                <c:pt idx="10">
                  <c:v>Еще</c:v>
                </c:pt>
              </c:strCache>
            </c:strRef>
          </c:cat>
          <c:val>
            <c:numRef>
              <c:f>'Эксп. апрокс. МНК-МНМ'!$U$23:$U$33</c:f>
              <c:numCache>
                <c:formatCode>General</c:formatCode>
                <c:ptCount val="11"/>
                <c:pt idx="0">
                  <c:v>3</c:v>
                </c:pt>
                <c:pt idx="1">
                  <c:v>12</c:v>
                </c:pt>
                <c:pt idx="2">
                  <c:v>9</c:v>
                </c:pt>
                <c:pt idx="3">
                  <c:v>10</c:v>
                </c:pt>
                <c:pt idx="4">
                  <c:v>20</c:v>
                </c:pt>
                <c:pt idx="5">
                  <c:v>19</c:v>
                </c:pt>
                <c:pt idx="6">
                  <c:v>8</c:v>
                </c:pt>
                <c:pt idx="7">
                  <c:v>13</c:v>
                </c:pt>
                <c:pt idx="8">
                  <c:v>6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9-4910-84F5-9CCC11A02085}"/>
            </c:ext>
          </c:extLst>
        </c:ser>
        <c:ser>
          <c:idx val="1"/>
          <c:order val="1"/>
          <c:invertIfNegative val="0"/>
          <c:val>
            <c:numRef>
              <c:f>'Эксп. апрокс. МНК-МНМ'!$U$36:$U$45</c:f>
              <c:numCache>
                <c:formatCode>General</c:formatCode>
                <c:ptCount val="10"/>
                <c:pt idx="0">
                  <c:v>4</c:v>
                </c:pt>
                <c:pt idx="1">
                  <c:v>11</c:v>
                </c:pt>
                <c:pt idx="2">
                  <c:v>12</c:v>
                </c:pt>
                <c:pt idx="3">
                  <c:v>8</c:v>
                </c:pt>
                <c:pt idx="4">
                  <c:v>22</c:v>
                </c:pt>
                <c:pt idx="5">
                  <c:v>18</c:v>
                </c:pt>
                <c:pt idx="6">
                  <c:v>9</c:v>
                </c:pt>
                <c:pt idx="7">
                  <c:v>11</c:v>
                </c:pt>
                <c:pt idx="8">
                  <c:v>6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99-4910-84F5-9CCC11A02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6993376"/>
        <c:axId val="1476987616"/>
      </c:barChart>
      <c:catAx>
        <c:axId val="1476993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6987616"/>
        <c:crosses val="autoZero"/>
        <c:auto val="1"/>
        <c:lblAlgn val="ctr"/>
        <c:lblOffset val="100"/>
        <c:noMultiLvlLbl val="0"/>
      </c:catAx>
      <c:valAx>
        <c:axId val="1476987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6993376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'Эксп. апрокс. МНК-МНМ'!$T$50:$T$60</c:f>
              <c:strCache>
                <c:ptCount val="11"/>
                <c:pt idx="0">
                  <c:v>18,35628402</c:v>
                </c:pt>
                <c:pt idx="1">
                  <c:v>18,87252307</c:v>
                </c:pt>
                <c:pt idx="2">
                  <c:v>19,38876212</c:v>
                </c:pt>
                <c:pt idx="3">
                  <c:v>19,90500116</c:v>
                </c:pt>
                <c:pt idx="4">
                  <c:v>20,42124021</c:v>
                </c:pt>
                <c:pt idx="5">
                  <c:v>20,93747926</c:v>
                </c:pt>
                <c:pt idx="6">
                  <c:v>21,45371831</c:v>
                </c:pt>
                <c:pt idx="7">
                  <c:v>21,96995735</c:v>
                </c:pt>
                <c:pt idx="8">
                  <c:v>22,4861964</c:v>
                </c:pt>
                <c:pt idx="9">
                  <c:v>23,00244545</c:v>
                </c:pt>
                <c:pt idx="10">
                  <c:v>Еще</c:v>
                </c:pt>
              </c:strCache>
            </c:strRef>
          </c:cat>
          <c:val>
            <c:numRef>
              <c:f>'Эксп. апрокс. МНК-МНМ'!$U$50:$U$60</c:f>
              <c:numCache>
                <c:formatCode>General</c:formatCode>
                <c:ptCount val="11"/>
                <c:pt idx="0">
                  <c:v>1</c:v>
                </c:pt>
                <c:pt idx="1">
                  <c:v>7</c:v>
                </c:pt>
                <c:pt idx="2">
                  <c:v>17</c:v>
                </c:pt>
                <c:pt idx="3">
                  <c:v>16</c:v>
                </c:pt>
                <c:pt idx="4">
                  <c:v>14</c:v>
                </c:pt>
                <c:pt idx="5">
                  <c:v>20</c:v>
                </c:pt>
                <c:pt idx="6">
                  <c:v>12</c:v>
                </c:pt>
                <c:pt idx="7">
                  <c:v>11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B-4A9A-ADE9-39CE58822375}"/>
            </c:ext>
          </c:extLst>
        </c:ser>
        <c:ser>
          <c:idx val="1"/>
          <c:order val="1"/>
          <c:tx>
            <c:strRef>
              <c:f>'Эксп. апрокс. МНК-МНМ'!$U$63:$U$65</c:f>
              <c:strCache>
                <c:ptCount val="3"/>
                <c:pt idx="0">
                  <c:v>2</c:v>
                </c:pt>
                <c:pt idx="1">
                  <c:v>7</c:v>
                </c:pt>
                <c:pt idx="2">
                  <c:v>17</c:v>
                </c:pt>
              </c:strCache>
            </c:strRef>
          </c:tx>
          <c:invertIfNegative val="0"/>
          <c:val>
            <c:numRef>
              <c:f>'Эксп. апрокс. МНК-МНМ'!$U$63:$U$72</c:f>
              <c:numCache>
                <c:formatCode>General</c:formatCode>
                <c:ptCount val="10"/>
                <c:pt idx="0">
                  <c:v>2</c:v>
                </c:pt>
                <c:pt idx="1">
                  <c:v>7</c:v>
                </c:pt>
                <c:pt idx="2">
                  <c:v>17</c:v>
                </c:pt>
                <c:pt idx="3">
                  <c:v>18</c:v>
                </c:pt>
                <c:pt idx="4">
                  <c:v>17</c:v>
                </c:pt>
                <c:pt idx="5">
                  <c:v>17</c:v>
                </c:pt>
                <c:pt idx="6">
                  <c:v>13</c:v>
                </c:pt>
                <c:pt idx="7">
                  <c:v>7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FB-4A9A-ADE9-39CE58822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6982336"/>
        <c:axId val="1476980896"/>
      </c:barChart>
      <c:catAx>
        <c:axId val="1476982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6980896"/>
        <c:crosses val="autoZero"/>
        <c:auto val="1"/>
        <c:lblAlgn val="ctr"/>
        <c:lblOffset val="100"/>
        <c:noMultiLvlLbl val="0"/>
      </c:catAx>
      <c:valAx>
        <c:axId val="1476980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6982336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numRef>
              <c:f>'Эксп. апрокс. МНК-МНМ'!$T$92:$T$101</c:f>
              <c:numCache>
                <c:formatCode>General</c:formatCode>
                <c:ptCount val="10"/>
                <c:pt idx="0">
                  <c:v>18.448168252271476</c:v>
                </c:pt>
                <c:pt idx="1">
                  <c:v>18.959838780910285</c:v>
                </c:pt>
                <c:pt idx="2">
                  <c:v>19.471509309549095</c:v>
                </c:pt>
                <c:pt idx="3">
                  <c:v>19.983179838187905</c:v>
                </c:pt>
                <c:pt idx="4">
                  <c:v>20.494850366826714</c:v>
                </c:pt>
                <c:pt idx="5">
                  <c:v>21.006520895465524</c:v>
                </c:pt>
                <c:pt idx="6">
                  <c:v>21.518191424104334</c:v>
                </c:pt>
                <c:pt idx="7">
                  <c:v>22.029861952743143</c:v>
                </c:pt>
                <c:pt idx="8">
                  <c:v>22.541532481381953</c:v>
                </c:pt>
                <c:pt idx="9">
                  <c:v>23.053203010020763</c:v>
                </c:pt>
              </c:numCache>
            </c:numRef>
          </c:cat>
          <c:val>
            <c:numRef>
              <c:f>'Эксп. апрокс. МНК-МНМ'!$U$79:$U$88</c:f>
              <c:numCache>
                <c:formatCode>General</c:formatCode>
                <c:ptCount val="10"/>
                <c:pt idx="0">
                  <c:v>2</c:v>
                </c:pt>
                <c:pt idx="1">
                  <c:v>7</c:v>
                </c:pt>
                <c:pt idx="2">
                  <c:v>8</c:v>
                </c:pt>
                <c:pt idx="3">
                  <c:v>19</c:v>
                </c:pt>
                <c:pt idx="4">
                  <c:v>25</c:v>
                </c:pt>
                <c:pt idx="5">
                  <c:v>23</c:v>
                </c:pt>
                <c:pt idx="6">
                  <c:v>8</c:v>
                </c:pt>
                <c:pt idx="7">
                  <c:v>5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E-4396-89BA-3A7A8FE1CF33}"/>
            </c:ext>
          </c:extLst>
        </c:ser>
        <c:ser>
          <c:idx val="1"/>
          <c:order val="1"/>
          <c:tx>
            <c:strRef>
              <c:f>'Эксп. апрокс. МНК-МНМ'!$U$63:$U$65</c:f>
              <c:strCache>
                <c:ptCount val="3"/>
                <c:pt idx="0">
                  <c:v>2</c:v>
                </c:pt>
                <c:pt idx="1">
                  <c:v>7</c:v>
                </c:pt>
                <c:pt idx="2">
                  <c:v>17</c:v>
                </c:pt>
              </c:strCache>
            </c:strRef>
          </c:tx>
          <c:invertIfNegative val="0"/>
          <c:cat>
            <c:numRef>
              <c:f>'Эксп. апрокс. МНК-МНМ'!$T$92:$T$101</c:f>
              <c:numCache>
                <c:formatCode>General</c:formatCode>
                <c:ptCount val="10"/>
                <c:pt idx="0">
                  <c:v>18.448168252271476</c:v>
                </c:pt>
                <c:pt idx="1">
                  <c:v>18.959838780910285</c:v>
                </c:pt>
                <c:pt idx="2">
                  <c:v>19.471509309549095</c:v>
                </c:pt>
                <c:pt idx="3">
                  <c:v>19.983179838187905</c:v>
                </c:pt>
                <c:pt idx="4">
                  <c:v>20.494850366826714</c:v>
                </c:pt>
                <c:pt idx="5">
                  <c:v>21.006520895465524</c:v>
                </c:pt>
                <c:pt idx="6">
                  <c:v>21.518191424104334</c:v>
                </c:pt>
                <c:pt idx="7">
                  <c:v>22.029861952743143</c:v>
                </c:pt>
                <c:pt idx="8">
                  <c:v>22.541532481381953</c:v>
                </c:pt>
                <c:pt idx="9">
                  <c:v>23.053203010020763</c:v>
                </c:pt>
              </c:numCache>
            </c:numRef>
          </c:cat>
          <c:val>
            <c:numRef>
              <c:f>'Эксп. апрокс. МНК-МНМ'!$U$92:$U$101</c:f>
              <c:numCache>
                <c:formatCode>General</c:formatCode>
                <c:ptCount val="10"/>
                <c:pt idx="0">
                  <c:v>3</c:v>
                </c:pt>
                <c:pt idx="1">
                  <c:v>7</c:v>
                </c:pt>
                <c:pt idx="2">
                  <c:v>8</c:v>
                </c:pt>
                <c:pt idx="3">
                  <c:v>18</c:v>
                </c:pt>
                <c:pt idx="4">
                  <c:v>32</c:v>
                </c:pt>
                <c:pt idx="5">
                  <c:v>17</c:v>
                </c:pt>
                <c:pt idx="6">
                  <c:v>10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1E-4396-89BA-3A7A8FE1C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6982336"/>
        <c:axId val="1476980896"/>
      </c:barChart>
      <c:catAx>
        <c:axId val="1476982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6980896"/>
        <c:crosses val="autoZero"/>
        <c:auto val="1"/>
        <c:lblAlgn val="ctr"/>
        <c:lblOffset val="100"/>
        <c:noMultiLvlLbl val="0"/>
      </c:catAx>
      <c:valAx>
        <c:axId val="1476980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6982336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'Эксп. апрокс. МНК-МНМ'!$B$23:$B$126</c:f>
              <c:numCache>
                <c:formatCode>General</c:formatCode>
                <c:ptCount val="104"/>
                <c:pt idx="0">
                  <c:v>7.3854487746818442</c:v>
                </c:pt>
                <c:pt idx="1">
                  <c:v>6.0483718375194551</c:v>
                </c:pt>
                <c:pt idx="2">
                  <c:v>3.3983886226996676</c:v>
                </c:pt>
                <c:pt idx="3">
                  <c:v>4.3007599108859527</c:v>
                </c:pt>
                <c:pt idx="4">
                  <c:v>1.8239997558519243</c:v>
                </c:pt>
                <c:pt idx="5">
                  <c:v>5.29871517075106</c:v>
                </c:pt>
                <c:pt idx="6">
                  <c:v>10.532029175695058</c:v>
                </c:pt>
                <c:pt idx="7">
                  <c:v>2.4890591143528549</c:v>
                </c:pt>
                <c:pt idx="8">
                  <c:v>1.7683339945677052</c:v>
                </c:pt>
                <c:pt idx="9">
                  <c:v>6.1201513718070011</c:v>
                </c:pt>
                <c:pt idx="10">
                  <c:v>5.5678884243293556</c:v>
                </c:pt>
                <c:pt idx="11">
                  <c:v>2.500411999877926</c:v>
                </c:pt>
                <c:pt idx="12">
                  <c:v>5.5246742149113439</c:v>
                </c:pt>
                <c:pt idx="13">
                  <c:v>10.036164433729057</c:v>
                </c:pt>
                <c:pt idx="14">
                  <c:v>12.603747672963653</c:v>
                </c:pt>
                <c:pt idx="15">
                  <c:v>8.0336619159520239</c:v>
                </c:pt>
                <c:pt idx="16">
                  <c:v>8.0256050294503609</c:v>
                </c:pt>
                <c:pt idx="17">
                  <c:v>8.1592761009552301</c:v>
                </c:pt>
                <c:pt idx="18">
                  <c:v>4.5662709433271278</c:v>
                </c:pt>
                <c:pt idx="19">
                  <c:v>3.5170445875423444</c:v>
                </c:pt>
                <c:pt idx="20">
                  <c:v>4.3608203375347143</c:v>
                </c:pt>
                <c:pt idx="21">
                  <c:v>8.1032441175572991</c:v>
                </c:pt>
                <c:pt idx="22">
                  <c:v>9.9717093417157496</c:v>
                </c:pt>
                <c:pt idx="23">
                  <c:v>7.3297830133976252</c:v>
                </c:pt>
                <c:pt idx="24">
                  <c:v>5.6081728568376725</c:v>
                </c:pt>
                <c:pt idx="25">
                  <c:v>11.983367412335582</c:v>
                </c:pt>
                <c:pt idx="26">
                  <c:v>6.4266792809839171</c:v>
                </c:pt>
                <c:pt idx="27">
                  <c:v>8.7986999114963211</c:v>
                </c:pt>
                <c:pt idx="28">
                  <c:v>7.3484603411969349</c:v>
                </c:pt>
                <c:pt idx="29">
                  <c:v>4.3751029999694815</c:v>
                </c:pt>
                <c:pt idx="30">
                  <c:v>12.247047334208197</c:v>
                </c:pt>
                <c:pt idx="31">
                  <c:v>6.8416089358195746</c:v>
                </c:pt>
                <c:pt idx="32">
                  <c:v>1.2329172643208106</c:v>
                </c:pt>
                <c:pt idx="33">
                  <c:v>3.1134678182317574</c:v>
                </c:pt>
                <c:pt idx="34">
                  <c:v>1.5683767204809718</c:v>
                </c:pt>
                <c:pt idx="35">
                  <c:v>2.1345561082796718</c:v>
                </c:pt>
                <c:pt idx="36">
                  <c:v>5.9798883022553175</c:v>
                </c:pt>
                <c:pt idx="37">
                  <c:v>3.7975707266457106</c:v>
                </c:pt>
                <c:pt idx="38">
                  <c:v>6.3248695333719898</c:v>
                </c:pt>
                <c:pt idx="39">
                  <c:v>4.6790673543504138</c:v>
                </c:pt>
                <c:pt idx="40">
                  <c:v>4.1784417249061558</c:v>
                </c:pt>
                <c:pt idx="41">
                  <c:v>2.8856776635029147</c:v>
                </c:pt>
                <c:pt idx="42">
                  <c:v>6.4687948240607929</c:v>
                </c:pt>
                <c:pt idx="43">
                  <c:v>4.6395153660695208</c:v>
                </c:pt>
                <c:pt idx="44">
                  <c:v>1.2695394756920071</c:v>
                </c:pt>
                <c:pt idx="45">
                  <c:v>2.2488174077578051</c:v>
                </c:pt>
                <c:pt idx="46">
                  <c:v>7.8077028717917418</c:v>
                </c:pt>
                <c:pt idx="47">
                  <c:v>4.3329874568926048</c:v>
                </c:pt>
                <c:pt idx="48">
                  <c:v>9.0828882717368078</c:v>
                </c:pt>
                <c:pt idx="49">
                  <c:v>12.059907834101383</c:v>
                </c:pt>
                <c:pt idx="50">
                  <c:v>4.8347117526779995</c:v>
                </c:pt>
                <c:pt idx="51">
                  <c:v>11.238837855159154</c:v>
                </c:pt>
                <c:pt idx="52">
                  <c:v>2.302285836359752</c:v>
                </c:pt>
                <c:pt idx="53">
                  <c:v>2.8959318826868499</c:v>
                </c:pt>
                <c:pt idx="54">
                  <c:v>11.925870540482803</c:v>
                </c:pt>
                <c:pt idx="55">
                  <c:v>5.9084749900814844</c:v>
                </c:pt>
                <c:pt idx="56">
                  <c:v>10.239051484725486</c:v>
                </c:pt>
                <c:pt idx="57">
                  <c:v>3.9261146885586111</c:v>
                </c:pt>
                <c:pt idx="58">
                  <c:v>4.2758568071535388</c:v>
                </c:pt>
                <c:pt idx="59">
                  <c:v>12.650990325632497</c:v>
                </c:pt>
                <c:pt idx="60">
                  <c:v>8.2797631763664654</c:v>
                </c:pt>
                <c:pt idx="61">
                  <c:v>10.057771538438063</c:v>
                </c:pt>
                <c:pt idx="62">
                  <c:v>11.959929197058017</c:v>
                </c:pt>
                <c:pt idx="63">
                  <c:v>10.860530411694693</c:v>
                </c:pt>
                <c:pt idx="64">
                  <c:v>11.393383587145603</c:v>
                </c:pt>
                <c:pt idx="65">
                  <c:v>2.9193700979644155</c:v>
                </c:pt>
                <c:pt idx="66">
                  <c:v>4.4750816370128481</c:v>
                </c:pt>
                <c:pt idx="67">
                  <c:v>6.8745689260536516</c:v>
                </c:pt>
                <c:pt idx="68">
                  <c:v>10.066194647053438</c:v>
                </c:pt>
                <c:pt idx="69">
                  <c:v>12.56053346354564</c:v>
                </c:pt>
                <c:pt idx="70">
                  <c:v>1.1626026184881131</c:v>
                </c:pt>
                <c:pt idx="71">
                  <c:v>4.2260505996887119</c:v>
                </c:pt>
                <c:pt idx="72">
                  <c:v>7.0408337656788849</c:v>
                </c:pt>
                <c:pt idx="73">
                  <c:v>8.725089266640218</c:v>
                </c:pt>
                <c:pt idx="74">
                  <c:v>8.8613238929410691</c:v>
                </c:pt>
                <c:pt idx="75">
                  <c:v>12.171239356669819</c:v>
                </c:pt>
                <c:pt idx="76">
                  <c:v>11.237372966704307</c:v>
                </c:pt>
                <c:pt idx="77">
                  <c:v>4.5999633777886295</c:v>
                </c:pt>
                <c:pt idx="78">
                  <c:v>6.1820429090243234</c:v>
                </c:pt>
                <c:pt idx="79">
                  <c:v>10.362102114932707</c:v>
                </c:pt>
                <c:pt idx="80">
                  <c:v>7.2239448225348681</c:v>
                </c:pt>
                <c:pt idx="81">
                  <c:v>5.8886989959410387</c:v>
                </c:pt>
                <c:pt idx="82">
                  <c:v>7.7795037690359212</c:v>
                </c:pt>
                <c:pt idx="83">
                  <c:v>9.549455244605852</c:v>
                </c:pt>
                <c:pt idx="84">
                  <c:v>8.6254768517105624</c:v>
                </c:pt>
                <c:pt idx="85">
                  <c:v>8.1006805627613137</c:v>
                </c:pt>
                <c:pt idx="86">
                  <c:v>7.9805597094637903</c:v>
                </c:pt>
                <c:pt idx="87">
                  <c:v>6.1758171330912202</c:v>
                </c:pt>
                <c:pt idx="88">
                  <c:v>9.8277840510269474</c:v>
                </c:pt>
                <c:pt idx="89">
                  <c:v>10.926816614276559</c:v>
                </c:pt>
                <c:pt idx="90">
                  <c:v>5.1654103213599054</c:v>
                </c:pt>
                <c:pt idx="91">
                  <c:v>6.750053407391583</c:v>
                </c:pt>
                <c:pt idx="92">
                  <c:v>4.3677785576952424</c:v>
                </c:pt>
                <c:pt idx="93">
                  <c:v>12.573351237525559</c:v>
                </c:pt>
                <c:pt idx="94">
                  <c:v>2.258705404828028</c:v>
                </c:pt>
                <c:pt idx="95">
                  <c:v>3.8623920407727286</c:v>
                </c:pt>
                <c:pt idx="96">
                  <c:v>4.3769341105380413</c:v>
                </c:pt>
                <c:pt idx="97">
                  <c:v>12.935178685872982</c:v>
                </c:pt>
                <c:pt idx="98">
                  <c:v>4.7160557878353222</c:v>
                </c:pt>
                <c:pt idx="99">
                  <c:v>7.7304300057985174</c:v>
                </c:pt>
                <c:pt idx="100">
                  <c:v>1.4522843104342784</c:v>
                </c:pt>
                <c:pt idx="101">
                  <c:v>12.476302377391889</c:v>
                </c:pt>
                <c:pt idx="102">
                  <c:v>7.3770256660664693</c:v>
                </c:pt>
                <c:pt idx="103">
                  <c:v>3.137272255623035</c:v>
                </c:pt>
              </c:numCache>
            </c:numRef>
          </c:xVal>
          <c:yVal>
            <c:numRef>
              <c:f>'Эксп. апрокс. МНК-МНМ'!$G$23:$G$126</c:f>
              <c:numCache>
                <c:formatCode>General</c:formatCode>
                <c:ptCount val="104"/>
                <c:pt idx="0">
                  <c:v>16.733835699183061</c:v>
                </c:pt>
                <c:pt idx="1">
                  <c:v>15.342393717506102</c:v>
                </c:pt>
                <c:pt idx="2">
                  <c:v>10.775376969294882</c:v>
                </c:pt>
                <c:pt idx="3">
                  <c:v>12.674254442299095</c:v>
                </c:pt>
                <c:pt idx="4">
                  <c:v>6.261132946488015</c:v>
                </c:pt>
                <c:pt idx="5">
                  <c:v>14.336643600649293</c:v>
                </c:pt>
                <c:pt idx="6">
                  <c:v>18.657296587797475</c:v>
                </c:pt>
                <c:pt idx="7">
                  <c:v>8.3831974544906398</c:v>
                </c:pt>
                <c:pt idx="8">
                  <c:v>6.0672360188814913</c:v>
                </c:pt>
                <c:pt idx="9">
                  <c:v>15.42930181505222</c:v>
                </c:pt>
                <c:pt idx="10">
                  <c:v>14.719321374029718</c:v>
                </c:pt>
                <c:pt idx="11">
                  <c:v>8.4164881406045513</c:v>
                </c:pt>
                <c:pt idx="12">
                  <c:v>14.659582240868971</c:v>
                </c:pt>
                <c:pt idx="13">
                  <c:v>18.443890045109043</c:v>
                </c:pt>
                <c:pt idx="14">
                  <c:v>19.313768219594056</c:v>
                </c:pt>
                <c:pt idx="15">
                  <c:v>17.260203546672262</c:v>
                </c:pt>
                <c:pt idx="16">
                  <c:v>17.254163762381655</c:v>
                </c:pt>
                <c:pt idx="17">
                  <c:v>17.352834724360505</c:v>
                </c:pt>
                <c:pt idx="18">
                  <c:v>13.157182063057203</c:v>
                </c:pt>
                <c:pt idx="19">
                  <c:v>11.049825002552112</c:v>
                </c:pt>
                <c:pt idx="20">
                  <c:v>12.786277744625522</c:v>
                </c:pt>
                <c:pt idx="21">
                  <c:v>17.311869328708678</c:v>
                </c:pt>
                <c:pt idx="22">
                  <c:v>18.414185717240787</c:v>
                </c:pt>
                <c:pt idx="23">
                  <c:v>16.684590135804434</c:v>
                </c:pt>
                <c:pt idx="24">
                  <c:v>14.774440355216583</c:v>
                </c:pt>
                <c:pt idx="25">
                  <c:v>19.150989985549227</c:v>
                </c:pt>
                <c:pt idx="26">
                  <c:v>15.783611796618828</c:v>
                </c:pt>
                <c:pt idx="27">
                  <c:v>17.782371926528306</c:v>
                </c:pt>
                <c:pt idx="28">
                  <c:v>16.701188679497104</c:v>
                </c:pt>
                <c:pt idx="29">
                  <c:v>12.812674294957523</c:v>
                </c:pt>
                <c:pt idx="30">
                  <c:v>19.223226464166387</c:v>
                </c:pt>
                <c:pt idx="31">
                  <c:v>16.222513673308605</c:v>
                </c:pt>
                <c:pt idx="32">
                  <c:v>4.0599186527222528</c:v>
                </c:pt>
                <c:pt idx="33">
                  <c:v>10.082646208822611</c:v>
                </c:pt>
                <c:pt idx="34">
                  <c:v>5.3483843167078486</c:v>
                </c:pt>
                <c:pt idx="35">
                  <c:v>7.2953903603063761</c:v>
                </c:pt>
                <c:pt idx="36">
                  <c:v>15.258030920839685</c:v>
                </c:pt>
                <c:pt idx="37">
                  <c:v>11.667633704983915</c:v>
                </c:pt>
                <c:pt idx="38">
                  <c:v>15.668887322274887</c:v>
                </c:pt>
                <c:pt idx="39">
                  <c:v>13.35297068195336</c:v>
                </c:pt>
                <c:pt idx="40">
                  <c:v>12.440917858936411</c:v>
                </c:pt>
                <c:pt idx="41">
                  <c:v>9.4927453259613124</c:v>
                </c:pt>
                <c:pt idx="42">
                  <c:v>15.830234559932652</c:v>
                </c:pt>
                <c:pt idx="43">
                  <c:v>13.284936244987509</c:v>
                </c:pt>
                <c:pt idx="44">
                  <c:v>4.2058156810241591</c:v>
                </c:pt>
                <c:pt idx="45">
                  <c:v>7.6564368191334164</c:v>
                </c:pt>
                <c:pt idx="46">
                  <c:v>17.086183118036452</c:v>
                </c:pt>
                <c:pt idx="47">
                  <c:v>12.734570611913796</c:v>
                </c:pt>
                <c:pt idx="48">
                  <c:v>17.95260104919058</c:v>
                </c:pt>
                <c:pt idx="49">
                  <c:v>19.17244429414783</c:v>
                </c:pt>
                <c:pt idx="50">
                  <c:v>13.614351434993598</c:v>
                </c:pt>
                <c:pt idx="51">
                  <c:v>18.919759598513345</c:v>
                </c:pt>
                <c:pt idx="52">
                  <c:v>7.8219279272738031</c:v>
                </c:pt>
                <c:pt idx="53">
                  <c:v>9.5200181732377747</c:v>
                </c:pt>
                <c:pt idx="54">
                  <c:v>19.134605318086852</c:v>
                </c:pt>
                <c:pt idx="55">
                  <c:v>15.168529377433631</c:v>
                </c:pt>
                <c:pt idx="56">
                  <c:v>18.534369837443062</c:v>
                </c:pt>
                <c:pt idx="57">
                  <c:v>11.936771112609188</c:v>
                </c:pt>
                <c:pt idx="58">
                  <c:v>12.627317295564151</c:v>
                </c:pt>
                <c:pt idx="59">
                  <c:v>19.325174043954625</c:v>
                </c:pt>
                <c:pt idx="60">
                  <c:v>17.439030962103011</c:v>
                </c:pt>
                <c:pt idx="61">
                  <c:v>18.453742618929617</c:v>
                </c:pt>
                <c:pt idx="62">
                  <c:v>19.144338902181879</c:v>
                </c:pt>
                <c:pt idx="63">
                  <c:v>18.78497480140279</c:v>
                </c:pt>
                <c:pt idx="64">
                  <c:v>18.971307170188499</c:v>
                </c:pt>
                <c:pt idx="65">
                  <c:v>9.5820979256197791</c:v>
                </c:pt>
                <c:pt idx="66">
                  <c:v>12.994871483862028</c:v>
                </c:pt>
                <c:pt idx="67">
                  <c:v>16.255491708089256</c:v>
                </c:pt>
                <c:pt idx="68">
                  <c:v>18.457569263474763</c:v>
                </c:pt>
                <c:pt idx="69">
                  <c:v>19.303218059121718</c:v>
                </c:pt>
                <c:pt idx="70">
                  <c:v>3.7760783940298701</c:v>
                </c:pt>
                <c:pt idx="71">
                  <c:v>12.532574425021306</c:v>
                </c:pt>
                <c:pt idx="72">
                  <c:v>16.417824577045998</c:v>
                </c:pt>
                <c:pt idx="73">
                  <c:v>17.736300485825119</c:v>
                </c:pt>
                <c:pt idx="74">
                  <c:v>17.820914443451876</c:v>
                </c:pt>
                <c:pt idx="75">
                  <c:v>19.202936979987392</c:v>
                </c:pt>
                <c:pt idx="76">
                  <c:v>18.91926154285099</c:v>
                </c:pt>
                <c:pt idx="77">
                  <c:v>13.216235448266577</c:v>
                </c:pt>
                <c:pt idx="78">
                  <c:v>15.503013522979145</c:v>
                </c:pt>
                <c:pt idx="79">
                  <c:v>18.587082029131579</c:v>
                </c:pt>
                <c:pt idx="80">
                  <c:v>16.58907491133499</c:v>
                </c:pt>
                <c:pt idx="81">
                  <c:v>15.143464580979671</c:v>
                </c:pt>
                <c:pt idx="82">
                  <c:v>17.063777807557532</c:v>
                </c:pt>
                <c:pt idx="83">
                  <c:v>18.207470572562997</c:v>
                </c:pt>
                <c:pt idx="84">
                  <c:v>17.672609344904643</c:v>
                </c:pt>
                <c:pt idx="85">
                  <c:v>17.309981529239195</c:v>
                </c:pt>
                <c:pt idx="86">
                  <c:v>17.220174041358273</c:v>
                </c:pt>
                <c:pt idx="87">
                  <c:v>15.495649489380195</c:v>
                </c:pt>
                <c:pt idx="88">
                  <c:v>18.346129379817651</c:v>
                </c:pt>
                <c:pt idx="89">
                  <c:v>18.809508525657463</c:v>
                </c:pt>
                <c:pt idx="90">
                  <c:v>14.137519223121526</c:v>
                </c:pt>
                <c:pt idx="91">
                  <c:v>16.129490037383388</c:v>
                </c:pt>
                <c:pt idx="92">
                  <c:v>12.799149208426748</c:v>
                </c:pt>
                <c:pt idx="93">
                  <c:v>19.306359072543021</c:v>
                </c:pt>
                <c:pt idx="94">
                  <c:v>7.6872059051474082</c:v>
                </c:pt>
                <c:pt idx="95">
                  <c:v>11.804418106291331</c:v>
                </c:pt>
                <c:pt idx="96">
                  <c:v>12.816051753894939</c:v>
                </c:pt>
                <c:pt idx="97">
                  <c:v>19.391053436936009</c:v>
                </c:pt>
                <c:pt idx="98">
                  <c:v>13.415998228095159</c:v>
                </c:pt>
                <c:pt idx="99">
                  <c:v>17.02441357352274</c:v>
                </c:pt>
                <c:pt idx="100">
                  <c:v>4.9144848504993632</c:v>
                </c:pt>
                <c:pt idx="101">
                  <c:v>19.282328444051888</c:v>
                </c:pt>
                <c:pt idx="102">
                  <c:v>16.726427374594838</c:v>
                </c:pt>
                <c:pt idx="103">
                  <c:v>10.14240232989223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35-4084-A61D-0A30273F0E3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'Эксп. апрокс. МНК-МНМ'!$B$23:$B$126</c:f>
              <c:numCache>
                <c:formatCode>General</c:formatCode>
                <c:ptCount val="104"/>
                <c:pt idx="0">
                  <c:v>7.3854487746818442</c:v>
                </c:pt>
                <c:pt idx="1">
                  <c:v>6.0483718375194551</c:v>
                </c:pt>
                <c:pt idx="2">
                  <c:v>3.3983886226996676</c:v>
                </c:pt>
                <c:pt idx="3">
                  <c:v>4.3007599108859527</c:v>
                </c:pt>
                <c:pt idx="4">
                  <c:v>1.8239997558519243</c:v>
                </c:pt>
                <c:pt idx="5">
                  <c:v>5.29871517075106</c:v>
                </c:pt>
                <c:pt idx="6">
                  <c:v>10.532029175695058</c:v>
                </c:pt>
                <c:pt idx="7">
                  <c:v>2.4890591143528549</c:v>
                </c:pt>
                <c:pt idx="8">
                  <c:v>1.7683339945677052</c:v>
                </c:pt>
                <c:pt idx="9">
                  <c:v>6.1201513718070011</c:v>
                </c:pt>
                <c:pt idx="10">
                  <c:v>5.5678884243293556</c:v>
                </c:pt>
                <c:pt idx="11">
                  <c:v>2.500411999877926</c:v>
                </c:pt>
                <c:pt idx="12">
                  <c:v>5.5246742149113439</c:v>
                </c:pt>
                <c:pt idx="13">
                  <c:v>10.036164433729057</c:v>
                </c:pt>
                <c:pt idx="14">
                  <c:v>12.603747672963653</c:v>
                </c:pt>
                <c:pt idx="15">
                  <c:v>8.0336619159520239</c:v>
                </c:pt>
                <c:pt idx="16">
                  <c:v>8.0256050294503609</c:v>
                </c:pt>
                <c:pt idx="17">
                  <c:v>8.1592761009552301</c:v>
                </c:pt>
                <c:pt idx="18">
                  <c:v>4.5662709433271278</c:v>
                </c:pt>
                <c:pt idx="19">
                  <c:v>3.5170445875423444</c:v>
                </c:pt>
                <c:pt idx="20">
                  <c:v>4.3608203375347143</c:v>
                </c:pt>
                <c:pt idx="21">
                  <c:v>8.1032441175572991</c:v>
                </c:pt>
                <c:pt idx="22">
                  <c:v>9.9717093417157496</c:v>
                </c:pt>
                <c:pt idx="23">
                  <c:v>7.3297830133976252</c:v>
                </c:pt>
                <c:pt idx="24">
                  <c:v>5.6081728568376725</c:v>
                </c:pt>
                <c:pt idx="25">
                  <c:v>11.983367412335582</c:v>
                </c:pt>
                <c:pt idx="26">
                  <c:v>6.4266792809839171</c:v>
                </c:pt>
                <c:pt idx="27">
                  <c:v>8.7986999114963211</c:v>
                </c:pt>
                <c:pt idx="28">
                  <c:v>7.3484603411969349</c:v>
                </c:pt>
                <c:pt idx="29">
                  <c:v>4.3751029999694815</c:v>
                </c:pt>
                <c:pt idx="30">
                  <c:v>12.247047334208197</c:v>
                </c:pt>
                <c:pt idx="31">
                  <c:v>6.8416089358195746</c:v>
                </c:pt>
                <c:pt idx="32">
                  <c:v>1.2329172643208106</c:v>
                </c:pt>
                <c:pt idx="33">
                  <c:v>3.1134678182317574</c:v>
                </c:pt>
                <c:pt idx="34">
                  <c:v>1.5683767204809718</c:v>
                </c:pt>
                <c:pt idx="35">
                  <c:v>2.1345561082796718</c:v>
                </c:pt>
                <c:pt idx="36">
                  <c:v>5.9798883022553175</c:v>
                </c:pt>
                <c:pt idx="37">
                  <c:v>3.7975707266457106</c:v>
                </c:pt>
                <c:pt idx="38">
                  <c:v>6.3248695333719898</c:v>
                </c:pt>
                <c:pt idx="39">
                  <c:v>4.6790673543504138</c:v>
                </c:pt>
                <c:pt idx="40">
                  <c:v>4.1784417249061558</c:v>
                </c:pt>
                <c:pt idx="41">
                  <c:v>2.8856776635029147</c:v>
                </c:pt>
                <c:pt idx="42">
                  <c:v>6.4687948240607929</c:v>
                </c:pt>
                <c:pt idx="43">
                  <c:v>4.6395153660695208</c:v>
                </c:pt>
                <c:pt idx="44">
                  <c:v>1.2695394756920071</c:v>
                </c:pt>
                <c:pt idx="45">
                  <c:v>2.2488174077578051</c:v>
                </c:pt>
                <c:pt idx="46">
                  <c:v>7.8077028717917418</c:v>
                </c:pt>
                <c:pt idx="47">
                  <c:v>4.3329874568926048</c:v>
                </c:pt>
                <c:pt idx="48">
                  <c:v>9.0828882717368078</c:v>
                </c:pt>
                <c:pt idx="49">
                  <c:v>12.059907834101383</c:v>
                </c:pt>
                <c:pt idx="50">
                  <c:v>4.8347117526779995</c:v>
                </c:pt>
                <c:pt idx="51">
                  <c:v>11.238837855159154</c:v>
                </c:pt>
                <c:pt idx="52">
                  <c:v>2.302285836359752</c:v>
                </c:pt>
                <c:pt idx="53">
                  <c:v>2.8959318826868499</c:v>
                </c:pt>
                <c:pt idx="54">
                  <c:v>11.925870540482803</c:v>
                </c:pt>
                <c:pt idx="55">
                  <c:v>5.9084749900814844</c:v>
                </c:pt>
                <c:pt idx="56">
                  <c:v>10.239051484725486</c:v>
                </c:pt>
                <c:pt idx="57">
                  <c:v>3.9261146885586111</c:v>
                </c:pt>
                <c:pt idx="58">
                  <c:v>4.2758568071535388</c:v>
                </c:pt>
                <c:pt idx="59">
                  <c:v>12.650990325632497</c:v>
                </c:pt>
                <c:pt idx="60">
                  <c:v>8.2797631763664654</c:v>
                </c:pt>
                <c:pt idx="61">
                  <c:v>10.057771538438063</c:v>
                </c:pt>
                <c:pt idx="62">
                  <c:v>11.959929197058017</c:v>
                </c:pt>
                <c:pt idx="63">
                  <c:v>10.860530411694693</c:v>
                </c:pt>
                <c:pt idx="64">
                  <c:v>11.393383587145603</c:v>
                </c:pt>
                <c:pt idx="65">
                  <c:v>2.9193700979644155</c:v>
                </c:pt>
                <c:pt idx="66">
                  <c:v>4.4750816370128481</c:v>
                </c:pt>
                <c:pt idx="67">
                  <c:v>6.8745689260536516</c:v>
                </c:pt>
                <c:pt idx="68">
                  <c:v>10.066194647053438</c:v>
                </c:pt>
                <c:pt idx="69">
                  <c:v>12.56053346354564</c:v>
                </c:pt>
                <c:pt idx="70">
                  <c:v>1.1626026184881131</c:v>
                </c:pt>
                <c:pt idx="71">
                  <c:v>4.2260505996887119</c:v>
                </c:pt>
                <c:pt idx="72">
                  <c:v>7.0408337656788849</c:v>
                </c:pt>
                <c:pt idx="73">
                  <c:v>8.725089266640218</c:v>
                </c:pt>
                <c:pt idx="74">
                  <c:v>8.8613238929410691</c:v>
                </c:pt>
                <c:pt idx="75">
                  <c:v>12.171239356669819</c:v>
                </c:pt>
                <c:pt idx="76">
                  <c:v>11.237372966704307</c:v>
                </c:pt>
                <c:pt idx="77">
                  <c:v>4.5999633777886295</c:v>
                </c:pt>
                <c:pt idx="78">
                  <c:v>6.1820429090243234</c:v>
                </c:pt>
                <c:pt idx="79">
                  <c:v>10.362102114932707</c:v>
                </c:pt>
                <c:pt idx="80">
                  <c:v>7.2239448225348681</c:v>
                </c:pt>
                <c:pt idx="81">
                  <c:v>5.8886989959410387</c:v>
                </c:pt>
                <c:pt idx="82">
                  <c:v>7.7795037690359212</c:v>
                </c:pt>
                <c:pt idx="83">
                  <c:v>9.549455244605852</c:v>
                </c:pt>
                <c:pt idx="84">
                  <c:v>8.6254768517105624</c:v>
                </c:pt>
                <c:pt idx="85">
                  <c:v>8.1006805627613137</c:v>
                </c:pt>
                <c:pt idx="86">
                  <c:v>7.9805597094637903</c:v>
                </c:pt>
                <c:pt idx="87">
                  <c:v>6.1758171330912202</c:v>
                </c:pt>
                <c:pt idx="88">
                  <c:v>9.8277840510269474</c:v>
                </c:pt>
                <c:pt idx="89">
                  <c:v>10.926816614276559</c:v>
                </c:pt>
                <c:pt idx="90">
                  <c:v>5.1654103213599054</c:v>
                </c:pt>
                <c:pt idx="91">
                  <c:v>6.750053407391583</c:v>
                </c:pt>
                <c:pt idx="92">
                  <c:v>4.3677785576952424</c:v>
                </c:pt>
                <c:pt idx="93">
                  <c:v>12.573351237525559</c:v>
                </c:pt>
                <c:pt idx="94">
                  <c:v>2.258705404828028</c:v>
                </c:pt>
                <c:pt idx="95">
                  <c:v>3.8623920407727286</c:v>
                </c:pt>
                <c:pt idx="96">
                  <c:v>4.3769341105380413</c:v>
                </c:pt>
                <c:pt idx="97">
                  <c:v>12.935178685872982</c:v>
                </c:pt>
                <c:pt idx="98">
                  <c:v>4.7160557878353222</c:v>
                </c:pt>
                <c:pt idx="99">
                  <c:v>7.7304300057985174</c:v>
                </c:pt>
                <c:pt idx="100">
                  <c:v>1.4522843104342784</c:v>
                </c:pt>
                <c:pt idx="101">
                  <c:v>12.476302377391889</c:v>
                </c:pt>
                <c:pt idx="102">
                  <c:v>7.3770256660664693</c:v>
                </c:pt>
                <c:pt idx="103">
                  <c:v>3.137272255623035</c:v>
                </c:pt>
              </c:numCache>
            </c:numRef>
          </c:xVal>
          <c:yVal>
            <c:numRef>
              <c:f>'Эксп. апрокс. МНК-МНМ'!$E$23:$E$126</c:f>
              <c:numCache>
                <c:formatCode>General</c:formatCode>
                <c:ptCount val="104"/>
                <c:pt idx="0">
                  <c:v>16.465446531026046</c:v>
                </c:pt>
                <c:pt idx="1">
                  <c:v>16.22713242761035</c:v>
                </c:pt>
                <c:pt idx="2">
                  <c:v>10.837233212519289</c:v>
                </c:pt>
                <c:pt idx="3">
                  <c:v>12.957968886564151</c:v>
                </c:pt>
                <c:pt idx="4">
                  <c:v>6.5255279311653807</c:v>
                </c:pt>
                <c:pt idx="5">
                  <c:v>14.626130667011134</c:v>
                </c:pt>
                <c:pt idx="6">
                  <c:v>17.948268700605198</c:v>
                </c:pt>
                <c:pt idx="7">
                  <c:v>8.5076173299289337</c:v>
                </c:pt>
                <c:pt idx="8">
                  <c:v>6.5191590421143477</c:v>
                </c:pt>
                <c:pt idx="9">
                  <c:v>14.669592034472721</c:v>
                </c:pt>
                <c:pt idx="10">
                  <c:v>12.85019328557344</c:v>
                </c:pt>
                <c:pt idx="11">
                  <c:v>7.0812058212628664</c:v>
                </c:pt>
                <c:pt idx="12">
                  <c:v>14.513301928132327</c:v>
                </c:pt>
                <c:pt idx="13">
                  <c:v>17.54405785173779</c:v>
                </c:pt>
                <c:pt idx="14">
                  <c:v>19.850977314135093</c:v>
                </c:pt>
                <c:pt idx="15">
                  <c:v>17.819549434013883</c:v>
                </c:pt>
                <c:pt idx="16">
                  <c:v>18.170104781402483</c:v>
                </c:pt>
                <c:pt idx="17">
                  <c:v>17.517335251702665</c:v>
                </c:pt>
                <c:pt idx="18">
                  <c:v>14.381954841567072</c:v>
                </c:pt>
                <c:pt idx="19">
                  <c:v>11.566605418559632</c:v>
                </c:pt>
                <c:pt idx="20">
                  <c:v>14.307125256286405</c:v>
                </c:pt>
                <c:pt idx="21">
                  <c:v>16.027156610709792</c:v>
                </c:pt>
                <c:pt idx="22">
                  <c:v>19.510151505086622</c:v>
                </c:pt>
                <c:pt idx="23">
                  <c:v>16.272380699729361</c:v>
                </c:pt>
                <c:pt idx="24">
                  <c:v>13.42642280589723</c:v>
                </c:pt>
                <c:pt idx="25">
                  <c:v>18.251838111960105</c:v>
                </c:pt>
                <c:pt idx="26">
                  <c:v>15.09514481042814</c:v>
                </c:pt>
                <c:pt idx="27">
                  <c:v>18.593849847041572</c:v>
                </c:pt>
                <c:pt idx="28">
                  <c:v>17.323685043382284</c:v>
                </c:pt>
                <c:pt idx="29">
                  <c:v>13.394554005729933</c:v>
                </c:pt>
                <c:pt idx="30">
                  <c:v>17.238422377504847</c:v>
                </c:pt>
                <c:pt idx="31">
                  <c:v>16.20876880749725</c:v>
                </c:pt>
                <c:pt idx="32">
                  <c:v>4.479073359816522</c:v>
                </c:pt>
                <c:pt idx="33">
                  <c:v>11.370601077985345</c:v>
                </c:pt>
                <c:pt idx="34">
                  <c:v>4.7443055685945055</c:v>
                </c:pt>
                <c:pt idx="35">
                  <c:v>7.815828763888943</c:v>
                </c:pt>
                <c:pt idx="36">
                  <c:v>14.987735620417082</c:v>
                </c:pt>
                <c:pt idx="37">
                  <c:v>11.891188705188634</c:v>
                </c:pt>
                <c:pt idx="38">
                  <c:v>15.50688074772679</c:v>
                </c:pt>
                <c:pt idx="39">
                  <c:v>13.260872649212988</c:v>
                </c:pt>
                <c:pt idx="40">
                  <c:v>12.908732196188923</c:v>
                </c:pt>
                <c:pt idx="41">
                  <c:v>11.847816262700107</c:v>
                </c:pt>
                <c:pt idx="42">
                  <c:v>16.722878477025262</c:v>
                </c:pt>
                <c:pt idx="43">
                  <c:v>12.761363172908927</c:v>
                </c:pt>
                <c:pt idx="44">
                  <c:v>3.6261141612443515</c:v>
                </c:pt>
                <c:pt idx="45">
                  <c:v>6.1696423331313888</c:v>
                </c:pt>
                <c:pt idx="46">
                  <c:v>17.109457634503073</c:v>
                </c:pt>
                <c:pt idx="47">
                  <c:v>12.465184148695803</c:v>
                </c:pt>
                <c:pt idx="48">
                  <c:v>17.21232641964075</c:v>
                </c:pt>
                <c:pt idx="49">
                  <c:v>19.837227176427053</c:v>
                </c:pt>
                <c:pt idx="50">
                  <c:v>13.643490061202662</c:v>
                </c:pt>
                <c:pt idx="51">
                  <c:v>19.840793248494744</c:v>
                </c:pt>
                <c:pt idx="52">
                  <c:v>7.1462383270284882</c:v>
                </c:pt>
                <c:pt idx="53">
                  <c:v>10.203500642540128</c:v>
                </c:pt>
                <c:pt idx="54">
                  <c:v>20.049654729123905</c:v>
                </c:pt>
                <c:pt idx="55">
                  <c:v>12.685674120841794</c:v>
                </c:pt>
                <c:pt idx="56">
                  <c:v>18.986254186817757</c:v>
                </c:pt>
                <c:pt idx="57">
                  <c:v>11.895991833725759</c:v>
                </c:pt>
                <c:pt idx="58">
                  <c:v>13.815548835888926</c:v>
                </c:pt>
                <c:pt idx="59">
                  <c:v>19.408108269517118</c:v>
                </c:pt>
                <c:pt idx="60">
                  <c:v>16.169287362552705</c:v>
                </c:pt>
                <c:pt idx="61">
                  <c:v>17.269023432865211</c:v>
                </c:pt>
                <c:pt idx="62">
                  <c:v>18.833620284246713</c:v>
                </c:pt>
                <c:pt idx="63">
                  <c:v>19.601724456120007</c:v>
                </c:pt>
                <c:pt idx="64">
                  <c:v>16.771173003600762</c:v>
                </c:pt>
                <c:pt idx="65">
                  <c:v>8.280036660434213</c:v>
                </c:pt>
                <c:pt idx="66">
                  <c:v>11.653878911795703</c:v>
                </c:pt>
                <c:pt idx="67">
                  <c:v>16.52388540206546</c:v>
                </c:pt>
                <c:pt idx="68">
                  <c:v>18.209856290562005</c:v>
                </c:pt>
                <c:pt idx="69">
                  <c:v>19.30649931795605</c:v>
                </c:pt>
                <c:pt idx="70">
                  <c:v>2.9612333992879361</c:v>
                </c:pt>
                <c:pt idx="71">
                  <c:v>13.315513582073486</c:v>
                </c:pt>
                <c:pt idx="72">
                  <c:v>15.525013273316089</c:v>
                </c:pt>
                <c:pt idx="73">
                  <c:v>18.146080478758531</c:v>
                </c:pt>
                <c:pt idx="74">
                  <c:v>17.973194461298014</c:v>
                </c:pt>
                <c:pt idx="75">
                  <c:v>18.947791218511945</c:v>
                </c:pt>
                <c:pt idx="76">
                  <c:v>21.217482277665219</c:v>
                </c:pt>
                <c:pt idx="77">
                  <c:v>13.982600490277786</c:v>
                </c:pt>
                <c:pt idx="78">
                  <c:v>14.61230619491911</c:v>
                </c:pt>
                <c:pt idx="79">
                  <c:v>19.634988312496858</c:v>
                </c:pt>
                <c:pt idx="80">
                  <c:v>17.894040150295371</c:v>
                </c:pt>
                <c:pt idx="81">
                  <c:v>15.040516541462932</c:v>
                </c:pt>
                <c:pt idx="82">
                  <c:v>16.544467684041742</c:v>
                </c:pt>
                <c:pt idx="83">
                  <c:v>19.872013948802586</c:v>
                </c:pt>
                <c:pt idx="84">
                  <c:v>19.095947761833781</c:v>
                </c:pt>
                <c:pt idx="85">
                  <c:v>16.996685675828065</c:v>
                </c:pt>
                <c:pt idx="86">
                  <c:v>15.314617080176632</c:v>
                </c:pt>
                <c:pt idx="87">
                  <c:v>14.279116486928061</c:v>
                </c:pt>
                <c:pt idx="88">
                  <c:v>17.966037840426672</c:v>
                </c:pt>
                <c:pt idx="89">
                  <c:v>18.071441012440289</c:v>
                </c:pt>
                <c:pt idx="90">
                  <c:v>15.108957838550598</c:v>
                </c:pt>
                <c:pt idx="91">
                  <c:v>16.318751885894589</c:v>
                </c:pt>
                <c:pt idx="92">
                  <c:v>12.62739857634921</c:v>
                </c:pt>
                <c:pt idx="93">
                  <c:v>20.007637155785282</c:v>
                </c:pt>
                <c:pt idx="94">
                  <c:v>8.4835191433103478</c:v>
                </c:pt>
                <c:pt idx="95">
                  <c:v>11.261317648617045</c:v>
                </c:pt>
                <c:pt idx="96">
                  <c:v>11.701445177662809</c:v>
                </c:pt>
                <c:pt idx="97">
                  <c:v>19.809092327949841</c:v>
                </c:pt>
                <c:pt idx="98">
                  <c:v>13.959839848142909</c:v>
                </c:pt>
                <c:pt idx="99">
                  <c:v>17.753893727375928</c:v>
                </c:pt>
                <c:pt idx="100">
                  <c:v>5.7353750298080781</c:v>
                </c:pt>
                <c:pt idx="101">
                  <c:v>18.701897959527063</c:v>
                </c:pt>
                <c:pt idx="102">
                  <c:v>18.43257304601763</c:v>
                </c:pt>
                <c:pt idx="103">
                  <c:v>9.1303669197864998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35-4084-A61D-0A30273F0E39}"/>
            </c:ext>
          </c:extLst>
        </c:ser>
        <c:ser>
          <c:idx val="2"/>
          <c:order val="2"/>
          <c:tx>
            <c:strRef>
              <c:f>'Эксп. апрокс. МНК-МНМ'!$D$23:$D$126</c:f>
              <c:strCache>
                <c:ptCount val="104"/>
                <c:pt idx="0">
                  <c:v>16,68044537</c:v>
                </c:pt>
                <c:pt idx="1">
                  <c:v>15,30891187</c:v>
                </c:pt>
                <c:pt idx="2">
                  <c:v>10,91374221</c:v>
                </c:pt>
                <c:pt idx="3">
                  <c:v>12,72558766</c:v>
                </c:pt>
                <c:pt idx="4">
                  <c:v>6,668470658</c:v>
                </c:pt>
                <c:pt idx="5">
                  <c:v>14,32901368</c:v>
                </c:pt>
                <c:pt idx="6">
                  <c:v>18,62195636</c:v>
                </c:pt>
                <c:pt idx="7">
                  <c:v>8,654689685</c:v>
                </c:pt>
                <c:pt idx="8">
                  <c:v>6,487712966</c:v>
                </c:pt>
                <c:pt idx="9">
                  <c:v>15,39399479</c:v>
                </c:pt>
                <c:pt idx="10">
                  <c:v>14,70087572</c:v>
                </c:pt>
                <c:pt idx="11">
                  <c:v>8,685972928</c:v>
                </c:pt>
                <c:pt idx="12">
                  <c:v>14,64274917</c:v>
                </c:pt>
                <c:pt idx="13">
                  <c:v>18,40278441</c:v>
                </c:pt>
                <c:pt idx="14">
                  <c:v>19,30548466</c:v>
                </c:pt>
                <c:pt idx="15">
                  <c:v>17,20535799</c:v>
                </c:pt>
                <c:pt idx="16">
                  <c:v>17,19931228</c:v>
                </c:pt>
                <c:pt idx="17">
                  <c:v>17,29815052</c:v>
                </c:pt>
                <c:pt idx="18">
                  <c:v>13,18954153</c:v>
                </c:pt>
                <c:pt idx="19">
                  <c:v>11,17449044</c:v>
                </c:pt>
                <c:pt idx="20">
                  <c:v>12,83308521</c:v>
                </c:pt>
                <c:pt idx="21">
                  <c:v>17,25709735</c:v>
                </c:pt>
                <c:pt idx="22">
                  <c:v>18,3723733</c:v>
                </c:pt>
                <c:pt idx="23">
                  <c:v>16,63152816</c:v>
                </c:pt>
                <c:pt idx="24">
                  <c:v>14,75453241</c:v>
                </c:pt>
                <c:pt idx="25">
                  <c:v>19,13443553</c:v>
                </c:pt>
                <c:pt idx="26">
                  <c:v>15,74160649</c:v>
                </c:pt>
                <c:pt idx="27">
                  <c:v>17,73027983</c:v>
                </c:pt>
                <c:pt idx="28">
                  <c:v>16,64801256</c:v>
                </c:pt>
                <c:pt idx="29">
                  <c:v>12,8584261</c:v>
                </c:pt>
                <c:pt idx="30">
                  <c:v>19,2101935</c:v>
                </c:pt>
                <c:pt idx="31">
                  <c:v>16,17397975</c:v>
                </c:pt>
                <c:pt idx="32">
                  <c:v>4,622842453</c:v>
                </c:pt>
                <c:pt idx="33">
                  <c:v>10,25711519</c:v>
                </c:pt>
                <c:pt idx="34">
                  <c:v>5,818556126</c:v>
                </c:pt>
                <c:pt idx="35">
                  <c:v>7,634639259</c:v>
                </c:pt>
                <c:pt idx="36">
                  <c:v>15,22638687</c:v>
                </c:pt>
                <c:pt idx="37">
                  <c:v>11,7627896</c:v>
                </c:pt>
                <c:pt idx="38">
                  <c:v>15,62891716</c:v>
                </c:pt>
                <c:pt idx="39">
                  <c:v>13,37804685</c:v>
                </c:pt>
                <c:pt idx="40">
                  <c:v>12,50191142</c:v>
                </c:pt>
                <c:pt idx="41">
                  <c:v>9,699588765</c:v>
                </c:pt>
                <c:pt idx="42">
                  <c:v>15,78743991</c:v>
                </c:pt>
                <c:pt idx="43">
                  <c:v>13,31251573</c:v>
                </c:pt>
                <c:pt idx="44">
                  <c:v>4,758009606</c:v>
                </c:pt>
                <c:pt idx="45">
                  <c:v>7,972741921</c:v>
                </c:pt>
                <c:pt idx="46">
                  <c:v>17,03138527</c:v>
                </c:pt>
                <c:pt idx="47">
                  <c:v>12,78345789</c:v>
                </c:pt>
                <c:pt idx="48">
                  <c:v>17,90245426</c:v>
                </c:pt>
                <c:pt idx="49">
                  <c:v>19,15691203</c:v>
                </c:pt>
                <c:pt idx="50">
                  <c:v>13,63008946</c:v>
                </c:pt>
                <c:pt idx="51">
                  <c:v>18,89335085</c:v>
                </c:pt>
                <c:pt idx="52">
                  <c:v>8,127865175</c:v>
                </c:pt>
                <c:pt idx="53">
                  <c:v>9,72533317</c:v>
                </c:pt>
                <c:pt idx="54">
                  <c:v>19,11728332</c:v>
                </c:pt>
                <c:pt idx="55">
                  <c:v>15,13890494</c:v>
                </c:pt>
                <c:pt idx="56">
                  <c:v>18,49555771</c:v>
                </c:pt>
                <c:pt idx="57">
                  <c:v>12,01967436</c:v>
                </c:pt>
                <c:pt idx="58">
                  <c:v>12,68056858</c:v>
                </c:pt>
                <c:pt idx="59">
                  <c:v>19,31751683</c:v>
                </c:pt>
                <c:pt idx="60">
                  <c:v>17,38461829</c:v>
                </c:pt>
                <c:pt idx="61">
                  <c:v>18,41287637</c:v>
                </c:pt>
                <c:pt idx="62">
                  <c:v>19,12747152</c:v>
                </c:pt>
                <c:pt idx="63">
                  <c:v>18,75370647</c:v>
                </c:pt>
                <c:pt idx="64">
                  <c:v>18,94692106</c:v>
                </c:pt>
                <c:pt idx="65">
                  <c:v>9,783945074</c:v>
                </c:pt>
                <c:pt idx="66">
                  <c:v>13,03345054</c:v>
                </c:pt>
                <c:pt idx="67">
                  <c:v>16,20655167</c:v>
                </c:pt>
                <c:pt idx="68">
                  <c:v>18,41679667</c:v>
                </c:pt>
                <c:pt idx="69">
                  <c:v>19,29436088</c:v>
                </c:pt>
                <c:pt idx="70">
                  <c:v>4,360037646</c:v>
                </c:pt>
                <c:pt idx="71">
                  <c:v>12,58973612</c:v>
                </c:pt>
                <c:pt idx="72">
                  <c:v>16,36706685</c:v>
                </c:pt>
                <c:pt idx="73">
                  <c:v>17,68377616</c:v>
                </c:pt>
                <c:pt idx="74">
                  <c:v>17,76921422</c:v>
                </c:pt>
                <c:pt idx="75">
                  <c:v>19,18889178</c:v>
                </c:pt>
                <c:pt idx="76">
                  <c:v>18,89283371</c:v>
                </c:pt>
                <c:pt idx="77">
                  <c:v>13,24637263</c:v>
                </c:pt>
                <c:pt idx="78">
                  <c:v>15,46621356</c:v>
                </c:pt>
                <c:pt idx="79">
                  <c:v>18,54970703</c:v>
                </c:pt>
                <c:pt idx="80">
                  <c:v>16,5367374</c:v>
                </c:pt>
                <c:pt idx="81">
                  <c:v>15,11441846</c:v>
                </c:pt>
                <c:pt idx="82">
                  <c:v>17,00901831</c:v>
                </c:pt>
                <c:pt idx="83">
                  <c:v>18,16133506</c:v>
                </c:pt>
                <c:pt idx="84">
                  <c:v>17,61955108</c:v>
                </c:pt>
                <c:pt idx="85">
                  <c:v>17,25520614</c:v>
                </c:pt>
                <c:pt idx="86">
                  <c:v>17,16529952</c:v>
                </c:pt>
                <c:pt idx="87">
                  <c:v>15,45899638</c:v>
                </c:pt>
                <c:pt idx="88">
                  <c:v>18,30278072</c:v>
                </c:pt>
                <c:pt idx="89">
                  <c:v>18,77908033</c:v>
                </c:pt>
                <c:pt idx="90">
                  <c:v>14,13595875</c:v>
                </c:pt>
                <c:pt idx="91">
                  <c:v>16,08216711</c:v>
                </c:pt>
                <c:pt idx="92">
                  <c:v>12,8454414</c:v>
                </c:pt>
                <c:pt idx="93">
                  <c:v>19,2976721</c:v>
                </c:pt>
                <c:pt idx="94">
                  <c:v>8,0015762</c:v>
                </c:pt>
                <c:pt idx="95">
                  <c:v>11,8932997</c:v>
                </c:pt>
                <c:pt idx="96">
                  <c:v>12,86166879</c:v>
                </c:pt>
                <c:pt idx="97">
                  <c:v>19,38714429</c:v>
                </c:pt>
                <c:pt idx="98">
                  <c:v>13,43878184</c:v>
                </c:pt>
                <c:pt idx="99">
                  <c:v>16,96973879</c:v>
                </c:pt>
                <c:pt idx="100">
                  <c:v>5,415377943</c:v>
                </c:pt>
                <c:pt idx="101">
                  <c:v>19,27235153</c:v>
                </c:pt>
                <c:pt idx="102">
                  <c:v>16,67308445</c:v>
                </c:pt>
                <c:pt idx="103">
                  <c:v>10,31367364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'Эксп. апрокс. МНК-МНМ'!$B$23:$B$126</c:f>
              <c:numCache>
                <c:formatCode>General</c:formatCode>
                <c:ptCount val="104"/>
                <c:pt idx="0">
                  <c:v>7.3854487746818442</c:v>
                </c:pt>
                <c:pt idx="1">
                  <c:v>6.0483718375194551</c:v>
                </c:pt>
                <c:pt idx="2">
                  <c:v>3.3983886226996676</c:v>
                </c:pt>
                <c:pt idx="3">
                  <c:v>4.3007599108859527</c:v>
                </c:pt>
                <c:pt idx="4">
                  <c:v>1.8239997558519243</c:v>
                </c:pt>
                <c:pt idx="5">
                  <c:v>5.29871517075106</c:v>
                </c:pt>
                <c:pt idx="6">
                  <c:v>10.532029175695058</c:v>
                </c:pt>
                <c:pt idx="7">
                  <c:v>2.4890591143528549</c:v>
                </c:pt>
                <c:pt idx="8">
                  <c:v>1.7683339945677052</c:v>
                </c:pt>
                <c:pt idx="9">
                  <c:v>6.1201513718070011</c:v>
                </c:pt>
                <c:pt idx="10">
                  <c:v>5.5678884243293556</c:v>
                </c:pt>
                <c:pt idx="11">
                  <c:v>2.500411999877926</c:v>
                </c:pt>
                <c:pt idx="12">
                  <c:v>5.5246742149113439</c:v>
                </c:pt>
                <c:pt idx="13">
                  <c:v>10.036164433729057</c:v>
                </c:pt>
                <c:pt idx="14">
                  <c:v>12.603747672963653</c:v>
                </c:pt>
                <c:pt idx="15">
                  <c:v>8.0336619159520239</c:v>
                </c:pt>
                <c:pt idx="16">
                  <c:v>8.0256050294503609</c:v>
                </c:pt>
                <c:pt idx="17">
                  <c:v>8.1592761009552301</c:v>
                </c:pt>
                <c:pt idx="18">
                  <c:v>4.5662709433271278</c:v>
                </c:pt>
                <c:pt idx="19">
                  <c:v>3.5170445875423444</c:v>
                </c:pt>
                <c:pt idx="20">
                  <c:v>4.3608203375347143</c:v>
                </c:pt>
                <c:pt idx="21">
                  <c:v>8.1032441175572991</c:v>
                </c:pt>
                <c:pt idx="22">
                  <c:v>9.9717093417157496</c:v>
                </c:pt>
                <c:pt idx="23">
                  <c:v>7.3297830133976252</c:v>
                </c:pt>
                <c:pt idx="24">
                  <c:v>5.6081728568376725</c:v>
                </c:pt>
                <c:pt idx="25">
                  <c:v>11.983367412335582</c:v>
                </c:pt>
                <c:pt idx="26">
                  <c:v>6.4266792809839171</c:v>
                </c:pt>
                <c:pt idx="27">
                  <c:v>8.7986999114963211</c:v>
                </c:pt>
                <c:pt idx="28">
                  <c:v>7.3484603411969349</c:v>
                </c:pt>
                <c:pt idx="29">
                  <c:v>4.3751029999694815</c:v>
                </c:pt>
                <c:pt idx="30">
                  <c:v>12.247047334208197</c:v>
                </c:pt>
                <c:pt idx="31">
                  <c:v>6.8416089358195746</c:v>
                </c:pt>
                <c:pt idx="32">
                  <c:v>1.2329172643208106</c:v>
                </c:pt>
                <c:pt idx="33">
                  <c:v>3.1134678182317574</c:v>
                </c:pt>
                <c:pt idx="34">
                  <c:v>1.5683767204809718</c:v>
                </c:pt>
                <c:pt idx="35">
                  <c:v>2.1345561082796718</c:v>
                </c:pt>
                <c:pt idx="36">
                  <c:v>5.9798883022553175</c:v>
                </c:pt>
                <c:pt idx="37">
                  <c:v>3.7975707266457106</c:v>
                </c:pt>
                <c:pt idx="38">
                  <c:v>6.3248695333719898</c:v>
                </c:pt>
                <c:pt idx="39">
                  <c:v>4.6790673543504138</c:v>
                </c:pt>
                <c:pt idx="40">
                  <c:v>4.1784417249061558</c:v>
                </c:pt>
                <c:pt idx="41">
                  <c:v>2.8856776635029147</c:v>
                </c:pt>
                <c:pt idx="42">
                  <c:v>6.4687948240607929</c:v>
                </c:pt>
                <c:pt idx="43">
                  <c:v>4.6395153660695208</c:v>
                </c:pt>
                <c:pt idx="44">
                  <c:v>1.2695394756920071</c:v>
                </c:pt>
                <c:pt idx="45">
                  <c:v>2.2488174077578051</c:v>
                </c:pt>
                <c:pt idx="46">
                  <c:v>7.8077028717917418</c:v>
                </c:pt>
                <c:pt idx="47">
                  <c:v>4.3329874568926048</c:v>
                </c:pt>
                <c:pt idx="48">
                  <c:v>9.0828882717368078</c:v>
                </c:pt>
                <c:pt idx="49">
                  <c:v>12.059907834101383</c:v>
                </c:pt>
                <c:pt idx="50">
                  <c:v>4.8347117526779995</c:v>
                </c:pt>
                <c:pt idx="51">
                  <c:v>11.238837855159154</c:v>
                </c:pt>
                <c:pt idx="52">
                  <c:v>2.302285836359752</c:v>
                </c:pt>
                <c:pt idx="53">
                  <c:v>2.8959318826868499</c:v>
                </c:pt>
                <c:pt idx="54">
                  <c:v>11.925870540482803</c:v>
                </c:pt>
                <c:pt idx="55">
                  <c:v>5.9084749900814844</c:v>
                </c:pt>
                <c:pt idx="56">
                  <c:v>10.239051484725486</c:v>
                </c:pt>
                <c:pt idx="57">
                  <c:v>3.9261146885586111</c:v>
                </c:pt>
                <c:pt idx="58">
                  <c:v>4.2758568071535388</c:v>
                </c:pt>
                <c:pt idx="59">
                  <c:v>12.650990325632497</c:v>
                </c:pt>
                <c:pt idx="60">
                  <c:v>8.2797631763664654</c:v>
                </c:pt>
                <c:pt idx="61">
                  <c:v>10.057771538438063</c:v>
                </c:pt>
                <c:pt idx="62">
                  <c:v>11.959929197058017</c:v>
                </c:pt>
                <c:pt idx="63">
                  <c:v>10.860530411694693</c:v>
                </c:pt>
                <c:pt idx="64">
                  <c:v>11.393383587145603</c:v>
                </c:pt>
                <c:pt idx="65">
                  <c:v>2.9193700979644155</c:v>
                </c:pt>
                <c:pt idx="66">
                  <c:v>4.4750816370128481</c:v>
                </c:pt>
                <c:pt idx="67">
                  <c:v>6.8745689260536516</c:v>
                </c:pt>
                <c:pt idx="68">
                  <c:v>10.066194647053438</c:v>
                </c:pt>
                <c:pt idx="69">
                  <c:v>12.56053346354564</c:v>
                </c:pt>
                <c:pt idx="70">
                  <c:v>1.1626026184881131</c:v>
                </c:pt>
                <c:pt idx="71">
                  <c:v>4.2260505996887119</c:v>
                </c:pt>
                <c:pt idx="72">
                  <c:v>7.0408337656788849</c:v>
                </c:pt>
                <c:pt idx="73">
                  <c:v>8.725089266640218</c:v>
                </c:pt>
                <c:pt idx="74">
                  <c:v>8.8613238929410691</c:v>
                </c:pt>
                <c:pt idx="75">
                  <c:v>12.171239356669819</c:v>
                </c:pt>
                <c:pt idx="76">
                  <c:v>11.237372966704307</c:v>
                </c:pt>
                <c:pt idx="77">
                  <c:v>4.5999633777886295</c:v>
                </c:pt>
                <c:pt idx="78">
                  <c:v>6.1820429090243234</c:v>
                </c:pt>
                <c:pt idx="79">
                  <c:v>10.362102114932707</c:v>
                </c:pt>
                <c:pt idx="80">
                  <c:v>7.2239448225348681</c:v>
                </c:pt>
                <c:pt idx="81">
                  <c:v>5.8886989959410387</c:v>
                </c:pt>
                <c:pt idx="82">
                  <c:v>7.7795037690359212</c:v>
                </c:pt>
                <c:pt idx="83">
                  <c:v>9.549455244605852</c:v>
                </c:pt>
                <c:pt idx="84">
                  <c:v>8.6254768517105624</c:v>
                </c:pt>
                <c:pt idx="85">
                  <c:v>8.1006805627613137</c:v>
                </c:pt>
                <c:pt idx="86">
                  <c:v>7.9805597094637903</c:v>
                </c:pt>
                <c:pt idx="87">
                  <c:v>6.1758171330912202</c:v>
                </c:pt>
                <c:pt idx="88">
                  <c:v>9.8277840510269474</c:v>
                </c:pt>
                <c:pt idx="89">
                  <c:v>10.926816614276559</c:v>
                </c:pt>
                <c:pt idx="90">
                  <c:v>5.1654103213599054</c:v>
                </c:pt>
                <c:pt idx="91">
                  <c:v>6.750053407391583</c:v>
                </c:pt>
                <c:pt idx="92">
                  <c:v>4.3677785576952424</c:v>
                </c:pt>
                <c:pt idx="93">
                  <c:v>12.573351237525559</c:v>
                </c:pt>
                <c:pt idx="94">
                  <c:v>2.258705404828028</c:v>
                </c:pt>
                <c:pt idx="95">
                  <c:v>3.8623920407727286</c:v>
                </c:pt>
                <c:pt idx="96">
                  <c:v>4.3769341105380413</c:v>
                </c:pt>
                <c:pt idx="97">
                  <c:v>12.935178685872982</c:v>
                </c:pt>
                <c:pt idx="98">
                  <c:v>4.7160557878353222</c:v>
                </c:pt>
                <c:pt idx="99">
                  <c:v>7.7304300057985174</c:v>
                </c:pt>
                <c:pt idx="100">
                  <c:v>1.4522843104342784</c:v>
                </c:pt>
                <c:pt idx="101">
                  <c:v>12.476302377391889</c:v>
                </c:pt>
                <c:pt idx="102">
                  <c:v>7.3770256660664693</c:v>
                </c:pt>
                <c:pt idx="103">
                  <c:v>3.137272255623035</c:v>
                </c:pt>
              </c:numCache>
            </c:numRef>
          </c:xVal>
          <c:yVal>
            <c:numRef>
              <c:f>'Эксп. апрокс. МНК-МНМ'!$D$23:$D$126</c:f>
              <c:numCache>
                <c:formatCode>General</c:formatCode>
                <c:ptCount val="104"/>
                <c:pt idx="0">
                  <c:v>16.680445366465278</c:v>
                </c:pt>
                <c:pt idx="1">
                  <c:v>15.308911866263596</c:v>
                </c:pt>
                <c:pt idx="2">
                  <c:v>10.913742214635413</c:v>
                </c:pt>
                <c:pt idx="3">
                  <c:v>12.725587659518489</c:v>
                </c:pt>
                <c:pt idx="4">
                  <c:v>6.6684706576984887</c:v>
                </c:pt>
                <c:pt idx="5">
                  <c:v>14.329013684490556</c:v>
                </c:pt>
                <c:pt idx="6">
                  <c:v>18.621956358539855</c:v>
                </c:pt>
                <c:pt idx="7">
                  <c:v>8.6546896846297905</c:v>
                </c:pt>
                <c:pt idx="8">
                  <c:v>6.4877129662294557</c:v>
                </c:pt>
                <c:pt idx="9">
                  <c:v>15.393994792056555</c:v>
                </c:pt>
                <c:pt idx="10">
                  <c:v>14.700875722824602</c:v>
                </c:pt>
                <c:pt idx="11">
                  <c:v>8.6859729281464944</c:v>
                </c:pt>
                <c:pt idx="12">
                  <c:v>14.642749166621648</c:v>
                </c:pt>
                <c:pt idx="13">
                  <c:v>18.402784405786218</c:v>
                </c:pt>
                <c:pt idx="14">
                  <c:v>19.305484656386156</c:v>
                </c:pt>
                <c:pt idx="15">
                  <c:v>17.205357989964874</c:v>
                </c:pt>
                <c:pt idx="16">
                  <c:v>17.199312277177505</c:v>
                </c:pt>
                <c:pt idx="17">
                  <c:v>17.298150520119048</c:v>
                </c:pt>
                <c:pt idx="18">
                  <c:v>13.18954153335816</c:v>
                </c:pt>
                <c:pt idx="19">
                  <c:v>11.174490438775958</c:v>
                </c:pt>
                <c:pt idx="20">
                  <c:v>12.833085208537192</c:v>
                </c:pt>
                <c:pt idx="21">
                  <c:v>17.257097349455112</c:v>
                </c:pt>
                <c:pt idx="22">
                  <c:v>18.372373298899316</c:v>
                </c:pt>
                <c:pt idx="23">
                  <c:v>16.631528161671604</c:v>
                </c:pt>
                <c:pt idx="24">
                  <c:v>14.754532407883236</c:v>
                </c:pt>
                <c:pt idx="25">
                  <c:v>19.134435527626859</c:v>
                </c:pt>
                <c:pt idx="26">
                  <c:v>15.741606490725735</c:v>
                </c:pt>
                <c:pt idx="27">
                  <c:v>17.730279833827659</c:v>
                </c:pt>
                <c:pt idx="28">
                  <c:v>16.648012560154072</c:v>
                </c:pt>
                <c:pt idx="29">
                  <c:v>12.858426104563373</c:v>
                </c:pt>
                <c:pt idx="30">
                  <c:v>19.210193500480475</c:v>
                </c:pt>
                <c:pt idx="31">
                  <c:v>16.173979751823879</c:v>
                </c:pt>
                <c:pt idx="32">
                  <c:v>4.6228424533006436</c:v>
                </c:pt>
                <c:pt idx="33">
                  <c:v>10.25711519159432</c:v>
                </c:pt>
                <c:pt idx="34">
                  <c:v>5.8185561258641165</c:v>
                </c:pt>
                <c:pt idx="35">
                  <c:v>7.6346392593533903</c:v>
                </c:pt>
                <c:pt idx="36">
                  <c:v>15.226386865330046</c:v>
                </c:pt>
                <c:pt idx="37">
                  <c:v>11.762789595675898</c:v>
                </c:pt>
                <c:pt idx="38">
                  <c:v>15.62891716270482</c:v>
                </c:pt>
                <c:pt idx="39">
                  <c:v>13.378046849033321</c:v>
                </c:pt>
                <c:pt idx="40">
                  <c:v>12.50191141521692</c:v>
                </c:pt>
                <c:pt idx="41">
                  <c:v>9.6995887649884569</c:v>
                </c:pt>
                <c:pt idx="42">
                  <c:v>15.787439914827353</c:v>
                </c:pt>
                <c:pt idx="43">
                  <c:v>13.31251572713143</c:v>
                </c:pt>
                <c:pt idx="44">
                  <c:v>4.7580096056388612</c:v>
                </c:pt>
                <c:pt idx="45">
                  <c:v>7.9727419214328759</c:v>
                </c:pt>
                <c:pt idx="46">
                  <c:v>17.031385265271346</c:v>
                </c:pt>
                <c:pt idx="47">
                  <c:v>12.78345789043218</c:v>
                </c:pt>
                <c:pt idx="48">
                  <c:v>17.902454256396567</c:v>
                </c:pt>
                <c:pt idx="49">
                  <c:v>19.156912033479397</c:v>
                </c:pt>
                <c:pt idx="50">
                  <c:v>13.630089456413598</c:v>
                </c:pt>
                <c:pt idx="51">
                  <c:v>18.893350851280779</c:v>
                </c:pt>
                <c:pt idx="52">
                  <c:v>8.1278651749903847</c:v>
                </c:pt>
                <c:pt idx="53">
                  <c:v>9.7253331704851025</c:v>
                </c:pt>
                <c:pt idx="54">
                  <c:v>19.117283323299581</c:v>
                </c:pt>
                <c:pt idx="55">
                  <c:v>15.138904944152586</c:v>
                </c:pt>
                <c:pt idx="56">
                  <c:v>18.495557711964722</c:v>
                </c:pt>
                <c:pt idx="57">
                  <c:v>12.01967436284386</c:v>
                </c:pt>
                <c:pt idx="58">
                  <c:v>12.680568582422275</c:v>
                </c:pt>
                <c:pt idx="59">
                  <c:v>19.317516827130319</c:v>
                </c:pt>
                <c:pt idx="60">
                  <c:v>17.384618286658082</c:v>
                </c:pt>
                <c:pt idx="61">
                  <c:v>18.412876373942076</c:v>
                </c:pt>
                <c:pt idx="62">
                  <c:v>19.127471517534982</c:v>
                </c:pt>
                <c:pt idx="63">
                  <c:v>18.753706470331306</c:v>
                </c:pt>
                <c:pt idx="64">
                  <c:v>18.946921058356576</c:v>
                </c:pt>
                <c:pt idx="65">
                  <c:v>9.7839450741351417</c:v>
                </c:pt>
                <c:pt idx="66">
                  <c:v>13.033450543238409</c:v>
                </c:pt>
                <c:pt idx="67">
                  <c:v>16.20655166652703</c:v>
                </c:pt>
                <c:pt idx="68">
                  <c:v>18.416796669111783</c:v>
                </c:pt>
                <c:pt idx="69">
                  <c:v>19.294360881113526</c:v>
                </c:pt>
                <c:pt idx="70">
                  <c:v>4.3600376458041623</c:v>
                </c:pt>
                <c:pt idx="71">
                  <c:v>12.589736120589837</c:v>
                </c:pt>
                <c:pt idx="72">
                  <c:v>16.367066853581186</c:v>
                </c:pt>
                <c:pt idx="73">
                  <c:v>17.683776162940717</c:v>
                </c:pt>
                <c:pt idx="74">
                  <c:v>17.769214219636847</c:v>
                </c:pt>
                <c:pt idx="75">
                  <c:v>19.188891775349141</c:v>
                </c:pt>
                <c:pt idx="76">
                  <c:v>18.892833710614653</c:v>
                </c:pt>
                <c:pt idx="77">
                  <c:v>13.246372631250747</c:v>
                </c:pt>
                <c:pt idx="78">
                  <c:v>15.466213562262562</c:v>
                </c:pt>
                <c:pt idx="79">
                  <c:v>18.549707025218925</c:v>
                </c:pt>
                <c:pt idx="80">
                  <c:v>16.536737398077303</c:v>
                </c:pt>
                <c:pt idx="81">
                  <c:v>15.114418460661506</c:v>
                </c:pt>
                <c:pt idx="82">
                  <c:v>17.00901830575043</c:v>
                </c:pt>
                <c:pt idx="83">
                  <c:v>18.161335063775454</c:v>
                </c:pt>
                <c:pt idx="84">
                  <c:v>17.61955107882774</c:v>
                </c:pt>
                <c:pt idx="85">
                  <c:v>17.255206136256117</c:v>
                </c:pt>
                <c:pt idx="86">
                  <c:v>17.165299517427794</c:v>
                </c:pt>
                <c:pt idx="87">
                  <c:v>15.458996379164326</c:v>
                </c:pt>
                <c:pt idx="88">
                  <c:v>18.302780718024149</c:v>
                </c:pt>
                <c:pt idx="89">
                  <c:v>18.779080326160706</c:v>
                </c:pt>
                <c:pt idx="90">
                  <c:v>14.135958747006491</c:v>
                </c:pt>
                <c:pt idx="91">
                  <c:v>16.082167110005987</c:v>
                </c:pt>
                <c:pt idx="92">
                  <c:v>12.845441398995177</c:v>
                </c:pt>
                <c:pt idx="93">
                  <c:v>19.297672099030503</c:v>
                </c:pt>
                <c:pt idx="94">
                  <c:v>8.0015762003522948</c:v>
                </c:pt>
                <c:pt idx="95">
                  <c:v>11.893299702926523</c:v>
                </c:pt>
                <c:pt idx="96">
                  <c:v>12.861668790060282</c:v>
                </c:pt>
                <c:pt idx="97">
                  <c:v>19.387144287611559</c:v>
                </c:pt>
                <c:pt idx="98">
                  <c:v>13.438781835072334</c:v>
                </c:pt>
                <c:pt idx="99">
                  <c:v>16.969738791777431</c:v>
                </c:pt>
                <c:pt idx="100">
                  <c:v>5.4153779433754625</c:v>
                </c:pt>
                <c:pt idx="101">
                  <c:v>19.272351533029976</c:v>
                </c:pt>
                <c:pt idx="102">
                  <c:v>16.673084449491387</c:v>
                </c:pt>
                <c:pt idx="103">
                  <c:v>10.313673642129372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35-4084-A61D-0A30273F0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526160"/>
        <c:axId val="1473531920"/>
      </c:scatterChart>
      <c:valAx>
        <c:axId val="147352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3531920"/>
        <c:crosses val="autoZero"/>
        <c:crossBetween val="midCat"/>
      </c:valAx>
      <c:valAx>
        <c:axId val="147353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3526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'Эксп. апрокс. МНК-МНМ'!$B$23:$B$126</c:f>
              <c:numCache>
                <c:formatCode>General</c:formatCode>
                <c:ptCount val="104"/>
                <c:pt idx="0">
                  <c:v>7.3854487746818442</c:v>
                </c:pt>
                <c:pt idx="1">
                  <c:v>6.0483718375194551</c:v>
                </c:pt>
                <c:pt idx="2">
                  <c:v>3.3983886226996676</c:v>
                </c:pt>
                <c:pt idx="3">
                  <c:v>4.3007599108859527</c:v>
                </c:pt>
                <c:pt idx="4">
                  <c:v>1.8239997558519243</c:v>
                </c:pt>
                <c:pt idx="5">
                  <c:v>5.29871517075106</c:v>
                </c:pt>
                <c:pt idx="6">
                  <c:v>10.532029175695058</c:v>
                </c:pt>
                <c:pt idx="7">
                  <c:v>2.4890591143528549</c:v>
                </c:pt>
                <c:pt idx="8">
                  <c:v>1.7683339945677052</c:v>
                </c:pt>
                <c:pt idx="9">
                  <c:v>6.1201513718070011</c:v>
                </c:pt>
                <c:pt idx="10">
                  <c:v>5.5678884243293556</c:v>
                </c:pt>
                <c:pt idx="11">
                  <c:v>2.500411999877926</c:v>
                </c:pt>
                <c:pt idx="12">
                  <c:v>5.5246742149113439</c:v>
                </c:pt>
                <c:pt idx="13">
                  <c:v>10.036164433729057</c:v>
                </c:pt>
                <c:pt idx="14">
                  <c:v>12.603747672963653</c:v>
                </c:pt>
                <c:pt idx="15">
                  <c:v>8.0336619159520239</c:v>
                </c:pt>
                <c:pt idx="16">
                  <c:v>8.0256050294503609</c:v>
                </c:pt>
                <c:pt idx="17">
                  <c:v>8.1592761009552301</c:v>
                </c:pt>
                <c:pt idx="18">
                  <c:v>4.5662709433271278</c:v>
                </c:pt>
                <c:pt idx="19">
                  <c:v>3.5170445875423444</c:v>
                </c:pt>
                <c:pt idx="20">
                  <c:v>4.3608203375347143</c:v>
                </c:pt>
                <c:pt idx="21">
                  <c:v>8.1032441175572991</c:v>
                </c:pt>
                <c:pt idx="22">
                  <c:v>9.9717093417157496</c:v>
                </c:pt>
                <c:pt idx="23">
                  <c:v>7.3297830133976252</c:v>
                </c:pt>
                <c:pt idx="24">
                  <c:v>5.6081728568376725</c:v>
                </c:pt>
                <c:pt idx="25">
                  <c:v>11.983367412335582</c:v>
                </c:pt>
                <c:pt idx="26">
                  <c:v>6.4266792809839171</c:v>
                </c:pt>
                <c:pt idx="27">
                  <c:v>8.7986999114963211</c:v>
                </c:pt>
                <c:pt idx="28">
                  <c:v>7.3484603411969349</c:v>
                </c:pt>
                <c:pt idx="29">
                  <c:v>4.3751029999694815</c:v>
                </c:pt>
                <c:pt idx="30">
                  <c:v>12.247047334208197</c:v>
                </c:pt>
                <c:pt idx="31">
                  <c:v>6.8416089358195746</c:v>
                </c:pt>
                <c:pt idx="32">
                  <c:v>1.2329172643208106</c:v>
                </c:pt>
                <c:pt idx="33">
                  <c:v>3.1134678182317574</c:v>
                </c:pt>
                <c:pt idx="34">
                  <c:v>1.5683767204809718</c:v>
                </c:pt>
                <c:pt idx="35">
                  <c:v>2.1345561082796718</c:v>
                </c:pt>
                <c:pt idx="36">
                  <c:v>5.9798883022553175</c:v>
                </c:pt>
                <c:pt idx="37">
                  <c:v>3.7975707266457106</c:v>
                </c:pt>
                <c:pt idx="38">
                  <c:v>6.3248695333719898</c:v>
                </c:pt>
                <c:pt idx="39">
                  <c:v>4.6790673543504138</c:v>
                </c:pt>
                <c:pt idx="40">
                  <c:v>4.1784417249061558</c:v>
                </c:pt>
                <c:pt idx="41">
                  <c:v>2.8856776635029147</c:v>
                </c:pt>
                <c:pt idx="42">
                  <c:v>6.4687948240607929</c:v>
                </c:pt>
                <c:pt idx="43">
                  <c:v>4.6395153660695208</c:v>
                </c:pt>
                <c:pt idx="44">
                  <c:v>1.2695394756920071</c:v>
                </c:pt>
                <c:pt idx="45">
                  <c:v>2.2488174077578051</c:v>
                </c:pt>
                <c:pt idx="46">
                  <c:v>7.8077028717917418</c:v>
                </c:pt>
                <c:pt idx="47">
                  <c:v>4.3329874568926048</c:v>
                </c:pt>
                <c:pt idx="48">
                  <c:v>9.0828882717368078</c:v>
                </c:pt>
                <c:pt idx="49">
                  <c:v>12.059907834101383</c:v>
                </c:pt>
                <c:pt idx="50">
                  <c:v>4.8347117526779995</c:v>
                </c:pt>
                <c:pt idx="51">
                  <c:v>11.238837855159154</c:v>
                </c:pt>
                <c:pt idx="52">
                  <c:v>2.302285836359752</c:v>
                </c:pt>
                <c:pt idx="53">
                  <c:v>2.8959318826868499</c:v>
                </c:pt>
                <c:pt idx="54">
                  <c:v>11.925870540482803</c:v>
                </c:pt>
                <c:pt idx="55">
                  <c:v>5.9084749900814844</c:v>
                </c:pt>
                <c:pt idx="56">
                  <c:v>10.239051484725486</c:v>
                </c:pt>
                <c:pt idx="57">
                  <c:v>3.9261146885586111</c:v>
                </c:pt>
                <c:pt idx="58">
                  <c:v>4.2758568071535388</c:v>
                </c:pt>
                <c:pt idx="59">
                  <c:v>12.650990325632497</c:v>
                </c:pt>
                <c:pt idx="60">
                  <c:v>8.2797631763664654</c:v>
                </c:pt>
                <c:pt idx="61">
                  <c:v>10.057771538438063</c:v>
                </c:pt>
                <c:pt idx="62">
                  <c:v>11.959929197058017</c:v>
                </c:pt>
                <c:pt idx="63">
                  <c:v>10.860530411694693</c:v>
                </c:pt>
                <c:pt idx="64">
                  <c:v>11.393383587145603</c:v>
                </c:pt>
                <c:pt idx="65">
                  <c:v>2.9193700979644155</c:v>
                </c:pt>
                <c:pt idx="66">
                  <c:v>4.4750816370128481</c:v>
                </c:pt>
                <c:pt idx="67">
                  <c:v>6.8745689260536516</c:v>
                </c:pt>
                <c:pt idx="68">
                  <c:v>10.066194647053438</c:v>
                </c:pt>
                <c:pt idx="69">
                  <c:v>12.56053346354564</c:v>
                </c:pt>
                <c:pt idx="70">
                  <c:v>1.1626026184881131</c:v>
                </c:pt>
                <c:pt idx="71">
                  <c:v>4.2260505996887119</c:v>
                </c:pt>
                <c:pt idx="72">
                  <c:v>7.0408337656788849</c:v>
                </c:pt>
                <c:pt idx="73">
                  <c:v>8.725089266640218</c:v>
                </c:pt>
                <c:pt idx="74">
                  <c:v>8.8613238929410691</c:v>
                </c:pt>
                <c:pt idx="75">
                  <c:v>12.171239356669819</c:v>
                </c:pt>
                <c:pt idx="76">
                  <c:v>11.237372966704307</c:v>
                </c:pt>
                <c:pt idx="77">
                  <c:v>4.5999633777886295</c:v>
                </c:pt>
                <c:pt idx="78">
                  <c:v>6.1820429090243234</c:v>
                </c:pt>
                <c:pt idx="79">
                  <c:v>10.362102114932707</c:v>
                </c:pt>
                <c:pt idx="80">
                  <c:v>7.2239448225348681</c:v>
                </c:pt>
                <c:pt idx="81">
                  <c:v>5.8886989959410387</c:v>
                </c:pt>
                <c:pt idx="82">
                  <c:v>7.7795037690359212</c:v>
                </c:pt>
                <c:pt idx="83">
                  <c:v>9.549455244605852</c:v>
                </c:pt>
                <c:pt idx="84">
                  <c:v>8.6254768517105624</c:v>
                </c:pt>
                <c:pt idx="85">
                  <c:v>8.1006805627613137</c:v>
                </c:pt>
                <c:pt idx="86">
                  <c:v>7.9805597094637903</c:v>
                </c:pt>
                <c:pt idx="87">
                  <c:v>6.1758171330912202</c:v>
                </c:pt>
                <c:pt idx="88">
                  <c:v>9.8277840510269474</c:v>
                </c:pt>
                <c:pt idx="89">
                  <c:v>10.926816614276559</c:v>
                </c:pt>
                <c:pt idx="90">
                  <c:v>5.1654103213599054</c:v>
                </c:pt>
                <c:pt idx="91">
                  <c:v>6.750053407391583</c:v>
                </c:pt>
                <c:pt idx="92">
                  <c:v>4.3677785576952424</c:v>
                </c:pt>
                <c:pt idx="93">
                  <c:v>12.573351237525559</c:v>
                </c:pt>
                <c:pt idx="94">
                  <c:v>2.258705404828028</c:v>
                </c:pt>
                <c:pt idx="95">
                  <c:v>3.8623920407727286</c:v>
                </c:pt>
                <c:pt idx="96">
                  <c:v>4.3769341105380413</c:v>
                </c:pt>
                <c:pt idx="97">
                  <c:v>12.935178685872982</c:v>
                </c:pt>
                <c:pt idx="98">
                  <c:v>4.7160557878353222</c:v>
                </c:pt>
                <c:pt idx="99">
                  <c:v>7.7304300057985174</c:v>
                </c:pt>
                <c:pt idx="100">
                  <c:v>1.4522843104342784</c:v>
                </c:pt>
                <c:pt idx="101">
                  <c:v>12.476302377391889</c:v>
                </c:pt>
                <c:pt idx="102">
                  <c:v>7.3770256660664693</c:v>
                </c:pt>
                <c:pt idx="103">
                  <c:v>3.137272255623035</c:v>
                </c:pt>
              </c:numCache>
            </c:numRef>
          </c:xVal>
          <c:yVal>
            <c:numRef>
              <c:f>'Эксп. апрокс. МНК-МНМ'!$E$23:$E$126</c:f>
              <c:numCache>
                <c:formatCode>General</c:formatCode>
                <c:ptCount val="104"/>
                <c:pt idx="0">
                  <c:v>16.465446531026046</c:v>
                </c:pt>
                <c:pt idx="1">
                  <c:v>16.22713242761035</c:v>
                </c:pt>
                <c:pt idx="2">
                  <c:v>10.837233212519289</c:v>
                </c:pt>
                <c:pt idx="3">
                  <c:v>12.957968886564151</c:v>
                </c:pt>
                <c:pt idx="4">
                  <c:v>6.5255279311653807</c:v>
                </c:pt>
                <c:pt idx="5">
                  <c:v>14.626130667011134</c:v>
                </c:pt>
                <c:pt idx="6">
                  <c:v>17.948268700605198</c:v>
                </c:pt>
                <c:pt idx="7">
                  <c:v>8.5076173299289337</c:v>
                </c:pt>
                <c:pt idx="8">
                  <c:v>6.5191590421143477</c:v>
                </c:pt>
                <c:pt idx="9">
                  <c:v>14.669592034472721</c:v>
                </c:pt>
                <c:pt idx="10">
                  <c:v>12.85019328557344</c:v>
                </c:pt>
                <c:pt idx="11">
                  <c:v>7.0812058212628664</c:v>
                </c:pt>
                <c:pt idx="12">
                  <c:v>14.513301928132327</c:v>
                </c:pt>
                <c:pt idx="13">
                  <c:v>17.54405785173779</c:v>
                </c:pt>
                <c:pt idx="14">
                  <c:v>19.850977314135093</c:v>
                </c:pt>
                <c:pt idx="15">
                  <c:v>17.819549434013883</c:v>
                </c:pt>
                <c:pt idx="16">
                  <c:v>18.170104781402483</c:v>
                </c:pt>
                <c:pt idx="17">
                  <c:v>17.517335251702665</c:v>
                </c:pt>
                <c:pt idx="18">
                  <c:v>14.381954841567072</c:v>
                </c:pt>
                <c:pt idx="19">
                  <c:v>11.566605418559632</c:v>
                </c:pt>
                <c:pt idx="20">
                  <c:v>14.307125256286405</c:v>
                </c:pt>
                <c:pt idx="21">
                  <c:v>16.027156610709792</c:v>
                </c:pt>
                <c:pt idx="22">
                  <c:v>19.510151505086622</c:v>
                </c:pt>
                <c:pt idx="23">
                  <c:v>16.272380699729361</c:v>
                </c:pt>
                <c:pt idx="24">
                  <c:v>13.42642280589723</c:v>
                </c:pt>
                <c:pt idx="25">
                  <c:v>18.251838111960105</c:v>
                </c:pt>
                <c:pt idx="26">
                  <c:v>15.09514481042814</c:v>
                </c:pt>
                <c:pt idx="27">
                  <c:v>18.593849847041572</c:v>
                </c:pt>
                <c:pt idx="28">
                  <c:v>17.323685043382284</c:v>
                </c:pt>
                <c:pt idx="29">
                  <c:v>13.394554005729933</c:v>
                </c:pt>
                <c:pt idx="30">
                  <c:v>17.238422377504847</c:v>
                </c:pt>
                <c:pt idx="31">
                  <c:v>16.20876880749725</c:v>
                </c:pt>
                <c:pt idx="32">
                  <c:v>4.479073359816522</c:v>
                </c:pt>
                <c:pt idx="33">
                  <c:v>11.370601077985345</c:v>
                </c:pt>
                <c:pt idx="34">
                  <c:v>4.7443055685945055</c:v>
                </c:pt>
                <c:pt idx="35">
                  <c:v>7.815828763888943</c:v>
                </c:pt>
                <c:pt idx="36">
                  <c:v>14.987735620417082</c:v>
                </c:pt>
                <c:pt idx="37">
                  <c:v>11.891188705188634</c:v>
                </c:pt>
                <c:pt idx="38">
                  <c:v>15.50688074772679</c:v>
                </c:pt>
                <c:pt idx="39">
                  <c:v>13.260872649212988</c:v>
                </c:pt>
                <c:pt idx="40">
                  <c:v>12.908732196188923</c:v>
                </c:pt>
                <c:pt idx="41">
                  <c:v>11.847816262700107</c:v>
                </c:pt>
                <c:pt idx="42">
                  <c:v>16.722878477025262</c:v>
                </c:pt>
                <c:pt idx="43">
                  <c:v>12.761363172908927</c:v>
                </c:pt>
                <c:pt idx="44">
                  <c:v>3.6261141612443515</c:v>
                </c:pt>
                <c:pt idx="45">
                  <c:v>6.1696423331313888</c:v>
                </c:pt>
                <c:pt idx="46">
                  <c:v>17.109457634503073</c:v>
                </c:pt>
                <c:pt idx="47">
                  <c:v>12.465184148695803</c:v>
                </c:pt>
                <c:pt idx="48">
                  <c:v>17.21232641964075</c:v>
                </c:pt>
                <c:pt idx="49">
                  <c:v>19.837227176427053</c:v>
                </c:pt>
                <c:pt idx="50">
                  <c:v>13.643490061202662</c:v>
                </c:pt>
                <c:pt idx="51">
                  <c:v>19.840793248494744</c:v>
                </c:pt>
                <c:pt idx="52">
                  <c:v>7.1462383270284882</c:v>
                </c:pt>
                <c:pt idx="53">
                  <c:v>10.203500642540128</c:v>
                </c:pt>
                <c:pt idx="54">
                  <c:v>20.049654729123905</c:v>
                </c:pt>
                <c:pt idx="55">
                  <c:v>12.685674120841794</c:v>
                </c:pt>
                <c:pt idx="56">
                  <c:v>18.986254186817757</c:v>
                </c:pt>
                <c:pt idx="57">
                  <c:v>11.895991833725759</c:v>
                </c:pt>
                <c:pt idx="58">
                  <c:v>13.815548835888926</c:v>
                </c:pt>
                <c:pt idx="59">
                  <c:v>19.408108269517118</c:v>
                </c:pt>
                <c:pt idx="60">
                  <c:v>16.169287362552705</c:v>
                </c:pt>
                <c:pt idx="61">
                  <c:v>17.269023432865211</c:v>
                </c:pt>
                <c:pt idx="62">
                  <c:v>18.833620284246713</c:v>
                </c:pt>
                <c:pt idx="63">
                  <c:v>19.601724456120007</c:v>
                </c:pt>
                <c:pt idx="64">
                  <c:v>16.771173003600762</c:v>
                </c:pt>
                <c:pt idx="65">
                  <c:v>8.280036660434213</c:v>
                </c:pt>
                <c:pt idx="66">
                  <c:v>11.653878911795703</c:v>
                </c:pt>
                <c:pt idx="67">
                  <c:v>16.52388540206546</c:v>
                </c:pt>
                <c:pt idx="68">
                  <c:v>18.209856290562005</c:v>
                </c:pt>
                <c:pt idx="69">
                  <c:v>19.30649931795605</c:v>
                </c:pt>
                <c:pt idx="70">
                  <c:v>2.9612333992879361</c:v>
                </c:pt>
                <c:pt idx="71">
                  <c:v>13.315513582073486</c:v>
                </c:pt>
                <c:pt idx="72">
                  <c:v>15.525013273316089</c:v>
                </c:pt>
                <c:pt idx="73">
                  <c:v>18.146080478758531</c:v>
                </c:pt>
                <c:pt idx="74">
                  <c:v>17.973194461298014</c:v>
                </c:pt>
                <c:pt idx="75">
                  <c:v>18.947791218511945</c:v>
                </c:pt>
                <c:pt idx="76">
                  <c:v>21.217482277665219</c:v>
                </c:pt>
                <c:pt idx="77">
                  <c:v>13.982600490277786</c:v>
                </c:pt>
                <c:pt idx="78">
                  <c:v>14.61230619491911</c:v>
                </c:pt>
                <c:pt idx="79">
                  <c:v>19.634988312496858</c:v>
                </c:pt>
                <c:pt idx="80">
                  <c:v>17.894040150295371</c:v>
                </c:pt>
                <c:pt idx="81">
                  <c:v>15.040516541462932</c:v>
                </c:pt>
                <c:pt idx="82">
                  <c:v>16.544467684041742</c:v>
                </c:pt>
                <c:pt idx="83">
                  <c:v>19.872013948802586</c:v>
                </c:pt>
                <c:pt idx="84">
                  <c:v>19.095947761833781</c:v>
                </c:pt>
                <c:pt idx="85">
                  <c:v>16.996685675828065</c:v>
                </c:pt>
                <c:pt idx="86">
                  <c:v>15.314617080176632</c:v>
                </c:pt>
                <c:pt idx="87">
                  <c:v>14.279116486928061</c:v>
                </c:pt>
                <c:pt idx="88">
                  <c:v>17.966037840426672</c:v>
                </c:pt>
                <c:pt idx="89">
                  <c:v>18.071441012440289</c:v>
                </c:pt>
                <c:pt idx="90">
                  <c:v>15.108957838550598</c:v>
                </c:pt>
                <c:pt idx="91">
                  <c:v>16.318751885894589</c:v>
                </c:pt>
                <c:pt idx="92">
                  <c:v>12.62739857634921</c:v>
                </c:pt>
                <c:pt idx="93">
                  <c:v>20.007637155785282</c:v>
                </c:pt>
                <c:pt idx="94">
                  <c:v>8.4835191433103478</c:v>
                </c:pt>
                <c:pt idx="95">
                  <c:v>11.261317648617045</c:v>
                </c:pt>
                <c:pt idx="96">
                  <c:v>11.701445177662809</c:v>
                </c:pt>
                <c:pt idx="97">
                  <c:v>19.809092327949841</c:v>
                </c:pt>
                <c:pt idx="98">
                  <c:v>13.959839848142909</c:v>
                </c:pt>
                <c:pt idx="99">
                  <c:v>17.753893727375928</c:v>
                </c:pt>
                <c:pt idx="100">
                  <c:v>5.7353750298080781</c:v>
                </c:pt>
                <c:pt idx="101">
                  <c:v>18.701897959527063</c:v>
                </c:pt>
                <c:pt idx="102">
                  <c:v>18.43257304601763</c:v>
                </c:pt>
                <c:pt idx="103">
                  <c:v>9.1303669197864998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D8-4006-89BE-E199D59968EC}"/>
            </c:ext>
          </c:extLst>
        </c:ser>
        <c:ser>
          <c:idx val="1"/>
          <c:order val="1"/>
          <c:tx>
            <c:strRef>
              <c:f>'Эксп. апрокс. МНК-МНМ'!$I$16:$K$16</c:f>
              <c:strCache>
                <c:ptCount val="1"/>
                <c:pt idx="0">
                  <c:v>28 44 59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'Эксп. апрокс. МНК-МНМ'!$I$16:$K$16</c:f>
              <c:numCache>
                <c:formatCode>0</c:formatCode>
                <c:ptCount val="3"/>
                <c:pt idx="0">
                  <c:v>28.06176946317942</c:v>
                </c:pt>
                <c:pt idx="1">
                  <c:v>43.530686361278114</c:v>
                </c:pt>
                <c:pt idx="2">
                  <c:v>58.999603259376812</c:v>
                </c:pt>
              </c:numCache>
            </c:numRef>
          </c:xVal>
          <c:yVal>
            <c:numRef>
              <c:f>'Эксп. апрокс. МНК-МНМ'!$P$11:$R$11</c:f>
              <c:numCache>
                <c:formatCode>General</c:formatCode>
                <c:ptCount val="3"/>
                <c:pt idx="0">
                  <c:v>17.455713266931962</c:v>
                </c:pt>
                <c:pt idx="1">
                  <c:v>17.0866698508705</c:v>
                </c:pt>
                <c:pt idx="2">
                  <c:v>17.406521492737443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D8-4006-89BE-E199D59968E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'Эксп. апрокс. МНК-МНМ'!$I$16:$K$16</c:f>
              <c:numCache>
                <c:formatCode>0</c:formatCode>
                <c:ptCount val="3"/>
                <c:pt idx="0">
                  <c:v>28.06176946317942</c:v>
                </c:pt>
                <c:pt idx="1">
                  <c:v>43.530686361278114</c:v>
                </c:pt>
                <c:pt idx="2">
                  <c:v>58.999603259376812</c:v>
                </c:pt>
              </c:numCache>
            </c:numRef>
          </c:xVal>
          <c:yVal>
            <c:numRef>
              <c:f>'Эксп. апрокс. МНК-МНМ'!$P$12:$R$12</c:f>
              <c:numCache>
                <c:formatCode>General</c:formatCode>
                <c:ptCount val="3"/>
                <c:pt idx="0">
                  <c:v>23.482844868809746</c:v>
                </c:pt>
                <c:pt idx="1">
                  <c:v>23.240950591877109</c:v>
                </c:pt>
                <c:pt idx="2">
                  <c:v>23.038602262908913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D8-4006-89BE-E199D59968E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'Эксп. апрокс. МНК-МНМ'!$I$16:$K$16</c:f>
              <c:numCache>
                <c:formatCode>0</c:formatCode>
                <c:ptCount val="3"/>
                <c:pt idx="0">
                  <c:v>28.06176946317942</c:v>
                </c:pt>
                <c:pt idx="1">
                  <c:v>43.530686361278114</c:v>
                </c:pt>
                <c:pt idx="2">
                  <c:v>58.999603259376812</c:v>
                </c:pt>
              </c:numCache>
            </c:numRef>
          </c:xVal>
          <c:yVal>
            <c:numRef>
              <c:f>'Эксп. апрокс. МНК-МНМ'!$M$13:$O$13</c:f>
              <c:numCache>
                <c:formatCode>General</c:formatCode>
                <c:ptCount val="3"/>
                <c:pt idx="0">
                  <c:v>20.366408344242025</c:v>
                </c:pt>
                <c:pt idx="1">
                  <c:v>20.394461067482691</c:v>
                </c:pt>
                <c:pt idx="2">
                  <c:v>20.395200883494894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D8-4006-89BE-E199D5996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700240"/>
        <c:axId val="1474707440"/>
      </c:scatterChart>
      <c:valAx>
        <c:axId val="147470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4707440"/>
        <c:crosses val="autoZero"/>
        <c:crossBetween val="midCat"/>
      </c:valAx>
      <c:valAx>
        <c:axId val="147470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470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'Эксп. апрокс. МНК-МНМ'!$B$23:$B$126</c:f>
              <c:numCache>
                <c:formatCode>General</c:formatCode>
                <c:ptCount val="104"/>
                <c:pt idx="0">
                  <c:v>7.3854487746818442</c:v>
                </c:pt>
                <c:pt idx="1">
                  <c:v>6.0483718375194551</c:v>
                </c:pt>
                <c:pt idx="2">
                  <c:v>3.3983886226996676</c:v>
                </c:pt>
                <c:pt idx="3">
                  <c:v>4.3007599108859527</c:v>
                </c:pt>
                <c:pt idx="4">
                  <c:v>1.8239997558519243</c:v>
                </c:pt>
                <c:pt idx="5">
                  <c:v>5.29871517075106</c:v>
                </c:pt>
                <c:pt idx="6">
                  <c:v>10.532029175695058</c:v>
                </c:pt>
                <c:pt idx="7">
                  <c:v>2.4890591143528549</c:v>
                </c:pt>
                <c:pt idx="8">
                  <c:v>1.7683339945677052</c:v>
                </c:pt>
                <c:pt idx="9">
                  <c:v>6.1201513718070011</c:v>
                </c:pt>
                <c:pt idx="10">
                  <c:v>5.5678884243293556</c:v>
                </c:pt>
                <c:pt idx="11">
                  <c:v>2.500411999877926</c:v>
                </c:pt>
                <c:pt idx="12">
                  <c:v>5.5246742149113439</c:v>
                </c:pt>
                <c:pt idx="13">
                  <c:v>10.036164433729057</c:v>
                </c:pt>
                <c:pt idx="14">
                  <c:v>12.603747672963653</c:v>
                </c:pt>
                <c:pt idx="15">
                  <c:v>8.0336619159520239</c:v>
                </c:pt>
                <c:pt idx="16">
                  <c:v>8.0256050294503609</c:v>
                </c:pt>
                <c:pt idx="17">
                  <c:v>8.1592761009552301</c:v>
                </c:pt>
                <c:pt idx="18">
                  <c:v>4.5662709433271278</c:v>
                </c:pt>
                <c:pt idx="19">
                  <c:v>3.5170445875423444</c:v>
                </c:pt>
                <c:pt idx="20">
                  <c:v>4.3608203375347143</c:v>
                </c:pt>
                <c:pt idx="21">
                  <c:v>8.1032441175572991</c:v>
                </c:pt>
                <c:pt idx="22">
                  <c:v>9.9717093417157496</c:v>
                </c:pt>
                <c:pt idx="23">
                  <c:v>7.3297830133976252</c:v>
                </c:pt>
                <c:pt idx="24">
                  <c:v>5.6081728568376725</c:v>
                </c:pt>
                <c:pt idx="25">
                  <c:v>11.983367412335582</c:v>
                </c:pt>
                <c:pt idx="26">
                  <c:v>6.4266792809839171</c:v>
                </c:pt>
                <c:pt idx="27">
                  <c:v>8.7986999114963211</c:v>
                </c:pt>
                <c:pt idx="28">
                  <c:v>7.3484603411969349</c:v>
                </c:pt>
                <c:pt idx="29">
                  <c:v>4.3751029999694815</c:v>
                </c:pt>
                <c:pt idx="30">
                  <c:v>12.247047334208197</c:v>
                </c:pt>
                <c:pt idx="31">
                  <c:v>6.8416089358195746</c:v>
                </c:pt>
                <c:pt idx="32">
                  <c:v>1.2329172643208106</c:v>
                </c:pt>
                <c:pt idx="33">
                  <c:v>3.1134678182317574</c:v>
                </c:pt>
                <c:pt idx="34">
                  <c:v>1.5683767204809718</c:v>
                </c:pt>
                <c:pt idx="35">
                  <c:v>2.1345561082796718</c:v>
                </c:pt>
                <c:pt idx="36">
                  <c:v>5.9798883022553175</c:v>
                </c:pt>
                <c:pt idx="37">
                  <c:v>3.7975707266457106</c:v>
                </c:pt>
                <c:pt idx="38">
                  <c:v>6.3248695333719898</c:v>
                </c:pt>
                <c:pt idx="39">
                  <c:v>4.6790673543504138</c:v>
                </c:pt>
                <c:pt idx="40">
                  <c:v>4.1784417249061558</c:v>
                </c:pt>
                <c:pt idx="41">
                  <c:v>2.8856776635029147</c:v>
                </c:pt>
                <c:pt idx="42">
                  <c:v>6.4687948240607929</c:v>
                </c:pt>
                <c:pt idx="43">
                  <c:v>4.6395153660695208</c:v>
                </c:pt>
                <c:pt idx="44">
                  <c:v>1.2695394756920071</c:v>
                </c:pt>
                <c:pt idx="45">
                  <c:v>2.2488174077578051</c:v>
                </c:pt>
                <c:pt idx="46">
                  <c:v>7.8077028717917418</c:v>
                </c:pt>
                <c:pt idx="47">
                  <c:v>4.3329874568926048</c:v>
                </c:pt>
                <c:pt idx="48">
                  <c:v>9.0828882717368078</c:v>
                </c:pt>
                <c:pt idx="49">
                  <c:v>12.059907834101383</c:v>
                </c:pt>
                <c:pt idx="50">
                  <c:v>4.8347117526779995</c:v>
                </c:pt>
                <c:pt idx="51">
                  <c:v>11.238837855159154</c:v>
                </c:pt>
                <c:pt idx="52">
                  <c:v>2.302285836359752</c:v>
                </c:pt>
                <c:pt idx="53">
                  <c:v>2.8959318826868499</c:v>
                </c:pt>
                <c:pt idx="54">
                  <c:v>11.925870540482803</c:v>
                </c:pt>
                <c:pt idx="55">
                  <c:v>5.9084749900814844</c:v>
                </c:pt>
                <c:pt idx="56">
                  <c:v>10.239051484725486</c:v>
                </c:pt>
                <c:pt idx="57">
                  <c:v>3.9261146885586111</c:v>
                </c:pt>
                <c:pt idx="58">
                  <c:v>4.2758568071535388</c:v>
                </c:pt>
                <c:pt idx="59">
                  <c:v>12.650990325632497</c:v>
                </c:pt>
                <c:pt idx="60">
                  <c:v>8.2797631763664654</c:v>
                </c:pt>
                <c:pt idx="61">
                  <c:v>10.057771538438063</c:v>
                </c:pt>
                <c:pt idx="62">
                  <c:v>11.959929197058017</c:v>
                </c:pt>
                <c:pt idx="63">
                  <c:v>10.860530411694693</c:v>
                </c:pt>
                <c:pt idx="64">
                  <c:v>11.393383587145603</c:v>
                </c:pt>
                <c:pt idx="65">
                  <c:v>2.9193700979644155</c:v>
                </c:pt>
                <c:pt idx="66">
                  <c:v>4.4750816370128481</c:v>
                </c:pt>
                <c:pt idx="67">
                  <c:v>6.8745689260536516</c:v>
                </c:pt>
                <c:pt idx="68">
                  <c:v>10.066194647053438</c:v>
                </c:pt>
                <c:pt idx="69">
                  <c:v>12.56053346354564</c:v>
                </c:pt>
                <c:pt idx="70">
                  <c:v>1.1626026184881131</c:v>
                </c:pt>
                <c:pt idx="71">
                  <c:v>4.2260505996887119</c:v>
                </c:pt>
                <c:pt idx="72">
                  <c:v>7.0408337656788849</c:v>
                </c:pt>
                <c:pt idx="73">
                  <c:v>8.725089266640218</c:v>
                </c:pt>
                <c:pt idx="74">
                  <c:v>8.8613238929410691</c:v>
                </c:pt>
                <c:pt idx="75">
                  <c:v>12.171239356669819</c:v>
                </c:pt>
                <c:pt idx="76">
                  <c:v>11.237372966704307</c:v>
                </c:pt>
                <c:pt idx="77">
                  <c:v>4.5999633777886295</c:v>
                </c:pt>
                <c:pt idx="78">
                  <c:v>6.1820429090243234</c:v>
                </c:pt>
                <c:pt idx="79">
                  <c:v>10.362102114932707</c:v>
                </c:pt>
                <c:pt idx="80">
                  <c:v>7.2239448225348681</c:v>
                </c:pt>
                <c:pt idx="81">
                  <c:v>5.8886989959410387</c:v>
                </c:pt>
                <c:pt idx="82">
                  <c:v>7.7795037690359212</c:v>
                </c:pt>
                <c:pt idx="83">
                  <c:v>9.549455244605852</c:v>
                </c:pt>
                <c:pt idx="84">
                  <c:v>8.6254768517105624</c:v>
                </c:pt>
                <c:pt idx="85">
                  <c:v>8.1006805627613137</c:v>
                </c:pt>
                <c:pt idx="86">
                  <c:v>7.9805597094637903</c:v>
                </c:pt>
                <c:pt idx="87">
                  <c:v>6.1758171330912202</c:v>
                </c:pt>
                <c:pt idx="88">
                  <c:v>9.8277840510269474</c:v>
                </c:pt>
                <c:pt idx="89">
                  <c:v>10.926816614276559</c:v>
                </c:pt>
                <c:pt idx="90">
                  <c:v>5.1654103213599054</c:v>
                </c:pt>
                <c:pt idx="91">
                  <c:v>6.750053407391583</c:v>
                </c:pt>
                <c:pt idx="92">
                  <c:v>4.3677785576952424</c:v>
                </c:pt>
                <c:pt idx="93">
                  <c:v>12.573351237525559</c:v>
                </c:pt>
                <c:pt idx="94">
                  <c:v>2.258705404828028</c:v>
                </c:pt>
                <c:pt idx="95">
                  <c:v>3.8623920407727286</c:v>
                </c:pt>
                <c:pt idx="96">
                  <c:v>4.3769341105380413</c:v>
                </c:pt>
                <c:pt idx="97">
                  <c:v>12.935178685872982</c:v>
                </c:pt>
                <c:pt idx="98">
                  <c:v>4.7160557878353222</c:v>
                </c:pt>
                <c:pt idx="99">
                  <c:v>7.7304300057985174</c:v>
                </c:pt>
                <c:pt idx="100">
                  <c:v>1.4522843104342784</c:v>
                </c:pt>
                <c:pt idx="101">
                  <c:v>12.476302377391889</c:v>
                </c:pt>
                <c:pt idx="102">
                  <c:v>7.3770256660664693</c:v>
                </c:pt>
                <c:pt idx="103">
                  <c:v>3.137272255623035</c:v>
                </c:pt>
              </c:numCache>
            </c:numRef>
          </c:xVal>
          <c:yVal>
            <c:numRef>
              <c:f>'Эксп. апрокс. МНК-МНМ'!$AD$23:$AD$124</c:f>
              <c:numCache>
                <c:formatCode>General</c:formatCode>
                <c:ptCount val="102"/>
                <c:pt idx="0">
                  <c:v>16.72337272868959</c:v>
                </c:pt>
                <c:pt idx="1">
                  <c:v>15.326805492158575</c:v>
                </c:pt>
                <c:pt idx="2">
                  <c:v>10.850330214724613</c:v>
                </c:pt>
                <c:pt idx="3">
                  <c:v>12.695853275070551</c:v>
                </c:pt>
                <c:pt idx="4">
                  <c:v>6.5255149282444087</c:v>
                </c:pt>
                <c:pt idx="5">
                  <c:v>14.32890433941008</c:v>
                </c:pt>
                <c:pt idx="6">
                  <c:v>18.699844885092556</c:v>
                </c:pt>
                <c:pt idx="7">
                  <c:v>8.5490467557289751</c:v>
                </c:pt>
                <c:pt idx="8">
                  <c:v>6.3413540677030635</c:v>
                </c:pt>
                <c:pt idx="9">
                  <c:v>15.413447365884092</c:v>
                </c:pt>
                <c:pt idx="10">
                  <c:v>14.707608424580018</c:v>
                </c:pt>
                <c:pt idx="11">
                  <c:v>8.580916404343947</c:v>
                </c:pt>
                <c:pt idx="12">
                  <c:v>14.648413155336053</c:v>
                </c:pt>
                <c:pt idx="13">
                  <c:v>18.476765247629761</c:v>
                </c:pt>
                <c:pt idx="14">
                  <c:v>19.395463194700611</c:v>
                </c:pt>
                <c:pt idx="15">
                  <c:v>17.257803313982361</c:v>
                </c:pt>
                <c:pt idx="16">
                  <c:v>17.251648210936676</c:v>
                </c:pt>
                <c:pt idx="17">
                  <c:v>17.352274092807217</c:v>
                </c:pt>
                <c:pt idx="18">
                  <c:v>13.168398203612021</c:v>
                </c:pt>
                <c:pt idx="19">
                  <c:v>11.115936630008743</c:v>
                </c:pt>
                <c:pt idx="20">
                  <c:v>12.805342643734873</c:v>
                </c:pt>
                <c:pt idx="21">
                  <c:v>17.310478602358515</c:v>
                </c:pt>
                <c:pt idx="22">
                  <c:v>18.445810946829255</c:v>
                </c:pt>
                <c:pt idx="23">
                  <c:v>16.673566556320417</c:v>
                </c:pt>
                <c:pt idx="24">
                  <c:v>14.762251376202595</c:v>
                </c:pt>
                <c:pt idx="25">
                  <c:v>19.221404732473918</c:v>
                </c:pt>
                <c:pt idx="26">
                  <c:v>15.767420581769848</c:v>
                </c:pt>
                <c:pt idx="27">
                  <c:v>17.79219986225986</c:v>
                </c:pt>
                <c:pt idx="28">
                  <c:v>16.690350559916872</c:v>
                </c:pt>
                <c:pt idx="29">
                  <c:v>12.83115296961874</c:v>
                </c:pt>
                <c:pt idx="30">
                  <c:v>19.298497077961208</c:v>
                </c:pt>
                <c:pt idx="31">
                  <c:v>16.207688282115853</c:v>
                </c:pt>
                <c:pt idx="32">
                  <c:v>4.4413070966232695</c:v>
                </c:pt>
                <c:pt idx="33">
                  <c:v>10.181453399459999</c:v>
                </c:pt>
                <c:pt idx="34">
                  <c:v>5.6595887256568336</c:v>
                </c:pt>
                <c:pt idx="35">
                  <c:v>7.5098532075141424</c:v>
                </c:pt>
                <c:pt idx="36">
                  <c:v>15.242767730606088</c:v>
                </c:pt>
                <c:pt idx="37">
                  <c:v>11.715183090224148</c:v>
                </c:pt>
                <c:pt idx="38">
                  <c:v>15.652670345285685</c:v>
                </c:pt>
                <c:pt idx="39">
                  <c:v>13.360389860332099</c:v>
                </c:pt>
                <c:pt idx="40">
                  <c:v>12.468030132952656</c:v>
                </c:pt>
                <c:pt idx="41">
                  <c:v>9.6135091836618898</c:v>
                </c:pt>
                <c:pt idx="42">
                  <c:v>15.81409183736255</c:v>
                </c:pt>
                <c:pt idx="43">
                  <c:v>13.293647046893227</c:v>
                </c:pt>
                <c:pt idx="44">
                  <c:v>4.5790277426885542</c:v>
                </c:pt>
                <c:pt idx="45">
                  <c:v>7.8543056800184505</c:v>
                </c:pt>
                <c:pt idx="46">
                  <c:v>17.080680502123499</c:v>
                </c:pt>
                <c:pt idx="47">
                  <c:v>12.754795876593853</c:v>
                </c:pt>
                <c:pt idx="48">
                  <c:v>17.967471166621458</c:v>
                </c:pt>
                <c:pt idx="49">
                  <c:v>19.244277375041072</c:v>
                </c:pt>
                <c:pt idx="50">
                  <c:v>13.617089935632986</c:v>
                </c:pt>
                <c:pt idx="51">
                  <c:v>18.976059124680656</c:v>
                </c:pt>
                <c:pt idx="52">
                  <c:v>8.0123407248042682</c:v>
                </c:pt>
                <c:pt idx="53">
                  <c:v>9.6397349686582263</c:v>
                </c:pt>
                <c:pt idx="54">
                  <c:v>19.203950094442835</c:v>
                </c:pt>
                <c:pt idx="55">
                  <c:v>15.153681463882313</c:v>
                </c:pt>
                <c:pt idx="56">
                  <c:v>18.571194192061846</c:v>
                </c:pt>
                <c:pt idx="57">
                  <c:v>11.976841851405368</c:v>
                </c:pt>
                <c:pt idx="58">
                  <c:v>12.649999815802623</c:v>
                </c:pt>
                <c:pt idx="59">
                  <c:v>19.407706569344455</c:v>
                </c:pt>
                <c:pt idx="60">
                  <c:v>17.440304466549769</c:v>
                </c:pt>
                <c:pt idx="61">
                  <c:v>18.487037424293902</c:v>
                </c:pt>
                <c:pt idx="62">
                  <c:v>19.214317944490453</c:v>
                </c:pt>
                <c:pt idx="63">
                  <c:v>18.833937583627232</c:v>
                </c:pt>
                <c:pt idx="64">
                  <c:v>19.030577924208842</c:v>
                </c:pt>
                <c:pt idx="65">
                  <c:v>9.6994427056932402</c:v>
                </c:pt>
                <c:pt idx="66">
                  <c:v>13.009418492732623</c:v>
                </c:pt>
                <c:pt idx="67">
                  <c:v>16.2408540366647</c:v>
                </c:pt>
                <c:pt idx="68">
                  <c:v>18.49102771578621</c:v>
                </c:pt>
                <c:pt idx="69">
                  <c:v>19.384144101705974</c:v>
                </c:pt>
                <c:pt idx="70">
                  <c:v>4.173535888141398</c:v>
                </c:pt>
                <c:pt idx="71">
                  <c:v>12.55748346833928</c:v>
                </c:pt>
                <c:pt idx="72">
                  <c:v>16.404293809987941</c:v>
                </c:pt>
                <c:pt idx="73">
                  <c:v>17.74485876483574</c:v>
                </c:pt>
                <c:pt idx="74">
                  <c:v>17.83183505678344</c:v>
                </c:pt>
                <c:pt idx="75">
                  <c:v>19.276820390553866</c:v>
                </c:pt>
                <c:pt idx="76">
                  <c:v>18.975532822051271</c:v>
                </c:pt>
                <c:pt idx="77">
                  <c:v>13.226280636081498</c:v>
                </c:pt>
                <c:pt idx="78">
                  <c:v>15.48698881008746</c:v>
                </c:pt>
                <c:pt idx="79">
                  <c:v>18.626308816516502</c:v>
                </c:pt>
                <c:pt idx="80">
                  <c:v>16.57705226736363</c:v>
                </c:pt>
                <c:pt idx="81">
                  <c:v>15.128745787613667</c:v>
                </c:pt>
                <c:pt idx="82">
                  <c:v>17.057908217111152</c:v>
                </c:pt>
                <c:pt idx="83">
                  <c:v>18.230997087687566</c:v>
                </c:pt>
                <c:pt idx="84">
                  <c:v>17.679476476550558</c:v>
                </c:pt>
                <c:pt idx="85">
                  <c:v>17.308553185907634</c:v>
                </c:pt>
                <c:pt idx="86">
                  <c:v>17.217019922835572</c:v>
                </c:pt>
                <c:pt idx="87">
                  <c:v>15.479639469250849</c:v>
                </c:pt>
                <c:pt idx="88">
                  <c:v>18.374974469268057</c:v>
                </c:pt>
                <c:pt idx="89">
                  <c:v>18.859762005121873</c:v>
                </c:pt>
                <c:pt idx="90">
                  <c:v>14.132292756267425</c:v>
                </c:pt>
                <c:pt idx="91">
                  <c:v>16.1142010701735</c:v>
                </c:pt>
                <c:pt idx="92">
                  <c:v>12.81792773294729</c:v>
                </c:pt>
                <c:pt idx="93">
                  <c:v>19.387513465817353</c:v>
                </c:pt>
                <c:pt idx="94">
                  <c:v>7.8836812758614787</c:v>
                </c:pt>
                <c:pt idx="95">
                  <c:v>11.848119107017737</c:v>
                </c:pt>
                <c:pt idx="96">
                  <c:v>12.834455721478527</c:v>
                </c:pt>
                <c:pt idx="97">
                  <c:v>19.478554875496695</c:v>
                </c:pt>
                <c:pt idx="98">
                  <c:v>13.422247582313855</c:v>
                </c:pt>
                <c:pt idx="99">
                  <c:v>17.017916716161057</c:v>
                </c:pt>
                <c:pt idx="100">
                  <c:v>5.2488062360221424</c:v>
                </c:pt>
                <c:pt idx="101">
                  <c:v>19.361748135550183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98-4049-9206-8BD889F1329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'Эксп. апрокс. МНК-МНМ'!$B$23:$B$126</c:f>
              <c:numCache>
                <c:formatCode>General</c:formatCode>
                <c:ptCount val="104"/>
                <c:pt idx="0">
                  <c:v>7.3854487746818442</c:v>
                </c:pt>
                <c:pt idx="1">
                  <c:v>6.0483718375194551</c:v>
                </c:pt>
                <c:pt idx="2">
                  <c:v>3.3983886226996676</c:v>
                </c:pt>
                <c:pt idx="3">
                  <c:v>4.3007599108859527</c:v>
                </c:pt>
                <c:pt idx="4">
                  <c:v>1.8239997558519243</c:v>
                </c:pt>
                <c:pt idx="5">
                  <c:v>5.29871517075106</c:v>
                </c:pt>
                <c:pt idx="6">
                  <c:v>10.532029175695058</c:v>
                </c:pt>
                <c:pt idx="7">
                  <c:v>2.4890591143528549</c:v>
                </c:pt>
                <c:pt idx="8">
                  <c:v>1.7683339945677052</c:v>
                </c:pt>
                <c:pt idx="9">
                  <c:v>6.1201513718070011</c:v>
                </c:pt>
                <c:pt idx="10">
                  <c:v>5.5678884243293556</c:v>
                </c:pt>
                <c:pt idx="11">
                  <c:v>2.500411999877926</c:v>
                </c:pt>
                <c:pt idx="12">
                  <c:v>5.5246742149113439</c:v>
                </c:pt>
                <c:pt idx="13">
                  <c:v>10.036164433729057</c:v>
                </c:pt>
                <c:pt idx="14">
                  <c:v>12.603747672963653</c:v>
                </c:pt>
                <c:pt idx="15">
                  <c:v>8.0336619159520239</c:v>
                </c:pt>
                <c:pt idx="16">
                  <c:v>8.0256050294503609</c:v>
                </c:pt>
                <c:pt idx="17">
                  <c:v>8.1592761009552301</c:v>
                </c:pt>
                <c:pt idx="18">
                  <c:v>4.5662709433271278</c:v>
                </c:pt>
                <c:pt idx="19">
                  <c:v>3.5170445875423444</c:v>
                </c:pt>
                <c:pt idx="20">
                  <c:v>4.3608203375347143</c:v>
                </c:pt>
                <c:pt idx="21">
                  <c:v>8.1032441175572991</c:v>
                </c:pt>
                <c:pt idx="22">
                  <c:v>9.9717093417157496</c:v>
                </c:pt>
                <c:pt idx="23">
                  <c:v>7.3297830133976252</c:v>
                </c:pt>
                <c:pt idx="24">
                  <c:v>5.6081728568376725</c:v>
                </c:pt>
                <c:pt idx="25">
                  <c:v>11.983367412335582</c:v>
                </c:pt>
                <c:pt idx="26">
                  <c:v>6.4266792809839171</c:v>
                </c:pt>
                <c:pt idx="27">
                  <c:v>8.7986999114963211</c:v>
                </c:pt>
                <c:pt idx="28">
                  <c:v>7.3484603411969349</c:v>
                </c:pt>
                <c:pt idx="29">
                  <c:v>4.3751029999694815</c:v>
                </c:pt>
                <c:pt idx="30">
                  <c:v>12.247047334208197</c:v>
                </c:pt>
                <c:pt idx="31">
                  <c:v>6.8416089358195746</c:v>
                </c:pt>
                <c:pt idx="32">
                  <c:v>1.2329172643208106</c:v>
                </c:pt>
                <c:pt idx="33">
                  <c:v>3.1134678182317574</c:v>
                </c:pt>
                <c:pt idx="34">
                  <c:v>1.5683767204809718</c:v>
                </c:pt>
                <c:pt idx="35">
                  <c:v>2.1345561082796718</c:v>
                </c:pt>
                <c:pt idx="36">
                  <c:v>5.9798883022553175</c:v>
                </c:pt>
                <c:pt idx="37">
                  <c:v>3.7975707266457106</c:v>
                </c:pt>
                <c:pt idx="38">
                  <c:v>6.3248695333719898</c:v>
                </c:pt>
                <c:pt idx="39">
                  <c:v>4.6790673543504138</c:v>
                </c:pt>
                <c:pt idx="40">
                  <c:v>4.1784417249061558</c:v>
                </c:pt>
                <c:pt idx="41">
                  <c:v>2.8856776635029147</c:v>
                </c:pt>
                <c:pt idx="42">
                  <c:v>6.4687948240607929</c:v>
                </c:pt>
                <c:pt idx="43">
                  <c:v>4.6395153660695208</c:v>
                </c:pt>
                <c:pt idx="44">
                  <c:v>1.2695394756920071</c:v>
                </c:pt>
                <c:pt idx="45">
                  <c:v>2.2488174077578051</c:v>
                </c:pt>
                <c:pt idx="46">
                  <c:v>7.8077028717917418</c:v>
                </c:pt>
                <c:pt idx="47">
                  <c:v>4.3329874568926048</c:v>
                </c:pt>
                <c:pt idx="48">
                  <c:v>9.0828882717368078</c:v>
                </c:pt>
                <c:pt idx="49">
                  <c:v>12.059907834101383</c:v>
                </c:pt>
                <c:pt idx="50">
                  <c:v>4.8347117526779995</c:v>
                </c:pt>
                <c:pt idx="51">
                  <c:v>11.238837855159154</c:v>
                </c:pt>
                <c:pt idx="52">
                  <c:v>2.302285836359752</c:v>
                </c:pt>
                <c:pt idx="53">
                  <c:v>2.8959318826868499</c:v>
                </c:pt>
                <c:pt idx="54">
                  <c:v>11.925870540482803</c:v>
                </c:pt>
                <c:pt idx="55">
                  <c:v>5.9084749900814844</c:v>
                </c:pt>
                <c:pt idx="56">
                  <c:v>10.239051484725486</c:v>
                </c:pt>
                <c:pt idx="57">
                  <c:v>3.9261146885586111</c:v>
                </c:pt>
                <c:pt idx="58">
                  <c:v>4.2758568071535388</c:v>
                </c:pt>
                <c:pt idx="59">
                  <c:v>12.650990325632497</c:v>
                </c:pt>
                <c:pt idx="60">
                  <c:v>8.2797631763664654</c:v>
                </c:pt>
                <c:pt idx="61">
                  <c:v>10.057771538438063</c:v>
                </c:pt>
                <c:pt idx="62">
                  <c:v>11.959929197058017</c:v>
                </c:pt>
                <c:pt idx="63">
                  <c:v>10.860530411694693</c:v>
                </c:pt>
                <c:pt idx="64">
                  <c:v>11.393383587145603</c:v>
                </c:pt>
                <c:pt idx="65">
                  <c:v>2.9193700979644155</c:v>
                </c:pt>
                <c:pt idx="66">
                  <c:v>4.4750816370128481</c:v>
                </c:pt>
                <c:pt idx="67">
                  <c:v>6.8745689260536516</c:v>
                </c:pt>
                <c:pt idx="68">
                  <c:v>10.066194647053438</c:v>
                </c:pt>
                <c:pt idx="69">
                  <c:v>12.56053346354564</c:v>
                </c:pt>
                <c:pt idx="70">
                  <c:v>1.1626026184881131</c:v>
                </c:pt>
                <c:pt idx="71">
                  <c:v>4.2260505996887119</c:v>
                </c:pt>
                <c:pt idx="72">
                  <c:v>7.0408337656788849</c:v>
                </c:pt>
                <c:pt idx="73">
                  <c:v>8.725089266640218</c:v>
                </c:pt>
                <c:pt idx="74">
                  <c:v>8.8613238929410691</c:v>
                </c:pt>
                <c:pt idx="75">
                  <c:v>12.171239356669819</c:v>
                </c:pt>
                <c:pt idx="76">
                  <c:v>11.237372966704307</c:v>
                </c:pt>
                <c:pt idx="77">
                  <c:v>4.5999633777886295</c:v>
                </c:pt>
                <c:pt idx="78">
                  <c:v>6.1820429090243234</c:v>
                </c:pt>
                <c:pt idx="79">
                  <c:v>10.362102114932707</c:v>
                </c:pt>
                <c:pt idx="80">
                  <c:v>7.2239448225348681</c:v>
                </c:pt>
                <c:pt idx="81">
                  <c:v>5.8886989959410387</c:v>
                </c:pt>
                <c:pt idx="82">
                  <c:v>7.7795037690359212</c:v>
                </c:pt>
                <c:pt idx="83">
                  <c:v>9.549455244605852</c:v>
                </c:pt>
                <c:pt idx="84">
                  <c:v>8.6254768517105624</c:v>
                </c:pt>
                <c:pt idx="85">
                  <c:v>8.1006805627613137</c:v>
                </c:pt>
                <c:pt idx="86">
                  <c:v>7.9805597094637903</c:v>
                </c:pt>
                <c:pt idx="87">
                  <c:v>6.1758171330912202</c:v>
                </c:pt>
                <c:pt idx="88">
                  <c:v>9.8277840510269474</c:v>
                </c:pt>
                <c:pt idx="89">
                  <c:v>10.926816614276559</c:v>
                </c:pt>
                <c:pt idx="90">
                  <c:v>5.1654103213599054</c:v>
                </c:pt>
                <c:pt idx="91">
                  <c:v>6.750053407391583</c:v>
                </c:pt>
                <c:pt idx="92">
                  <c:v>4.3677785576952424</c:v>
                </c:pt>
                <c:pt idx="93">
                  <c:v>12.573351237525559</c:v>
                </c:pt>
                <c:pt idx="94">
                  <c:v>2.258705404828028</c:v>
                </c:pt>
                <c:pt idx="95">
                  <c:v>3.8623920407727286</c:v>
                </c:pt>
                <c:pt idx="96">
                  <c:v>4.3769341105380413</c:v>
                </c:pt>
                <c:pt idx="97">
                  <c:v>12.935178685872982</c:v>
                </c:pt>
                <c:pt idx="98">
                  <c:v>4.7160557878353222</c:v>
                </c:pt>
                <c:pt idx="99">
                  <c:v>7.7304300057985174</c:v>
                </c:pt>
                <c:pt idx="100">
                  <c:v>1.4522843104342784</c:v>
                </c:pt>
                <c:pt idx="101">
                  <c:v>12.476302377391889</c:v>
                </c:pt>
                <c:pt idx="102">
                  <c:v>7.3770256660664693</c:v>
                </c:pt>
                <c:pt idx="103">
                  <c:v>3.137272255623035</c:v>
                </c:pt>
              </c:numCache>
            </c:numRef>
          </c:xVal>
          <c:yVal>
            <c:numRef>
              <c:f>'Эксп. апрокс. МНК-МНМ'!$E$23:$E$126</c:f>
              <c:numCache>
                <c:formatCode>General</c:formatCode>
                <c:ptCount val="104"/>
                <c:pt idx="0">
                  <c:v>16.465446531026046</c:v>
                </c:pt>
                <c:pt idx="1">
                  <c:v>16.22713242761035</c:v>
                </c:pt>
                <c:pt idx="2">
                  <c:v>10.837233212519289</c:v>
                </c:pt>
                <c:pt idx="3">
                  <c:v>12.957968886564151</c:v>
                </c:pt>
                <c:pt idx="4">
                  <c:v>6.5255279311653807</c:v>
                </c:pt>
                <c:pt idx="5">
                  <c:v>14.626130667011134</c:v>
                </c:pt>
                <c:pt idx="6">
                  <c:v>17.948268700605198</c:v>
                </c:pt>
                <c:pt idx="7">
                  <c:v>8.5076173299289337</c:v>
                </c:pt>
                <c:pt idx="8">
                  <c:v>6.5191590421143477</c:v>
                </c:pt>
                <c:pt idx="9">
                  <c:v>14.669592034472721</c:v>
                </c:pt>
                <c:pt idx="10">
                  <c:v>12.85019328557344</c:v>
                </c:pt>
                <c:pt idx="11">
                  <c:v>7.0812058212628664</c:v>
                </c:pt>
                <c:pt idx="12">
                  <c:v>14.513301928132327</c:v>
                </c:pt>
                <c:pt idx="13">
                  <c:v>17.54405785173779</c:v>
                </c:pt>
                <c:pt idx="14">
                  <c:v>19.850977314135093</c:v>
                </c:pt>
                <c:pt idx="15">
                  <c:v>17.819549434013883</c:v>
                </c:pt>
                <c:pt idx="16">
                  <c:v>18.170104781402483</c:v>
                </c:pt>
                <c:pt idx="17">
                  <c:v>17.517335251702665</c:v>
                </c:pt>
                <c:pt idx="18">
                  <c:v>14.381954841567072</c:v>
                </c:pt>
                <c:pt idx="19">
                  <c:v>11.566605418559632</c:v>
                </c:pt>
                <c:pt idx="20">
                  <c:v>14.307125256286405</c:v>
                </c:pt>
                <c:pt idx="21">
                  <c:v>16.027156610709792</c:v>
                </c:pt>
                <c:pt idx="22">
                  <c:v>19.510151505086622</c:v>
                </c:pt>
                <c:pt idx="23">
                  <c:v>16.272380699729361</c:v>
                </c:pt>
                <c:pt idx="24">
                  <c:v>13.42642280589723</c:v>
                </c:pt>
                <c:pt idx="25">
                  <c:v>18.251838111960105</c:v>
                </c:pt>
                <c:pt idx="26">
                  <c:v>15.09514481042814</c:v>
                </c:pt>
                <c:pt idx="27">
                  <c:v>18.593849847041572</c:v>
                </c:pt>
                <c:pt idx="28">
                  <c:v>17.323685043382284</c:v>
                </c:pt>
                <c:pt idx="29">
                  <c:v>13.394554005729933</c:v>
                </c:pt>
                <c:pt idx="30">
                  <c:v>17.238422377504847</c:v>
                </c:pt>
                <c:pt idx="31">
                  <c:v>16.20876880749725</c:v>
                </c:pt>
                <c:pt idx="32">
                  <c:v>4.479073359816522</c:v>
                </c:pt>
                <c:pt idx="33">
                  <c:v>11.370601077985345</c:v>
                </c:pt>
                <c:pt idx="34">
                  <c:v>4.7443055685945055</c:v>
                </c:pt>
                <c:pt idx="35">
                  <c:v>7.815828763888943</c:v>
                </c:pt>
                <c:pt idx="36">
                  <c:v>14.987735620417082</c:v>
                </c:pt>
                <c:pt idx="37">
                  <c:v>11.891188705188634</c:v>
                </c:pt>
                <c:pt idx="38">
                  <c:v>15.50688074772679</c:v>
                </c:pt>
                <c:pt idx="39">
                  <c:v>13.260872649212988</c:v>
                </c:pt>
                <c:pt idx="40">
                  <c:v>12.908732196188923</c:v>
                </c:pt>
                <c:pt idx="41">
                  <c:v>11.847816262700107</c:v>
                </c:pt>
                <c:pt idx="42">
                  <c:v>16.722878477025262</c:v>
                </c:pt>
                <c:pt idx="43">
                  <c:v>12.761363172908927</c:v>
                </c:pt>
                <c:pt idx="44">
                  <c:v>3.6261141612443515</c:v>
                </c:pt>
                <c:pt idx="45">
                  <c:v>6.1696423331313888</c:v>
                </c:pt>
                <c:pt idx="46">
                  <c:v>17.109457634503073</c:v>
                </c:pt>
                <c:pt idx="47">
                  <c:v>12.465184148695803</c:v>
                </c:pt>
                <c:pt idx="48">
                  <c:v>17.21232641964075</c:v>
                </c:pt>
                <c:pt idx="49">
                  <c:v>19.837227176427053</c:v>
                </c:pt>
                <c:pt idx="50">
                  <c:v>13.643490061202662</c:v>
                </c:pt>
                <c:pt idx="51">
                  <c:v>19.840793248494744</c:v>
                </c:pt>
                <c:pt idx="52">
                  <c:v>7.1462383270284882</c:v>
                </c:pt>
                <c:pt idx="53">
                  <c:v>10.203500642540128</c:v>
                </c:pt>
                <c:pt idx="54">
                  <c:v>20.049654729123905</c:v>
                </c:pt>
                <c:pt idx="55">
                  <c:v>12.685674120841794</c:v>
                </c:pt>
                <c:pt idx="56">
                  <c:v>18.986254186817757</c:v>
                </c:pt>
                <c:pt idx="57">
                  <c:v>11.895991833725759</c:v>
                </c:pt>
                <c:pt idx="58">
                  <c:v>13.815548835888926</c:v>
                </c:pt>
                <c:pt idx="59">
                  <c:v>19.408108269517118</c:v>
                </c:pt>
                <c:pt idx="60">
                  <c:v>16.169287362552705</c:v>
                </c:pt>
                <c:pt idx="61">
                  <c:v>17.269023432865211</c:v>
                </c:pt>
                <c:pt idx="62">
                  <c:v>18.833620284246713</c:v>
                </c:pt>
                <c:pt idx="63">
                  <c:v>19.601724456120007</c:v>
                </c:pt>
                <c:pt idx="64">
                  <c:v>16.771173003600762</c:v>
                </c:pt>
                <c:pt idx="65">
                  <c:v>8.280036660434213</c:v>
                </c:pt>
                <c:pt idx="66">
                  <c:v>11.653878911795703</c:v>
                </c:pt>
                <c:pt idx="67">
                  <c:v>16.52388540206546</c:v>
                </c:pt>
                <c:pt idx="68">
                  <c:v>18.209856290562005</c:v>
                </c:pt>
                <c:pt idx="69">
                  <c:v>19.30649931795605</c:v>
                </c:pt>
                <c:pt idx="70">
                  <c:v>2.9612333992879361</c:v>
                </c:pt>
                <c:pt idx="71">
                  <c:v>13.315513582073486</c:v>
                </c:pt>
                <c:pt idx="72">
                  <c:v>15.525013273316089</c:v>
                </c:pt>
                <c:pt idx="73">
                  <c:v>18.146080478758531</c:v>
                </c:pt>
                <c:pt idx="74">
                  <c:v>17.973194461298014</c:v>
                </c:pt>
                <c:pt idx="75">
                  <c:v>18.947791218511945</c:v>
                </c:pt>
                <c:pt idx="76">
                  <c:v>21.217482277665219</c:v>
                </c:pt>
                <c:pt idx="77">
                  <c:v>13.982600490277786</c:v>
                </c:pt>
                <c:pt idx="78">
                  <c:v>14.61230619491911</c:v>
                </c:pt>
                <c:pt idx="79">
                  <c:v>19.634988312496858</c:v>
                </c:pt>
                <c:pt idx="80">
                  <c:v>17.894040150295371</c:v>
                </c:pt>
                <c:pt idx="81">
                  <c:v>15.040516541462932</c:v>
                </c:pt>
                <c:pt idx="82">
                  <c:v>16.544467684041742</c:v>
                </c:pt>
                <c:pt idx="83">
                  <c:v>19.872013948802586</c:v>
                </c:pt>
                <c:pt idx="84">
                  <c:v>19.095947761833781</c:v>
                </c:pt>
                <c:pt idx="85">
                  <c:v>16.996685675828065</c:v>
                </c:pt>
                <c:pt idx="86">
                  <c:v>15.314617080176632</c:v>
                </c:pt>
                <c:pt idx="87">
                  <c:v>14.279116486928061</c:v>
                </c:pt>
                <c:pt idx="88">
                  <c:v>17.966037840426672</c:v>
                </c:pt>
                <c:pt idx="89">
                  <c:v>18.071441012440289</c:v>
                </c:pt>
                <c:pt idx="90">
                  <c:v>15.108957838550598</c:v>
                </c:pt>
                <c:pt idx="91">
                  <c:v>16.318751885894589</c:v>
                </c:pt>
                <c:pt idx="92">
                  <c:v>12.62739857634921</c:v>
                </c:pt>
                <c:pt idx="93">
                  <c:v>20.007637155785282</c:v>
                </c:pt>
                <c:pt idx="94">
                  <c:v>8.4835191433103478</c:v>
                </c:pt>
                <c:pt idx="95">
                  <c:v>11.261317648617045</c:v>
                </c:pt>
                <c:pt idx="96">
                  <c:v>11.701445177662809</c:v>
                </c:pt>
                <c:pt idx="97">
                  <c:v>19.809092327949841</c:v>
                </c:pt>
                <c:pt idx="98">
                  <c:v>13.959839848142909</c:v>
                </c:pt>
                <c:pt idx="99">
                  <c:v>17.753893727375928</c:v>
                </c:pt>
                <c:pt idx="100">
                  <c:v>5.7353750298080781</c:v>
                </c:pt>
                <c:pt idx="101">
                  <c:v>18.701897959527063</c:v>
                </c:pt>
                <c:pt idx="102">
                  <c:v>18.43257304601763</c:v>
                </c:pt>
                <c:pt idx="103">
                  <c:v>9.1303669197864998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98-4049-9206-8BD889F13295}"/>
            </c:ext>
          </c:extLst>
        </c:ser>
        <c:ser>
          <c:idx val="2"/>
          <c:order val="2"/>
          <c:tx>
            <c:strRef>
              <c:f>'Эксп. апрокс. МНК-МНМ'!$D$23:$D$126</c:f>
              <c:strCache>
                <c:ptCount val="104"/>
                <c:pt idx="0">
                  <c:v>16,68044537</c:v>
                </c:pt>
                <c:pt idx="1">
                  <c:v>15,30891187</c:v>
                </c:pt>
                <c:pt idx="2">
                  <c:v>10,91374221</c:v>
                </c:pt>
                <c:pt idx="3">
                  <c:v>12,72558766</c:v>
                </c:pt>
                <c:pt idx="4">
                  <c:v>6,668470658</c:v>
                </c:pt>
                <c:pt idx="5">
                  <c:v>14,32901368</c:v>
                </c:pt>
                <c:pt idx="6">
                  <c:v>18,62195636</c:v>
                </c:pt>
                <c:pt idx="7">
                  <c:v>8,654689685</c:v>
                </c:pt>
                <c:pt idx="8">
                  <c:v>6,487712966</c:v>
                </c:pt>
                <c:pt idx="9">
                  <c:v>15,39399479</c:v>
                </c:pt>
                <c:pt idx="10">
                  <c:v>14,70087572</c:v>
                </c:pt>
                <c:pt idx="11">
                  <c:v>8,685972928</c:v>
                </c:pt>
                <c:pt idx="12">
                  <c:v>14,64274917</c:v>
                </c:pt>
                <c:pt idx="13">
                  <c:v>18,40278441</c:v>
                </c:pt>
                <c:pt idx="14">
                  <c:v>19,30548466</c:v>
                </c:pt>
                <c:pt idx="15">
                  <c:v>17,20535799</c:v>
                </c:pt>
                <c:pt idx="16">
                  <c:v>17,19931228</c:v>
                </c:pt>
                <c:pt idx="17">
                  <c:v>17,29815052</c:v>
                </c:pt>
                <c:pt idx="18">
                  <c:v>13,18954153</c:v>
                </c:pt>
                <c:pt idx="19">
                  <c:v>11,17449044</c:v>
                </c:pt>
                <c:pt idx="20">
                  <c:v>12,83308521</c:v>
                </c:pt>
                <c:pt idx="21">
                  <c:v>17,25709735</c:v>
                </c:pt>
                <c:pt idx="22">
                  <c:v>18,3723733</c:v>
                </c:pt>
                <c:pt idx="23">
                  <c:v>16,63152816</c:v>
                </c:pt>
                <c:pt idx="24">
                  <c:v>14,75453241</c:v>
                </c:pt>
                <c:pt idx="25">
                  <c:v>19,13443553</c:v>
                </c:pt>
                <c:pt idx="26">
                  <c:v>15,74160649</c:v>
                </c:pt>
                <c:pt idx="27">
                  <c:v>17,73027983</c:v>
                </c:pt>
                <c:pt idx="28">
                  <c:v>16,64801256</c:v>
                </c:pt>
                <c:pt idx="29">
                  <c:v>12,8584261</c:v>
                </c:pt>
                <c:pt idx="30">
                  <c:v>19,2101935</c:v>
                </c:pt>
                <c:pt idx="31">
                  <c:v>16,17397975</c:v>
                </c:pt>
                <c:pt idx="32">
                  <c:v>4,622842453</c:v>
                </c:pt>
                <c:pt idx="33">
                  <c:v>10,25711519</c:v>
                </c:pt>
                <c:pt idx="34">
                  <c:v>5,818556126</c:v>
                </c:pt>
                <c:pt idx="35">
                  <c:v>7,634639259</c:v>
                </c:pt>
                <c:pt idx="36">
                  <c:v>15,22638687</c:v>
                </c:pt>
                <c:pt idx="37">
                  <c:v>11,7627896</c:v>
                </c:pt>
                <c:pt idx="38">
                  <c:v>15,62891716</c:v>
                </c:pt>
                <c:pt idx="39">
                  <c:v>13,37804685</c:v>
                </c:pt>
                <c:pt idx="40">
                  <c:v>12,50191142</c:v>
                </c:pt>
                <c:pt idx="41">
                  <c:v>9,699588765</c:v>
                </c:pt>
                <c:pt idx="42">
                  <c:v>15,78743991</c:v>
                </c:pt>
                <c:pt idx="43">
                  <c:v>13,31251573</c:v>
                </c:pt>
                <c:pt idx="44">
                  <c:v>4,758009606</c:v>
                </c:pt>
                <c:pt idx="45">
                  <c:v>7,972741921</c:v>
                </c:pt>
                <c:pt idx="46">
                  <c:v>17,03138527</c:v>
                </c:pt>
                <c:pt idx="47">
                  <c:v>12,78345789</c:v>
                </c:pt>
                <c:pt idx="48">
                  <c:v>17,90245426</c:v>
                </c:pt>
                <c:pt idx="49">
                  <c:v>19,15691203</c:v>
                </c:pt>
                <c:pt idx="50">
                  <c:v>13,63008946</c:v>
                </c:pt>
                <c:pt idx="51">
                  <c:v>18,89335085</c:v>
                </c:pt>
                <c:pt idx="52">
                  <c:v>8,127865175</c:v>
                </c:pt>
                <c:pt idx="53">
                  <c:v>9,72533317</c:v>
                </c:pt>
                <c:pt idx="54">
                  <c:v>19,11728332</c:v>
                </c:pt>
                <c:pt idx="55">
                  <c:v>15,13890494</c:v>
                </c:pt>
                <c:pt idx="56">
                  <c:v>18,49555771</c:v>
                </c:pt>
                <c:pt idx="57">
                  <c:v>12,01967436</c:v>
                </c:pt>
                <c:pt idx="58">
                  <c:v>12,68056858</c:v>
                </c:pt>
                <c:pt idx="59">
                  <c:v>19,31751683</c:v>
                </c:pt>
                <c:pt idx="60">
                  <c:v>17,38461829</c:v>
                </c:pt>
                <c:pt idx="61">
                  <c:v>18,41287637</c:v>
                </c:pt>
                <c:pt idx="62">
                  <c:v>19,12747152</c:v>
                </c:pt>
                <c:pt idx="63">
                  <c:v>18,75370647</c:v>
                </c:pt>
                <c:pt idx="64">
                  <c:v>18,94692106</c:v>
                </c:pt>
                <c:pt idx="65">
                  <c:v>9,783945074</c:v>
                </c:pt>
                <c:pt idx="66">
                  <c:v>13,03345054</c:v>
                </c:pt>
                <c:pt idx="67">
                  <c:v>16,20655167</c:v>
                </c:pt>
                <c:pt idx="68">
                  <c:v>18,41679667</c:v>
                </c:pt>
                <c:pt idx="69">
                  <c:v>19,29436088</c:v>
                </c:pt>
                <c:pt idx="70">
                  <c:v>4,360037646</c:v>
                </c:pt>
                <c:pt idx="71">
                  <c:v>12,58973612</c:v>
                </c:pt>
                <c:pt idx="72">
                  <c:v>16,36706685</c:v>
                </c:pt>
                <c:pt idx="73">
                  <c:v>17,68377616</c:v>
                </c:pt>
                <c:pt idx="74">
                  <c:v>17,76921422</c:v>
                </c:pt>
                <c:pt idx="75">
                  <c:v>19,18889178</c:v>
                </c:pt>
                <c:pt idx="76">
                  <c:v>18,89283371</c:v>
                </c:pt>
                <c:pt idx="77">
                  <c:v>13,24637263</c:v>
                </c:pt>
                <c:pt idx="78">
                  <c:v>15,46621356</c:v>
                </c:pt>
                <c:pt idx="79">
                  <c:v>18,54970703</c:v>
                </c:pt>
                <c:pt idx="80">
                  <c:v>16,5367374</c:v>
                </c:pt>
                <c:pt idx="81">
                  <c:v>15,11441846</c:v>
                </c:pt>
                <c:pt idx="82">
                  <c:v>17,00901831</c:v>
                </c:pt>
                <c:pt idx="83">
                  <c:v>18,16133506</c:v>
                </c:pt>
                <c:pt idx="84">
                  <c:v>17,61955108</c:v>
                </c:pt>
                <c:pt idx="85">
                  <c:v>17,25520614</c:v>
                </c:pt>
                <c:pt idx="86">
                  <c:v>17,16529952</c:v>
                </c:pt>
                <c:pt idx="87">
                  <c:v>15,45899638</c:v>
                </c:pt>
                <c:pt idx="88">
                  <c:v>18,30278072</c:v>
                </c:pt>
                <c:pt idx="89">
                  <c:v>18,77908033</c:v>
                </c:pt>
                <c:pt idx="90">
                  <c:v>14,13595875</c:v>
                </c:pt>
                <c:pt idx="91">
                  <c:v>16,08216711</c:v>
                </c:pt>
                <c:pt idx="92">
                  <c:v>12,8454414</c:v>
                </c:pt>
                <c:pt idx="93">
                  <c:v>19,2976721</c:v>
                </c:pt>
                <c:pt idx="94">
                  <c:v>8,0015762</c:v>
                </c:pt>
                <c:pt idx="95">
                  <c:v>11,8932997</c:v>
                </c:pt>
                <c:pt idx="96">
                  <c:v>12,86166879</c:v>
                </c:pt>
                <c:pt idx="97">
                  <c:v>19,38714429</c:v>
                </c:pt>
                <c:pt idx="98">
                  <c:v>13,43878184</c:v>
                </c:pt>
                <c:pt idx="99">
                  <c:v>16,96973879</c:v>
                </c:pt>
                <c:pt idx="100">
                  <c:v>5,415377943</c:v>
                </c:pt>
                <c:pt idx="101">
                  <c:v>19,27235153</c:v>
                </c:pt>
                <c:pt idx="102">
                  <c:v>16,67308445</c:v>
                </c:pt>
                <c:pt idx="103">
                  <c:v>10,31367364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'Эксп. апрокс. МНК-МНМ'!$B$23:$B$126</c:f>
              <c:numCache>
                <c:formatCode>General</c:formatCode>
                <c:ptCount val="104"/>
                <c:pt idx="0">
                  <c:v>7.3854487746818442</c:v>
                </c:pt>
                <c:pt idx="1">
                  <c:v>6.0483718375194551</c:v>
                </c:pt>
                <c:pt idx="2">
                  <c:v>3.3983886226996676</c:v>
                </c:pt>
                <c:pt idx="3">
                  <c:v>4.3007599108859527</c:v>
                </c:pt>
                <c:pt idx="4">
                  <c:v>1.8239997558519243</c:v>
                </c:pt>
                <c:pt idx="5">
                  <c:v>5.29871517075106</c:v>
                </c:pt>
                <c:pt idx="6">
                  <c:v>10.532029175695058</c:v>
                </c:pt>
                <c:pt idx="7">
                  <c:v>2.4890591143528549</c:v>
                </c:pt>
                <c:pt idx="8">
                  <c:v>1.7683339945677052</c:v>
                </c:pt>
                <c:pt idx="9">
                  <c:v>6.1201513718070011</c:v>
                </c:pt>
                <c:pt idx="10">
                  <c:v>5.5678884243293556</c:v>
                </c:pt>
                <c:pt idx="11">
                  <c:v>2.500411999877926</c:v>
                </c:pt>
                <c:pt idx="12">
                  <c:v>5.5246742149113439</c:v>
                </c:pt>
                <c:pt idx="13">
                  <c:v>10.036164433729057</c:v>
                </c:pt>
                <c:pt idx="14">
                  <c:v>12.603747672963653</c:v>
                </c:pt>
                <c:pt idx="15">
                  <c:v>8.0336619159520239</c:v>
                </c:pt>
                <c:pt idx="16">
                  <c:v>8.0256050294503609</c:v>
                </c:pt>
                <c:pt idx="17">
                  <c:v>8.1592761009552301</c:v>
                </c:pt>
                <c:pt idx="18">
                  <c:v>4.5662709433271278</c:v>
                </c:pt>
                <c:pt idx="19">
                  <c:v>3.5170445875423444</c:v>
                </c:pt>
                <c:pt idx="20">
                  <c:v>4.3608203375347143</c:v>
                </c:pt>
                <c:pt idx="21">
                  <c:v>8.1032441175572991</c:v>
                </c:pt>
                <c:pt idx="22">
                  <c:v>9.9717093417157496</c:v>
                </c:pt>
                <c:pt idx="23">
                  <c:v>7.3297830133976252</c:v>
                </c:pt>
                <c:pt idx="24">
                  <c:v>5.6081728568376725</c:v>
                </c:pt>
                <c:pt idx="25">
                  <c:v>11.983367412335582</c:v>
                </c:pt>
                <c:pt idx="26">
                  <c:v>6.4266792809839171</c:v>
                </c:pt>
                <c:pt idx="27">
                  <c:v>8.7986999114963211</c:v>
                </c:pt>
                <c:pt idx="28">
                  <c:v>7.3484603411969349</c:v>
                </c:pt>
                <c:pt idx="29">
                  <c:v>4.3751029999694815</c:v>
                </c:pt>
                <c:pt idx="30">
                  <c:v>12.247047334208197</c:v>
                </c:pt>
                <c:pt idx="31">
                  <c:v>6.8416089358195746</c:v>
                </c:pt>
                <c:pt idx="32">
                  <c:v>1.2329172643208106</c:v>
                </c:pt>
                <c:pt idx="33">
                  <c:v>3.1134678182317574</c:v>
                </c:pt>
                <c:pt idx="34">
                  <c:v>1.5683767204809718</c:v>
                </c:pt>
                <c:pt idx="35">
                  <c:v>2.1345561082796718</c:v>
                </c:pt>
                <c:pt idx="36">
                  <c:v>5.9798883022553175</c:v>
                </c:pt>
                <c:pt idx="37">
                  <c:v>3.7975707266457106</c:v>
                </c:pt>
                <c:pt idx="38">
                  <c:v>6.3248695333719898</c:v>
                </c:pt>
                <c:pt idx="39">
                  <c:v>4.6790673543504138</c:v>
                </c:pt>
                <c:pt idx="40">
                  <c:v>4.1784417249061558</c:v>
                </c:pt>
                <c:pt idx="41">
                  <c:v>2.8856776635029147</c:v>
                </c:pt>
                <c:pt idx="42">
                  <c:v>6.4687948240607929</c:v>
                </c:pt>
                <c:pt idx="43">
                  <c:v>4.6395153660695208</c:v>
                </c:pt>
                <c:pt idx="44">
                  <c:v>1.2695394756920071</c:v>
                </c:pt>
                <c:pt idx="45">
                  <c:v>2.2488174077578051</c:v>
                </c:pt>
                <c:pt idx="46">
                  <c:v>7.8077028717917418</c:v>
                </c:pt>
                <c:pt idx="47">
                  <c:v>4.3329874568926048</c:v>
                </c:pt>
                <c:pt idx="48">
                  <c:v>9.0828882717368078</c:v>
                </c:pt>
                <c:pt idx="49">
                  <c:v>12.059907834101383</c:v>
                </c:pt>
                <c:pt idx="50">
                  <c:v>4.8347117526779995</c:v>
                </c:pt>
                <c:pt idx="51">
                  <c:v>11.238837855159154</c:v>
                </c:pt>
                <c:pt idx="52">
                  <c:v>2.302285836359752</c:v>
                </c:pt>
                <c:pt idx="53">
                  <c:v>2.8959318826868499</c:v>
                </c:pt>
                <c:pt idx="54">
                  <c:v>11.925870540482803</c:v>
                </c:pt>
                <c:pt idx="55">
                  <c:v>5.9084749900814844</c:v>
                </c:pt>
                <c:pt idx="56">
                  <c:v>10.239051484725486</c:v>
                </c:pt>
                <c:pt idx="57">
                  <c:v>3.9261146885586111</c:v>
                </c:pt>
                <c:pt idx="58">
                  <c:v>4.2758568071535388</c:v>
                </c:pt>
                <c:pt idx="59">
                  <c:v>12.650990325632497</c:v>
                </c:pt>
                <c:pt idx="60">
                  <c:v>8.2797631763664654</c:v>
                </c:pt>
                <c:pt idx="61">
                  <c:v>10.057771538438063</c:v>
                </c:pt>
                <c:pt idx="62">
                  <c:v>11.959929197058017</c:v>
                </c:pt>
                <c:pt idx="63">
                  <c:v>10.860530411694693</c:v>
                </c:pt>
                <c:pt idx="64">
                  <c:v>11.393383587145603</c:v>
                </c:pt>
                <c:pt idx="65">
                  <c:v>2.9193700979644155</c:v>
                </c:pt>
                <c:pt idx="66">
                  <c:v>4.4750816370128481</c:v>
                </c:pt>
                <c:pt idx="67">
                  <c:v>6.8745689260536516</c:v>
                </c:pt>
                <c:pt idx="68">
                  <c:v>10.066194647053438</c:v>
                </c:pt>
                <c:pt idx="69">
                  <c:v>12.56053346354564</c:v>
                </c:pt>
                <c:pt idx="70">
                  <c:v>1.1626026184881131</c:v>
                </c:pt>
                <c:pt idx="71">
                  <c:v>4.2260505996887119</c:v>
                </c:pt>
                <c:pt idx="72">
                  <c:v>7.0408337656788849</c:v>
                </c:pt>
                <c:pt idx="73">
                  <c:v>8.725089266640218</c:v>
                </c:pt>
                <c:pt idx="74">
                  <c:v>8.8613238929410691</c:v>
                </c:pt>
                <c:pt idx="75">
                  <c:v>12.171239356669819</c:v>
                </c:pt>
                <c:pt idx="76">
                  <c:v>11.237372966704307</c:v>
                </c:pt>
                <c:pt idx="77">
                  <c:v>4.5999633777886295</c:v>
                </c:pt>
                <c:pt idx="78">
                  <c:v>6.1820429090243234</c:v>
                </c:pt>
                <c:pt idx="79">
                  <c:v>10.362102114932707</c:v>
                </c:pt>
                <c:pt idx="80">
                  <c:v>7.2239448225348681</c:v>
                </c:pt>
                <c:pt idx="81">
                  <c:v>5.8886989959410387</c:v>
                </c:pt>
                <c:pt idx="82">
                  <c:v>7.7795037690359212</c:v>
                </c:pt>
                <c:pt idx="83">
                  <c:v>9.549455244605852</c:v>
                </c:pt>
                <c:pt idx="84">
                  <c:v>8.6254768517105624</c:v>
                </c:pt>
                <c:pt idx="85">
                  <c:v>8.1006805627613137</c:v>
                </c:pt>
                <c:pt idx="86">
                  <c:v>7.9805597094637903</c:v>
                </c:pt>
                <c:pt idx="87">
                  <c:v>6.1758171330912202</c:v>
                </c:pt>
                <c:pt idx="88">
                  <c:v>9.8277840510269474</c:v>
                </c:pt>
                <c:pt idx="89">
                  <c:v>10.926816614276559</c:v>
                </c:pt>
                <c:pt idx="90">
                  <c:v>5.1654103213599054</c:v>
                </c:pt>
                <c:pt idx="91">
                  <c:v>6.750053407391583</c:v>
                </c:pt>
                <c:pt idx="92">
                  <c:v>4.3677785576952424</c:v>
                </c:pt>
                <c:pt idx="93">
                  <c:v>12.573351237525559</c:v>
                </c:pt>
                <c:pt idx="94">
                  <c:v>2.258705404828028</c:v>
                </c:pt>
                <c:pt idx="95">
                  <c:v>3.8623920407727286</c:v>
                </c:pt>
                <c:pt idx="96">
                  <c:v>4.3769341105380413</c:v>
                </c:pt>
                <c:pt idx="97">
                  <c:v>12.935178685872982</c:v>
                </c:pt>
                <c:pt idx="98">
                  <c:v>4.7160557878353222</c:v>
                </c:pt>
                <c:pt idx="99">
                  <c:v>7.7304300057985174</c:v>
                </c:pt>
                <c:pt idx="100">
                  <c:v>1.4522843104342784</c:v>
                </c:pt>
                <c:pt idx="101">
                  <c:v>12.476302377391889</c:v>
                </c:pt>
                <c:pt idx="102">
                  <c:v>7.3770256660664693</c:v>
                </c:pt>
                <c:pt idx="103">
                  <c:v>3.137272255623035</c:v>
                </c:pt>
              </c:numCache>
            </c:numRef>
          </c:xVal>
          <c:yVal>
            <c:numRef>
              <c:f>'Эксп. апрокс. МНК-МНМ'!$D$23:$D$126</c:f>
              <c:numCache>
                <c:formatCode>General</c:formatCode>
                <c:ptCount val="104"/>
                <c:pt idx="0">
                  <c:v>16.680445366465278</c:v>
                </c:pt>
                <c:pt idx="1">
                  <c:v>15.308911866263596</c:v>
                </c:pt>
                <c:pt idx="2">
                  <c:v>10.913742214635413</c:v>
                </c:pt>
                <c:pt idx="3">
                  <c:v>12.725587659518489</c:v>
                </c:pt>
                <c:pt idx="4">
                  <c:v>6.6684706576984887</c:v>
                </c:pt>
                <c:pt idx="5">
                  <c:v>14.329013684490556</c:v>
                </c:pt>
                <c:pt idx="6">
                  <c:v>18.621956358539855</c:v>
                </c:pt>
                <c:pt idx="7">
                  <c:v>8.6546896846297905</c:v>
                </c:pt>
                <c:pt idx="8">
                  <c:v>6.4877129662294557</c:v>
                </c:pt>
                <c:pt idx="9">
                  <c:v>15.393994792056555</c:v>
                </c:pt>
                <c:pt idx="10">
                  <c:v>14.700875722824602</c:v>
                </c:pt>
                <c:pt idx="11">
                  <c:v>8.6859729281464944</c:v>
                </c:pt>
                <c:pt idx="12">
                  <c:v>14.642749166621648</c:v>
                </c:pt>
                <c:pt idx="13">
                  <c:v>18.402784405786218</c:v>
                </c:pt>
                <c:pt idx="14">
                  <c:v>19.305484656386156</c:v>
                </c:pt>
                <c:pt idx="15">
                  <c:v>17.205357989964874</c:v>
                </c:pt>
                <c:pt idx="16">
                  <c:v>17.199312277177505</c:v>
                </c:pt>
                <c:pt idx="17">
                  <c:v>17.298150520119048</c:v>
                </c:pt>
                <c:pt idx="18">
                  <c:v>13.18954153335816</c:v>
                </c:pt>
                <c:pt idx="19">
                  <c:v>11.174490438775958</c:v>
                </c:pt>
                <c:pt idx="20">
                  <c:v>12.833085208537192</c:v>
                </c:pt>
                <c:pt idx="21">
                  <c:v>17.257097349455112</c:v>
                </c:pt>
                <c:pt idx="22">
                  <c:v>18.372373298899316</c:v>
                </c:pt>
                <c:pt idx="23">
                  <c:v>16.631528161671604</c:v>
                </c:pt>
                <c:pt idx="24">
                  <c:v>14.754532407883236</c:v>
                </c:pt>
                <c:pt idx="25">
                  <c:v>19.134435527626859</c:v>
                </c:pt>
                <c:pt idx="26">
                  <c:v>15.741606490725735</c:v>
                </c:pt>
                <c:pt idx="27">
                  <c:v>17.730279833827659</c:v>
                </c:pt>
                <c:pt idx="28">
                  <c:v>16.648012560154072</c:v>
                </c:pt>
                <c:pt idx="29">
                  <c:v>12.858426104563373</c:v>
                </c:pt>
                <c:pt idx="30">
                  <c:v>19.210193500480475</c:v>
                </c:pt>
                <c:pt idx="31">
                  <c:v>16.173979751823879</c:v>
                </c:pt>
                <c:pt idx="32">
                  <c:v>4.6228424533006436</c:v>
                </c:pt>
                <c:pt idx="33">
                  <c:v>10.25711519159432</c:v>
                </c:pt>
                <c:pt idx="34">
                  <c:v>5.8185561258641165</c:v>
                </c:pt>
                <c:pt idx="35">
                  <c:v>7.6346392593533903</c:v>
                </c:pt>
                <c:pt idx="36">
                  <c:v>15.226386865330046</c:v>
                </c:pt>
                <c:pt idx="37">
                  <c:v>11.762789595675898</c:v>
                </c:pt>
                <c:pt idx="38">
                  <c:v>15.62891716270482</c:v>
                </c:pt>
                <c:pt idx="39">
                  <c:v>13.378046849033321</c:v>
                </c:pt>
                <c:pt idx="40">
                  <c:v>12.50191141521692</c:v>
                </c:pt>
                <c:pt idx="41">
                  <c:v>9.6995887649884569</c:v>
                </c:pt>
                <c:pt idx="42">
                  <c:v>15.787439914827353</c:v>
                </c:pt>
                <c:pt idx="43">
                  <c:v>13.31251572713143</c:v>
                </c:pt>
                <c:pt idx="44">
                  <c:v>4.7580096056388612</c:v>
                </c:pt>
                <c:pt idx="45">
                  <c:v>7.9727419214328759</c:v>
                </c:pt>
                <c:pt idx="46">
                  <c:v>17.031385265271346</c:v>
                </c:pt>
                <c:pt idx="47">
                  <c:v>12.78345789043218</c:v>
                </c:pt>
                <c:pt idx="48">
                  <c:v>17.902454256396567</c:v>
                </c:pt>
                <c:pt idx="49">
                  <c:v>19.156912033479397</c:v>
                </c:pt>
                <c:pt idx="50">
                  <c:v>13.630089456413598</c:v>
                </c:pt>
                <c:pt idx="51">
                  <c:v>18.893350851280779</c:v>
                </c:pt>
                <c:pt idx="52">
                  <c:v>8.1278651749903847</c:v>
                </c:pt>
                <c:pt idx="53">
                  <c:v>9.7253331704851025</c:v>
                </c:pt>
                <c:pt idx="54">
                  <c:v>19.117283323299581</c:v>
                </c:pt>
                <c:pt idx="55">
                  <c:v>15.138904944152586</c:v>
                </c:pt>
                <c:pt idx="56">
                  <c:v>18.495557711964722</c:v>
                </c:pt>
                <c:pt idx="57">
                  <c:v>12.01967436284386</c:v>
                </c:pt>
                <c:pt idx="58">
                  <c:v>12.680568582422275</c:v>
                </c:pt>
                <c:pt idx="59">
                  <c:v>19.317516827130319</c:v>
                </c:pt>
                <c:pt idx="60">
                  <c:v>17.384618286658082</c:v>
                </c:pt>
                <c:pt idx="61">
                  <c:v>18.412876373942076</c:v>
                </c:pt>
                <c:pt idx="62">
                  <c:v>19.127471517534982</c:v>
                </c:pt>
                <c:pt idx="63">
                  <c:v>18.753706470331306</c:v>
                </c:pt>
                <c:pt idx="64">
                  <c:v>18.946921058356576</c:v>
                </c:pt>
                <c:pt idx="65">
                  <c:v>9.7839450741351417</c:v>
                </c:pt>
                <c:pt idx="66">
                  <c:v>13.033450543238409</c:v>
                </c:pt>
                <c:pt idx="67">
                  <c:v>16.20655166652703</c:v>
                </c:pt>
                <c:pt idx="68">
                  <c:v>18.416796669111783</c:v>
                </c:pt>
                <c:pt idx="69">
                  <c:v>19.294360881113526</c:v>
                </c:pt>
                <c:pt idx="70">
                  <c:v>4.3600376458041623</c:v>
                </c:pt>
                <c:pt idx="71">
                  <c:v>12.589736120589837</c:v>
                </c:pt>
                <c:pt idx="72">
                  <c:v>16.367066853581186</c:v>
                </c:pt>
                <c:pt idx="73">
                  <c:v>17.683776162940717</c:v>
                </c:pt>
                <c:pt idx="74">
                  <c:v>17.769214219636847</c:v>
                </c:pt>
                <c:pt idx="75">
                  <c:v>19.188891775349141</c:v>
                </c:pt>
                <c:pt idx="76">
                  <c:v>18.892833710614653</c:v>
                </c:pt>
                <c:pt idx="77">
                  <c:v>13.246372631250747</c:v>
                </c:pt>
                <c:pt idx="78">
                  <c:v>15.466213562262562</c:v>
                </c:pt>
                <c:pt idx="79">
                  <c:v>18.549707025218925</c:v>
                </c:pt>
                <c:pt idx="80">
                  <c:v>16.536737398077303</c:v>
                </c:pt>
                <c:pt idx="81">
                  <c:v>15.114418460661506</c:v>
                </c:pt>
                <c:pt idx="82">
                  <c:v>17.00901830575043</c:v>
                </c:pt>
                <c:pt idx="83">
                  <c:v>18.161335063775454</c:v>
                </c:pt>
                <c:pt idx="84">
                  <c:v>17.61955107882774</c:v>
                </c:pt>
                <c:pt idx="85">
                  <c:v>17.255206136256117</c:v>
                </c:pt>
                <c:pt idx="86">
                  <c:v>17.165299517427794</c:v>
                </c:pt>
                <c:pt idx="87">
                  <c:v>15.458996379164326</c:v>
                </c:pt>
                <c:pt idx="88">
                  <c:v>18.302780718024149</c:v>
                </c:pt>
                <c:pt idx="89">
                  <c:v>18.779080326160706</c:v>
                </c:pt>
                <c:pt idx="90">
                  <c:v>14.135958747006491</c:v>
                </c:pt>
                <c:pt idx="91">
                  <c:v>16.082167110005987</c:v>
                </c:pt>
                <c:pt idx="92">
                  <c:v>12.845441398995177</c:v>
                </c:pt>
                <c:pt idx="93">
                  <c:v>19.297672099030503</c:v>
                </c:pt>
                <c:pt idx="94">
                  <c:v>8.0015762003522948</c:v>
                </c:pt>
                <c:pt idx="95">
                  <c:v>11.893299702926523</c:v>
                </c:pt>
                <c:pt idx="96">
                  <c:v>12.861668790060282</c:v>
                </c:pt>
                <c:pt idx="97">
                  <c:v>19.387144287611559</c:v>
                </c:pt>
                <c:pt idx="98">
                  <c:v>13.438781835072334</c:v>
                </c:pt>
                <c:pt idx="99">
                  <c:v>16.969738791777431</c:v>
                </c:pt>
                <c:pt idx="100">
                  <c:v>5.4153779433754625</c:v>
                </c:pt>
                <c:pt idx="101">
                  <c:v>19.272351533029976</c:v>
                </c:pt>
                <c:pt idx="102">
                  <c:v>16.673084449491387</c:v>
                </c:pt>
                <c:pt idx="103">
                  <c:v>10.313673642129372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98-4049-9206-8BD889F13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526160"/>
        <c:axId val="1473531920"/>
      </c:scatterChart>
      <c:valAx>
        <c:axId val="147352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3531920"/>
        <c:crosses val="autoZero"/>
        <c:crossBetween val="midCat"/>
      </c:valAx>
      <c:valAx>
        <c:axId val="147353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3526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'Эксп. апрокс. МНК-МНМ'!$B$23:$B$126</c:f>
              <c:numCache>
                <c:formatCode>General</c:formatCode>
                <c:ptCount val="104"/>
                <c:pt idx="0">
                  <c:v>7.3854487746818442</c:v>
                </c:pt>
                <c:pt idx="1">
                  <c:v>6.0483718375194551</c:v>
                </c:pt>
                <c:pt idx="2">
                  <c:v>3.3983886226996676</c:v>
                </c:pt>
                <c:pt idx="3">
                  <c:v>4.3007599108859527</c:v>
                </c:pt>
                <c:pt idx="4">
                  <c:v>1.8239997558519243</c:v>
                </c:pt>
                <c:pt idx="5">
                  <c:v>5.29871517075106</c:v>
                </c:pt>
                <c:pt idx="6">
                  <c:v>10.532029175695058</c:v>
                </c:pt>
                <c:pt idx="7">
                  <c:v>2.4890591143528549</c:v>
                </c:pt>
                <c:pt idx="8">
                  <c:v>1.7683339945677052</c:v>
                </c:pt>
                <c:pt idx="9">
                  <c:v>6.1201513718070011</c:v>
                </c:pt>
                <c:pt idx="10">
                  <c:v>5.5678884243293556</c:v>
                </c:pt>
                <c:pt idx="11">
                  <c:v>2.500411999877926</c:v>
                </c:pt>
                <c:pt idx="12">
                  <c:v>5.5246742149113439</c:v>
                </c:pt>
                <c:pt idx="13">
                  <c:v>10.036164433729057</c:v>
                </c:pt>
                <c:pt idx="14">
                  <c:v>12.603747672963653</c:v>
                </c:pt>
                <c:pt idx="15">
                  <c:v>8.0336619159520239</c:v>
                </c:pt>
                <c:pt idx="16">
                  <c:v>8.0256050294503609</c:v>
                </c:pt>
                <c:pt idx="17">
                  <c:v>8.1592761009552301</c:v>
                </c:pt>
                <c:pt idx="18">
                  <c:v>4.5662709433271278</c:v>
                </c:pt>
                <c:pt idx="19">
                  <c:v>3.5170445875423444</c:v>
                </c:pt>
                <c:pt idx="20">
                  <c:v>4.3608203375347143</c:v>
                </c:pt>
                <c:pt idx="21">
                  <c:v>8.1032441175572991</c:v>
                </c:pt>
                <c:pt idx="22">
                  <c:v>9.9717093417157496</c:v>
                </c:pt>
                <c:pt idx="23">
                  <c:v>7.3297830133976252</c:v>
                </c:pt>
                <c:pt idx="24">
                  <c:v>5.6081728568376725</c:v>
                </c:pt>
                <c:pt idx="25">
                  <c:v>11.983367412335582</c:v>
                </c:pt>
                <c:pt idx="26">
                  <c:v>6.4266792809839171</c:v>
                </c:pt>
                <c:pt idx="27">
                  <c:v>8.7986999114963211</c:v>
                </c:pt>
                <c:pt idx="28">
                  <c:v>7.3484603411969349</c:v>
                </c:pt>
                <c:pt idx="29">
                  <c:v>4.3751029999694815</c:v>
                </c:pt>
                <c:pt idx="30">
                  <c:v>12.247047334208197</c:v>
                </c:pt>
                <c:pt idx="31">
                  <c:v>6.8416089358195746</c:v>
                </c:pt>
                <c:pt idx="32">
                  <c:v>1.2329172643208106</c:v>
                </c:pt>
                <c:pt idx="33">
                  <c:v>3.1134678182317574</c:v>
                </c:pt>
                <c:pt idx="34">
                  <c:v>1.5683767204809718</c:v>
                </c:pt>
                <c:pt idx="35">
                  <c:v>2.1345561082796718</c:v>
                </c:pt>
                <c:pt idx="36">
                  <c:v>5.9798883022553175</c:v>
                </c:pt>
                <c:pt idx="37">
                  <c:v>3.7975707266457106</c:v>
                </c:pt>
                <c:pt idx="38">
                  <c:v>6.3248695333719898</c:v>
                </c:pt>
                <c:pt idx="39">
                  <c:v>4.6790673543504138</c:v>
                </c:pt>
                <c:pt idx="40">
                  <c:v>4.1784417249061558</c:v>
                </c:pt>
                <c:pt idx="41">
                  <c:v>2.8856776635029147</c:v>
                </c:pt>
                <c:pt idx="42">
                  <c:v>6.4687948240607929</c:v>
                </c:pt>
                <c:pt idx="43">
                  <c:v>4.6395153660695208</c:v>
                </c:pt>
                <c:pt idx="44">
                  <c:v>1.2695394756920071</c:v>
                </c:pt>
                <c:pt idx="45">
                  <c:v>2.2488174077578051</c:v>
                </c:pt>
                <c:pt idx="46">
                  <c:v>7.8077028717917418</c:v>
                </c:pt>
                <c:pt idx="47">
                  <c:v>4.3329874568926048</c:v>
                </c:pt>
                <c:pt idx="48">
                  <c:v>9.0828882717368078</c:v>
                </c:pt>
                <c:pt idx="49">
                  <c:v>12.059907834101383</c:v>
                </c:pt>
                <c:pt idx="50">
                  <c:v>4.8347117526779995</c:v>
                </c:pt>
                <c:pt idx="51">
                  <c:v>11.238837855159154</c:v>
                </c:pt>
                <c:pt idx="52">
                  <c:v>2.302285836359752</c:v>
                </c:pt>
                <c:pt idx="53">
                  <c:v>2.8959318826868499</c:v>
                </c:pt>
                <c:pt idx="54">
                  <c:v>11.925870540482803</c:v>
                </c:pt>
                <c:pt idx="55">
                  <c:v>5.9084749900814844</c:v>
                </c:pt>
                <c:pt idx="56">
                  <c:v>10.239051484725486</c:v>
                </c:pt>
                <c:pt idx="57">
                  <c:v>3.9261146885586111</c:v>
                </c:pt>
                <c:pt idx="58">
                  <c:v>4.2758568071535388</c:v>
                </c:pt>
                <c:pt idx="59">
                  <c:v>12.650990325632497</c:v>
                </c:pt>
                <c:pt idx="60">
                  <c:v>8.2797631763664654</c:v>
                </c:pt>
                <c:pt idx="61">
                  <c:v>10.057771538438063</c:v>
                </c:pt>
                <c:pt idx="62">
                  <c:v>11.959929197058017</c:v>
                </c:pt>
                <c:pt idx="63">
                  <c:v>10.860530411694693</c:v>
                </c:pt>
                <c:pt idx="64">
                  <c:v>11.393383587145603</c:v>
                </c:pt>
                <c:pt idx="65">
                  <c:v>2.9193700979644155</c:v>
                </c:pt>
                <c:pt idx="66">
                  <c:v>4.4750816370128481</c:v>
                </c:pt>
                <c:pt idx="67">
                  <c:v>6.8745689260536516</c:v>
                </c:pt>
                <c:pt idx="68">
                  <c:v>10.066194647053438</c:v>
                </c:pt>
                <c:pt idx="69">
                  <c:v>12.56053346354564</c:v>
                </c:pt>
                <c:pt idx="70">
                  <c:v>1.1626026184881131</c:v>
                </c:pt>
                <c:pt idx="71">
                  <c:v>4.2260505996887119</c:v>
                </c:pt>
                <c:pt idx="72">
                  <c:v>7.0408337656788849</c:v>
                </c:pt>
                <c:pt idx="73">
                  <c:v>8.725089266640218</c:v>
                </c:pt>
                <c:pt idx="74">
                  <c:v>8.8613238929410691</c:v>
                </c:pt>
                <c:pt idx="75">
                  <c:v>12.171239356669819</c:v>
                </c:pt>
                <c:pt idx="76">
                  <c:v>11.237372966704307</c:v>
                </c:pt>
                <c:pt idx="77">
                  <c:v>4.5999633777886295</c:v>
                </c:pt>
                <c:pt idx="78">
                  <c:v>6.1820429090243234</c:v>
                </c:pt>
                <c:pt idx="79">
                  <c:v>10.362102114932707</c:v>
                </c:pt>
                <c:pt idx="80">
                  <c:v>7.2239448225348681</c:v>
                </c:pt>
                <c:pt idx="81">
                  <c:v>5.8886989959410387</c:v>
                </c:pt>
                <c:pt idx="82">
                  <c:v>7.7795037690359212</c:v>
                </c:pt>
                <c:pt idx="83">
                  <c:v>9.549455244605852</c:v>
                </c:pt>
                <c:pt idx="84">
                  <c:v>8.6254768517105624</c:v>
                </c:pt>
                <c:pt idx="85">
                  <c:v>8.1006805627613137</c:v>
                </c:pt>
                <c:pt idx="86">
                  <c:v>7.9805597094637903</c:v>
                </c:pt>
                <c:pt idx="87">
                  <c:v>6.1758171330912202</c:v>
                </c:pt>
                <c:pt idx="88">
                  <c:v>9.8277840510269474</c:v>
                </c:pt>
                <c:pt idx="89">
                  <c:v>10.926816614276559</c:v>
                </c:pt>
                <c:pt idx="90">
                  <c:v>5.1654103213599054</c:v>
                </c:pt>
                <c:pt idx="91">
                  <c:v>6.750053407391583</c:v>
                </c:pt>
                <c:pt idx="92">
                  <c:v>4.3677785576952424</c:v>
                </c:pt>
                <c:pt idx="93">
                  <c:v>12.573351237525559</c:v>
                </c:pt>
                <c:pt idx="94">
                  <c:v>2.258705404828028</c:v>
                </c:pt>
                <c:pt idx="95">
                  <c:v>3.8623920407727286</c:v>
                </c:pt>
                <c:pt idx="96">
                  <c:v>4.3769341105380413</c:v>
                </c:pt>
                <c:pt idx="97">
                  <c:v>12.935178685872982</c:v>
                </c:pt>
                <c:pt idx="98">
                  <c:v>4.7160557878353222</c:v>
                </c:pt>
                <c:pt idx="99">
                  <c:v>7.7304300057985174</c:v>
                </c:pt>
                <c:pt idx="100">
                  <c:v>1.4522843104342784</c:v>
                </c:pt>
                <c:pt idx="101">
                  <c:v>12.476302377391889</c:v>
                </c:pt>
                <c:pt idx="102">
                  <c:v>7.3770256660664693</c:v>
                </c:pt>
                <c:pt idx="103">
                  <c:v>3.137272255623035</c:v>
                </c:pt>
              </c:numCache>
            </c:numRef>
          </c:xVal>
          <c:yVal>
            <c:numRef>
              <c:f>'Эксп. апрокс. МНК-МНМ'!$E$23:$E$126</c:f>
              <c:numCache>
                <c:formatCode>General</c:formatCode>
                <c:ptCount val="104"/>
                <c:pt idx="0">
                  <c:v>16.465446531026046</c:v>
                </c:pt>
                <c:pt idx="1">
                  <c:v>16.22713242761035</c:v>
                </c:pt>
                <c:pt idx="2">
                  <c:v>10.837233212519289</c:v>
                </c:pt>
                <c:pt idx="3">
                  <c:v>12.957968886564151</c:v>
                </c:pt>
                <c:pt idx="4">
                  <c:v>6.5255279311653807</c:v>
                </c:pt>
                <c:pt idx="5">
                  <c:v>14.626130667011134</c:v>
                </c:pt>
                <c:pt idx="6">
                  <c:v>17.948268700605198</c:v>
                </c:pt>
                <c:pt idx="7">
                  <c:v>8.5076173299289337</c:v>
                </c:pt>
                <c:pt idx="8">
                  <c:v>6.5191590421143477</c:v>
                </c:pt>
                <c:pt idx="9">
                  <c:v>14.669592034472721</c:v>
                </c:pt>
                <c:pt idx="10">
                  <c:v>12.85019328557344</c:v>
                </c:pt>
                <c:pt idx="11">
                  <c:v>7.0812058212628664</c:v>
                </c:pt>
                <c:pt idx="12">
                  <c:v>14.513301928132327</c:v>
                </c:pt>
                <c:pt idx="13">
                  <c:v>17.54405785173779</c:v>
                </c:pt>
                <c:pt idx="14">
                  <c:v>19.850977314135093</c:v>
                </c:pt>
                <c:pt idx="15">
                  <c:v>17.819549434013883</c:v>
                </c:pt>
                <c:pt idx="16">
                  <c:v>18.170104781402483</c:v>
                </c:pt>
                <c:pt idx="17">
                  <c:v>17.517335251702665</c:v>
                </c:pt>
                <c:pt idx="18">
                  <c:v>14.381954841567072</c:v>
                </c:pt>
                <c:pt idx="19">
                  <c:v>11.566605418559632</c:v>
                </c:pt>
                <c:pt idx="20">
                  <c:v>14.307125256286405</c:v>
                </c:pt>
                <c:pt idx="21">
                  <c:v>16.027156610709792</c:v>
                </c:pt>
                <c:pt idx="22">
                  <c:v>19.510151505086622</c:v>
                </c:pt>
                <c:pt idx="23">
                  <c:v>16.272380699729361</c:v>
                </c:pt>
                <c:pt idx="24">
                  <c:v>13.42642280589723</c:v>
                </c:pt>
                <c:pt idx="25">
                  <c:v>18.251838111960105</c:v>
                </c:pt>
                <c:pt idx="26">
                  <c:v>15.09514481042814</c:v>
                </c:pt>
                <c:pt idx="27">
                  <c:v>18.593849847041572</c:v>
                </c:pt>
                <c:pt idx="28">
                  <c:v>17.323685043382284</c:v>
                </c:pt>
                <c:pt idx="29">
                  <c:v>13.394554005729933</c:v>
                </c:pt>
                <c:pt idx="30">
                  <c:v>17.238422377504847</c:v>
                </c:pt>
                <c:pt idx="31">
                  <c:v>16.20876880749725</c:v>
                </c:pt>
                <c:pt idx="32">
                  <c:v>4.479073359816522</c:v>
                </c:pt>
                <c:pt idx="33">
                  <c:v>11.370601077985345</c:v>
                </c:pt>
                <c:pt idx="34">
                  <c:v>4.7443055685945055</c:v>
                </c:pt>
                <c:pt idx="35">
                  <c:v>7.815828763888943</c:v>
                </c:pt>
                <c:pt idx="36">
                  <c:v>14.987735620417082</c:v>
                </c:pt>
                <c:pt idx="37">
                  <c:v>11.891188705188634</c:v>
                </c:pt>
                <c:pt idx="38">
                  <c:v>15.50688074772679</c:v>
                </c:pt>
                <c:pt idx="39">
                  <c:v>13.260872649212988</c:v>
                </c:pt>
                <c:pt idx="40">
                  <c:v>12.908732196188923</c:v>
                </c:pt>
                <c:pt idx="41">
                  <c:v>11.847816262700107</c:v>
                </c:pt>
                <c:pt idx="42">
                  <c:v>16.722878477025262</c:v>
                </c:pt>
                <c:pt idx="43">
                  <c:v>12.761363172908927</c:v>
                </c:pt>
                <c:pt idx="44">
                  <c:v>3.6261141612443515</c:v>
                </c:pt>
                <c:pt idx="45">
                  <c:v>6.1696423331313888</c:v>
                </c:pt>
                <c:pt idx="46">
                  <c:v>17.109457634503073</c:v>
                </c:pt>
                <c:pt idx="47">
                  <c:v>12.465184148695803</c:v>
                </c:pt>
                <c:pt idx="48">
                  <c:v>17.21232641964075</c:v>
                </c:pt>
                <c:pt idx="49">
                  <c:v>19.837227176427053</c:v>
                </c:pt>
                <c:pt idx="50">
                  <c:v>13.643490061202662</c:v>
                </c:pt>
                <c:pt idx="51">
                  <c:v>19.840793248494744</c:v>
                </c:pt>
                <c:pt idx="52">
                  <c:v>7.1462383270284882</c:v>
                </c:pt>
                <c:pt idx="53">
                  <c:v>10.203500642540128</c:v>
                </c:pt>
                <c:pt idx="54">
                  <c:v>20.049654729123905</c:v>
                </c:pt>
                <c:pt idx="55">
                  <c:v>12.685674120841794</c:v>
                </c:pt>
                <c:pt idx="56">
                  <c:v>18.986254186817757</c:v>
                </c:pt>
                <c:pt idx="57">
                  <c:v>11.895991833725759</c:v>
                </c:pt>
                <c:pt idx="58">
                  <c:v>13.815548835888926</c:v>
                </c:pt>
                <c:pt idx="59">
                  <c:v>19.408108269517118</c:v>
                </c:pt>
                <c:pt idx="60">
                  <c:v>16.169287362552705</c:v>
                </c:pt>
                <c:pt idx="61">
                  <c:v>17.269023432865211</c:v>
                </c:pt>
                <c:pt idx="62">
                  <c:v>18.833620284246713</c:v>
                </c:pt>
                <c:pt idx="63">
                  <c:v>19.601724456120007</c:v>
                </c:pt>
                <c:pt idx="64">
                  <c:v>16.771173003600762</c:v>
                </c:pt>
                <c:pt idx="65">
                  <c:v>8.280036660434213</c:v>
                </c:pt>
                <c:pt idx="66">
                  <c:v>11.653878911795703</c:v>
                </c:pt>
                <c:pt idx="67">
                  <c:v>16.52388540206546</c:v>
                </c:pt>
                <c:pt idx="68">
                  <c:v>18.209856290562005</c:v>
                </c:pt>
                <c:pt idx="69">
                  <c:v>19.30649931795605</c:v>
                </c:pt>
                <c:pt idx="70">
                  <c:v>2.9612333992879361</c:v>
                </c:pt>
                <c:pt idx="71">
                  <c:v>13.315513582073486</c:v>
                </c:pt>
                <c:pt idx="72">
                  <c:v>15.525013273316089</c:v>
                </c:pt>
                <c:pt idx="73">
                  <c:v>18.146080478758531</c:v>
                </c:pt>
                <c:pt idx="74">
                  <c:v>17.973194461298014</c:v>
                </c:pt>
                <c:pt idx="75">
                  <c:v>18.947791218511945</c:v>
                </c:pt>
                <c:pt idx="76">
                  <c:v>21.217482277665219</c:v>
                </c:pt>
                <c:pt idx="77">
                  <c:v>13.982600490277786</c:v>
                </c:pt>
                <c:pt idx="78">
                  <c:v>14.61230619491911</c:v>
                </c:pt>
                <c:pt idx="79">
                  <c:v>19.634988312496858</c:v>
                </c:pt>
                <c:pt idx="80">
                  <c:v>17.894040150295371</c:v>
                </c:pt>
                <c:pt idx="81">
                  <c:v>15.040516541462932</c:v>
                </c:pt>
                <c:pt idx="82">
                  <c:v>16.544467684041742</c:v>
                </c:pt>
                <c:pt idx="83">
                  <c:v>19.872013948802586</c:v>
                </c:pt>
                <c:pt idx="84">
                  <c:v>19.095947761833781</c:v>
                </c:pt>
                <c:pt idx="85">
                  <c:v>16.996685675828065</c:v>
                </c:pt>
                <c:pt idx="86">
                  <c:v>15.314617080176632</c:v>
                </c:pt>
                <c:pt idx="87">
                  <c:v>14.279116486928061</c:v>
                </c:pt>
                <c:pt idx="88">
                  <c:v>17.966037840426672</c:v>
                </c:pt>
                <c:pt idx="89">
                  <c:v>18.071441012440289</c:v>
                </c:pt>
                <c:pt idx="90">
                  <c:v>15.108957838550598</c:v>
                </c:pt>
                <c:pt idx="91">
                  <c:v>16.318751885894589</c:v>
                </c:pt>
                <c:pt idx="92">
                  <c:v>12.62739857634921</c:v>
                </c:pt>
                <c:pt idx="93">
                  <c:v>20.007637155785282</c:v>
                </c:pt>
                <c:pt idx="94">
                  <c:v>8.4835191433103478</c:v>
                </c:pt>
                <c:pt idx="95">
                  <c:v>11.261317648617045</c:v>
                </c:pt>
                <c:pt idx="96">
                  <c:v>11.701445177662809</c:v>
                </c:pt>
                <c:pt idx="97">
                  <c:v>19.809092327949841</c:v>
                </c:pt>
                <c:pt idx="98">
                  <c:v>13.959839848142909</c:v>
                </c:pt>
                <c:pt idx="99">
                  <c:v>17.753893727375928</c:v>
                </c:pt>
                <c:pt idx="100">
                  <c:v>5.7353750298080781</c:v>
                </c:pt>
                <c:pt idx="101">
                  <c:v>18.701897959527063</c:v>
                </c:pt>
                <c:pt idx="102">
                  <c:v>18.43257304601763</c:v>
                </c:pt>
                <c:pt idx="103">
                  <c:v>9.1303669197864998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9C-4F14-B698-54506EE71767}"/>
            </c:ext>
          </c:extLst>
        </c:ser>
        <c:ser>
          <c:idx val="1"/>
          <c:order val="1"/>
          <c:tx>
            <c:strRef>
              <c:f>'Эксп. апрокс. МНК-МНМ'!$I$16:$K$16</c:f>
              <c:strCache>
                <c:ptCount val="1"/>
                <c:pt idx="0">
                  <c:v>28 44 59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'Эксп. апрокс. МНК-МНМ'!$I$16:$K$16</c:f>
              <c:numCache>
                <c:formatCode>0</c:formatCode>
                <c:ptCount val="3"/>
                <c:pt idx="0">
                  <c:v>28.06176946317942</c:v>
                </c:pt>
                <c:pt idx="1">
                  <c:v>43.530686361278114</c:v>
                </c:pt>
                <c:pt idx="2">
                  <c:v>58.999603259376812</c:v>
                </c:pt>
              </c:numCache>
            </c:numRef>
          </c:xVal>
          <c:yVal>
            <c:numRef>
              <c:f>'Эксп. апрокс. МНК-МНМ'!$AM$22:$AO$22</c:f>
              <c:numCache>
                <c:formatCode>General</c:formatCode>
                <c:ptCount val="3"/>
                <c:pt idx="0">
                  <c:v>17.638374537950337</c:v>
                </c:pt>
                <c:pt idx="1">
                  <c:v>17.275738886153476</c:v>
                </c:pt>
                <c:pt idx="2">
                  <c:v>17.606661437760067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9C-4F14-B698-54506EE7176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'Эксп. апрокс. МНК-МНМ'!$I$16:$K$16</c:f>
              <c:numCache>
                <c:formatCode>0</c:formatCode>
                <c:ptCount val="3"/>
                <c:pt idx="0">
                  <c:v>28.06176946317942</c:v>
                </c:pt>
                <c:pt idx="1">
                  <c:v>43.530686361278114</c:v>
                </c:pt>
                <c:pt idx="2">
                  <c:v>58.999603259376812</c:v>
                </c:pt>
              </c:numCache>
            </c:numRef>
          </c:xVal>
          <c:yVal>
            <c:numRef>
              <c:f>'Эксп. апрокс. МНК-МНМ'!$AM$23:$AO$23</c:f>
              <c:numCache>
                <c:formatCode>General</c:formatCode>
                <c:ptCount val="3"/>
                <c:pt idx="0">
                  <c:v>23.694542133352936</c:v>
                </c:pt>
                <c:pt idx="1">
                  <c:v>23.460488367925031</c:v>
                </c:pt>
                <c:pt idx="2">
                  <c:v>23.247624536887301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9C-4F14-B698-54506EE71767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'Эксп. апрокс. МНК-МНМ'!$I$16:$K$16</c:f>
              <c:numCache>
                <c:formatCode>0</c:formatCode>
                <c:ptCount val="3"/>
                <c:pt idx="0">
                  <c:v>28.06176946317942</c:v>
                </c:pt>
                <c:pt idx="1">
                  <c:v>43.530686361278114</c:v>
                </c:pt>
                <c:pt idx="2">
                  <c:v>58.999603259376812</c:v>
                </c:pt>
              </c:numCache>
            </c:numRef>
          </c:xVal>
          <c:yVal>
            <c:numRef>
              <c:f>'Эксп. апрокс. МНК-МНМ'!$AI$24:$AK$24</c:f>
              <c:numCache>
                <c:formatCode>General</c:formatCode>
                <c:ptCount val="3"/>
                <c:pt idx="0">
                  <c:v>18.470088132357713</c:v>
                </c:pt>
                <c:pt idx="1">
                  <c:v>17.948599977161749</c:v>
                </c:pt>
                <c:pt idx="2">
                  <c:v>18.045062695973211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9C-4F14-B698-54506EE71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700240"/>
        <c:axId val="1474707440"/>
      </c:scatterChart>
      <c:valAx>
        <c:axId val="147470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4707440"/>
        <c:crosses val="autoZero"/>
        <c:crossBetween val="midCat"/>
      </c:valAx>
      <c:valAx>
        <c:axId val="147470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470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49787782103445"/>
          <c:y val="0.13904948123095351"/>
          <c:w val="0.78941583974865581"/>
          <c:h val="0.6244853491674196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'Син. апрокс. МНК-МНМ'!$U$23:$U$32</c:f>
              <c:numCache>
                <c:formatCode>General</c:formatCode>
                <c:ptCount val="10"/>
                <c:pt idx="0">
                  <c:v>6</c:v>
                </c:pt>
                <c:pt idx="1">
                  <c:v>3</c:v>
                </c:pt>
                <c:pt idx="2">
                  <c:v>12</c:v>
                </c:pt>
                <c:pt idx="3">
                  <c:v>17</c:v>
                </c:pt>
                <c:pt idx="4">
                  <c:v>23</c:v>
                </c:pt>
                <c:pt idx="5">
                  <c:v>14</c:v>
                </c:pt>
                <c:pt idx="6">
                  <c:v>15</c:v>
                </c:pt>
                <c:pt idx="7">
                  <c:v>8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00-43E4-AC76-2A32A0086D38}"/>
            </c:ext>
          </c:extLst>
        </c:ser>
        <c:ser>
          <c:idx val="1"/>
          <c:order val="1"/>
          <c:invertIfNegative val="0"/>
          <c:val>
            <c:numRef>
              <c:f>'Син. апрокс. МНК-МНМ'!$U$36:$U$45</c:f>
              <c:numCache>
                <c:formatCode>General</c:formatCode>
                <c:ptCount val="10"/>
                <c:pt idx="0">
                  <c:v>6</c:v>
                </c:pt>
                <c:pt idx="1">
                  <c:v>7</c:v>
                </c:pt>
                <c:pt idx="2">
                  <c:v>9</c:v>
                </c:pt>
                <c:pt idx="3">
                  <c:v>19</c:v>
                </c:pt>
                <c:pt idx="4">
                  <c:v>18</c:v>
                </c:pt>
                <c:pt idx="5">
                  <c:v>19</c:v>
                </c:pt>
                <c:pt idx="6">
                  <c:v>13</c:v>
                </c:pt>
                <c:pt idx="7">
                  <c:v>6</c:v>
                </c:pt>
                <c:pt idx="8">
                  <c:v>4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00-43E4-AC76-2A32A0086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6993376"/>
        <c:axId val="1476987616"/>
      </c:barChart>
      <c:catAx>
        <c:axId val="1476993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6987616"/>
        <c:crosses val="autoZero"/>
        <c:auto val="1"/>
        <c:lblAlgn val="ctr"/>
        <c:lblOffset val="100"/>
        <c:noMultiLvlLbl val="0"/>
      </c:catAx>
      <c:valAx>
        <c:axId val="1476987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6993376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'Син. апрокс. МНК-МНМ'!$U$49:$U$58</c:f>
              <c:strCache>
                <c:ptCount val="10"/>
                <c:pt idx="0">
                  <c:v>4</c:v>
                </c:pt>
                <c:pt idx="1">
                  <c:v>8</c:v>
                </c:pt>
                <c:pt idx="2">
                  <c:v>18</c:v>
                </c:pt>
                <c:pt idx="3">
                  <c:v>18</c:v>
                </c:pt>
                <c:pt idx="4">
                  <c:v>20</c:v>
                </c:pt>
                <c:pt idx="5">
                  <c:v>20</c:v>
                </c:pt>
                <c:pt idx="6">
                  <c:v>10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</c:strCache>
            </c:strRef>
          </c:tx>
          <c:invertIfNegative val="0"/>
          <c:val>
            <c:numRef>
              <c:f>'Син. апрокс. МНК-МНМ'!$U$49:$U$58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18</c:v>
                </c:pt>
                <c:pt idx="3">
                  <c:v>18</c:v>
                </c:pt>
                <c:pt idx="4">
                  <c:v>20</c:v>
                </c:pt>
                <c:pt idx="5">
                  <c:v>20</c:v>
                </c:pt>
                <c:pt idx="6">
                  <c:v>10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34-4F3D-BC84-A1251A8E3863}"/>
            </c:ext>
          </c:extLst>
        </c:ser>
        <c:ser>
          <c:idx val="1"/>
          <c:order val="1"/>
          <c:invertIfNegative val="0"/>
          <c:val>
            <c:numRef>
              <c:f>'Син. апрокс. МНК-МНМ'!$U$62:$U$71</c:f>
              <c:numCache>
                <c:formatCode>General</c:formatCode>
                <c:ptCount val="10"/>
                <c:pt idx="0">
                  <c:v>14</c:v>
                </c:pt>
                <c:pt idx="1">
                  <c:v>15</c:v>
                </c:pt>
                <c:pt idx="2">
                  <c:v>20</c:v>
                </c:pt>
                <c:pt idx="3">
                  <c:v>19</c:v>
                </c:pt>
                <c:pt idx="4">
                  <c:v>20</c:v>
                </c:pt>
                <c:pt idx="5">
                  <c:v>8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34-4F3D-BC84-A1251A8E3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6982336"/>
        <c:axId val="1476980896"/>
      </c:barChart>
      <c:catAx>
        <c:axId val="1476982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6980896"/>
        <c:crosses val="autoZero"/>
        <c:auto val="1"/>
        <c:lblAlgn val="ctr"/>
        <c:lblOffset val="100"/>
        <c:noMultiLvlLbl val="0"/>
      </c:catAx>
      <c:valAx>
        <c:axId val="1476980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6982336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'Син. апрокс. МНК-МНМ'!$U$78:$U$87</c:f>
              <c:numCache>
                <c:formatCode>General</c:formatCode>
                <c:ptCount val="10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18</c:v>
                </c:pt>
                <c:pt idx="4">
                  <c:v>14</c:v>
                </c:pt>
                <c:pt idx="5">
                  <c:v>16</c:v>
                </c:pt>
                <c:pt idx="6">
                  <c:v>16</c:v>
                </c:pt>
                <c:pt idx="7">
                  <c:v>9</c:v>
                </c:pt>
                <c:pt idx="8">
                  <c:v>7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E6-4B00-925D-C6C872E0A990}"/>
            </c:ext>
          </c:extLst>
        </c:ser>
        <c:ser>
          <c:idx val="1"/>
          <c:order val="1"/>
          <c:invertIfNegative val="0"/>
          <c:val>
            <c:numRef>
              <c:f>'Син. апрокс. МНК-МНМ'!$U$91:$U$100</c:f>
              <c:numCache>
                <c:formatCode>General</c:formatCode>
                <c:ptCount val="10"/>
                <c:pt idx="0">
                  <c:v>2</c:v>
                </c:pt>
                <c:pt idx="1">
                  <c:v>9</c:v>
                </c:pt>
                <c:pt idx="2">
                  <c:v>8</c:v>
                </c:pt>
                <c:pt idx="3">
                  <c:v>14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11</c:v>
                </c:pt>
                <c:pt idx="8">
                  <c:v>8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E6-4B00-925D-C6C872E0A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6982336"/>
        <c:axId val="1476980896"/>
      </c:barChart>
      <c:catAx>
        <c:axId val="1476982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6980896"/>
        <c:crosses val="autoZero"/>
        <c:auto val="1"/>
        <c:lblAlgn val="ctr"/>
        <c:lblOffset val="100"/>
        <c:noMultiLvlLbl val="0"/>
      </c:catAx>
      <c:valAx>
        <c:axId val="1476980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6982336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'Син. апрокс. МНК-МНМ'!$B$23:$B$126</c:f>
              <c:numCache>
                <c:formatCode>General</c:formatCode>
                <c:ptCount val="104"/>
                <c:pt idx="0">
                  <c:v>7.3854487746818442</c:v>
                </c:pt>
                <c:pt idx="1">
                  <c:v>6.0483718375194551</c:v>
                </c:pt>
                <c:pt idx="2">
                  <c:v>3.3983886226996676</c:v>
                </c:pt>
                <c:pt idx="3">
                  <c:v>4.3007599108859527</c:v>
                </c:pt>
                <c:pt idx="4">
                  <c:v>1.8239997558519243</c:v>
                </c:pt>
                <c:pt idx="5">
                  <c:v>5.29871517075106</c:v>
                </c:pt>
                <c:pt idx="6">
                  <c:v>10.532029175695058</c:v>
                </c:pt>
                <c:pt idx="7">
                  <c:v>2.4890591143528549</c:v>
                </c:pt>
                <c:pt idx="8">
                  <c:v>1.7683339945677052</c:v>
                </c:pt>
                <c:pt idx="9">
                  <c:v>6.1201513718070011</c:v>
                </c:pt>
                <c:pt idx="10">
                  <c:v>5.5678884243293556</c:v>
                </c:pt>
                <c:pt idx="11">
                  <c:v>2.500411999877926</c:v>
                </c:pt>
                <c:pt idx="12">
                  <c:v>5.5246742149113439</c:v>
                </c:pt>
                <c:pt idx="13">
                  <c:v>10.036164433729057</c:v>
                </c:pt>
                <c:pt idx="14">
                  <c:v>12.603747672963653</c:v>
                </c:pt>
                <c:pt idx="15">
                  <c:v>8.0336619159520239</c:v>
                </c:pt>
                <c:pt idx="16">
                  <c:v>8.0256050294503609</c:v>
                </c:pt>
                <c:pt idx="17">
                  <c:v>8.1592761009552301</c:v>
                </c:pt>
                <c:pt idx="18">
                  <c:v>4.5662709433271278</c:v>
                </c:pt>
                <c:pt idx="19">
                  <c:v>3.5170445875423444</c:v>
                </c:pt>
                <c:pt idx="20">
                  <c:v>4.3608203375347143</c:v>
                </c:pt>
                <c:pt idx="21">
                  <c:v>8.1032441175572991</c:v>
                </c:pt>
                <c:pt idx="22">
                  <c:v>9.9717093417157496</c:v>
                </c:pt>
                <c:pt idx="23">
                  <c:v>7.3297830133976252</c:v>
                </c:pt>
                <c:pt idx="24">
                  <c:v>5.6081728568376725</c:v>
                </c:pt>
                <c:pt idx="25">
                  <c:v>11.983367412335582</c:v>
                </c:pt>
                <c:pt idx="26">
                  <c:v>6.4266792809839171</c:v>
                </c:pt>
                <c:pt idx="27">
                  <c:v>8.7986999114963211</c:v>
                </c:pt>
                <c:pt idx="28">
                  <c:v>7.3484603411969349</c:v>
                </c:pt>
                <c:pt idx="29">
                  <c:v>4.3751029999694815</c:v>
                </c:pt>
                <c:pt idx="30">
                  <c:v>12.247047334208197</c:v>
                </c:pt>
                <c:pt idx="31">
                  <c:v>6.8416089358195746</c:v>
                </c:pt>
                <c:pt idx="32">
                  <c:v>1.2329172643208106</c:v>
                </c:pt>
                <c:pt idx="33">
                  <c:v>3.1134678182317574</c:v>
                </c:pt>
                <c:pt idx="34">
                  <c:v>1.5683767204809718</c:v>
                </c:pt>
                <c:pt idx="35">
                  <c:v>2.1345561082796718</c:v>
                </c:pt>
                <c:pt idx="36">
                  <c:v>5.9798883022553175</c:v>
                </c:pt>
                <c:pt idx="37">
                  <c:v>3.7975707266457106</c:v>
                </c:pt>
                <c:pt idx="38">
                  <c:v>6.3248695333719898</c:v>
                </c:pt>
                <c:pt idx="39">
                  <c:v>4.6790673543504138</c:v>
                </c:pt>
                <c:pt idx="40">
                  <c:v>4.1784417249061558</c:v>
                </c:pt>
                <c:pt idx="41">
                  <c:v>2.8856776635029147</c:v>
                </c:pt>
                <c:pt idx="42">
                  <c:v>6.4687948240607929</c:v>
                </c:pt>
                <c:pt idx="43">
                  <c:v>4.6395153660695208</c:v>
                </c:pt>
                <c:pt idx="44">
                  <c:v>1.2695394756920071</c:v>
                </c:pt>
                <c:pt idx="45">
                  <c:v>2.2488174077578051</c:v>
                </c:pt>
                <c:pt idx="46">
                  <c:v>7.8077028717917418</c:v>
                </c:pt>
                <c:pt idx="47">
                  <c:v>4.3329874568926048</c:v>
                </c:pt>
                <c:pt idx="48">
                  <c:v>9.0828882717368078</c:v>
                </c:pt>
                <c:pt idx="49">
                  <c:v>12.059907834101383</c:v>
                </c:pt>
                <c:pt idx="50">
                  <c:v>4.8347117526779995</c:v>
                </c:pt>
                <c:pt idx="51">
                  <c:v>11.238837855159154</c:v>
                </c:pt>
                <c:pt idx="52">
                  <c:v>2.302285836359752</c:v>
                </c:pt>
                <c:pt idx="53">
                  <c:v>2.8959318826868499</c:v>
                </c:pt>
                <c:pt idx="54">
                  <c:v>11.925870540482803</c:v>
                </c:pt>
                <c:pt idx="55">
                  <c:v>5.9084749900814844</c:v>
                </c:pt>
                <c:pt idx="56">
                  <c:v>10.239051484725486</c:v>
                </c:pt>
                <c:pt idx="57">
                  <c:v>3.9261146885586111</c:v>
                </c:pt>
                <c:pt idx="58">
                  <c:v>4.2758568071535388</c:v>
                </c:pt>
                <c:pt idx="59">
                  <c:v>12.650990325632497</c:v>
                </c:pt>
                <c:pt idx="60">
                  <c:v>8.2797631763664654</c:v>
                </c:pt>
                <c:pt idx="61">
                  <c:v>10.057771538438063</c:v>
                </c:pt>
                <c:pt idx="62">
                  <c:v>11.959929197058017</c:v>
                </c:pt>
                <c:pt idx="63">
                  <c:v>10.860530411694693</c:v>
                </c:pt>
                <c:pt idx="64">
                  <c:v>11.393383587145603</c:v>
                </c:pt>
                <c:pt idx="65">
                  <c:v>2.9193700979644155</c:v>
                </c:pt>
                <c:pt idx="66">
                  <c:v>4.4750816370128481</c:v>
                </c:pt>
                <c:pt idx="67">
                  <c:v>6.8745689260536516</c:v>
                </c:pt>
                <c:pt idx="68">
                  <c:v>10.066194647053438</c:v>
                </c:pt>
                <c:pt idx="69">
                  <c:v>12.56053346354564</c:v>
                </c:pt>
                <c:pt idx="70">
                  <c:v>1.1626026184881131</c:v>
                </c:pt>
                <c:pt idx="71">
                  <c:v>4.2260505996887119</c:v>
                </c:pt>
                <c:pt idx="72">
                  <c:v>7.0408337656788849</c:v>
                </c:pt>
                <c:pt idx="73">
                  <c:v>8.725089266640218</c:v>
                </c:pt>
                <c:pt idx="74">
                  <c:v>8.8613238929410691</c:v>
                </c:pt>
                <c:pt idx="75">
                  <c:v>12.171239356669819</c:v>
                </c:pt>
                <c:pt idx="76">
                  <c:v>11.237372966704307</c:v>
                </c:pt>
                <c:pt idx="77">
                  <c:v>4.5999633777886295</c:v>
                </c:pt>
                <c:pt idx="78">
                  <c:v>6.1820429090243234</c:v>
                </c:pt>
                <c:pt idx="79">
                  <c:v>10.362102114932707</c:v>
                </c:pt>
                <c:pt idx="80">
                  <c:v>7.2239448225348681</c:v>
                </c:pt>
                <c:pt idx="81">
                  <c:v>5.8886989959410387</c:v>
                </c:pt>
                <c:pt idx="82">
                  <c:v>7.7795037690359212</c:v>
                </c:pt>
                <c:pt idx="83">
                  <c:v>9.549455244605852</c:v>
                </c:pt>
                <c:pt idx="84">
                  <c:v>8.6254768517105624</c:v>
                </c:pt>
                <c:pt idx="85">
                  <c:v>8.1006805627613137</c:v>
                </c:pt>
                <c:pt idx="86">
                  <c:v>7.9805597094637903</c:v>
                </c:pt>
                <c:pt idx="87">
                  <c:v>6.1758171330912202</c:v>
                </c:pt>
                <c:pt idx="88">
                  <c:v>9.8277840510269474</c:v>
                </c:pt>
                <c:pt idx="89">
                  <c:v>10.926816614276559</c:v>
                </c:pt>
                <c:pt idx="90">
                  <c:v>5.1654103213599054</c:v>
                </c:pt>
                <c:pt idx="91">
                  <c:v>6.750053407391583</c:v>
                </c:pt>
                <c:pt idx="92">
                  <c:v>4.3677785576952424</c:v>
                </c:pt>
                <c:pt idx="93">
                  <c:v>12.573351237525559</c:v>
                </c:pt>
                <c:pt idx="94">
                  <c:v>2.258705404828028</c:v>
                </c:pt>
                <c:pt idx="95">
                  <c:v>3.8623920407727286</c:v>
                </c:pt>
                <c:pt idx="96">
                  <c:v>4.3769341105380413</c:v>
                </c:pt>
                <c:pt idx="97">
                  <c:v>12.935178685872982</c:v>
                </c:pt>
                <c:pt idx="98">
                  <c:v>4.7160557878353222</c:v>
                </c:pt>
                <c:pt idx="99">
                  <c:v>7.7304300057985174</c:v>
                </c:pt>
                <c:pt idx="100">
                  <c:v>1.4522843104342784</c:v>
                </c:pt>
                <c:pt idx="101">
                  <c:v>12.476302377391889</c:v>
                </c:pt>
                <c:pt idx="102">
                  <c:v>7.3770256660664693</c:v>
                </c:pt>
                <c:pt idx="103">
                  <c:v>3.137272255623035</c:v>
                </c:pt>
              </c:numCache>
            </c:numRef>
          </c:xVal>
          <c:yVal>
            <c:numRef>
              <c:f>'Син. апрокс. МНК-МНМ'!$D$23:$D$126</c:f>
              <c:numCache>
                <c:formatCode>General</c:formatCode>
                <c:ptCount val="104"/>
                <c:pt idx="0">
                  <c:v>10.469523333991729</c:v>
                </c:pt>
                <c:pt idx="1">
                  <c:v>10.855467891400348</c:v>
                </c:pt>
                <c:pt idx="2">
                  <c:v>6.0912674476951647</c:v>
                </c:pt>
                <c:pt idx="3">
                  <c:v>8.3753033615513406</c:v>
                </c:pt>
                <c:pt idx="4">
                  <c:v>3.820239309943612</c:v>
                </c:pt>
                <c:pt idx="5">
                  <c:v>10.315866366304437</c:v>
                </c:pt>
                <c:pt idx="6">
                  <c:v>15.01691597698774</c:v>
                </c:pt>
                <c:pt idx="7">
                  <c:v>4.3516516282264543</c:v>
                </c:pt>
                <c:pt idx="8">
                  <c:v>3.8047243314327228</c:v>
                </c:pt>
                <c:pt idx="9">
                  <c:v>10.865873039500434</c:v>
                </c:pt>
                <c:pt idx="10">
                  <c:v>10.605861727396436</c:v>
                </c:pt>
                <c:pt idx="11">
                  <c:v>4.3665371832262032</c:v>
                </c:pt>
                <c:pt idx="12">
                  <c:v>10.5667919281693</c:v>
                </c:pt>
                <c:pt idx="13">
                  <c:v>13.755169166177271</c:v>
                </c:pt>
                <c:pt idx="14">
                  <c:v>17.467531932166604</c:v>
                </c:pt>
                <c:pt idx="15">
                  <c:v>10.430274702505244</c:v>
                </c:pt>
                <c:pt idx="16">
                  <c:v>10.427882660690148</c:v>
                </c:pt>
                <c:pt idx="17">
                  <c:v>10.47898011615179</c:v>
                </c:pt>
                <c:pt idx="18">
                  <c:v>9.0005700731383715</c:v>
                </c:pt>
                <c:pt idx="19">
                  <c:v>6.3810656293398011</c:v>
                </c:pt>
                <c:pt idx="20">
                  <c:v>8.5215034158846308</c:v>
                </c:pt>
                <c:pt idx="21">
                  <c:v>10.454568773803523</c:v>
                </c:pt>
                <c:pt idx="22">
                  <c:v>13.589144828681237</c:v>
                </c:pt>
                <c:pt idx="23">
                  <c:v>10.489453943120845</c:v>
                </c:pt>
                <c:pt idx="24">
                  <c:v>10.639719109783249</c:v>
                </c:pt>
                <c:pt idx="25">
                  <c:v>17.360684798393102</c:v>
                </c:pt>
                <c:pt idx="26">
                  <c:v>10.846168397601671</c:v>
                </c:pt>
                <c:pt idx="27">
                  <c:v>11.088113802951529</c:v>
                </c:pt>
                <c:pt idx="28">
                  <c:v>10.482579330796991</c:v>
                </c:pt>
                <c:pt idx="29">
                  <c:v>8.5559064368087494</c:v>
                </c:pt>
                <c:pt idx="30">
                  <c:v>17.464338723882054</c:v>
                </c:pt>
                <c:pt idx="31">
                  <c:v>10.702529952696228</c:v>
                </c:pt>
                <c:pt idx="32">
                  <c:v>3.8348190198453485</c:v>
                </c:pt>
                <c:pt idx="33">
                  <c:v>5.4414143097498764</c:v>
                </c:pt>
                <c:pt idx="34">
                  <c:v>3.7809358535835553</c:v>
                </c:pt>
                <c:pt idx="35">
                  <c:v>3.9860307063530689</c:v>
                </c:pt>
                <c:pt idx="36">
                  <c:v>10.83950730677746</c:v>
                </c:pt>
                <c:pt idx="37">
                  <c:v>7.0931621747550873</c:v>
                </c:pt>
                <c:pt idx="38">
                  <c:v>10.863178600382739</c:v>
                </c:pt>
                <c:pt idx="39">
                  <c:v>9.2468359197831997</c:v>
                </c:pt>
                <c:pt idx="40">
                  <c:v>8.070941217322158</c:v>
                </c:pt>
                <c:pt idx="41">
                  <c:v>4.9835199721134114</c:v>
                </c:pt>
                <c:pt idx="42">
                  <c:v>10.836516245005614</c:v>
                </c:pt>
                <c:pt idx="43">
                  <c:v>9.1619968856606278</c:v>
                </c:pt>
                <c:pt idx="44">
                  <c:v>3.8243064026088689</c:v>
                </c:pt>
                <c:pt idx="45">
                  <c:v>4.0828624248167404</c:v>
                </c:pt>
                <c:pt idx="46">
                  <c:v>10.394308577936368</c:v>
                </c:pt>
                <c:pt idx="47">
                  <c:v>8.4540509611437553</c:v>
                </c:pt>
                <c:pt idx="48">
                  <c:v>11.555036477175792</c:v>
                </c:pt>
                <c:pt idx="49">
                  <c:v>17.400718968775184</c:v>
                </c:pt>
                <c:pt idx="50">
                  <c:v>9.5633482556245752</c:v>
                </c:pt>
                <c:pt idx="51">
                  <c:v>16.51205516840238</c:v>
                </c:pt>
                <c:pt idx="52">
                  <c:v>4.135022788212213</c:v>
                </c:pt>
                <c:pt idx="53">
                  <c:v>5.0027586041098893</c:v>
                </c:pt>
                <c:pt idx="54">
                  <c:v>17.325013499229328</c:v>
                </c:pt>
                <c:pt idx="55">
                  <c:v>10.816290476310876</c:v>
                </c:pt>
                <c:pt idx="56">
                  <c:v>14.278816419925855</c:v>
                </c:pt>
                <c:pt idx="57">
                  <c:v>7.4251619788835628</c:v>
                </c:pt>
                <c:pt idx="58">
                  <c:v>8.3140073922473086</c:v>
                </c:pt>
                <c:pt idx="59">
                  <c:v>17.458286337637503</c:v>
                </c:pt>
                <c:pt idx="60">
                  <c:v>10.546665012316414</c:v>
                </c:pt>
                <c:pt idx="61">
                  <c:v>13.810948063250899</c:v>
                </c:pt>
                <c:pt idx="62">
                  <c:v>17.346730019008188</c:v>
                </c:pt>
                <c:pt idx="63">
                  <c:v>15.778093832461739</c:v>
                </c:pt>
                <c:pt idx="64">
                  <c:v>16.756807951007293</c:v>
                </c:pt>
                <c:pt idx="65">
                  <c:v>5.0472422845685134</c:v>
                </c:pt>
                <c:pt idx="66">
                  <c:v>8.7923576375084647</c:v>
                </c:pt>
                <c:pt idx="67">
                  <c:v>10.687938004893693</c:v>
                </c:pt>
                <c:pt idx="68">
                  <c:v>13.832702946619193</c:v>
                </c:pt>
                <c:pt idx="69">
                  <c:v>17.474248759270179</c:v>
                </c:pt>
                <c:pt idx="70">
                  <c:v>3.8575074126824509</c:v>
                </c:pt>
                <c:pt idx="71">
                  <c:v>8.1903449572137514</c:v>
                </c:pt>
                <c:pt idx="72">
                  <c:v>10.61231778914086</c:v>
                </c:pt>
                <c:pt idx="73">
                  <c:v>10.986322927689306</c:v>
                </c:pt>
                <c:pt idx="74">
                  <c:v>11.18106836587515</c:v>
                </c:pt>
                <c:pt idx="75">
                  <c:v>17.444246186410599</c:v>
                </c:pt>
                <c:pt idx="76">
                  <c:v>16.509572030767007</c:v>
                </c:pt>
                <c:pt idx="77">
                  <c:v>9.0755026962751408</c:v>
                </c:pt>
                <c:pt idx="78">
                  <c:v>10.869909148158888</c:v>
                </c:pt>
                <c:pt idx="79">
                  <c:v>14.593145736445633</c:v>
                </c:pt>
                <c:pt idx="80">
                  <c:v>10.531463159898951</c:v>
                </c:pt>
                <c:pt idx="81">
                  <c:v>10.808637701267132</c:v>
                </c:pt>
                <c:pt idx="82">
                  <c:v>10.394075181448219</c:v>
                </c:pt>
                <c:pt idx="83">
                  <c:v>12.541435838538225</c:v>
                </c:pt>
                <c:pt idx="84">
                  <c:v>10.861643335152451</c:v>
                </c:pt>
                <c:pt idx="85">
                  <c:v>10.453556535892833</c:v>
                </c:pt>
                <c:pt idx="86">
                  <c:v>10.416080856733954</c:v>
                </c:pt>
                <c:pt idx="87">
                  <c:v>10.869702580204025</c:v>
                </c:pt>
                <c:pt idx="88">
                  <c:v>13.22217078786033</c:v>
                </c:pt>
                <c:pt idx="89">
                  <c:v>15.91920575681166</c:v>
                </c:pt>
                <c:pt idx="90">
                  <c:v>10.131378147324952</c:v>
                </c:pt>
                <c:pt idx="91">
                  <c:v>10.741520383108028</c:v>
                </c:pt>
                <c:pt idx="92">
                  <c:v>8.5382821248664253</c:v>
                </c:pt>
                <c:pt idx="93">
                  <c:v>17.472436285464653</c:v>
                </c:pt>
                <c:pt idx="94">
                  <c:v>4.0921781218007887</c:v>
                </c:pt>
                <c:pt idx="95">
                  <c:v>7.2604989543649614</c:v>
                </c:pt>
                <c:pt idx="96">
                  <c:v>8.560306445514362</c:v>
                </c:pt>
                <c:pt idx="97">
                  <c:v>17.368571766874574</c:v>
                </c:pt>
                <c:pt idx="98">
                  <c:v>9.3246179096825799</c:v>
                </c:pt>
                <c:pt idx="99">
                  <c:v>10.395724071972003</c:v>
                </c:pt>
                <c:pt idx="100">
                  <c:v>3.7878231676159464</c:v>
                </c:pt>
                <c:pt idx="101">
                  <c:v>17.482175627898272</c:v>
                </c:pt>
                <c:pt idx="102">
                  <c:v>10.47242847926656</c:v>
                </c:pt>
                <c:pt idx="103">
                  <c:v>5.4927184888119394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C0-4A4C-86CC-04FFC01D0580}"/>
            </c:ext>
          </c:extLst>
        </c:ser>
        <c:ser>
          <c:idx val="1"/>
          <c:order val="1"/>
          <c:tx>
            <c:strRef>
              <c:f>'Син. апрокс. МНК-МНМ'!$B$23:$B$126</c:f>
              <c:strCache>
                <c:ptCount val="104"/>
                <c:pt idx="0">
                  <c:v>7,385448775</c:v>
                </c:pt>
                <c:pt idx="1">
                  <c:v>6,048371838</c:v>
                </c:pt>
                <c:pt idx="2">
                  <c:v>3,398388623</c:v>
                </c:pt>
                <c:pt idx="3">
                  <c:v>4,300759911</c:v>
                </c:pt>
                <c:pt idx="4">
                  <c:v>1,823999756</c:v>
                </c:pt>
                <c:pt idx="5">
                  <c:v>5,298715171</c:v>
                </c:pt>
                <c:pt idx="6">
                  <c:v>10,53202918</c:v>
                </c:pt>
                <c:pt idx="7">
                  <c:v>2,489059114</c:v>
                </c:pt>
                <c:pt idx="8">
                  <c:v>1,768333995</c:v>
                </c:pt>
                <c:pt idx="9">
                  <c:v>6,120151372</c:v>
                </c:pt>
                <c:pt idx="10">
                  <c:v>5,567888424</c:v>
                </c:pt>
                <c:pt idx="11">
                  <c:v>2,500412</c:v>
                </c:pt>
                <c:pt idx="12">
                  <c:v>5,524674215</c:v>
                </c:pt>
                <c:pt idx="13">
                  <c:v>10,03616443</c:v>
                </c:pt>
                <c:pt idx="14">
                  <c:v>12,60374767</c:v>
                </c:pt>
                <c:pt idx="15">
                  <c:v>8,033661916</c:v>
                </c:pt>
                <c:pt idx="16">
                  <c:v>8,025605029</c:v>
                </c:pt>
                <c:pt idx="17">
                  <c:v>8,159276101</c:v>
                </c:pt>
                <c:pt idx="18">
                  <c:v>4,566270943</c:v>
                </c:pt>
                <c:pt idx="19">
                  <c:v>3,517044588</c:v>
                </c:pt>
                <c:pt idx="20">
                  <c:v>4,360820338</c:v>
                </c:pt>
                <c:pt idx="21">
                  <c:v>8,103244118</c:v>
                </c:pt>
                <c:pt idx="22">
                  <c:v>9,971709342</c:v>
                </c:pt>
                <c:pt idx="23">
                  <c:v>7,329783013</c:v>
                </c:pt>
                <c:pt idx="24">
                  <c:v>5,608172857</c:v>
                </c:pt>
                <c:pt idx="25">
                  <c:v>11,98336741</c:v>
                </c:pt>
                <c:pt idx="26">
                  <c:v>6,426679281</c:v>
                </c:pt>
                <c:pt idx="27">
                  <c:v>8,798699911</c:v>
                </c:pt>
                <c:pt idx="28">
                  <c:v>7,348460341</c:v>
                </c:pt>
                <c:pt idx="29">
                  <c:v>4,375103</c:v>
                </c:pt>
                <c:pt idx="30">
                  <c:v>12,24704733</c:v>
                </c:pt>
                <c:pt idx="31">
                  <c:v>6,841608936</c:v>
                </c:pt>
                <c:pt idx="32">
                  <c:v>1,232917264</c:v>
                </c:pt>
                <c:pt idx="33">
                  <c:v>3,113467818</c:v>
                </c:pt>
                <c:pt idx="34">
                  <c:v>1,56837672</c:v>
                </c:pt>
                <c:pt idx="35">
                  <c:v>2,134556108</c:v>
                </c:pt>
                <c:pt idx="36">
                  <c:v>5,979888302</c:v>
                </c:pt>
                <c:pt idx="37">
                  <c:v>3,797570727</c:v>
                </c:pt>
                <c:pt idx="38">
                  <c:v>6,324869533</c:v>
                </c:pt>
                <c:pt idx="39">
                  <c:v>4,679067354</c:v>
                </c:pt>
                <c:pt idx="40">
                  <c:v>4,178441725</c:v>
                </c:pt>
                <c:pt idx="41">
                  <c:v>2,885677664</c:v>
                </c:pt>
                <c:pt idx="42">
                  <c:v>6,468794824</c:v>
                </c:pt>
                <c:pt idx="43">
                  <c:v>4,639515366</c:v>
                </c:pt>
                <c:pt idx="44">
                  <c:v>1,269539476</c:v>
                </c:pt>
                <c:pt idx="45">
                  <c:v>2,248817408</c:v>
                </c:pt>
                <c:pt idx="46">
                  <c:v>7,807702872</c:v>
                </c:pt>
                <c:pt idx="47">
                  <c:v>4,332987457</c:v>
                </c:pt>
                <c:pt idx="48">
                  <c:v>9,082888272</c:v>
                </c:pt>
                <c:pt idx="49">
                  <c:v>12,05990783</c:v>
                </c:pt>
                <c:pt idx="50">
                  <c:v>4,834711753</c:v>
                </c:pt>
                <c:pt idx="51">
                  <c:v>11,23883786</c:v>
                </c:pt>
                <c:pt idx="52">
                  <c:v>2,302285836</c:v>
                </c:pt>
                <c:pt idx="53">
                  <c:v>2,895931883</c:v>
                </c:pt>
                <c:pt idx="54">
                  <c:v>11,92587054</c:v>
                </c:pt>
                <c:pt idx="55">
                  <c:v>5,90847499</c:v>
                </c:pt>
                <c:pt idx="56">
                  <c:v>10,23905148</c:v>
                </c:pt>
                <c:pt idx="57">
                  <c:v>3,926114689</c:v>
                </c:pt>
                <c:pt idx="58">
                  <c:v>4,275856807</c:v>
                </c:pt>
                <c:pt idx="59">
                  <c:v>12,65099033</c:v>
                </c:pt>
                <c:pt idx="60">
                  <c:v>8,279763176</c:v>
                </c:pt>
                <c:pt idx="61">
                  <c:v>10,05777154</c:v>
                </c:pt>
                <c:pt idx="62">
                  <c:v>11,9599292</c:v>
                </c:pt>
                <c:pt idx="63">
                  <c:v>10,86053041</c:v>
                </c:pt>
                <c:pt idx="64">
                  <c:v>11,39338359</c:v>
                </c:pt>
                <c:pt idx="65">
                  <c:v>2,919370098</c:v>
                </c:pt>
                <c:pt idx="66">
                  <c:v>4,475081637</c:v>
                </c:pt>
                <c:pt idx="67">
                  <c:v>6,874568926</c:v>
                </c:pt>
                <c:pt idx="68">
                  <c:v>10,06619465</c:v>
                </c:pt>
                <c:pt idx="69">
                  <c:v>12,56053346</c:v>
                </c:pt>
                <c:pt idx="70">
                  <c:v>1,162602618</c:v>
                </c:pt>
                <c:pt idx="71">
                  <c:v>4,2260506</c:v>
                </c:pt>
                <c:pt idx="72">
                  <c:v>7,040833766</c:v>
                </c:pt>
                <c:pt idx="73">
                  <c:v>8,725089267</c:v>
                </c:pt>
                <c:pt idx="74">
                  <c:v>8,861323893</c:v>
                </c:pt>
                <c:pt idx="75">
                  <c:v>12,17123936</c:v>
                </c:pt>
                <c:pt idx="76">
                  <c:v>11,23737297</c:v>
                </c:pt>
                <c:pt idx="77">
                  <c:v>4,599963378</c:v>
                </c:pt>
                <c:pt idx="78">
                  <c:v>6,182042909</c:v>
                </c:pt>
                <c:pt idx="79">
                  <c:v>10,36210211</c:v>
                </c:pt>
                <c:pt idx="80">
                  <c:v>7,223944823</c:v>
                </c:pt>
                <c:pt idx="81">
                  <c:v>5,888698996</c:v>
                </c:pt>
                <c:pt idx="82">
                  <c:v>7,779503769</c:v>
                </c:pt>
                <c:pt idx="83">
                  <c:v>9,549455245</c:v>
                </c:pt>
                <c:pt idx="84">
                  <c:v>8,625476852</c:v>
                </c:pt>
                <c:pt idx="85">
                  <c:v>8,100680563</c:v>
                </c:pt>
                <c:pt idx="86">
                  <c:v>7,980559709</c:v>
                </c:pt>
                <c:pt idx="87">
                  <c:v>6,175817133</c:v>
                </c:pt>
                <c:pt idx="88">
                  <c:v>9,827784051</c:v>
                </c:pt>
                <c:pt idx="89">
                  <c:v>10,92681661</c:v>
                </c:pt>
                <c:pt idx="90">
                  <c:v>5,165410321</c:v>
                </c:pt>
                <c:pt idx="91">
                  <c:v>6,750053407</c:v>
                </c:pt>
                <c:pt idx="92">
                  <c:v>4,367778558</c:v>
                </c:pt>
                <c:pt idx="93">
                  <c:v>12,57335124</c:v>
                </c:pt>
                <c:pt idx="94">
                  <c:v>2,258705405</c:v>
                </c:pt>
                <c:pt idx="95">
                  <c:v>3,862392041</c:v>
                </c:pt>
                <c:pt idx="96">
                  <c:v>4,376934111</c:v>
                </c:pt>
                <c:pt idx="97">
                  <c:v>12,93517869</c:v>
                </c:pt>
                <c:pt idx="98">
                  <c:v>4,716055788</c:v>
                </c:pt>
                <c:pt idx="99">
                  <c:v>7,730430006</c:v>
                </c:pt>
                <c:pt idx="100">
                  <c:v>1,45228431</c:v>
                </c:pt>
                <c:pt idx="101">
                  <c:v>12,47630238</c:v>
                </c:pt>
                <c:pt idx="102">
                  <c:v>7,377025666</c:v>
                </c:pt>
                <c:pt idx="103">
                  <c:v>3,137272256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'Син. апрокс. МНК-МНМ'!$B$23:$B$126</c:f>
              <c:numCache>
                <c:formatCode>General</c:formatCode>
                <c:ptCount val="104"/>
                <c:pt idx="0">
                  <c:v>7.3854487746818442</c:v>
                </c:pt>
                <c:pt idx="1">
                  <c:v>6.0483718375194551</c:v>
                </c:pt>
                <c:pt idx="2">
                  <c:v>3.3983886226996676</c:v>
                </c:pt>
                <c:pt idx="3">
                  <c:v>4.3007599108859527</c:v>
                </c:pt>
                <c:pt idx="4">
                  <c:v>1.8239997558519243</c:v>
                </c:pt>
                <c:pt idx="5">
                  <c:v>5.29871517075106</c:v>
                </c:pt>
                <c:pt idx="6">
                  <c:v>10.532029175695058</c:v>
                </c:pt>
                <c:pt idx="7">
                  <c:v>2.4890591143528549</c:v>
                </c:pt>
                <c:pt idx="8">
                  <c:v>1.7683339945677052</c:v>
                </c:pt>
                <c:pt idx="9">
                  <c:v>6.1201513718070011</c:v>
                </c:pt>
                <c:pt idx="10">
                  <c:v>5.5678884243293556</c:v>
                </c:pt>
                <c:pt idx="11">
                  <c:v>2.500411999877926</c:v>
                </c:pt>
                <c:pt idx="12">
                  <c:v>5.5246742149113439</c:v>
                </c:pt>
                <c:pt idx="13">
                  <c:v>10.036164433729057</c:v>
                </c:pt>
                <c:pt idx="14">
                  <c:v>12.603747672963653</c:v>
                </c:pt>
                <c:pt idx="15">
                  <c:v>8.0336619159520239</c:v>
                </c:pt>
                <c:pt idx="16">
                  <c:v>8.0256050294503609</c:v>
                </c:pt>
                <c:pt idx="17">
                  <c:v>8.1592761009552301</c:v>
                </c:pt>
                <c:pt idx="18">
                  <c:v>4.5662709433271278</c:v>
                </c:pt>
                <c:pt idx="19">
                  <c:v>3.5170445875423444</c:v>
                </c:pt>
                <c:pt idx="20">
                  <c:v>4.3608203375347143</c:v>
                </c:pt>
                <c:pt idx="21">
                  <c:v>8.1032441175572991</c:v>
                </c:pt>
                <c:pt idx="22">
                  <c:v>9.9717093417157496</c:v>
                </c:pt>
                <c:pt idx="23">
                  <c:v>7.3297830133976252</c:v>
                </c:pt>
                <c:pt idx="24">
                  <c:v>5.6081728568376725</c:v>
                </c:pt>
                <c:pt idx="25">
                  <c:v>11.983367412335582</c:v>
                </c:pt>
                <c:pt idx="26">
                  <c:v>6.4266792809839171</c:v>
                </c:pt>
                <c:pt idx="27">
                  <c:v>8.7986999114963211</c:v>
                </c:pt>
                <c:pt idx="28">
                  <c:v>7.3484603411969349</c:v>
                </c:pt>
                <c:pt idx="29">
                  <c:v>4.3751029999694815</c:v>
                </c:pt>
                <c:pt idx="30">
                  <c:v>12.247047334208197</c:v>
                </c:pt>
                <c:pt idx="31">
                  <c:v>6.8416089358195746</c:v>
                </c:pt>
                <c:pt idx="32">
                  <c:v>1.2329172643208106</c:v>
                </c:pt>
                <c:pt idx="33">
                  <c:v>3.1134678182317574</c:v>
                </c:pt>
                <c:pt idx="34">
                  <c:v>1.5683767204809718</c:v>
                </c:pt>
                <c:pt idx="35">
                  <c:v>2.1345561082796718</c:v>
                </c:pt>
                <c:pt idx="36">
                  <c:v>5.9798883022553175</c:v>
                </c:pt>
                <c:pt idx="37">
                  <c:v>3.7975707266457106</c:v>
                </c:pt>
                <c:pt idx="38">
                  <c:v>6.3248695333719898</c:v>
                </c:pt>
                <c:pt idx="39">
                  <c:v>4.6790673543504138</c:v>
                </c:pt>
                <c:pt idx="40">
                  <c:v>4.1784417249061558</c:v>
                </c:pt>
                <c:pt idx="41">
                  <c:v>2.8856776635029147</c:v>
                </c:pt>
                <c:pt idx="42">
                  <c:v>6.4687948240607929</c:v>
                </c:pt>
                <c:pt idx="43">
                  <c:v>4.6395153660695208</c:v>
                </c:pt>
                <c:pt idx="44">
                  <c:v>1.2695394756920071</c:v>
                </c:pt>
                <c:pt idx="45">
                  <c:v>2.2488174077578051</c:v>
                </c:pt>
                <c:pt idx="46">
                  <c:v>7.8077028717917418</c:v>
                </c:pt>
                <c:pt idx="47">
                  <c:v>4.3329874568926048</c:v>
                </c:pt>
                <c:pt idx="48">
                  <c:v>9.0828882717368078</c:v>
                </c:pt>
                <c:pt idx="49">
                  <c:v>12.059907834101383</c:v>
                </c:pt>
                <c:pt idx="50">
                  <c:v>4.8347117526779995</c:v>
                </c:pt>
                <c:pt idx="51">
                  <c:v>11.238837855159154</c:v>
                </c:pt>
                <c:pt idx="52">
                  <c:v>2.302285836359752</c:v>
                </c:pt>
                <c:pt idx="53">
                  <c:v>2.8959318826868499</c:v>
                </c:pt>
                <c:pt idx="54">
                  <c:v>11.925870540482803</c:v>
                </c:pt>
                <c:pt idx="55">
                  <c:v>5.9084749900814844</c:v>
                </c:pt>
                <c:pt idx="56">
                  <c:v>10.239051484725486</c:v>
                </c:pt>
                <c:pt idx="57">
                  <c:v>3.9261146885586111</c:v>
                </c:pt>
                <c:pt idx="58">
                  <c:v>4.2758568071535388</c:v>
                </c:pt>
                <c:pt idx="59">
                  <c:v>12.650990325632497</c:v>
                </c:pt>
                <c:pt idx="60">
                  <c:v>8.2797631763664654</c:v>
                </c:pt>
                <c:pt idx="61">
                  <c:v>10.057771538438063</c:v>
                </c:pt>
                <c:pt idx="62">
                  <c:v>11.959929197058017</c:v>
                </c:pt>
                <c:pt idx="63">
                  <c:v>10.860530411694693</c:v>
                </c:pt>
                <c:pt idx="64">
                  <c:v>11.393383587145603</c:v>
                </c:pt>
                <c:pt idx="65">
                  <c:v>2.9193700979644155</c:v>
                </c:pt>
                <c:pt idx="66">
                  <c:v>4.4750816370128481</c:v>
                </c:pt>
                <c:pt idx="67">
                  <c:v>6.8745689260536516</c:v>
                </c:pt>
                <c:pt idx="68">
                  <c:v>10.066194647053438</c:v>
                </c:pt>
                <c:pt idx="69">
                  <c:v>12.56053346354564</c:v>
                </c:pt>
                <c:pt idx="70">
                  <c:v>1.1626026184881131</c:v>
                </c:pt>
                <c:pt idx="71">
                  <c:v>4.2260505996887119</c:v>
                </c:pt>
                <c:pt idx="72">
                  <c:v>7.0408337656788849</c:v>
                </c:pt>
                <c:pt idx="73">
                  <c:v>8.725089266640218</c:v>
                </c:pt>
                <c:pt idx="74">
                  <c:v>8.8613238929410691</c:v>
                </c:pt>
                <c:pt idx="75">
                  <c:v>12.171239356669819</c:v>
                </c:pt>
                <c:pt idx="76">
                  <c:v>11.237372966704307</c:v>
                </c:pt>
                <c:pt idx="77">
                  <c:v>4.5999633777886295</c:v>
                </c:pt>
                <c:pt idx="78">
                  <c:v>6.1820429090243234</c:v>
                </c:pt>
                <c:pt idx="79">
                  <c:v>10.362102114932707</c:v>
                </c:pt>
                <c:pt idx="80">
                  <c:v>7.2239448225348681</c:v>
                </c:pt>
                <c:pt idx="81">
                  <c:v>5.8886989959410387</c:v>
                </c:pt>
                <c:pt idx="82">
                  <c:v>7.7795037690359212</c:v>
                </c:pt>
                <c:pt idx="83">
                  <c:v>9.549455244605852</c:v>
                </c:pt>
                <c:pt idx="84">
                  <c:v>8.6254768517105624</c:v>
                </c:pt>
                <c:pt idx="85">
                  <c:v>8.1006805627613137</c:v>
                </c:pt>
                <c:pt idx="86">
                  <c:v>7.9805597094637903</c:v>
                </c:pt>
                <c:pt idx="87">
                  <c:v>6.1758171330912202</c:v>
                </c:pt>
                <c:pt idx="88">
                  <c:v>9.8277840510269474</c:v>
                </c:pt>
                <c:pt idx="89">
                  <c:v>10.926816614276559</c:v>
                </c:pt>
                <c:pt idx="90">
                  <c:v>5.1654103213599054</c:v>
                </c:pt>
                <c:pt idx="91">
                  <c:v>6.750053407391583</c:v>
                </c:pt>
                <c:pt idx="92">
                  <c:v>4.3677785576952424</c:v>
                </c:pt>
                <c:pt idx="93">
                  <c:v>12.573351237525559</c:v>
                </c:pt>
                <c:pt idx="94">
                  <c:v>2.258705404828028</c:v>
                </c:pt>
                <c:pt idx="95">
                  <c:v>3.8623920407727286</c:v>
                </c:pt>
                <c:pt idx="96">
                  <c:v>4.3769341105380413</c:v>
                </c:pt>
                <c:pt idx="97">
                  <c:v>12.935178685872982</c:v>
                </c:pt>
                <c:pt idx="98">
                  <c:v>4.7160557878353222</c:v>
                </c:pt>
                <c:pt idx="99">
                  <c:v>7.7304300057985174</c:v>
                </c:pt>
                <c:pt idx="100">
                  <c:v>1.4522843104342784</c:v>
                </c:pt>
                <c:pt idx="101">
                  <c:v>12.476302377391889</c:v>
                </c:pt>
                <c:pt idx="102">
                  <c:v>7.3770256660664693</c:v>
                </c:pt>
                <c:pt idx="103">
                  <c:v>3.137272255623035</c:v>
                </c:pt>
              </c:numCache>
            </c:numRef>
          </c:xVal>
          <c:yVal>
            <c:numRef>
              <c:f>'Син. апрокс. МНК-МНМ'!$E$23:$E$126</c:f>
              <c:numCache>
                <c:formatCode>General</c:formatCode>
                <c:ptCount val="104"/>
                <c:pt idx="0">
                  <c:v>9.7491986800965034</c:v>
                </c:pt>
                <c:pt idx="1">
                  <c:v>13.931842266639825</c:v>
                </c:pt>
                <c:pt idx="2">
                  <c:v>5.834934336138649</c:v>
                </c:pt>
                <c:pt idx="3">
                  <c:v>9.1538653784173629</c:v>
                </c:pt>
                <c:pt idx="4">
                  <c:v>3.341328948376078</c:v>
                </c:pt>
                <c:pt idx="5">
                  <c:v>11.311316816830347</c:v>
                </c:pt>
                <c:pt idx="6">
                  <c:v>12.759816174359152</c:v>
                </c:pt>
                <c:pt idx="7">
                  <c:v>3.8589055034345665</c:v>
                </c:pt>
                <c:pt idx="8">
                  <c:v>3.9100801752533298</c:v>
                </c:pt>
                <c:pt idx="9">
                  <c:v>8.4388591230236294</c:v>
                </c:pt>
                <c:pt idx="10">
                  <c:v>4.4053993697307456</c:v>
                </c:pt>
                <c:pt idx="11">
                  <c:v>-1.0100189664238126</c:v>
                </c:pt>
                <c:pt idx="12">
                  <c:v>10.133096382460781</c:v>
                </c:pt>
                <c:pt idx="13">
                  <c:v>10.878121453002999</c:v>
                </c:pt>
                <c:pt idx="14">
                  <c:v>19.29513164494017</c:v>
                </c:pt>
                <c:pt idx="15">
                  <c:v>12.488040450194879</c:v>
                </c:pt>
                <c:pt idx="16">
                  <c:v>13.680392253039019</c:v>
                </c:pt>
                <c:pt idx="17">
                  <c:v>11.213329051552011</c:v>
                </c:pt>
                <c:pt idx="18">
                  <c:v>12.995590333508186</c:v>
                </c:pt>
                <c:pt idx="19">
                  <c:v>7.694794080578979</c:v>
                </c:pt>
                <c:pt idx="20">
                  <c:v>13.460076153050746</c:v>
                </c:pt>
                <c:pt idx="21">
                  <c:v>6.3338179095562905</c:v>
                </c:pt>
                <c:pt idx="22">
                  <c:v>17.401117534984795</c:v>
                </c:pt>
                <c:pt idx="23">
                  <c:v>9.2861787221533518</c:v>
                </c:pt>
                <c:pt idx="24">
                  <c:v>6.1900666852430559</c:v>
                </c:pt>
                <c:pt idx="25">
                  <c:v>14.403660976984225</c:v>
                </c:pt>
                <c:pt idx="26">
                  <c:v>8.6802855677455604</c:v>
                </c:pt>
                <c:pt idx="27">
                  <c:v>13.981388874008493</c:v>
                </c:pt>
                <c:pt idx="28">
                  <c:v>12.746329023364295</c:v>
                </c:pt>
                <c:pt idx="29">
                  <c:v>10.35213079338453</c:v>
                </c:pt>
                <c:pt idx="30">
                  <c:v>10.858185026275333</c:v>
                </c:pt>
                <c:pt idx="31">
                  <c:v>10.819086000249079</c:v>
                </c:pt>
                <c:pt idx="32">
                  <c:v>3.3531400270581933</c:v>
                </c:pt>
                <c:pt idx="33">
                  <c:v>9.1719988689324552</c:v>
                </c:pt>
                <c:pt idx="34">
                  <c:v>0.18180398256140062</c:v>
                </c:pt>
                <c:pt idx="35">
                  <c:v>4.593081748640734</c:v>
                </c:pt>
                <c:pt idx="36">
                  <c:v>10.039938439148946</c:v>
                </c:pt>
                <c:pt idx="37">
                  <c:v>7.5233461054320436</c:v>
                </c:pt>
                <c:pt idx="38">
                  <c:v>10.4543120211658</c:v>
                </c:pt>
                <c:pt idx="39">
                  <c:v>8.8542595378758335</c:v>
                </c:pt>
                <c:pt idx="40">
                  <c:v>9.4339394756725863</c:v>
                </c:pt>
                <c:pt idx="41">
                  <c:v>12.18086699781264</c:v>
                </c:pt>
                <c:pt idx="42">
                  <c:v>13.970577214121462</c:v>
                </c:pt>
                <c:pt idx="43">
                  <c:v>7.3154344517166265</c:v>
                </c:pt>
                <c:pt idx="44">
                  <c:v>3.2043097724561154E-2</c:v>
                </c:pt>
                <c:pt idx="45">
                  <c:v>-1.9581800032897911</c:v>
                </c:pt>
                <c:pt idx="46">
                  <c:v>10.655879540545223</c:v>
                </c:pt>
                <c:pt idx="47">
                  <c:v>7.38771763709655</c:v>
                </c:pt>
                <c:pt idx="48">
                  <c:v>9.2428560686679369</c:v>
                </c:pt>
                <c:pt idx="49">
                  <c:v>19.680023267713871</c:v>
                </c:pt>
                <c:pt idx="50">
                  <c:v>9.6082451779123126</c:v>
                </c:pt>
                <c:pt idx="51">
                  <c:v>19.686333370721801</c:v>
                </c:pt>
                <c:pt idx="52">
                  <c:v>0.84621418574761931</c:v>
                </c:pt>
                <c:pt idx="53">
                  <c:v>6.6047943458771732</c:v>
                </c:pt>
                <c:pt idx="54">
                  <c:v>20.448798373831764</c:v>
                </c:pt>
                <c:pt idx="55">
                  <c:v>2.5970708693008913</c:v>
                </c:pt>
                <c:pt idx="56">
                  <c:v>15.922828898849367</c:v>
                </c:pt>
                <c:pt idx="57">
                  <c:v>7.0107803158486348</c:v>
                </c:pt>
                <c:pt idx="58">
                  <c:v>12.116605934635034</c:v>
                </c:pt>
                <c:pt idx="59">
                  <c:v>17.76180076947071</c:v>
                </c:pt>
                <c:pt idx="60">
                  <c:v>6.474862365172279</c:v>
                </c:pt>
                <c:pt idx="61">
                  <c:v>9.9786227755117842</c:v>
                </c:pt>
                <c:pt idx="62">
                  <c:v>16.36222102163325</c:v>
                </c:pt>
                <c:pt idx="63">
                  <c:v>18.619263929324077</c:v>
                </c:pt>
                <c:pt idx="64">
                  <c:v>9.4672570038898769</c:v>
                </c:pt>
                <c:pt idx="65">
                  <c:v>8.5996083135091439E-3</c:v>
                </c:pt>
                <c:pt idx="66">
                  <c:v>4.170288611355458</c:v>
                </c:pt>
                <c:pt idx="67">
                  <c:v>11.751121964723119</c:v>
                </c:pt>
                <c:pt idx="68">
                  <c:v>13.139377067661366</c:v>
                </c:pt>
                <c:pt idx="69">
                  <c:v>17.514916957772542</c:v>
                </c:pt>
                <c:pt idx="70">
                  <c:v>-0.82899790108127824</c:v>
                </c:pt>
                <c:pt idx="71">
                  <c:v>10.621964634037214</c:v>
                </c:pt>
                <c:pt idx="72">
                  <c:v>7.7911306300265482</c:v>
                </c:pt>
                <c:pt idx="73">
                  <c:v>12.53521130006312</c:v>
                </c:pt>
                <c:pt idx="74">
                  <c:v>11.864476704696472</c:v>
                </c:pt>
                <c:pt idx="75">
                  <c:v>16.636471228918857</c:v>
                </c:pt>
                <c:pt idx="76">
                  <c:v>24.29799409857873</c:v>
                </c:pt>
                <c:pt idx="77">
                  <c:v>11.542135023181714</c:v>
                </c:pt>
                <c:pt idx="78">
                  <c:v>8.0090074712560479</c:v>
                </c:pt>
                <c:pt idx="79">
                  <c:v>18.229234583347321</c:v>
                </c:pt>
                <c:pt idx="80">
                  <c:v>15.07892330416033</c:v>
                </c:pt>
                <c:pt idx="81">
                  <c:v>10.561039270047017</c:v>
                </c:pt>
                <c:pt idx="82">
                  <c:v>8.8376608635962377</c:v>
                </c:pt>
                <c:pt idx="83">
                  <c:v>18.272835142472257</c:v>
                </c:pt>
                <c:pt idx="84">
                  <c:v>15.808111661484268</c:v>
                </c:pt>
                <c:pt idx="85">
                  <c:v>9.5874185365765321</c:v>
                </c:pt>
                <c:pt idx="86">
                  <c:v>4.2156184990682641</c:v>
                </c:pt>
                <c:pt idx="87">
                  <c:v>6.9166738427379393</c:v>
                </c:pt>
                <c:pt idx="88">
                  <c:v>12.093959110520128</c:v>
                </c:pt>
                <c:pt idx="89">
                  <c:v>13.548355502218595</c:v>
                </c:pt>
                <c:pt idx="90">
                  <c:v>13.391280613424478</c:v>
                </c:pt>
                <c:pt idx="91">
                  <c:v>11.534165824469051</c:v>
                </c:pt>
                <c:pt idx="92">
                  <c:v>7.807759001632169</c:v>
                </c:pt>
                <c:pt idx="93">
                  <c:v>19.851078628990912</c:v>
                </c:pt>
                <c:pt idx="94">
                  <c:v>5.7068630705554462</c:v>
                </c:pt>
                <c:pt idx="95">
                  <c:v>5.143128162060659</c:v>
                </c:pt>
                <c:pt idx="96">
                  <c:v>4.673133427419125</c:v>
                </c:pt>
                <c:pt idx="97">
                  <c:v>18.782251871222631</c:v>
                </c:pt>
                <c:pt idx="98">
                  <c:v>11.070352634978251</c:v>
                </c:pt>
                <c:pt idx="99">
                  <c:v>13.022929616742836</c:v>
                </c:pt>
                <c:pt idx="100">
                  <c:v>4.8599303260624147</c:v>
                </c:pt>
                <c:pt idx="101">
                  <c:v>15.570947727257277</c:v>
                </c:pt>
                <c:pt idx="102">
                  <c:v>16.367358150565114</c:v>
                </c:pt>
                <c:pt idx="103">
                  <c:v>1.5282086184110839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C0-4A4C-86CC-04FFC01D058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'Син. апрокс. МНК-МНМ'!$B$23:$B$126</c:f>
              <c:numCache>
                <c:formatCode>General</c:formatCode>
                <c:ptCount val="104"/>
                <c:pt idx="0">
                  <c:v>7.3854487746818442</c:v>
                </c:pt>
                <c:pt idx="1">
                  <c:v>6.0483718375194551</c:v>
                </c:pt>
                <c:pt idx="2">
                  <c:v>3.3983886226996676</c:v>
                </c:pt>
                <c:pt idx="3">
                  <c:v>4.3007599108859527</c:v>
                </c:pt>
                <c:pt idx="4">
                  <c:v>1.8239997558519243</c:v>
                </c:pt>
                <c:pt idx="5">
                  <c:v>5.29871517075106</c:v>
                </c:pt>
                <c:pt idx="6">
                  <c:v>10.532029175695058</c:v>
                </c:pt>
                <c:pt idx="7">
                  <c:v>2.4890591143528549</c:v>
                </c:pt>
                <c:pt idx="8">
                  <c:v>1.7683339945677052</c:v>
                </c:pt>
                <c:pt idx="9">
                  <c:v>6.1201513718070011</c:v>
                </c:pt>
                <c:pt idx="10">
                  <c:v>5.5678884243293556</c:v>
                </c:pt>
                <c:pt idx="11">
                  <c:v>2.500411999877926</c:v>
                </c:pt>
                <c:pt idx="12">
                  <c:v>5.5246742149113439</c:v>
                </c:pt>
                <c:pt idx="13">
                  <c:v>10.036164433729057</c:v>
                </c:pt>
                <c:pt idx="14">
                  <c:v>12.603747672963653</c:v>
                </c:pt>
                <c:pt idx="15">
                  <c:v>8.0336619159520239</c:v>
                </c:pt>
                <c:pt idx="16">
                  <c:v>8.0256050294503609</c:v>
                </c:pt>
                <c:pt idx="17">
                  <c:v>8.1592761009552301</c:v>
                </c:pt>
                <c:pt idx="18">
                  <c:v>4.5662709433271278</c:v>
                </c:pt>
                <c:pt idx="19">
                  <c:v>3.5170445875423444</c:v>
                </c:pt>
                <c:pt idx="20">
                  <c:v>4.3608203375347143</c:v>
                </c:pt>
                <c:pt idx="21">
                  <c:v>8.1032441175572991</c:v>
                </c:pt>
                <c:pt idx="22">
                  <c:v>9.9717093417157496</c:v>
                </c:pt>
                <c:pt idx="23">
                  <c:v>7.3297830133976252</c:v>
                </c:pt>
                <c:pt idx="24">
                  <c:v>5.6081728568376725</c:v>
                </c:pt>
                <c:pt idx="25">
                  <c:v>11.983367412335582</c:v>
                </c:pt>
                <c:pt idx="26">
                  <c:v>6.4266792809839171</c:v>
                </c:pt>
                <c:pt idx="27">
                  <c:v>8.7986999114963211</c:v>
                </c:pt>
                <c:pt idx="28">
                  <c:v>7.3484603411969349</c:v>
                </c:pt>
                <c:pt idx="29">
                  <c:v>4.3751029999694815</c:v>
                </c:pt>
                <c:pt idx="30">
                  <c:v>12.247047334208197</c:v>
                </c:pt>
                <c:pt idx="31">
                  <c:v>6.8416089358195746</c:v>
                </c:pt>
                <c:pt idx="32">
                  <c:v>1.2329172643208106</c:v>
                </c:pt>
                <c:pt idx="33">
                  <c:v>3.1134678182317574</c:v>
                </c:pt>
                <c:pt idx="34">
                  <c:v>1.5683767204809718</c:v>
                </c:pt>
                <c:pt idx="35">
                  <c:v>2.1345561082796718</c:v>
                </c:pt>
                <c:pt idx="36">
                  <c:v>5.9798883022553175</c:v>
                </c:pt>
                <c:pt idx="37">
                  <c:v>3.7975707266457106</c:v>
                </c:pt>
                <c:pt idx="38">
                  <c:v>6.3248695333719898</c:v>
                </c:pt>
                <c:pt idx="39">
                  <c:v>4.6790673543504138</c:v>
                </c:pt>
                <c:pt idx="40">
                  <c:v>4.1784417249061558</c:v>
                </c:pt>
                <c:pt idx="41">
                  <c:v>2.8856776635029147</c:v>
                </c:pt>
                <c:pt idx="42">
                  <c:v>6.4687948240607929</c:v>
                </c:pt>
                <c:pt idx="43">
                  <c:v>4.6395153660695208</c:v>
                </c:pt>
                <c:pt idx="44">
                  <c:v>1.2695394756920071</c:v>
                </c:pt>
                <c:pt idx="45">
                  <c:v>2.2488174077578051</c:v>
                </c:pt>
                <c:pt idx="46">
                  <c:v>7.8077028717917418</c:v>
                </c:pt>
                <c:pt idx="47">
                  <c:v>4.3329874568926048</c:v>
                </c:pt>
                <c:pt idx="48">
                  <c:v>9.0828882717368078</c:v>
                </c:pt>
                <c:pt idx="49">
                  <c:v>12.059907834101383</c:v>
                </c:pt>
                <c:pt idx="50">
                  <c:v>4.8347117526779995</c:v>
                </c:pt>
                <c:pt idx="51">
                  <c:v>11.238837855159154</c:v>
                </c:pt>
                <c:pt idx="52">
                  <c:v>2.302285836359752</c:v>
                </c:pt>
                <c:pt idx="53">
                  <c:v>2.8959318826868499</c:v>
                </c:pt>
                <c:pt idx="54">
                  <c:v>11.925870540482803</c:v>
                </c:pt>
                <c:pt idx="55">
                  <c:v>5.9084749900814844</c:v>
                </c:pt>
                <c:pt idx="56">
                  <c:v>10.239051484725486</c:v>
                </c:pt>
                <c:pt idx="57">
                  <c:v>3.9261146885586111</c:v>
                </c:pt>
                <c:pt idx="58">
                  <c:v>4.2758568071535388</c:v>
                </c:pt>
                <c:pt idx="59">
                  <c:v>12.650990325632497</c:v>
                </c:pt>
                <c:pt idx="60">
                  <c:v>8.2797631763664654</c:v>
                </c:pt>
                <c:pt idx="61">
                  <c:v>10.057771538438063</c:v>
                </c:pt>
                <c:pt idx="62">
                  <c:v>11.959929197058017</c:v>
                </c:pt>
                <c:pt idx="63">
                  <c:v>10.860530411694693</c:v>
                </c:pt>
                <c:pt idx="64">
                  <c:v>11.393383587145603</c:v>
                </c:pt>
                <c:pt idx="65">
                  <c:v>2.9193700979644155</c:v>
                </c:pt>
                <c:pt idx="66">
                  <c:v>4.4750816370128481</c:v>
                </c:pt>
                <c:pt idx="67">
                  <c:v>6.8745689260536516</c:v>
                </c:pt>
                <c:pt idx="68">
                  <c:v>10.066194647053438</c:v>
                </c:pt>
                <c:pt idx="69">
                  <c:v>12.56053346354564</c:v>
                </c:pt>
                <c:pt idx="70">
                  <c:v>1.1626026184881131</c:v>
                </c:pt>
                <c:pt idx="71">
                  <c:v>4.2260505996887119</c:v>
                </c:pt>
                <c:pt idx="72">
                  <c:v>7.0408337656788849</c:v>
                </c:pt>
                <c:pt idx="73">
                  <c:v>8.725089266640218</c:v>
                </c:pt>
                <c:pt idx="74">
                  <c:v>8.8613238929410691</c:v>
                </c:pt>
                <c:pt idx="75">
                  <c:v>12.171239356669819</c:v>
                </c:pt>
                <c:pt idx="76">
                  <c:v>11.237372966704307</c:v>
                </c:pt>
                <c:pt idx="77">
                  <c:v>4.5999633777886295</c:v>
                </c:pt>
                <c:pt idx="78">
                  <c:v>6.1820429090243234</c:v>
                </c:pt>
                <c:pt idx="79">
                  <c:v>10.362102114932707</c:v>
                </c:pt>
                <c:pt idx="80">
                  <c:v>7.2239448225348681</c:v>
                </c:pt>
                <c:pt idx="81">
                  <c:v>5.8886989959410387</c:v>
                </c:pt>
                <c:pt idx="82">
                  <c:v>7.7795037690359212</c:v>
                </c:pt>
                <c:pt idx="83">
                  <c:v>9.549455244605852</c:v>
                </c:pt>
                <c:pt idx="84">
                  <c:v>8.6254768517105624</c:v>
                </c:pt>
                <c:pt idx="85">
                  <c:v>8.1006805627613137</c:v>
                </c:pt>
                <c:pt idx="86">
                  <c:v>7.9805597094637903</c:v>
                </c:pt>
                <c:pt idx="87">
                  <c:v>6.1758171330912202</c:v>
                </c:pt>
                <c:pt idx="88">
                  <c:v>9.8277840510269474</c:v>
                </c:pt>
                <c:pt idx="89">
                  <c:v>10.926816614276559</c:v>
                </c:pt>
                <c:pt idx="90">
                  <c:v>5.1654103213599054</c:v>
                </c:pt>
                <c:pt idx="91">
                  <c:v>6.750053407391583</c:v>
                </c:pt>
                <c:pt idx="92">
                  <c:v>4.3677785576952424</c:v>
                </c:pt>
                <c:pt idx="93">
                  <c:v>12.573351237525559</c:v>
                </c:pt>
                <c:pt idx="94">
                  <c:v>2.258705404828028</c:v>
                </c:pt>
                <c:pt idx="95">
                  <c:v>3.8623920407727286</c:v>
                </c:pt>
                <c:pt idx="96">
                  <c:v>4.3769341105380413</c:v>
                </c:pt>
                <c:pt idx="97">
                  <c:v>12.935178685872982</c:v>
                </c:pt>
                <c:pt idx="98">
                  <c:v>4.7160557878353222</c:v>
                </c:pt>
                <c:pt idx="99">
                  <c:v>7.7304300057985174</c:v>
                </c:pt>
                <c:pt idx="100">
                  <c:v>1.4522843104342784</c:v>
                </c:pt>
                <c:pt idx="101">
                  <c:v>12.476302377391889</c:v>
                </c:pt>
                <c:pt idx="102">
                  <c:v>7.3770256660664693</c:v>
                </c:pt>
                <c:pt idx="103">
                  <c:v>3.137272255623035</c:v>
                </c:pt>
              </c:numCache>
            </c:numRef>
          </c:xVal>
          <c:yVal>
            <c:numRef>
              <c:f>'Син. апрокс. МНК-МНМ'!$G$23:$G$126</c:f>
              <c:numCache>
                <c:formatCode>General</c:formatCode>
                <c:ptCount val="104"/>
                <c:pt idx="0">
                  <c:v>10.426277940106162</c:v>
                </c:pt>
                <c:pt idx="1">
                  <c:v>8.1836705236022862</c:v>
                </c:pt>
                <c:pt idx="2">
                  <c:v>4.3981583372494679</c:v>
                </c:pt>
                <c:pt idx="3">
                  <c:v>6.0720798042227013</c:v>
                </c:pt>
                <c:pt idx="4">
                  <c:v>3.6462554751143643</c:v>
                </c:pt>
                <c:pt idx="5">
                  <c:v>9.6141253876535746</c:v>
                </c:pt>
                <c:pt idx="6">
                  <c:v>15.306351463535808</c:v>
                </c:pt>
                <c:pt idx="7">
                  <c:v>3.2642592151634888</c:v>
                </c:pt>
                <c:pt idx="8">
                  <c:v>3.9229698868940521</c:v>
                </c:pt>
                <c:pt idx="9">
                  <c:v>9.3072610791248369</c:v>
                </c:pt>
                <c:pt idx="10">
                  <c:v>7.2824738702687766</c:v>
                </c:pt>
                <c:pt idx="11">
                  <c:v>3.7390555589417627</c:v>
                </c:pt>
                <c:pt idx="12">
                  <c:v>9.9967972430190262</c:v>
                </c:pt>
                <c:pt idx="13">
                  <c:v>12.845311104827086</c:v>
                </c:pt>
                <c:pt idx="14">
                  <c:v>18.691644831844247</c:v>
                </c:pt>
                <c:pt idx="15">
                  <c:v>13.221810287927305</c:v>
                </c:pt>
                <c:pt idx="16">
                  <c:v>12.940270948999709</c:v>
                </c:pt>
                <c:pt idx="17">
                  <c:v>13.290501110603287</c:v>
                </c:pt>
                <c:pt idx="18">
                  <c:v>6.7141937269917991</c:v>
                </c:pt>
                <c:pt idx="19">
                  <c:v>4.53887254188691</c:v>
                </c:pt>
                <c:pt idx="20">
                  <c:v>8.2186163138509123</c:v>
                </c:pt>
                <c:pt idx="21">
                  <c:v>10.51127494760147</c:v>
                </c:pt>
                <c:pt idx="22">
                  <c:v>15.405385083082903</c:v>
                </c:pt>
                <c:pt idx="23">
                  <c:v>11.491395635084437</c:v>
                </c:pt>
                <c:pt idx="24">
                  <c:v>8.9636838534458647</c:v>
                </c:pt>
                <c:pt idx="25">
                  <c:v>15.294431150820927</c:v>
                </c:pt>
                <c:pt idx="26">
                  <c:v>11.073636033565601</c:v>
                </c:pt>
                <c:pt idx="27">
                  <c:v>11.847244854512351</c:v>
                </c:pt>
                <c:pt idx="28">
                  <c:v>12.37493240873637</c:v>
                </c:pt>
                <c:pt idx="29">
                  <c:v>8.612750268932194</c:v>
                </c:pt>
                <c:pt idx="30">
                  <c:v>17.306008287471528</c:v>
                </c:pt>
                <c:pt idx="31">
                  <c:v>8.8348995479614576</c:v>
                </c:pt>
                <c:pt idx="32">
                  <c:v>1.7476464555635076</c:v>
                </c:pt>
                <c:pt idx="33">
                  <c:v>7.0118308212953773</c:v>
                </c:pt>
                <c:pt idx="34">
                  <c:v>2.06502736866305</c:v>
                </c:pt>
                <c:pt idx="35">
                  <c:v>2.8950935312209469</c:v>
                </c:pt>
                <c:pt idx="36">
                  <c:v>10.627714422990758</c:v>
                </c:pt>
                <c:pt idx="37">
                  <c:v>7.8453070278104411</c:v>
                </c:pt>
                <c:pt idx="38">
                  <c:v>11.038183089728985</c:v>
                </c:pt>
                <c:pt idx="39">
                  <c:v>6.7354073984779932</c:v>
                </c:pt>
                <c:pt idx="40">
                  <c:v>6.485737406498739</c:v>
                </c:pt>
                <c:pt idx="41">
                  <c:v>6.7269796013898144</c:v>
                </c:pt>
                <c:pt idx="42">
                  <c:v>9.3282350101534863</c:v>
                </c:pt>
                <c:pt idx="43">
                  <c:v>6.8264311943823053</c:v>
                </c:pt>
                <c:pt idx="44">
                  <c:v>4.2806768742414327</c:v>
                </c:pt>
                <c:pt idx="45">
                  <c:v>3.0468992488563713</c:v>
                </c:pt>
                <c:pt idx="46">
                  <c:v>12.96545890185333</c:v>
                </c:pt>
                <c:pt idx="47">
                  <c:v>6.1190107285536692</c:v>
                </c:pt>
                <c:pt idx="48">
                  <c:v>14.09287577973217</c:v>
                </c:pt>
                <c:pt idx="49">
                  <c:v>17.832031683475801</c:v>
                </c:pt>
                <c:pt idx="50">
                  <c:v>9.1810459186817077</c:v>
                </c:pt>
                <c:pt idx="51">
                  <c:v>17.280910723476268</c:v>
                </c:pt>
                <c:pt idx="52">
                  <c:v>5.7154657984681805</c:v>
                </c:pt>
                <c:pt idx="53">
                  <c:v>6.5161077685537947</c:v>
                </c:pt>
                <c:pt idx="54">
                  <c:v>18.15461861479297</c:v>
                </c:pt>
                <c:pt idx="55">
                  <c:v>7.8322498888304324</c:v>
                </c:pt>
                <c:pt idx="56">
                  <c:v>14.721131207729382</c:v>
                </c:pt>
                <c:pt idx="57">
                  <c:v>7.8275940576645402</c:v>
                </c:pt>
                <c:pt idx="58">
                  <c:v>7.9310728772477193</c:v>
                </c:pt>
                <c:pt idx="59">
                  <c:v>17.139787590633834</c:v>
                </c:pt>
                <c:pt idx="60">
                  <c:v>13.177579911792018</c:v>
                </c:pt>
                <c:pt idx="61">
                  <c:v>13.430255633863499</c:v>
                </c:pt>
                <c:pt idx="62">
                  <c:v>16.599861386136958</c:v>
                </c:pt>
                <c:pt idx="63">
                  <c:v>14.543234901259428</c:v>
                </c:pt>
                <c:pt idx="64">
                  <c:v>15.417933779258457</c:v>
                </c:pt>
                <c:pt idx="65">
                  <c:v>4.8739235137621462</c:v>
                </c:pt>
                <c:pt idx="66">
                  <c:v>8.3514949458187235</c:v>
                </c:pt>
                <c:pt idx="67">
                  <c:v>11.108260236256486</c:v>
                </c:pt>
                <c:pt idx="68">
                  <c:v>14.070858462385138</c:v>
                </c:pt>
                <c:pt idx="69">
                  <c:v>16.001040916034018</c:v>
                </c:pt>
                <c:pt idx="70">
                  <c:v>4.4609351619489317</c:v>
                </c:pt>
                <c:pt idx="71">
                  <c:v>6.5301209377180731</c:v>
                </c:pt>
                <c:pt idx="72">
                  <c:v>10.081446549569165</c:v>
                </c:pt>
                <c:pt idx="73">
                  <c:v>14.128124216251127</c:v>
                </c:pt>
                <c:pt idx="74">
                  <c:v>13.292839559366529</c:v>
                </c:pt>
                <c:pt idx="75">
                  <c:v>18.154430525562756</c:v>
                </c:pt>
                <c:pt idx="76">
                  <c:v>17.248339334231719</c:v>
                </c:pt>
                <c:pt idx="77">
                  <c:v>8.879166503890886</c:v>
                </c:pt>
                <c:pt idx="78">
                  <c:v>9.8091280233705369</c:v>
                </c:pt>
                <c:pt idx="79">
                  <c:v>14.184483249053732</c:v>
                </c:pt>
                <c:pt idx="80">
                  <c:v>11.908637931220127</c:v>
                </c:pt>
                <c:pt idx="81">
                  <c:v>9.218347346887052</c:v>
                </c:pt>
                <c:pt idx="82">
                  <c:v>11.408135056513606</c:v>
                </c:pt>
                <c:pt idx="83">
                  <c:v>14.066440045736762</c:v>
                </c:pt>
                <c:pt idx="84">
                  <c:v>13.481938330053644</c:v>
                </c:pt>
                <c:pt idx="85">
                  <c:v>10.425640907408125</c:v>
                </c:pt>
                <c:pt idx="86">
                  <c:v>10.192056405448659</c:v>
                </c:pt>
                <c:pt idx="87">
                  <c:v>9.2947099796762185</c:v>
                </c:pt>
                <c:pt idx="88">
                  <c:v>13.072222287755229</c:v>
                </c:pt>
                <c:pt idx="89">
                  <c:v>15.520106089427859</c:v>
                </c:pt>
                <c:pt idx="90">
                  <c:v>9.3968069130162597</c:v>
                </c:pt>
                <c:pt idx="91">
                  <c:v>10.173843731415507</c:v>
                </c:pt>
                <c:pt idx="92">
                  <c:v>8.5176513006000594</c:v>
                </c:pt>
                <c:pt idx="93">
                  <c:v>16.436537460050701</c:v>
                </c:pt>
                <c:pt idx="94">
                  <c:v>2.9522078787963157</c:v>
                </c:pt>
                <c:pt idx="95">
                  <c:v>4.9983601770355488</c:v>
                </c:pt>
                <c:pt idx="96">
                  <c:v>8.5989806219682094</c:v>
                </c:pt>
                <c:pt idx="97">
                  <c:v>18.28005454421989</c:v>
                </c:pt>
                <c:pt idx="98">
                  <c:v>9.0426848400353315</c:v>
                </c:pt>
                <c:pt idx="99">
                  <c:v>10.746232358972359</c:v>
                </c:pt>
                <c:pt idx="100">
                  <c:v>1.9306299531450803</c:v>
                </c:pt>
                <c:pt idx="101">
                  <c:v>17.620766913287486</c:v>
                </c:pt>
                <c:pt idx="102">
                  <c:v>11.097008978406965</c:v>
                </c:pt>
                <c:pt idx="103">
                  <c:v>6.0441960179511032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C0-4A4C-86CC-04FFC01D0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696400"/>
        <c:axId val="1474701200"/>
      </c:scatterChart>
      <c:valAx>
        <c:axId val="147469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4701200"/>
        <c:crosses val="autoZero"/>
        <c:crossBetween val="midCat"/>
      </c:valAx>
      <c:valAx>
        <c:axId val="147470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469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'Син. апрокс. МНК-МНМ'!$B$23:$B$126</c:f>
              <c:numCache>
                <c:formatCode>General</c:formatCode>
                <c:ptCount val="104"/>
                <c:pt idx="0">
                  <c:v>7.3854487746818442</c:v>
                </c:pt>
                <c:pt idx="1">
                  <c:v>6.0483718375194551</c:v>
                </c:pt>
                <c:pt idx="2">
                  <c:v>3.3983886226996676</c:v>
                </c:pt>
                <c:pt idx="3">
                  <c:v>4.3007599108859527</c:v>
                </c:pt>
                <c:pt idx="4">
                  <c:v>1.8239997558519243</c:v>
                </c:pt>
                <c:pt idx="5">
                  <c:v>5.29871517075106</c:v>
                </c:pt>
                <c:pt idx="6">
                  <c:v>10.532029175695058</c:v>
                </c:pt>
                <c:pt idx="7">
                  <c:v>2.4890591143528549</c:v>
                </c:pt>
                <c:pt idx="8">
                  <c:v>1.7683339945677052</c:v>
                </c:pt>
                <c:pt idx="9">
                  <c:v>6.1201513718070011</c:v>
                </c:pt>
                <c:pt idx="10">
                  <c:v>5.5678884243293556</c:v>
                </c:pt>
                <c:pt idx="11">
                  <c:v>2.500411999877926</c:v>
                </c:pt>
                <c:pt idx="12">
                  <c:v>5.5246742149113439</c:v>
                </c:pt>
                <c:pt idx="13">
                  <c:v>10.036164433729057</c:v>
                </c:pt>
                <c:pt idx="14">
                  <c:v>12.603747672963653</c:v>
                </c:pt>
                <c:pt idx="15">
                  <c:v>8.0336619159520239</c:v>
                </c:pt>
                <c:pt idx="16">
                  <c:v>8.0256050294503609</c:v>
                </c:pt>
                <c:pt idx="17">
                  <c:v>8.1592761009552301</c:v>
                </c:pt>
                <c:pt idx="18">
                  <c:v>4.5662709433271278</c:v>
                </c:pt>
                <c:pt idx="19">
                  <c:v>3.5170445875423444</c:v>
                </c:pt>
                <c:pt idx="20">
                  <c:v>4.3608203375347143</c:v>
                </c:pt>
                <c:pt idx="21">
                  <c:v>8.1032441175572991</c:v>
                </c:pt>
                <c:pt idx="22">
                  <c:v>9.9717093417157496</c:v>
                </c:pt>
                <c:pt idx="23">
                  <c:v>7.3297830133976252</c:v>
                </c:pt>
                <c:pt idx="24">
                  <c:v>5.6081728568376725</c:v>
                </c:pt>
                <c:pt idx="25">
                  <c:v>11.983367412335582</c:v>
                </c:pt>
                <c:pt idx="26">
                  <c:v>6.4266792809839171</c:v>
                </c:pt>
                <c:pt idx="27">
                  <c:v>8.7986999114963211</c:v>
                </c:pt>
                <c:pt idx="28">
                  <c:v>7.3484603411969349</c:v>
                </c:pt>
                <c:pt idx="29">
                  <c:v>4.3751029999694815</c:v>
                </c:pt>
                <c:pt idx="30">
                  <c:v>12.247047334208197</c:v>
                </c:pt>
                <c:pt idx="31">
                  <c:v>6.8416089358195746</c:v>
                </c:pt>
                <c:pt idx="32">
                  <c:v>1.2329172643208106</c:v>
                </c:pt>
                <c:pt idx="33">
                  <c:v>3.1134678182317574</c:v>
                </c:pt>
                <c:pt idx="34">
                  <c:v>1.5683767204809718</c:v>
                </c:pt>
                <c:pt idx="35">
                  <c:v>2.1345561082796718</c:v>
                </c:pt>
                <c:pt idx="36">
                  <c:v>5.9798883022553175</c:v>
                </c:pt>
                <c:pt idx="37">
                  <c:v>3.7975707266457106</c:v>
                </c:pt>
                <c:pt idx="38">
                  <c:v>6.3248695333719898</c:v>
                </c:pt>
                <c:pt idx="39">
                  <c:v>4.6790673543504138</c:v>
                </c:pt>
                <c:pt idx="40">
                  <c:v>4.1784417249061558</c:v>
                </c:pt>
                <c:pt idx="41">
                  <c:v>2.8856776635029147</c:v>
                </c:pt>
                <c:pt idx="42">
                  <c:v>6.4687948240607929</c:v>
                </c:pt>
                <c:pt idx="43">
                  <c:v>4.6395153660695208</c:v>
                </c:pt>
                <c:pt idx="44">
                  <c:v>1.2695394756920071</c:v>
                </c:pt>
                <c:pt idx="45">
                  <c:v>2.2488174077578051</c:v>
                </c:pt>
                <c:pt idx="46">
                  <c:v>7.8077028717917418</c:v>
                </c:pt>
                <c:pt idx="47">
                  <c:v>4.3329874568926048</c:v>
                </c:pt>
                <c:pt idx="48">
                  <c:v>9.0828882717368078</c:v>
                </c:pt>
                <c:pt idx="49">
                  <c:v>12.059907834101383</c:v>
                </c:pt>
                <c:pt idx="50">
                  <c:v>4.8347117526779995</c:v>
                </c:pt>
                <c:pt idx="51">
                  <c:v>11.238837855159154</c:v>
                </c:pt>
                <c:pt idx="52">
                  <c:v>2.302285836359752</c:v>
                </c:pt>
                <c:pt idx="53">
                  <c:v>2.8959318826868499</c:v>
                </c:pt>
                <c:pt idx="54">
                  <c:v>11.925870540482803</c:v>
                </c:pt>
                <c:pt idx="55">
                  <c:v>5.9084749900814844</c:v>
                </c:pt>
                <c:pt idx="56">
                  <c:v>10.239051484725486</c:v>
                </c:pt>
                <c:pt idx="57">
                  <c:v>3.9261146885586111</c:v>
                </c:pt>
                <c:pt idx="58">
                  <c:v>4.2758568071535388</c:v>
                </c:pt>
                <c:pt idx="59">
                  <c:v>12.650990325632497</c:v>
                </c:pt>
                <c:pt idx="60">
                  <c:v>8.2797631763664654</c:v>
                </c:pt>
                <c:pt idx="61">
                  <c:v>10.057771538438063</c:v>
                </c:pt>
                <c:pt idx="62">
                  <c:v>11.959929197058017</c:v>
                </c:pt>
                <c:pt idx="63">
                  <c:v>10.860530411694693</c:v>
                </c:pt>
                <c:pt idx="64">
                  <c:v>11.393383587145603</c:v>
                </c:pt>
                <c:pt idx="65">
                  <c:v>2.9193700979644155</c:v>
                </c:pt>
                <c:pt idx="66">
                  <c:v>4.4750816370128481</c:v>
                </c:pt>
                <c:pt idx="67">
                  <c:v>6.8745689260536516</c:v>
                </c:pt>
                <c:pt idx="68">
                  <c:v>10.066194647053438</c:v>
                </c:pt>
                <c:pt idx="69">
                  <c:v>12.56053346354564</c:v>
                </c:pt>
                <c:pt idx="70">
                  <c:v>1.1626026184881131</c:v>
                </c:pt>
                <c:pt idx="71">
                  <c:v>4.2260505996887119</c:v>
                </c:pt>
                <c:pt idx="72">
                  <c:v>7.0408337656788849</c:v>
                </c:pt>
                <c:pt idx="73">
                  <c:v>8.725089266640218</c:v>
                </c:pt>
                <c:pt idx="74">
                  <c:v>8.8613238929410691</c:v>
                </c:pt>
                <c:pt idx="75">
                  <c:v>12.171239356669819</c:v>
                </c:pt>
                <c:pt idx="76">
                  <c:v>11.237372966704307</c:v>
                </c:pt>
                <c:pt idx="77">
                  <c:v>4.5999633777886295</c:v>
                </c:pt>
                <c:pt idx="78">
                  <c:v>6.1820429090243234</c:v>
                </c:pt>
                <c:pt idx="79">
                  <c:v>10.362102114932707</c:v>
                </c:pt>
                <c:pt idx="80">
                  <c:v>7.2239448225348681</c:v>
                </c:pt>
                <c:pt idx="81">
                  <c:v>5.8886989959410387</c:v>
                </c:pt>
                <c:pt idx="82">
                  <c:v>7.7795037690359212</c:v>
                </c:pt>
                <c:pt idx="83">
                  <c:v>9.549455244605852</c:v>
                </c:pt>
                <c:pt idx="84">
                  <c:v>8.6254768517105624</c:v>
                </c:pt>
                <c:pt idx="85">
                  <c:v>8.1006805627613137</c:v>
                </c:pt>
                <c:pt idx="86">
                  <c:v>7.9805597094637903</c:v>
                </c:pt>
                <c:pt idx="87">
                  <c:v>6.1758171330912202</c:v>
                </c:pt>
                <c:pt idx="88">
                  <c:v>9.8277840510269474</c:v>
                </c:pt>
                <c:pt idx="89">
                  <c:v>10.926816614276559</c:v>
                </c:pt>
                <c:pt idx="90">
                  <c:v>5.1654103213599054</c:v>
                </c:pt>
                <c:pt idx="91">
                  <c:v>6.750053407391583</c:v>
                </c:pt>
                <c:pt idx="92">
                  <c:v>4.3677785576952424</c:v>
                </c:pt>
                <c:pt idx="93">
                  <c:v>12.573351237525559</c:v>
                </c:pt>
                <c:pt idx="94">
                  <c:v>2.258705404828028</c:v>
                </c:pt>
                <c:pt idx="95">
                  <c:v>3.8623920407727286</c:v>
                </c:pt>
                <c:pt idx="96">
                  <c:v>4.3769341105380413</c:v>
                </c:pt>
                <c:pt idx="97">
                  <c:v>12.935178685872982</c:v>
                </c:pt>
                <c:pt idx="98">
                  <c:v>4.7160557878353222</c:v>
                </c:pt>
                <c:pt idx="99">
                  <c:v>7.7304300057985174</c:v>
                </c:pt>
                <c:pt idx="100">
                  <c:v>1.4522843104342784</c:v>
                </c:pt>
                <c:pt idx="101">
                  <c:v>12.476302377391889</c:v>
                </c:pt>
                <c:pt idx="102">
                  <c:v>7.3770256660664693</c:v>
                </c:pt>
                <c:pt idx="103">
                  <c:v>3.137272255623035</c:v>
                </c:pt>
              </c:numCache>
            </c:numRef>
          </c:xVal>
          <c:yVal>
            <c:numRef>
              <c:f>'Син. апрокс. МНК-МНМ'!$D$23:$D$126</c:f>
              <c:numCache>
                <c:formatCode>General</c:formatCode>
                <c:ptCount val="104"/>
                <c:pt idx="0">
                  <c:v>10.469523333991729</c:v>
                </c:pt>
                <c:pt idx="1">
                  <c:v>10.855467891400348</c:v>
                </c:pt>
                <c:pt idx="2">
                  <c:v>6.0912674476951647</c:v>
                </c:pt>
                <c:pt idx="3">
                  <c:v>8.3753033615513406</c:v>
                </c:pt>
                <c:pt idx="4">
                  <c:v>3.820239309943612</c:v>
                </c:pt>
                <c:pt idx="5">
                  <c:v>10.315866366304437</c:v>
                </c:pt>
                <c:pt idx="6">
                  <c:v>15.01691597698774</c:v>
                </c:pt>
                <c:pt idx="7">
                  <c:v>4.3516516282264543</c:v>
                </c:pt>
                <c:pt idx="8">
                  <c:v>3.8047243314327228</c:v>
                </c:pt>
                <c:pt idx="9">
                  <c:v>10.865873039500434</c:v>
                </c:pt>
                <c:pt idx="10">
                  <c:v>10.605861727396436</c:v>
                </c:pt>
                <c:pt idx="11">
                  <c:v>4.3665371832262032</c:v>
                </c:pt>
                <c:pt idx="12">
                  <c:v>10.5667919281693</c:v>
                </c:pt>
                <c:pt idx="13">
                  <c:v>13.755169166177271</c:v>
                </c:pt>
                <c:pt idx="14">
                  <c:v>17.467531932166604</c:v>
                </c:pt>
                <c:pt idx="15">
                  <c:v>10.430274702505244</c:v>
                </c:pt>
                <c:pt idx="16">
                  <c:v>10.427882660690148</c:v>
                </c:pt>
                <c:pt idx="17">
                  <c:v>10.47898011615179</c:v>
                </c:pt>
                <c:pt idx="18">
                  <c:v>9.0005700731383715</c:v>
                </c:pt>
                <c:pt idx="19">
                  <c:v>6.3810656293398011</c:v>
                </c:pt>
                <c:pt idx="20">
                  <c:v>8.5215034158846308</c:v>
                </c:pt>
                <c:pt idx="21">
                  <c:v>10.454568773803523</c:v>
                </c:pt>
                <c:pt idx="22">
                  <c:v>13.589144828681237</c:v>
                </c:pt>
                <c:pt idx="23">
                  <c:v>10.489453943120845</c:v>
                </c:pt>
                <c:pt idx="24">
                  <c:v>10.639719109783249</c:v>
                </c:pt>
                <c:pt idx="25">
                  <c:v>17.360684798393102</c:v>
                </c:pt>
                <c:pt idx="26">
                  <c:v>10.846168397601671</c:v>
                </c:pt>
                <c:pt idx="27">
                  <c:v>11.088113802951529</c:v>
                </c:pt>
                <c:pt idx="28">
                  <c:v>10.482579330796991</c:v>
                </c:pt>
                <c:pt idx="29">
                  <c:v>8.5559064368087494</c:v>
                </c:pt>
                <c:pt idx="30">
                  <c:v>17.464338723882054</c:v>
                </c:pt>
                <c:pt idx="31">
                  <c:v>10.702529952696228</c:v>
                </c:pt>
                <c:pt idx="32">
                  <c:v>3.8348190198453485</c:v>
                </c:pt>
                <c:pt idx="33">
                  <c:v>5.4414143097498764</c:v>
                </c:pt>
                <c:pt idx="34">
                  <c:v>3.7809358535835553</c:v>
                </c:pt>
                <c:pt idx="35">
                  <c:v>3.9860307063530689</c:v>
                </c:pt>
                <c:pt idx="36">
                  <c:v>10.83950730677746</c:v>
                </c:pt>
                <c:pt idx="37">
                  <c:v>7.0931621747550873</c:v>
                </c:pt>
                <c:pt idx="38">
                  <c:v>10.863178600382739</c:v>
                </c:pt>
                <c:pt idx="39">
                  <c:v>9.2468359197831997</c:v>
                </c:pt>
                <c:pt idx="40">
                  <c:v>8.070941217322158</c:v>
                </c:pt>
                <c:pt idx="41">
                  <c:v>4.9835199721134114</c:v>
                </c:pt>
                <c:pt idx="42">
                  <c:v>10.836516245005614</c:v>
                </c:pt>
                <c:pt idx="43">
                  <c:v>9.1619968856606278</c:v>
                </c:pt>
                <c:pt idx="44">
                  <c:v>3.8243064026088689</c:v>
                </c:pt>
                <c:pt idx="45">
                  <c:v>4.0828624248167404</c:v>
                </c:pt>
                <c:pt idx="46">
                  <c:v>10.394308577936368</c:v>
                </c:pt>
                <c:pt idx="47">
                  <c:v>8.4540509611437553</c:v>
                </c:pt>
                <c:pt idx="48">
                  <c:v>11.555036477175792</c:v>
                </c:pt>
                <c:pt idx="49">
                  <c:v>17.400718968775184</c:v>
                </c:pt>
                <c:pt idx="50">
                  <c:v>9.5633482556245752</c:v>
                </c:pt>
                <c:pt idx="51">
                  <c:v>16.51205516840238</c:v>
                </c:pt>
                <c:pt idx="52">
                  <c:v>4.135022788212213</c:v>
                </c:pt>
                <c:pt idx="53">
                  <c:v>5.0027586041098893</c:v>
                </c:pt>
                <c:pt idx="54">
                  <c:v>17.325013499229328</c:v>
                </c:pt>
                <c:pt idx="55">
                  <c:v>10.816290476310876</c:v>
                </c:pt>
                <c:pt idx="56">
                  <c:v>14.278816419925855</c:v>
                </c:pt>
                <c:pt idx="57">
                  <c:v>7.4251619788835628</c:v>
                </c:pt>
                <c:pt idx="58">
                  <c:v>8.3140073922473086</c:v>
                </c:pt>
                <c:pt idx="59">
                  <c:v>17.458286337637503</c:v>
                </c:pt>
                <c:pt idx="60">
                  <c:v>10.546665012316414</c:v>
                </c:pt>
                <c:pt idx="61">
                  <c:v>13.810948063250899</c:v>
                </c:pt>
                <c:pt idx="62">
                  <c:v>17.346730019008188</c:v>
                </c:pt>
                <c:pt idx="63">
                  <c:v>15.778093832461739</c:v>
                </c:pt>
                <c:pt idx="64">
                  <c:v>16.756807951007293</c:v>
                </c:pt>
                <c:pt idx="65">
                  <c:v>5.0472422845685134</c:v>
                </c:pt>
                <c:pt idx="66">
                  <c:v>8.7923576375084647</c:v>
                </c:pt>
                <c:pt idx="67">
                  <c:v>10.687938004893693</c:v>
                </c:pt>
                <c:pt idx="68">
                  <c:v>13.832702946619193</c:v>
                </c:pt>
                <c:pt idx="69">
                  <c:v>17.474248759270179</c:v>
                </c:pt>
                <c:pt idx="70">
                  <c:v>3.8575074126824509</c:v>
                </c:pt>
                <c:pt idx="71">
                  <c:v>8.1903449572137514</c:v>
                </c:pt>
                <c:pt idx="72">
                  <c:v>10.61231778914086</c:v>
                </c:pt>
                <c:pt idx="73">
                  <c:v>10.986322927689306</c:v>
                </c:pt>
                <c:pt idx="74">
                  <c:v>11.18106836587515</c:v>
                </c:pt>
                <c:pt idx="75">
                  <c:v>17.444246186410599</c:v>
                </c:pt>
                <c:pt idx="76">
                  <c:v>16.509572030767007</c:v>
                </c:pt>
                <c:pt idx="77">
                  <c:v>9.0755026962751408</c:v>
                </c:pt>
                <c:pt idx="78">
                  <c:v>10.869909148158888</c:v>
                </c:pt>
                <c:pt idx="79">
                  <c:v>14.593145736445633</c:v>
                </c:pt>
                <c:pt idx="80">
                  <c:v>10.531463159898951</c:v>
                </c:pt>
                <c:pt idx="81">
                  <c:v>10.808637701267132</c:v>
                </c:pt>
                <c:pt idx="82">
                  <c:v>10.394075181448219</c:v>
                </c:pt>
                <c:pt idx="83">
                  <c:v>12.541435838538225</c:v>
                </c:pt>
                <c:pt idx="84">
                  <c:v>10.861643335152451</c:v>
                </c:pt>
                <c:pt idx="85">
                  <c:v>10.453556535892833</c:v>
                </c:pt>
                <c:pt idx="86">
                  <c:v>10.416080856733954</c:v>
                </c:pt>
                <c:pt idx="87">
                  <c:v>10.869702580204025</c:v>
                </c:pt>
                <c:pt idx="88">
                  <c:v>13.22217078786033</c:v>
                </c:pt>
                <c:pt idx="89">
                  <c:v>15.91920575681166</c:v>
                </c:pt>
                <c:pt idx="90">
                  <c:v>10.131378147324952</c:v>
                </c:pt>
                <c:pt idx="91">
                  <c:v>10.741520383108028</c:v>
                </c:pt>
                <c:pt idx="92">
                  <c:v>8.5382821248664253</c:v>
                </c:pt>
                <c:pt idx="93">
                  <c:v>17.472436285464653</c:v>
                </c:pt>
                <c:pt idx="94">
                  <c:v>4.0921781218007887</c:v>
                </c:pt>
                <c:pt idx="95">
                  <c:v>7.2604989543649614</c:v>
                </c:pt>
                <c:pt idx="96">
                  <c:v>8.560306445514362</c:v>
                </c:pt>
                <c:pt idx="97">
                  <c:v>17.368571766874574</c:v>
                </c:pt>
                <c:pt idx="98">
                  <c:v>9.3246179096825799</c:v>
                </c:pt>
                <c:pt idx="99">
                  <c:v>10.395724071972003</c:v>
                </c:pt>
                <c:pt idx="100">
                  <c:v>3.7878231676159464</c:v>
                </c:pt>
                <c:pt idx="101">
                  <c:v>17.482175627898272</c:v>
                </c:pt>
                <c:pt idx="102">
                  <c:v>10.47242847926656</c:v>
                </c:pt>
                <c:pt idx="103">
                  <c:v>5.4927184888119394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CB-4EEB-9E75-736C98D0834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'Син. апрокс. МНК-МНМ'!$B$23:$B$126</c:f>
              <c:numCache>
                <c:formatCode>General</c:formatCode>
                <c:ptCount val="104"/>
                <c:pt idx="0">
                  <c:v>7.3854487746818442</c:v>
                </c:pt>
                <c:pt idx="1">
                  <c:v>6.0483718375194551</c:v>
                </c:pt>
                <c:pt idx="2">
                  <c:v>3.3983886226996676</c:v>
                </c:pt>
                <c:pt idx="3">
                  <c:v>4.3007599108859527</c:v>
                </c:pt>
                <c:pt idx="4">
                  <c:v>1.8239997558519243</c:v>
                </c:pt>
                <c:pt idx="5">
                  <c:v>5.29871517075106</c:v>
                </c:pt>
                <c:pt idx="6">
                  <c:v>10.532029175695058</c:v>
                </c:pt>
                <c:pt idx="7">
                  <c:v>2.4890591143528549</c:v>
                </c:pt>
                <c:pt idx="8">
                  <c:v>1.7683339945677052</c:v>
                </c:pt>
                <c:pt idx="9">
                  <c:v>6.1201513718070011</c:v>
                </c:pt>
                <c:pt idx="10">
                  <c:v>5.5678884243293556</c:v>
                </c:pt>
                <c:pt idx="11">
                  <c:v>2.500411999877926</c:v>
                </c:pt>
                <c:pt idx="12">
                  <c:v>5.5246742149113439</c:v>
                </c:pt>
                <c:pt idx="13">
                  <c:v>10.036164433729057</c:v>
                </c:pt>
                <c:pt idx="14">
                  <c:v>12.603747672963653</c:v>
                </c:pt>
                <c:pt idx="15">
                  <c:v>8.0336619159520239</c:v>
                </c:pt>
                <c:pt idx="16">
                  <c:v>8.0256050294503609</c:v>
                </c:pt>
                <c:pt idx="17">
                  <c:v>8.1592761009552301</c:v>
                </c:pt>
                <c:pt idx="18">
                  <c:v>4.5662709433271278</c:v>
                </c:pt>
                <c:pt idx="19">
                  <c:v>3.5170445875423444</c:v>
                </c:pt>
                <c:pt idx="20">
                  <c:v>4.3608203375347143</c:v>
                </c:pt>
                <c:pt idx="21">
                  <c:v>8.1032441175572991</c:v>
                </c:pt>
                <c:pt idx="22">
                  <c:v>9.9717093417157496</c:v>
                </c:pt>
                <c:pt idx="23">
                  <c:v>7.3297830133976252</c:v>
                </c:pt>
                <c:pt idx="24">
                  <c:v>5.6081728568376725</c:v>
                </c:pt>
                <c:pt idx="25">
                  <c:v>11.983367412335582</c:v>
                </c:pt>
                <c:pt idx="26">
                  <c:v>6.4266792809839171</c:v>
                </c:pt>
                <c:pt idx="27">
                  <c:v>8.7986999114963211</c:v>
                </c:pt>
                <c:pt idx="28">
                  <c:v>7.3484603411969349</c:v>
                </c:pt>
                <c:pt idx="29">
                  <c:v>4.3751029999694815</c:v>
                </c:pt>
                <c:pt idx="30">
                  <c:v>12.247047334208197</c:v>
                </c:pt>
                <c:pt idx="31">
                  <c:v>6.8416089358195746</c:v>
                </c:pt>
                <c:pt idx="32">
                  <c:v>1.2329172643208106</c:v>
                </c:pt>
                <c:pt idx="33">
                  <c:v>3.1134678182317574</c:v>
                </c:pt>
                <c:pt idx="34">
                  <c:v>1.5683767204809718</c:v>
                </c:pt>
                <c:pt idx="35">
                  <c:v>2.1345561082796718</c:v>
                </c:pt>
                <c:pt idx="36">
                  <c:v>5.9798883022553175</c:v>
                </c:pt>
                <c:pt idx="37">
                  <c:v>3.7975707266457106</c:v>
                </c:pt>
                <c:pt idx="38">
                  <c:v>6.3248695333719898</c:v>
                </c:pt>
                <c:pt idx="39">
                  <c:v>4.6790673543504138</c:v>
                </c:pt>
                <c:pt idx="40">
                  <c:v>4.1784417249061558</c:v>
                </c:pt>
                <c:pt idx="41">
                  <c:v>2.8856776635029147</c:v>
                </c:pt>
                <c:pt idx="42">
                  <c:v>6.4687948240607929</c:v>
                </c:pt>
                <c:pt idx="43">
                  <c:v>4.6395153660695208</c:v>
                </c:pt>
                <c:pt idx="44">
                  <c:v>1.2695394756920071</c:v>
                </c:pt>
                <c:pt idx="45">
                  <c:v>2.2488174077578051</c:v>
                </c:pt>
                <c:pt idx="46">
                  <c:v>7.8077028717917418</c:v>
                </c:pt>
                <c:pt idx="47">
                  <c:v>4.3329874568926048</c:v>
                </c:pt>
                <c:pt idx="48">
                  <c:v>9.0828882717368078</c:v>
                </c:pt>
                <c:pt idx="49">
                  <c:v>12.059907834101383</c:v>
                </c:pt>
                <c:pt idx="50">
                  <c:v>4.8347117526779995</c:v>
                </c:pt>
                <c:pt idx="51">
                  <c:v>11.238837855159154</c:v>
                </c:pt>
                <c:pt idx="52">
                  <c:v>2.302285836359752</c:v>
                </c:pt>
                <c:pt idx="53">
                  <c:v>2.8959318826868499</c:v>
                </c:pt>
                <c:pt idx="54">
                  <c:v>11.925870540482803</c:v>
                </c:pt>
                <c:pt idx="55">
                  <c:v>5.9084749900814844</c:v>
                </c:pt>
                <c:pt idx="56">
                  <c:v>10.239051484725486</c:v>
                </c:pt>
                <c:pt idx="57">
                  <c:v>3.9261146885586111</c:v>
                </c:pt>
                <c:pt idx="58">
                  <c:v>4.2758568071535388</c:v>
                </c:pt>
                <c:pt idx="59">
                  <c:v>12.650990325632497</c:v>
                </c:pt>
                <c:pt idx="60">
                  <c:v>8.2797631763664654</c:v>
                </c:pt>
                <c:pt idx="61">
                  <c:v>10.057771538438063</c:v>
                </c:pt>
                <c:pt idx="62">
                  <c:v>11.959929197058017</c:v>
                </c:pt>
                <c:pt idx="63">
                  <c:v>10.860530411694693</c:v>
                </c:pt>
                <c:pt idx="64">
                  <c:v>11.393383587145603</c:v>
                </c:pt>
                <c:pt idx="65">
                  <c:v>2.9193700979644155</c:v>
                </c:pt>
                <c:pt idx="66">
                  <c:v>4.4750816370128481</c:v>
                </c:pt>
                <c:pt idx="67">
                  <c:v>6.8745689260536516</c:v>
                </c:pt>
                <c:pt idx="68">
                  <c:v>10.066194647053438</c:v>
                </c:pt>
                <c:pt idx="69">
                  <c:v>12.56053346354564</c:v>
                </c:pt>
                <c:pt idx="70">
                  <c:v>1.1626026184881131</c:v>
                </c:pt>
                <c:pt idx="71">
                  <c:v>4.2260505996887119</c:v>
                </c:pt>
                <c:pt idx="72">
                  <c:v>7.0408337656788849</c:v>
                </c:pt>
                <c:pt idx="73">
                  <c:v>8.725089266640218</c:v>
                </c:pt>
                <c:pt idx="74">
                  <c:v>8.8613238929410691</c:v>
                </c:pt>
                <c:pt idx="75">
                  <c:v>12.171239356669819</c:v>
                </c:pt>
                <c:pt idx="76">
                  <c:v>11.237372966704307</c:v>
                </c:pt>
                <c:pt idx="77">
                  <c:v>4.5999633777886295</c:v>
                </c:pt>
                <c:pt idx="78">
                  <c:v>6.1820429090243234</c:v>
                </c:pt>
                <c:pt idx="79">
                  <c:v>10.362102114932707</c:v>
                </c:pt>
                <c:pt idx="80">
                  <c:v>7.2239448225348681</c:v>
                </c:pt>
                <c:pt idx="81">
                  <c:v>5.8886989959410387</c:v>
                </c:pt>
                <c:pt idx="82">
                  <c:v>7.7795037690359212</c:v>
                </c:pt>
                <c:pt idx="83">
                  <c:v>9.549455244605852</c:v>
                </c:pt>
                <c:pt idx="84">
                  <c:v>8.6254768517105624</c:v>
                </c:pt>
                <c:pt idx="85">
                  <c:v>8.1006805627613137</c:v>
                </c:pt>
                <c:pt idx="86">
                  <c:v>7.9805597094637903</c:v>
                </c:pt>
                <c:pt idx="87">
                  <c:v>6.1758171330912202</c:v>
                </c:pt>
                <c:pt idx="88">
                  <c:v>9.8277840510269474</c:v>
                </c:pt>
                <c:pt idx="89">
                  <c:v>10.926816614276559</c:v>
                </c:pt>
                <c:pt idx="90">
                  <c:v>5.1654103213599054</c:v>
                </c:pt>
                <c:pt idx="91">
                  <c:v>6.750053407391583</c:v>
                </c:pt>
                <c:pt idx="92">
                  <c:v>4.3677785576952424</c:v>
                </c:pt>
                <c:pt idx="93">
                  <c:v>12.573351237525559</c:v>
                </c:pt>
                <c:pt idx="94">
                  <c:v>2.258705404828028</c:v>
                </c:pt>
                <c:pt idx="95">
                  <c:v>3.8623920407727286</c:v>
                </c:pt>
                <c:pt idx="96">
                  <c:v>4.3769341105380413</c:v>
                </c:pt>
                <c:pt idx="97">
                  <c:v>12.935178685872982</c:v>
                </c:pt>
                <c:pt idx="98">
                  <c:v>4.7160557878353222</c:v>
                </c:pt>
                <c:pt idx="99">
                  <c:v>7.7304300057985174</c:v>
                </c:pt>
                <c:pt idx="100">
                  <c:v>1.4522843104342784</c:v>
                </c:pt>
                <c:pt idx="101">
                  <c:v>12.476302377391889</c:v>
                </c:pt>
                <c:pt idx="102">
                  <c:v>7.3770256660664693</c:v>
                </c:pt>
                <c:pt idx="103">
                  <c:v>3.137272255623035</c:v>
                </c:pt>
              </c:numCache>
            </c:numRef>
          </c:xVal>
          <c:yVal>
            <c:numRef>
              <c:f>'Син. апрокс. МНК-МНМ'!$E$23:$E$126</c:f>
              <c:numCache>
                <c:formatCode>General</c:formatCode>
                <c:ptCount val="104"/>
                <c:pt idx="0">
                  <c:v>9.7491986800965034</c:v>
                </c:pt>
                <c:pt idx="1">
                  <c:v>13.931842266639825</c:v>
                </c:pt>
                <c:pt idx="2">
                  <c:v>5.834934336138649</c:v>
                </c:pt>
                <c:pt idx="3">
                  <c:v>9.1538653784173629</c:v>
                </c:pt>
                <c:pt idx="4">
                  <c:v>3.341328948376078</c:v>
                </c:pt>
                <c:pt idx="5">
                  <c:v>11.311316816830347</c:v>
                </c:pt>
                <c:pt idx="6">
                  <c:v>12.759816174359152</c:v>
                </c:pt>
                <c:pt idx="7">
                  <c:v>3.8589055034345665</c:v>
                </c:pt>
                <c:pt idx="8">
                  <c:v>3.9100801752533298</c:v>
                </c:pt>
                <c:pt idx="9">
                  <c:v>8.4388591230236294</c:v>
                </c:pt>
                <c:pt idx="10">
                  <c:v>4.4053993697307456</c:v>
                </c:pt>
                <c:pt idx="11">
                  <c:v>-1.0100189664238126</c:v>
                </c:pt>
                <c:pt idx="12">
                  <c:v>10.133096382460781</c:v>
                </c:pt>
                <c:pt idx="13">
                  <c:v>10.878121453002999</c:v>
                </c:pt>
                <c:pt idx="14">
                  <c:v>19.29513164494017</c:v>
                </c:pt>
                <c:pt idx="15">
                  <c:v>12.488040450194879</c:v>
                </c:pt>
                <c:pt idx="16">
                  <c:v>13.680392253039019</c:v>
                </c:pt>
                <c:pt idx="17">
                  <c:v>11.213329051552011</c:v>
                </c:pt>
                <c:pt idx="18">
                  <c:v>12.995590333508186</c:v>
                </c:pt>
                <c:pt idx="19">
                  <c:v>7.694794080578979</c:v>
                </c:pt>
                <c:pt idx="20">
                  <c:v>13.460076153050746</c:v>
                </c:pt>
                <c:pt idx="21">
                  <c:v>6.3338179095562905</c:v>
                </c:pt>
                <c:pt idx="22">
                  <c:v>17.401117534984795</c:v>
                </c:pt>
                <c:pt idx="23">
                  <c:v>9.2861787221533518</c:v>
                </c:pt>
                <c:pt idx="24">
                  <c:v>6.1900666852430559</c:v>
                </c:pt>
                <c:pt idx="25">
                  <c:v>14.403660976984225</c:v>
                </c:pt>
                <c:pt idx="26">
                  <c:v>8.6802855677455604</c:v>
                </c:pt>
                <c:pt idx="27">
                  <c:v>13.981388874008493</c:v>
                </c:pt>
                <c:pt idx="28">
                  <c:v>12.746329023364295</c:v>
                </c:pt>
                <c:pt idx="29">
                  <c:v>10.35213079338453</c:v>
                </c:pt>
                <c:pt idx="30">
                  <c:v>10.858185026275333</c:v>
                </c:pt>
                <c:pt idx="31">
                  <c:v>10.819086000249079</c:v>
                </c:pt>
                <c:pt idx="32">
                  <c:v>3.3531400270581933</c:v>
                </c:pt>
                <c:pt idx="33">
                  <c:v>9.1719988689324552</c:v>
                </c:pt>
                <c:pt idx="34">
                  <c:v>0.18180398256140062</c:v>
                </c:pt>
                <c:pt idx="35">
                  <c:v>4.593081748640734</c:v>
                </c:pt>
                <c:pt idx="36">
                  <c:v>10.039938439148946</c:v>
                </c:pt>
                <c:pt idx="37">
                  <c:v>7.5233461054320436</c:v>
                </c:pt>
                <c:pt idx="38">
                  <c:v>10.4543120211658</c:v>
                </c:pt>
                <c:pt idx="39">
                  <c:v>8.8542595378758335</c:v>
                </c:pt>
                <c:pt idx="40">
                  <c:v>9.4339394756725863</c:v>
                </c:pt>
                <c:pt idx="41">
                  <c:v>12.18086699781264</c:v>
                </c:pt>
                <c:pt idx="42">
                  <c:v>13.970577214121462</c:v>
                </c:pt>
                <c:pt idx="43">
                  <c:v>7.3154344517166265</c:v>
                </c:pt>
                <c:pt idx="44">
                  <c:v>3.2043097724561154E-2</c:v>
                </c:pt>
                <c:pt idx="45">
                  <c:v>-1.9581800032897911</c:v>
                </c:pt>
                <c:pt idx="46">
                  <c:v>10.655879540545223</c:v>
                </c:pt>
                <c:pt idx="47">
                  <c:v>7.38771763709655</c:v>
                </c:pt>
                <c:pt idx="48">
                  <c:v>9.2428560686679369</c:v>
                </c:pt>
                <c:pt idx="49">
                  <c:v>19.680023267713871</c:v>
                </c:pt>
                <c:pt idx="50">
                  <c:v>9.6082451779123126</c:v>
                </c:pt>
                <c:pt idx="51">
                  <c:v>19.686333370721801</c:v>
                </c:pt>
                <c:pt idx="52">
                  <c:v>0.84621418574761931</c:v>
                </c:pt>
                <c:pt idx="53">
                  <c:v>6.6047943458771732</c:v>
                </c:pt>
                <c:pt idx="54">
                  <c:v>20.448798373831764</c:v>
                </c:pt>
                <c:pt idx="55">
                  <c:v>2.5970708693008913</c:v>
                </c:pt>
                <c:pt idx="56">
                  <c:v>15.922828898849367</c:v>
                </c:pt>
                <c:pt idx="57">
                  <c:v>7.0107803158486348</c:v>
                </c:pt>
                <c:pt idx="58">
                  <c:v>12.116605934635034</c:v>
                </c:pt>
                <c:pt idx="59">
                  <c:v>17.76180076947071</c:v>
                </c:pt>
                <c:pt idx="60">
                  <c:v>6.474862365172279</c:v>
                </c:pt>
                <c:pt idx="61">
                  <c:v>9.9786227755117842</c:v>
                </c:pt>
                <c:pt idx="62">
                  <c:v>16.36222102163325</c:v>
                </c:pt>
                <c:pt idx="63">
                  <c:v>18.619263929324077</c:v>
                </c:pt>
                <c:pt idx="64">
                  <c:v>9.4672570038898769</c:v>
                </c:pt>
                <c:pt idx="65">
                  <c:v>8.5996083135091439E-3</c:v>
                </c:pt>
                <c:pt idx="66">
                  <c:v>4.170288611355458</c:v>
                </c:pt>
                <c:pt idx="67">
                  <c:v>11.751121964723119</c:v>
                </c:pt>
                <c:pt idx="68">
                  <c:v>13.139377067661366</c:v>
                </c:pt>
                <c:pt idx="69">
                  <c:v>17.514916957772542</c:v>
                </c:pt>
                <c:pt idx="70">
                  <c:v>-0.82899790108127824</c:v>
                </c:pt>
                <c:pt idx="71">
                  <c:v>10.621964634037214</c:v>
                </c:pt>
                <c:pt idx="72">
                  <c:v>7.7911306300265482</c:v>
                </c:pt>
                <c:pt idx="73">
                  <c:v>12.53521130006312</c:v>
                </c:pt>
                <c:pt idx="74">
                  <c:v>11.864476704696472</c:v>
                </c:pt>
                <c:pt idx="75">
                  <c:v>16.636471228918857</c:v>
                </c:pt>
                <c:pt idx="76">
                  <c:v>24.29799409857873</c:v>
                </c:pt>
                <c:pt idx="77">
                  <c:v>11.542135023181714</c:v>
                </c:pt>
                <c:pt idx="78">
                  <c:v>8.0090074712560479</c:v>
                </c:pt>
                <c:pt idx="79">
                  <c:v>18.229234583347321</c:v>
                </c:pt>
                <c:pt idx="80">
                  <c:v>15.07892330416033</c:v>
                </c:pt>
                <c:pt idx="81">
                  <c:v>10.561039270047017</c:v>
                </c:pt>
                <c:pt idx="82">
                  <c:v>8.8376608635962377</c:v>
                </c:pt>
                <c:pt idx="83">
                  <c:v>18.272835142472257</c:v>
                </c:pt>
                <c:pt idx="84">
                  <c:v>15.808111661484268</c:v>
                </c:pt>
                <c:pt idx="85">
                  <c:v>9.5874185365765321</c:v>
                </c:pt>
                <c:pt idx="86">
                  <c:v>4.2156184990682641</c:v>
                </c:pt>
                <c:pt idx="87">
                  <c:v>6.9166738427379393</c:v>
                </c:pt>
                <c:pt idx="88">
                  <c:v>12.093959110520128</c:v>
                </c:pt>
                <c:pt idx="89">
                  <c:v>13.548355502218595</c:v>
                </c:pt>
                <c:pt idx="90">
                  <c:v>13.391280613424478</c:v>
                </c:pt>
                <c:pt idx="91">
                  <c:v>11.534165824469051</c:v>
                </c:pt>
                <c:pt idx="92">
                  <c:v>7.807759001632169</c:v>
                </c:pt>
                <c:pt idx="93">
                  <c:v>19.851078628990912</c:v>
                </c:pt>
                <c:pt idx="94">
                  <c:v>5.7068630705554462</c:v>
                </c:pt>
                <c:pt idx="95">
                  <c:v>5.143128162060659</c:v>
                </c:pt>
                <c:pt idx="96">
                  <c:v>4.673133427419125</c:v>
                </c:pt>
                <c:pt idx="97">
                  <c:v>18.782251871222631</c:v>
                </c:pt>
                <c:pt idx="98">
                  <c:v>11.070352634978251</c:v>
                </c:pt>
                <c:pt idx="99">
                  <c:v>13.022929616742836</c:v>
                </c:pt>
                <c:pt idx="100">
                  <c:v>4.8599303260624147</c:v>
                </c:pt>
                <c:pt idx="101">
                  <c:v>15.570947727257277</c:v>
                </c:pt>
                <c:pt idx="102">
                  <c:v>16.367358150565114</c:v>
                </c:pt>
                <c:pt idx="103">
                  <c:v>1.5282086184110839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CB-4EEB-9E75-736C98D0834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'Син. апрокс. МНК-МНМ'!$B$23:$B$126</c:f>
              <c:numCache>
                <c:formatCode>General</c:formatCode>
                <c:ptCount val="104"/>
                <c:pt idx="0">
                  <c:v>7.3854487746818442</c:v>
                </c:pt>
                <c:pt idx="1">
                  <c:v>6.0483718375194551</c:v>
                </c:pt>
                <c:pt idx="2">
                  <c:v>3.3983886226996676</c:v>
                </c:pt>
                <c:pt idx="3">
                  <c:v>4.3007599108859527</c:v>
                </c:pt>
                <c:pt idx="4">
                  <c:v>1.8239997558519243</c:v>
                </c:pt>
                <c:pt idx="5">
                  <c:v>5.29871517075106</c:v>
                </c:pt>
                <c:pt idx="6">
                  <c:v>10.532029175695058</c:v>
                </c:pt>
                <c:pt idx="7">
                  <c:v>2.4890591143528549</c:v>
                </c:pt>
                <c:pt idx="8">
                  <c:v>1.7683339945677052</c:v>
                </c:pt>
                <c:pt idx="9">
                  <c:v>6.1201513718070011</c:v>
                </c:pt>
                <c:pt idx="10">
                  <c:v>5.5678884243293556</c:v>
                </c:pt>
                <c:pt idx="11">
                  <c:v>2.500411999877926</c:v>
                </c:pt>
                <c:pt idx="12">
                  <c:v>5.5246742149113439</c:v>
                </c:pt>
                <c:pt idx="13">
                  <c:v>10.036164433729057</c:v>
                </c:pt>
                <c:pt idx="14">
                  <c:v>12.603747672963653</c:v>
                </c:pt>
                <c:pt idx="15">
                  <c:v>8.0336619159520239</c:v>
                </c:pt>
                <c:pt idx="16">
                  <c:v>8.0256050294503609</c:v>
                </c:pt>
                <c:pt idx="17">
                  <c:v>8.1592761009552301</c:v>
                </c:pt>
                <c:pt idx="18">
                  <c:v>4.5662709433271278</c:v>
                </c:pt>
                <c:pt idx="19">
                  <c:v>3.5170445875423444</c:v>
                </c:pt>
                <c:pt idx="20">
                  <c:v>4.3608203375347143</c:v>
                </c:pt>
                <c:pt idx="21">
                  <c:v>8.1032441175572991</c:v>
                </c:pt>
                <c:pt idx="22">
                  <c:v>9.9717093417157496</c:v>
                </c:pt>
                <c:pt idx="23">
                  <c:v>7.3297830133976252</c:v>
                </c:pt>
                <c:pt idx="24">
                  <c:v>5.6081728568376725</c:v>
                </c:pt>
                <c:pt idx="25">
                  <c:v>11.983367412335582</c:v>
                </c:pt>
                <c:pt idx="26">
                  <c:v>6.4266792809839171</c:v>
                </c:pt>
                <c:pt idx="27">
                  <c:v>8.7986999114963211</c:v>
                </c:pt>
                <c:pt idx="28">
                  <c:v>7.3484603411969349</c:v>
                </c:pt>
                <c:pt idx="29">
                  <c:v>4.3751029999694815</c:v>
                </c:pt>
                <c:pt idx="30">
                  <c:v>12.247047334208197</c:v>
                </c:pt>
                <c:pt idx="31">
                  <c:v>6.8416089358195746</c:v>
                </c:pt>
                <c:pt idx="32">
                  <c:v>1.2329172643208106</c:v>
                </c:pt>
                <c:pt idx="33">
                  <c:v>3.1134678182317574</c:v>
                </c:pt>
                <c:pt idx="34">
                  <c:v>1.5683767204809718</c:v>
                </c:pt>
                <c:pt idx="35">
                  <c:v>2.1345561082796718</c:v>
                </c:pt>
                <c:pt idx="36">
                  <c:v>5.9798883022553175</c:v>
                </c:pt>
                <c:pt idx="37">
                  <c:v>3.7975707266457106</c:v>
                </c:pt>
                <c:pt idx="38">
                  <c:v>6.3248695333719898</c:v>
                </c:pt>
                <c:pt idx="39">
                  <c:v>4.6790673543504138</c:v>
                </c:pt>
                <c:pt idx="40">
                  <c:v>4.1784417249061558</c:v>
                </c:pt>
                <c:pt idx="41">
                  <c:v>2.8856776635029147</c:v>
                </c:pt>
                <c:pt idx="42">
                  <c:v>6.4687948240607929</c:v>
                </c:pt>
                <c:pt idx="43">
                  <c:v>4.6395153660695208</c:v>
                </c:pt>
                <c:pt idx="44">
                  <c:v>1.2695394756920071</c:v>
                </c:pt>
                <c:pt idx="45">
                  <c:v>2.2488174077578051</c:v>
                </c:pt>
                <c:pt idx="46">
                  <c:v>7.8077028717917418</c:v>
                </c:pt>
                <c:pt idx="47">
                  <c:v>4.3329874568926048</c:v>
                </c:pt>
                <c:pt idx="48">
                  <c:v>9.0828882717368078</c:v>
                </c:pt>
                <c:pt idx="49">
                  <c:v>12.059907834101383</c:v>
                </c:pt>
                <c:pt idx="50">
                  <c:v>4.8347117526779995</c:v>
                </c:pt>
                <c:pt idx="51">
                  <c:v>11.238837855159154</c:v>
                </c:pt>
                <c:pt idx="52">
                  <c:v>2.302285836359752</c:v>
                </c:pt>
                <c:pt idx="53">
                  <c:v>2.8959318826868499</c:v>
                </c:pt>
                <c:pt idx="54">
                  <c:v>11.925870540482803</c:v>
                </c:pt>
                <c:pt idx="55">
                  <c:v>5.9084749900814844</c:v>
                </c:pt>
                <c:pt idx="56">
                  <c:v>10.239051484725486</c:v>
                </c:pt>
                <c:pt idx="57">
                  <c:v>3.9261146885586111</c:v>
                </c:pt>
                <c:pt idx="58">
                  <c:v>4.2758568071535388</c:v>
                </c:pt>
                <c:pt idx="59">
                  <c:v>12.650990325632497</c:v>
                </c:pt>
                <c:pt idx="60">
                  <c:v>8.2797631763664654</c:v>
                </c:pt>
                <c:pt idx="61">
                  <c:v>10.057771538438063</c:v>
                </c:pt>
                <c:pt idx="62">
                  <c:v>11.959929197058017</c:v>
                </c:pt>
                <c:pt idx="63">
                  <c:v>10.860530411694693</c:v>
                </c:pt>
                <c:pt idx="64">
                  <c:v>11.393383587145603</c:v>
                </c:pt>
                <c:pt idx="65">
                  <c:v>2.9193700979644155</c:v>
                </c:pt>
                <c:pt idx="66">
                  <c:v>4.4750816370128481</c:v>
                </c:pt>
                <c:pt idx="67">
                  <c:v>6.8745689260536516</c:v>
                </c:pt>
                <c:pt idx="68">
                  <c:v>10.066194647053438</c:v>
                </c:pt>
                <c:pt idx="69">
                  <c:v>12.56053346354564</c:v>
                </c:pt>
                <c:pt idx="70">
                  <c:v>1.1626026184881131</c:v>
                </c:pt>
                <c:pt idx="71">
                  <c:v>4.2260505996887119</c:v>
                </c:pt>
                <c:pt idx="72">
                  <c:v>7.0408337656788849</c:v>
                </c:pt>
                <c:pt idx="73">
                  <c:v>8.725089266640218</c:v>
                </c:pt>
                <c:pt idx="74">
                  <c:v>8.8613238929410691</c:v>
                </c:pt>
                <c:pt idx="75">
                  <c:v>12.171239356669819</c:v>
                </c:pt>
                <c:pt idx="76">
                  <c:v>11.237372966704307</c:v>
                </c:pt>
                <c:pt idx="77">
                  <c:v>4.5999633777886295</c:v>
                </c:pt>
                <c:pt idx="78">
                  <c:v>6.1820429090243234</c:v>
                </c:pt>
                <c:pt idx="79">
                  <c:v>10.362102114932707</c:v>
                </c:pt>
                <c:pt idx="80">
                  <c:v>7.2239448225348681</c:v>
                </c:pt>
                <c:pt idx="81">
                  <c:v>5.8886989959410387</c:v>
                </c:pt>
                <c:pt idx="82">
                  <c:v>7.7795037690359212</c:v>
                </c:pt>
                <c:pt idx="83">
                  <c:v>9.549455244605852</c:v>
                </c:pt>
                <c:pt idx="84">
                  <c:v>8.6254768517105624</c:v>
                </c:pt>
                <c:pt idx="85">
                  <c:v>8.1006805627613137</c:v>
                </c:pt>
                <c:pt idx="86">
                  <c:v>7.9805597094637903</c:v>
                </c:pt>
                <c:pt idx="87">
                  <c:v>6.1758171330912202</c:v>
                </c:pt>
                <c:pt idx="88">
                  <c:v>9.8277840510269474</c:v>
                </c:pt>
                <c:pt idx="89">
                  <c:v>10.926816614276559</c:v>
                </c:pt>
                <c:pt idx="90">
                  <c:v>5.1654103213599054</c:v>
                </c:pt>
                <c:pt idx="91">
                  <c:v>6.750053407391583</c:v>
                </c:pt>
                <c:pt idx="92">
                  <c:v>4.3677785576952424</c:v>
                </c:pt>
                <c:pt idx="93">
                  <c:v>12.573351237525559</c:v>
                </c:pt>
                <c:pt idx="94">
                  <c:v>2.258705404828028</c:v>
                </c:pt>
                <c:pt idx="95">
                  <c:v>3.8623920407727286</c:v>
                </c:pt>
                <c:pt idx="96">
                  <c:v>4.3769341105380413</c:v>
                </c:pt>
                <c:pt idx="97">
                  <c:v>12.935178685872982</c:v>
                </c:pt>
                <c:pt idx="98">
                  <c:v>4.7160557878353222</c:v>
                </c:pt>
                <c:pt idx="99">
                  <c:v>7.7304300057985174</c:v>
                </c:pt>
                <c:pt idx="100">
                  <c:v>1.4522843104342784</c:v>
                </c:pt>
                <c:pt idx="101">
                  <c:v>12.476302377391889</c:v>
                </c:pt>
                <c:pt idx="102">
                  <c:v>7.3770256660664693</c:v>
                </c:pt>
                <c:pt idx="103">
                  <c:v>3.137272255623035</c:v>
                </c:pt>
              </c:numCache>
            </c:numRef>
          </c:xVal>
          <c:yVal>
            <c:numRef>
              <c:f>'Син. апрокс. МНК-МНМ'!$AD$23:$AD$124</c:f>
              <c:numCache>
                <c:formatCode>General</c:formatCode>
                <c:ptCount val="102"/>
                <c:pt idx="0">
                  <c:v>9.5765219256871106</c:v>
                </c:pt>
                <c:pt idx="1">
                  <c:v>10.978642334956032</c:v>
                </c:pt>
                <c:pt idx="2">
                  <c:v>6.9859522476532812</c:v>
                </c:pt>
                <c:pt idx="3">
                  <c:v>8.4594004156396601</c:v>
                </c:pt>
                <c:pt idx="4">
                  <c:v>3.5123044293890762</c:v>
                </c:pt>
                <c:pt idx="5">
                  <c:v>10.176240973697926</c:v>
                </c:pt>
                <c:pt idx="6">
                  <c:v>13.368880922566063</c:v>
                </c:pt>
                <c:pt idx="7">
                  <c:v>3.4935898911861116</c:v>
                </c:pt>
                <c:pt idx="8">
                  <c:v>2.4586468534912411</c:v>
                </c:pt>
                <c:pt idx="9">
                  <c:v>8.440421141565313</c:v>
                </c:pt>
                <c:pt idx="10">
                  <c:v>10.261332357982607</c:v>
                </c:pt>
                <c:pt idx="11">
                  <c:v>3.3468043227009341</c:v>
                </c:pt>
                <c:pt idx="12">
                  <c:v>10.218782561594388</c:v>
                </c:pt>
                <c:pt idx="13">
                  <c:v>12.768930037593718</c:v>
                </c:pt>
                <c:pt idx="14">
                  <c:v>19.282285896978763</c:v>
                </c:pt>
                <c:pt idx="15">
                  <c:v>12.091233328213917</c:v>
                </c:pt>
                <c:pt idx="16">
                  <c:v>12.424016852864016</c:v>
                </c:pt>
                <c:pt idx="17">
                  <c:v>12.089240276257597</c:v>
                </c:pt>
                <c:pt idx="18">
                  <c:v>9.2389146350235762</c:v>
                </c:pt>
                <c:pt idx="19">
                  <c:v>5.307426093092988</c:v>
                </c:pt>
                <c:pt idx="20">
                  <c:v>8.5269830822780524</c:v>
                </c:pt>
                <c:pt idx="21">
                  <c:v>10.339574733032034</c:v>
                </c:pt>
                <c:pt idx="22">
                  <c:v>14.794843488884084</c:v>
                </c:pt>
                <c:pt idx="23">
                  <c:v>10.155114904072244</c:v>
                </c:pt>
                <c:pt idx="24">
                  <c:v>8.8294456264561969</c:v>
                </c:pt>
                <c:pt idx="25">
                  <c:v>15.188654434221752</c:v>
                </c:pt>
                <c:pt idx="26">
                  <c:v>8.706980518047521</c:v>
                </c:pt>
                <c:pt idx="27">
                  <c:v>11.641843166736393</c:v>
                </c:pt>
                <c:pt idx="28">
                  <c:v>9.6153659233640383</c:v>
                </c:pt>
                <c:pt idx="29">
                  <c:v>8.0369238234140319</c:v>
                </c:pt>
                <c:pt idx="30">
                  <c:v>15.65998440845496</c:v>
                </c:pt>
                <c:pt idx="31">
                  <c:v>9.6207125578560984</c:v>
                </c:pt>
                <c:pt idx="32">
                  <c:v>3.354138731777021</c:v>
                </c:pt>
                <c:pt idx="33">
                  <c:v>7.451109706736565</c:v>
                </c:pt>
                <c:pt idx="34">
                  <c:v>2.7300217325847269</c:v>
                </c:pt>
                <c:pt idx="35">
                  <c:v>6.1885116614896738</c:v>
                </c:pt>
                <c:pt idx="36">
                  <c:v>9.7203083649386226</c:v>
                </c:pt>
                <c:pt idx="37">
                  <c:v>7.2133437117354973</c:v>
                </c:pt>
                <c:pt idx="38">
                  <c:v>10.264390690055981</c:v>
                </c:pt>
                <c:pt idx="39">
                  <c:v>6.1884683347834777</c:v>
                </c:pt>
                <c:pt idx="40">
                  <c:v>5.919295691472219</c:v>
                </c:pt>
                <c:pt idx="41">
                  <c:v>7.0673077430871061</c:v>
                </c:pt>
                <c:pt idx="42">
                  <c:v>10.448113107229677</c:v>
                </c:pt>
                <c:pt idx="43">
                  <c:v>7.4601684827232857</c:v>
                </c:pt>
                <c:pt idx="44">
                  <c:v>2.0601001964467498</c:v>
                </c:pt>
                <c:pt idx="45">
                  <c:v>3.1402465525369339</c:v>
                </c:pt>
                <c:pt idx="46">
                  <c:v>11.074996551902382</c:v>
                </c:pt>
                <c:pt idx="47">
                  <c:v>8.9753768070630144</c:v>
                </c:pt>
                <c:pt idx="48">
                  <c:v>11.635563528651616</c:v>
                </c:pt>
                <c:pt idx="49">
                  <c:v>17.459594449247241</c:v>
                </c:pt>
                <c:pt idx="50">
                  <c:v>9.4288997253731441</c:v>
                </c:pt>
                <c:pt idx="51">
                  <c:v>14.455543122636172</c:v>
                </c:pt>
                <c:pt idx="52">
                  <c:v>3.8097306537304649</c:v>
                </c:pt>
                <c:pt idx="53">
                  <c:v>6.874508586359342</c:v>
                </c:pt>
                <c:pt idx="54">
                  <c:v>16.827683092491871</c:v>
                </c:pt>
                <c:pt idx="55">
                  <c:v>7.5832035487526106</c:v>
                </c:pt>
                <c:pt idx="56">
                  <c:v>14.090937774645791</c:v>
                </c:pt>
                <c:pt idx="57">
                  <c:v>5.9217007390886192</c:v>
                </c:pt>
                <c:pt idx="58">
                  <c:v>7.4810840977010411</c:v>
                </c:pt>
                <c:pt idx="59">
                  <c:v>17.912581895910872</c:v>
                </c:pt>
                <c:pt idx="60">
                  <c:v>12.267506770101642</c:v>
                </c:pt>
                <c:pt idx="61">
                  <c:v>12.89378380215998</c:v>
                </c:pt>
                <c:pt idx="62">
                  <c:v>15.558927718116109</c:v>
                </c:pt>
                <c:pt idx="63">
                  <c:v>16.56312331117633</c:v>
                </c:pt>
                <c:pt idx="64">
                  <c:v>17.706771761811844</c:v>
                </c:pt>
                <c:pt idx="65">
                  <c:v>6.1070004810809282</c:v>
                </c:pt>
                <c:pt idx="66">
                  <c:v>6.0736775415523647</c:v>
                </c:pt>
                <c:pt idx="67">
                  <c:v>8.8281991555939392</c:v>
                </c:pt>
                <c:pt idx="68">
                  <c:v>13.077749189023061</c:v>
                </c:pt>
                <c:pt idx="69">
                  <c:v>18.639105429602814</c:v>
                </c:pt>
                <c:pt idx="70">
                  <c:v>4.9759022048335222</c:v>
                </c:pt>
                <c:pt idx="71">
                  <c:v>5.6346916529861453</c:v>
                </c:pt>
                <c:pt idx="72">
                  <c:v>11.674620745734391</c:v>
                </c:pt>
                <c:pt idx="73">
                  <c:v>14.270883734320469</c:v>
                </c:pt>
                <c:pt idx="74">
                  <c:v>11.877193768553013</c:v>
                </c:pt>
                <c:pt idx="75">
                  <c:v>17.034668358225982</c:v>
                </c:pt>
                <c:pt idx="76">
                  <c:v>14.485437373868329</c:v>
                </c:pt>
                <c:pt idx="77">
                  <c:v>8.9399897511990076</c:v>
                </c:pt>
                <c:pt idx="78">
                  <c:v>8.3544725376209783</c:v>
                </c:pt>
                <c:pt idx="79">
                  <c:v>15.487465052935816</c:v>
                </c:pt>
                <c:pt idx="80">
                  <c:v>12.290726039894148</c:v>
                </c:pt>
                <c:pt idx="81">
                  <c:v>7.8195613647932323</c:v>
                </c:pt>
                <c:pt idx="82">
                  <c:v>12.240113090481826</c:v>
                </c:pt>
                <c:pt idx="83">
                  <c:v>12.16455318265807</c:v>
                </c:pt>
                <c:pt idx="84">
                  <c:v>11.840822696045409</c:v>
                </c:pt>
                <c:pt idx="85">
                  <c:v>10.325819167260523</c:v>
                </c:pt>
                <c:pt idx="86">
                  <c:v>13.532780811299846</c:v>
                </c:pt>
                <c:pt idx="87">
                  <c:v>8.1824434544440425</c:v>
                </c:pt>
                <c:pt idx="88">
                  <c:v>12.904367897798855</c:v>
                </c:pt>
                <c:pt idx="89">
                  <c:v>16.643852119381684</c:v>
                </c:pt>
                <c:pt idx="90">
                  <c:v>6.7933337524216393</c:v>
                </c:pt>
                <c:pt idx="91">
                  <c:v>11.929842091307783</c:v>
                </c:pt>
                <c:pt idx="92">
                  <c:v>8.3045787951442307</c:v>
                </c:pt>
                <c:pt idx="93">
                  <c:v>19.025241359559629</c:v>
                </c:pt>
                <c:pt idx="94">
                  <c:v>3.0344883010906751</c:v>
                </c:pt>
                <c:pt idx="95">
                  <c:v>8.2132269241020079</c:v>
                </c:pt>
                <c:pt idx="96">
                  <c:v>7.9657478254335299</c:v>
                </c:pt>
                <c:pt idx="97">
                  <c:v>16.698500075781542</c:v>
                </c:pt>
                <c:pt idx="98">
                  <c:v>6.3262308628229276</c:v>
                </c:pt>
                <c:pt idx="99">
                  <c:v>13.222040123908727</c:v>
                </c:pt>
                <c:pt idx="100">
                  <c:v>4.6078949794749589</c:v>
                </c:pt>
                <c:pt idx="101">
                  <c:v>15.799832268667572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CB-4EEB-9E75-736C98D08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531440"/>
        <c:axId val="1473532880"/>
      </c:scatterChart>
      <c:valAx>
        <c:axId val="147353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3532880"/>
        <c:crosses val="autoZero"/>
        <c:crossBetween val="midCat"/>
      </c:valAx>
      <c:valAx>
        <c:axId val="147353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3531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'Син. апрокс. МНК-МНМ'!$B$23:$B$126</c:f>
              <c:numCache>
                <c:formatCode>General</c:formatCode>
                <c:ptCount val="104"/>
                <c:pt idx="0">
                  <c:v>7.3854487746818442</c:v>
                </c:pt>
                <c:pt idx="1">
                  <c:v>6.0483718375194551</c:v>
                </c:pt>
                <c:pt idx="2">
                  <c:v>3.3983886226996676</c:v>
                </c:pt>
                <c:pt idx="3">
                  <c:v>4.3007599108859527</c:v>
                </c:pt>
                <c:pt idx="4">
                  <c:v>1.8239997558519243</c:v>
                </c:pt>
                <c:pt idx="5">
                  <c:v>5.29871517075106</c:v>
                </c:pt>
                <c:pt idx="6">
                  <c:v>10.532029175695058</c:v>
                </c:pt>
                <c:pt idx="7">
                  <c:v>2.4890591143528549</c:v>
                </c:pt>
                <c:pt idx="8">
                  <c:v>1.7683339945677052</c:v>
                </c:pt>
                <c:pt idx="9">
                  <c:v>6.1201513718070011</c:v>
                </c:pt>
                <c:pt idx="10">
                  <c:v>5.5678884243293556</c:v>
                </c:pt>
                <c:pt idx="11">
                  <c:v>2.500411999877926</c:v>
                </c:pt>
                <c:pt idx="12">
                  <c:v>5.5246742149113439</c:v>
                </c:pt>
                <c:pt idx="13">
                  <c:v>10.036164433729057</c:v>
                </c:pt>
                <c:pt idx="14">
                  <c:v>12.603747672963653</c:v>
                </c:pt>
                <c:pt idx="15">
                  <c:v>8.0336619159520239</c:v>
                </c:pt>
                <c:pt idx="16">
                  <c:v>8.0256050294503609</c:v>
                </c:pt>
                <c:pt idx="17">
                  <c:v>8.1592761009552301</c:v>
                </c:pt>
                <c:pt idx="18">
                  <c:v>4.5662709433271278</c:v>
                </c:pt>
                <c:pt idx="19">
                  <c:v>3.5170445875423444</c:v>
                </c:pt>
                <c:pt idx="20">
                  <c:v>4.3608203375347143</c:v>
                </c:pt>
                <c:pt idx="21">
                  <c:v>8.1032441175572991</c:v>
                </c:pt>
                <c:pt idx="22">
                  <c:v>9.9717093417157496</c:v>
                </c:pt>
                <c:pt idx="23">
                  <c:v>7.3297830133976252</c:v>
                </c:pt>
                <c:pt idx="24">
                  <c:v>5.6081728568376725</c:v>
                </c:pt>
                <c:pt idx="25">
                  <c:v>11.983367412335582</c:v>
                </c:pt>
                <c:pt idx="26">
                  <c:v>6.4266792809839171</c:v>
                </c:pt>
                <c:pt idx="27">
                  <c:v>8.7986999114963211</c:v>
                </c:pt>
                <c:pt idx="28">
                  <c:v>7.3484603411969349</c:v>
                </c:pt>
                <c:pt idx="29">
                  <c:v>4.3751029999694815</c:v>
                </c:pt>
                <c:pt idx="30">
                  <c:v>12.247047334208197</c:v>
                </c:pt>
                <c:pt idx="31">
                  <c:v>6.8416089358195746</c:v>
                </c:pt>
                <c:pt idx="32">
                  <c:v>1.2329172643208106</c:v>
                </c:pt>
                <c:pt idx="33">
                  <c:v>3.1134678182317574</c:v>
                </c:pt>
                <c:pt idx="34">
                  <c:v>1.5683767204809718</c:v>
                </c:pt>
                <c:pt idx="35">
                  <c:v>2.1345561082796718</c:v>
                </c:pt>
                <c:pt idx="36">
                  <c:v>5.9798883022553175</c:v>
                </c:pt>
                <c:pt idx="37">
                  <c:v>3.7975707266457106</c:v>
                </c:pt>
                <c:pt idx="38">
                  <c:v>6.3248695333719898</c:v>
                </c:pt>
                <c:pt idx="39">
                  <c:v>4.6790673543504138</c:v>
                </c:pt>
                <c:pt idx="40">
                  <c:v>4.1784417249061558</c:v>
                </c:pt>
                <c:pt idx="41">
                  <c:v>2.8856776635029147</c:v>
                </c:pt>
                <c:pt idx="42">
                  <c:v>6.4687948240607929</c:v>
                </c:pt>
                <c:pt idx="43">
                  <c:v>4.6395153660695208</c:v>
                </c:pt>
                <c:pt idx="44">
                  <c:v>1.2695394756920071</c:v>
                </c:pt>
                <c:pt idx="45">
                  <c:v>2.2488174077578051</c:v>
                </c:pt>
                <c:pt idx="46">
                  <c:v>7.8077028717917418</c:v>
                </c:pt>
                <c:pt idx="47">
                  <c:v>4.3329874568926048</c:v>
                </c:pt>
                <c:pt idx="48">
                  <c:v>9.0828882717368078</c:v>
                </c:pt>
                <c:pt idx="49">
                  <c:v>12.059907834101383</c:v>
                </c:pt>
                <c:pt idx="50">
                  <c:v>4.8347117526779995</c:v>
                </c:pt>
                <c:pt idx="51">
                  <c:v>11.238837855159154</c:v>
                </c:pt>
                <c:pt idx="52">
                  <c:v>2.302285836359752</c:v>
                </c:pt>
                <c:pt idx="53">
                  <c:v>2.8959318826868499</c:v>
                </c:pt>
                <c:pt idx="54">
                  <c:v>11.925870540482803</c:v>
                </c:pt>
                <c:pt idx="55">
                  <c:v>5.9084749900814844</c:v>
                </c:pt>
                <c:pt idx="56">
                  <c:v>10.239051484725486</c:v>
                </c:pt>
                <c:pt idx="57">
                  <c:v>3.9261146885586111</c:v>
                </c:pt>
                <c:pt idx="58">
                  <c:v>4.2758568071535388</c:v>
                </c:pt>
                <c:pt idx="59">
                  <c:v>12.650990325632497</c:v>
                </c:pt>
                <c:pt idx="60">
                  <c:v>8.2797631763664654</c:v>
                </c:pt>
                <c:pt idx="61">
                  <c:v>10.057771538438063</c:v>
                </c:pt>
                <c:pt idx="62">
                  <c:v>11.959929197058017</c:v>
                </c:pt>
                <c:pt idx="63">
                  <c:v>10.860530411694693</c:v>
                </c:pt>
                <c:pt idx="64">
                  <c:v>11.393383587145603</c:v>
                </c:pt>
                <c:pt idx="65">
                  <c:v>2.9193700979644155</c:v>
                </c:pt>
                <c:pt idx="66">
                  <c:v>4.4750816370128481</c:v>
                </c:pt>
                <c:pt idx="67">
                  <c:v>6.8745689260536516</c:v>
                </c:pt>
                <c:pt idx="68">
                  <c:v>10.066194647053438</c:v>
                </c:pt>
                <c:pt idx="69">
                  <c:v>12.56053346354564</c:v>
                </c:pt>
                <c:pt idx="70">
                  <c:v>1.1626026184881131</c:v>
                </c:pt>
                <c:pt idx="71">
                  <c:v>4.2260505996887119</c:v>
                </c:pt>
                <c:pt idx="72">
                  <c:v>7.0408337656788849</c:v>
                </c:pt>
                <c:pt idx="73">
                  <c:v>8.725089266640218</c:v>
                </c:pt>
                <c:pt idx="74">
                  <c:v>8.8613238929410691</c:v>
                </c:pt>
                <c:pt idx="75">
                  <c:v>12.171239356669819</c:v>
                </c:pt>
                <c:pt idx="76">
                  <c:v>11.237372966704307</c:v>
                </c:pt>
                <c:pt idx="77">
                  <c:v>4.5999633777886295</c:v>
                </c:pt>
                <c:pt idx="78">
                  <c:v>6.1820429090243234</c:v>
                </c:pt>
                <c:pt idx="79">
                  <c:v>10.362102114932707</c:v>
                </c:pt>
                <c:pt idx="80">
                  <c:v>7.2239448225348681</c:v>
                </c:pt>
                <c:pt idx="81">
                  <c:v>5.8886989959410387</c:v>
                </c:pt>
                <c:pt idx="82">
                  <c:v>7.7795037690359212</c:v>
                </c:pt>
                <c:pt idx="83">
                  <c:v>9.549455244605852</c:v>
                </c:pt>
                <c:pt idx="84">
                  <c:v>8.6254768517105624</c:v>
                </c:pt>
                <c:pt idx="85">
                  <c:v>8.1006805627613137</c:v>
                </c:pt>
                <c:pt idx="86">
                  <c:v>7.9805597094637903</c:v>
                </c:pt>
                <c:pt idx="87">
                  <c:v>6.1758171330912202</c:v>
                </c:pt>
                <c:pt idx="88">
                  <c:v>9.8277840510269474</c:v>
                </c:pt>
                <c:pt idx="89">
                  <c:v>10.926816614276559</c:v>
                </c:pt>
                <c:pt idx="90">
                  <c:v>5.1654103213599054</c:v>
                </c:pt>
                <c:pt idx="91">
                  <c:v>6.750053407391583</c:v>
                </c:pt>
                <c:pt idx="92">
                  <c:v>4.3677785576952424</c:v>
                </c:pt>
                <c:pt idx="93">
                  <c:v>12.573351237525559</c:v>
                </c:pt>
                <c:pt idx="94">
                  <c:v>2.258705404828028</c:v>
                </c:pt>
                <c:pt idx="95">
                  <c:v>3.8623920407727286</c:v>
                </c:pt>
                <c:pt idx="96">
                  <c:v>4.3769341105380413</c:v>
                </c:pt>
                <c:pt idx="97">
                  <c:v>12.935178685872982</c:v>
                </c:pt>
                <c:pt idx="98">
                  <c:v>4.7160557878353222</c:v>
                </c:pt>
                <c:pt idx="99">
                  <c:v>7.7304300057985174</c:v>
                </c:pt>
                <c:pt idx="100">
                  <c:v>1.4522843104342784</c:v>
                </c:pt>
                <c:pt idx="101">
                  <c:v>12.476302377391889</c:v>
                </c:pt>
                <c:pt idx="102">
                  <c:v>7.3770256660664693</c:v>
                </c:pt>
                <c:pt idx="103">
                  <c:v>3.137272255623035</c:v>
                </c:pt>
              </c:numCache>
            </c:numRef>
          </c:xVal>
          <c:yVal>
            <c:numRef>
              <c:f>'Син. апрокс. МНК-МНМ'!$E$23:$E$126</c:f>
              <c:numCache>
                <c:formatCode>General</c:formatCode>
                <c:ptCount val="104"/>
                <c:pt idx="0">
                  <c:v>9.7491986800965034</c:v>
                </c:pt>
                <c:pt idx="1">
                  <c:v>13.931842266639825</c:v>
                </c:pt>
                <c:pt idx="2">
                  <c:v>5.834934336138649</c:v>
                </c:pt>
                <c:pt idx="3">
                  <c:v>9.1538653784173629</c:v>
                </c:pt>
                <c:pt idx="4">
                  <c:v>3.341328948376078</c:v>
                </c:pt>
                <c:pt idx="5">
                  <c:v>11.311316816830347</c:v>
                </c:pt>
                <c:pt idx="6">
                  <c:v>12.759816174359152</c:v>
                </c:pt>
                <c:pt idx="7">
                  <c:v>3.8589055034345665</c:v>
                </c:pt>
                <c:pt idx="8">
                  <c:v>3.9100801752533298</c:v>
                </c:pt>
                <c:pt idx="9">
                  <c:v>8.4388591230236294</c:v>
                </c:pt>
                <c:pt idx="10">
                  <c:v>4.4053993697307456</c:v>
                </c:pt>
                <c:pt idx="11">
                  <c:v>-1.0100189664238126</c:v>
                </c:pt>
                <c:pt idx="12">
                  <c:v>10.133096382460781</c:v>
                </c:pt>
                <c:pt idx="13">
                  <c:v>10.878121453002999</c:v>
                </c:pt>
                <c:pt idx="14">
                  <c:v>19.29513164494017</c:v>
                </c:pt>
                <c:pt idx="15">
                  <c:v>12.488040450194879</c:v>
                </c:pt>
                <c:pt idx="16">
                  <c:v>13.680392253039019</c:v>
                </c:pt>
                <c:pt idx="17">
                  <c:v>11.213329051552011</c:v>
                </c:pt>
                <c:pt idx="18">
                  <c:v>12.995590333508186</c:v>
                </c:pt>
                <c:pt idx="19">
                  <c:v>7.694794080578979</c:v>
                </c:pt>
                <c:pt idx="20">
                  <c:v>13.460076153050746</c:v>
                </c:pt>
                <c:pt idx="21">
                  <c:v>6.3338179095562905</c:v>
                </c:pt>
                <c:pt idx="22">
                  <c:v>17.401117534984795</c:v>
                </c:pt>
                <c:pt idx="23">
                  <c:v>9.2861787221533518</c:v>
                </c:pt>
                <c:pt idx="24">
                  <c:v>6.1900666852430559</c:v>
                </c:pt>
                <c:pt idx="25">
                  <c:v>14.403660976984225</c:v>
                </c:pt>
                <c:pt idx="26">
                  <c:v>8.6802855677455604</c:v>
                </c:pt>
                <c:pt idx="27">
                  <c:v>13.981388874008493</c:v>
                </c:pt>
                <c:pt idx="28">
                  <c:v>12.746329023364295</c:v>
                </c:pt>
                <c:pt idx="29">
                  <c:v>10.35213079338453</c:v>
                </c:pt>
                <c:pt idx="30">
                  <c:v>10.858185026275333</c:v>
                </c:pt>
                <c:pt idx="31">
                  <c:v>10.819086000249079</c:v>
                </c:pt>
                <c:pt idx="32">
                  <c:v>3.3531400270581933</c:v>
                </c:pt>
                <c:pt idx="33">
                  <c:v>9.1719988689324552</c:v>
                </c:pt>
                <c:pt idx="34">
                  <c:v>0.18180398256140062</c:v>
                </c:pt>
                <c:pt idx="35">
                  <c:v>4.593081748640734</c:v>
                </c:pt>
                <c:pt idx="36">
                  <c:v>10.039938439148946</c:v>
                </c:pt>
                <c:pt idx="37">
                  <c:v>7.5233461054320436</c:v>
                </c:pt>
                <c:pt idx="38">
                  <c:v>10.4543120211658</c:v>
                </c:pt>
                <c:pt idx="39">
                  <c:v>8.8542595378758335</c:v>
                </c:pt>
                <c:pt idx="40">
                  <c:v>9.4339394756725863</c:v>
                </c:pt>
                <c:pt idx="41">
                  <c:v>12.18086699781264</c:v>
                </c:pt>
                <c:pt idx="42">
                  <c:v>13.970577214121462</c:v>
                </c:pt>
                <c:pt idx="43">
                  <c:v>7.3154344517166265</c:v>
                </c:pt>
                <c:pt idx="44">
                  <c:v>3.2043097724561154E-2</c:v>
                </c:pt>
                <c:pt idx="45">
                  <c:v>-1.9581800032897911</c:v>
                </c:pt>
                <c:pt idx="46">
                  <c:v>10.655879540545223</c:v>
                </c:pt>
                <c:pt idx="47">
                  <c:v>7.38771763709655</c:v>
                </c:pt>
                <c:pt idx="48">
                  <c:v>9.2428560686679369</c:v>
                </c:pt>
                <c:pt idx="49">
                  <c:v>19.680023267713871</c:v>
                </c:pt>
                <c:pt idx="50">
                  <c:v>9.6082451779123126</c:v>
                </c:pt>
                <c:pt idx="51">
                  <c:v>19.686333370721801</c:v>
                </c:pt>
                <c:pt idx="52">
                  <c:v>0.84621418574761931</c:v>
                </c:pt>
                <c:pt idx="53">
                  <c:v>6.6047943458771732</c:v>
                </c:pt>
                <c:pt idx="54">
                  <c:v>20.448798373831764</c:v>
                </c:pt>
                <c:pt idx="55">
                  <c:v>2.5970708693008913</c:v>
                </c:pt>
                <c:pt idx="56">
                  <c:v>15.922828898849367</c:v>
                </c:pt>
                <c:pt idx="57">
                  <c:v>7.0107803158486348</c:v>
                </c:pt>
                <c:pt idx="58">
                  <c:v>12.116605934635034</c:v>
                </c:pt>
                <c:pt idx="59">
                  <c:v>17.76180076947071</c:v>
                </c:pt>
                <c:pt idx="60">
                  <c:v>6.474862365172279</c:v>
                </c:pt>
                <c:pt idx="61">
                  <c:v>9.9786227755117842</c:v>
                </c:pt>
                <c:pt idx="62">
                  <c:v>16.36222102163325</c:v>
                </c:pt>
                <c:pt idx="63">
                  <c:v>18.619263929324077</c:v>
                </c:pt>
                <c:pt idx="64">
                  <c:v>9.4672570038898769</c:v>
                </c:pt>
                <c:pt idx="65">
                  <c:v>8.5996083135091439E-3</c:v>
                </c:pt>
                <c:pt idx="66">
                  <c:v>4.170288611355458</c:v>
                </c:pt>
                <c:pt idx="67">
                  <c:v>11.751121964723119</c:v>
                </c:pt>
                <c:pt idx="68">
                  <c:v>13.139377067661366</c:v>
                </c:pt>
                <c:pt idx="69">
                  <c:v>17.514916957772542</c:v>
                </c:pt>
                <c:pt idx="70">
                  <c:v>-0.82899790108127824</c:v>
                </c:pt>
                <c:pt idx="71">
                  <c:v>10.621964634037214</c:v>
                </c:pt>
                <c:pt idx="72">
                  <c:v>7.7911306300265482</c:v>
                </c:pt>
                <c:pt idx="73">
                  <c:v>12.53521130006312</c:v>
                </c:pt>
                <c:pt idx="74">
                  <c:v>11.864476704696472</c:v>
                </c:pt>
                <c:pt idx="75">
                  <c:v>16.636471228918857</c:v>
                </c:pt>
                <c:pt idx="76">
                  <c:v>24.29799409857873</c:v>
                </c:pt>
                <c:pt idx="77">
                  <c:v>11.542135023181714</c:v>
                </c:pt>
                <c:pt idx="78">
                  <c:v>8.0090074712560479</c:v>
                </c:pt>
                <c:pt idx="79">
                  <c:v>18.229234583347321</c:v>
                </c:pt>
                <c:pt idx="80">
                  <c:v>15.07892330416033</c:v>
                </c:pt>
                <c:pt idx="81">
                  <c:v>10.561039270047017</c:v>
                </c:pt>
                <c:pt idx="82">
                  <c:v>8.8376608635962377</c:v>
                </c:pt>
                <c:pt idx="83">
                  <c:v>18.272835142472257</c:v>
                </c:pt>
                <c:pt idx="84">
                  <c:v>15.808111661484268</c:v>
                </c:pt>
                <c:pt idx="85">
                  <c:v>9.5874185365765321</c:v>
                </c:pt>
                <c:pt idx="86">
                  <c:v>4.2156184990682641</c:v>
                </c:pt>
                <c:pt idx="87">
                  <c:v>6.9166738427379393</c:v>
                </c:pt>
                <c:pt idx="88">
                  <c:v>12.093959110520128</c:v>
                </c:pt>
                <c:pt idx="89">
                  <c:v>13.548355502218595</c:v>
                </c:pt>
                <c:pt idx="90">
                  <c:v>13.391280613424478</c:v>
                </c:pt>
                <c:pt idx="91">
                  <c:v>11.534165824469051</c:v>
                </c:pt>
                <c:pt idx="92">
                  <c:v>7.807759001632169</c:v>
                </c:pt>
                <c:pt idx="93">
                  <c:v>19.851078628990912</c:v>
                </c:pt>
                <c:pt idx="94">
                  <c:v>5.7068630705554462</c:v>
                </c:pt>
                <c:pt idx="95">
                  <c:v>5.143128162060659</c:v>
                </c:pt>
                <c:pt idx="96">
                  <c:v>4.673133427419125</c:v>
                </c:pt>
                <c:pt idx="97">
                  <c:v>18.782251871222631</c:v>
                </c:pt>
                <c:pt idx="98">
                  <c:v>11.070352634978251</c:v>
                </c:pt>
                <c:pt idx="99">
                  <c:v>13.022929616742836</c:v>
                </c:pt>
                <c:pt idx="100">
                  <c:v>4.8599303260624147</c:v>
                </c:pt>
                <c:pt idx="101">
                  <c:v>15.570947727257277</c:v>
                </c:pt>
                <c:pt idx="102">
                  <c:v>16.367358150565114</c:v>
                </c:pt>
                <c:pt idx="103">
                  <c:v>1.5282086184110839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7D-4C46-958C-04AE3A5EA63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'Син. апрокс. МНК-МНМ'!$I$16:$K$16</c:f>
              <c:numCache>
                <c:formatCode>0</c:formatCode>
                <c:ptCount val="3"/>
                <c:pt idx="0">
                  <c:v>28.06176946317942</c:v>
                </c:pt>
                <c:pt idx="1">
                  <c:v>43.530686361278114</c:v>
                </c:pt>
                <c:pt idx="2">
                  <c:v>58.999603259376812</c:v>
                </c:pt>
              </c:numCache>
            </c:numRef>
          </c:xVal>
          <c:yVal>
            <c:numRef>
              <c:f>'Син. апрокс. МНК-МНМ'!$P$11:$R$11</c:f>
              <c:numCache>
                <c:formatCode>General</c:formatCode>
                <c:ptCount val="3"/>
                <c:pt idx="0">
                  <c:v>-4.5876353616601993</c:v>
                </c:pt>
                <c:pt idx="1">
                  <c:v>-10.647074310381736</c:v>
                </c:pt>
                <c:pt idx="2">
                  <c:v>-4.719628003198034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7D-4C46-958C-04AE3A5EA631}"/>
            </c:ext>
          </c:extLst>
        </c:ser>
        <c:ser>
          <c:idx val="2"/>
          <c:order val="2"/>
          <c:tx>
            <c:strRef>
              <c:f>'Син. апрокс. МНК-МНМ'!$I$16</c:f>
              <c:strCache>
                <c:ptCount val="1"/>
                <c:pt idx="0">
                  <c:v>28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'Син. апрокс. МНК-МНМ'!$I$16:$K$16</c:f>
              <c:numCache>
                <c:formatCode>0</c:formatCode>
                <c:ptCount val="3"/>
                <c:pt idx="0">
                  <c:v>28.06176946317942</c:v>
                </c:pt>
                <c:pt idx="1">
                  <c:v>43.530686361278114</c:v>
                </c:pt>
                <c:pt idx="2">
                  <c:v>58.999603259376812</c:v>
                </c:pt>
              </c:numCache>
            </c:numRef>
          </c:xVal>
          <c:yVal>
            <c:numRef>
              <c:f>'Син. апрокс. МНК-МНМ'!$P$12:$R$12</c:f>
              <c:numCache>
                <c:formatCode>General</c:formatCode>
                <c:ptCount val="3"/>
                <c:pt idx="0">
                  <c:v>26.440991045815849</c:v>
                </c:pt>
                <c:pt idx="1">
                  <c:v>12.776117121422299</c:v>
                </c:pt>
                <c:pt idx="2">
                  <c:v>33.31458785596395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7D-4C46-958C-04AE3A5EA631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'Син. апрокс. МНК-МНМ'!$I$16:$K$16</c:f>
              <c:numCache>
                <c:formatCode>0</c:formatCode>
                <c:ptCount val="3"/>
                <c:pt idx="0">
                  <c:v>28.06176946317942</c:v>
                </c:pt>
                <c:pt idx="1">
                  <c:v>43.530686361278114</c:v>
                </c:pt>
                <c:pt idx="2">
                  <c:v>58.999603259376812</c:v>
                </c:pt>
              </c:numCache>
            </c:numRef>
          </c:xVal>
          <c:yVal>
            <c:numRef>
              <c:f>'Син. апрокс. МНК-МНМ'!$M$13:$O$13</c:f>
              <c:numCache>
                <c:formatCode>General</c:formatCode>
                <c:ptCount val="3"/>
                <c:pt idx="0">
                  <c:v>32.45390720662251</c:v>
                </c:pt>
                <c:pt idx="1">
                  <c:v>50.751386495248859</c:v>
                </c:pt>
                <c:pt idx="2">
                  <c:v>66.463087238852481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7D-4C46-958C-04AE3A5EA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491120"/>
        <c:axId val="1473475760"/>
      </c:scatterChart>
      <c:valAx>
        <c:axId val="147349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3475760"/>
        <c:crosses val="autoZero"/>
        <c:crossBetween val="midCat"/>
      </c:valAx>
      <c:valAx>
        <c:axId val="147347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349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'Син. апрокс. МНК-МНМ'!$B$23:$B$126</c:f>
              <c:numCache>
                <c:formatCode>General</c:formatCode>
                <c:ptCount val="104"/>
                <c:pt idx="0">
                  <c:v>7.3854487746818442</c:v>
                </c:pt>
                <c:pt idx="1">
                  <c:v>6.0483718375194551</c:v>
                </c:pt>
                <c:pt idx="2">
                  <c:v>3.3983886226996676</c:v>
                </c:pt>
                <c:pt idx="3">
                  <c:v>4.3007599108859527</c:v>
                </c:pt>
                <c:pt idx="4">
                  <c:v>1.8239997558519243</c:v>
                </c:pt>
                <c:pt idx="5">
                  <c:v>5.29871517075106</c:v>
                </c:pt>
                <c:pt idx="6">
                  <c:v>10.532029175695058</c:v>
                </c:pt>
                <c:pt idx="7">
                  <c:v>2.4890591143528549</c:v>
                </c:pt>
                <c:pt idx="8">
                  <c:v>1.7683339945677052</c:v>
                </c:pt>
                <c:pt idx="9">
                  <c:v>6.1201513718070011</c:v>
                </c:pt>
                <c:pt idx="10">
                  <c:v>5.5678884243293556</c:v>
                </c:pt>
                <c:pt idx="11">
                  <c:v>2.500411999877926</c:v>
                </c:pt>
                <c:pt idx="12">
                  <c:v>5.5246742149113439</c:v>
                </c:pt>
                <c:pt idx="13">
                  <c:v>10.036164433729057</c:v>
                </c:pt>
                <c:pt idx="14">
                  <c:v>12.603747672963653</c:v>
                </c:pt>
                <c:pt idx="15">
                  <c:v>8.0336619159520239</c:v>
                </c:pt>
                <c:pt idx="16">
                  <c:v>8.0256050294503609</c:v>
                </c:pt>
                <c:pt idx="17">
                  <c:v>8.1592761009552301</c:v>
                </c:pt>
                <c:pt idx="18">
                  <c:v>4.5662709433271278</c:v>
                </c:pt>
                <c:pt idx="19">
                  <c:v>3.5170445875423444</c:v>
                </c:pt>
                <c:pt idx="20">
                  <c:v>4.3608203375347143</c:v>
                </c:pt>
                <c:pt idx="21">
                  <c:v>8.1032441175572991</c:v>
                </c:pt>
                <c:pt idx="22">
                  <c:v>9.9717093417157496</c:v>
                </c:pt>
                <c:pt idx="23">
                  <c:v>7.3297830133976252</c:v>
                </c:pt>
                <c:pt idx="24">
                  <c:v>5.6081728568376725</c:v>
                </c:pt>
                <c:pt idx="25">
                  <c:v>11.983367412335582</c:v>
                </c:pt>
                <c:pt idx="26">
                  <c:v>6.4266792809839171</c:v>
                </c:pt>
                <c:pt idx="27">
                  <c:v>8.7986999114963211</c:v>
                </c:pt>
                <c:pt idx="28">
                  <c:v>7.3484603411969349</c:v>
                </c:pt>
                <c:pt idx="29">
                  <c:v>4.3751029999694815</c:v>
                </c:pt>
                <c:pt idx="30">
                  <c:v>12.247047334208197</c:v>
                </c:pt>
                <c:pt idx="31">
                  <c:v>6.8416089358195746</c:v>
                </c:pt>
                <c:pt idx="32">
                  <c:v>1.2329172643208106</c:v>
                </c:pt>
                <c:pt idx="33">
                  <c:v>3.1134678182317574</c:v>
                </c:pt>
                <c:pt idx="34">
                  <c:v>1.5683767204809718</c:v>
                </c:pt>
                <c:pt idx="35">
                  <c:v>2.1345561082796718</c:v>
                </c:pt>
                <c:pt idx="36">
                  <c:v>5.9798883022553175</c:v>
                </c:pt>
                <c:pt idx="37">
                  <c:v>3.7975707266457106</c:v>
                </c:pt>
                <c:pt idx="38">
                  <c:v>6.3248695333719898</c:v>
                </c:pt>
                <c:pt idx="39">
                  <c:v>4.6790673543504138</c:v>
                </c:pt>
                <c:pt idx="40">
                  <c:v>4.1784417249061558</c:v>
                </c:pt>
                <c:pt idx="41">
                  <c:v>2.8856776635029147</c:v>
                </c:pt>
                <c:pt idx="42">
                  <c:v>6.4687948240607929</c:v>
                </c:pt>
                <c:pt idx="43">
                  <c:v>4.6395153660695208</c:v>
                </c:pt>
                <c:pt idx="44">
                  <c:v>1.2695394756920071</c:v>
                </c:pt>
                <c:pt idx="45">
                  <c:v>2.2488174077578051</c:v>
                </c:pt>
                <c:pt idx="46">
                  <c:v>7.8077028717917418</c:v>
                </c:pt>
                <c:pt idx="47">
                  <c:v>4.3329874568926048</c:v>
                </c:pt>
                <c:pt idx="48">
                  <c:v>9.0828882717368078</c:v>
                </c:pt>
                <c:pt idx="49">
                  <c:v>12.059907834101383</c:v>
                </c:pt>
                <c:pt idx="50">
                  <c:v>4.8347117526779995</c:v>
                </c:pt>
                <c:pt idx="51">
                  <c:v>11.238837855159154</c:v>
                </c:pt>
                <c:pt idx="52">
                  <c:v>2.302285836359752</c:v>
                </c:pt>
                <c:pt idx="53">
                  <c:v>2.8959318826868499</c:v>
                </c:pt>
                <c:pt idx="54">
                  <c:v>11.925870540482803</c:v>
                </c:pt>
                <c:pt idx="55">
                  <c:v>5.9084749900814844</c:v>
                </c:pt>
                <c:pt idx="56">
                  <c:v>10.239051484725486</c:v>
                </c:pt>
                <c:pt idx="57">
                  <c:v>3.9261146885586111</c:v>
                </c:pt>
                <c:pt idx="58">
                  <c:v>4.2758568071535388</c:v>
                </c:pt>
                <c:pt idx="59">
                  <c:v>12.650990325632497</c:v>
                </c:pt>
                <c:pt idx="60">
                  <c:v>8.2797631763664654</c:v>
                </c:pt>
                <c:pt idx="61">
                  <c:v>10.057771538438063</c:v>
                </c:pt>
                <c:pt idx="62">
                  <c:v>11.959929197058017</c:v>
                </c:pt>
                <c:pt idx="63">
                  <c:v>10.860530411694693</c:v>
                </c:pt>
                <c:pt idx="64">
                  <c:v>11.393383587145603</c:v>
                </c:pt>
                <c:pt idx="65">
                  <c:v>2.9193700979644155</c:v>
                </c:pt>
                <c:pt idx="66">
                  <c:v>4.4750816370128481</c:v>
                </c:pt>
                <c:pt idx="67">
                  <c:v>6.8745689260536516</c:v>
                </c:pt>
                <c:pt idx="68">
                  <c:v>10.066194647053438</c:v>
                </c:pt>
                <c:pt idx="69">
                  <c:v>12.56053346354564</c:v>
                </c:pt>
                <c:pt idx="70">
                  <c:v>1.1626026184881131</c:v>
                </c:pt>
                <c:pt idx="71">
                  <c:v>4.2260505996887119</c:v>
                </c:pt>
                <c:pt idx="72">
                  <c:v>7.0408337656788849</c:v>
                </c:pt>
                <c:pt idx="73">
                  <c:v>8.725089266640218</c:v>
                </c:pt>
                <c:pt idx="74">
                  <c:v>8.8613238929410691</c:v>
                </c:pt>
                <c:pt idx="75">
                  <c:v>12.171239356669819</c:v>
                </c:pt>
                <c:pt idx="76">
                  <c:v>11.237372966704307</c:v>
                </c:pt>
                <c:pt idx="77">
                  <c:v>4.5999633777886295</c:v>
                </c:pt>
                <c:pt idx="78">
                  <c:v>6.1820429090243234</c:v>
                </c:pt>
                <c:pt idx="79">
                  <c:v>10.362102114932707</c:v>
                </c:pt>
                <c:pt idx="80">
                  <c:v>7.2239448225348681</c:v>
                </c:pt>
                <c:pt idx="81">
                  <c:v>5.8886989959410387</c:v>
                </c:pt>
                <c:pt idx="82">
                  <c:v>7.7795037690359212</c:v>
                </c:pt>
                <c:pt idx="83">
                  <c:v>9.549455244605852</c:v>
                </c:pt>
                <c:pt idx="84">
                  <c:v>8.6254768517105624</c:v>
                </c:pt>
                <c:pt idx="85">
                  <c:v>8.1006805627613137</c:v>
                </c:pt>
                <c:pt idx="86">
                  <c:v>7.9805597094637903</c:v>
                </c:pt>
                <c:pt idx="87">
                  <c:v>6.1758171330912202</c:v>
                </c:pt>
                <c:pt idx="88">
                  <c:v>9.8277840510269474</c:v>
                </c:pt>
                <c:pt idx="89">
                  <c:v>10.926816614276559</c:v>
                </c:pt>
                <c:pt idx="90">
                  <c:v>5.1654103213599054</c:v>
                </c:pt>
                <c:pt idx="91">
                  <c:v>6.750053407391583</c:v>
                </c:pt>
                <c:pt idx="92">
                  <c:v>4.3677785576952424</c:v>
                </c:pt>
                <c:pt idx="93">
                  <c:v>12.573351237525559</c:v>
                </c:pt>
                <c:pt idx="94">
                  <c:v>2.258705404828028</c:v>
                </c:pt>
                <c:pt idx="95">
                  <c:v>3.8623920407727286</c:v>
                </c:pt>
                <c:pt idx="96">
                  <c:v>4.3769341105380413</c:v>
                </c:pt>
                <c:pt idx="97">
                  <c:v>12.935178685872982</c:v>
                </c:pt>
                <c:pt idx="98">
                  <c:v>4.7160557878353222</c:v>
                </c:pt>
                <c:pt idx="99">
                  <c:v>7.7304300057985174</c:v>
                </c:pt>
                <c:pt idx="100">
                  <c:v>1.4522843104342784</c:v>
                </c:pt>
                <c:pt idx="101">
                  <c:v>12.476302377391889</c:v>
                </c:pt>
                <c:pt idx="102">
                  <c:v>7.3770256660664693</c:v>
                </c:pt>
                <c:pt idx="103">
                  <c:v>3.137272255623035</c:v>
                </c:pt>
              </c:numCache>
            </c:numRef>
          </c:xVal>
          <c:yVal>
            <c:numRef>
              <c:f>'Син. апрокс. МНК-МНМ'!$E$23:$E$126</c:f>
              <c:numCache>
                <c:formatCode>General</c:formatCode>
                <c:ptCount val="104"/>
                <c:pt idx="0">
                  <c:v>9.7491986800965034</c:v>
                </c:pt>
                <c:pt idx="1">
                  <c:v>13.931842266639825</c:v>
                </c:pt>
                <c:pt idx="2">
                  <c:v>5.834934336138649</c:v>
                </c:pt>
                <c:pt idx="3">
                  <c:v>9.1538653784173629</c:v>
                </c:pt>
                <c:pt idx="4">
                  <c:v>3.341328948376078</c:v>
                </c:pt>
                <c:pt idx="5">
                  <c:v>11.311316816830347</c:v>
                </c:pt>
                <c:pt idx="6">
                  <c:v>12.759816174359152</c:v>
                </c:pt>
                <c:pt idx="7">
                  <c:v>3.8589055034345665</c:v>
                </c:pt>
                <c:pt idx="8">
                  <c:v>3.9100801752533298</c:v>
                </c:pt>
                <c:pt idx="9">
                  <c:v>8.4388591230236294</c:v>
                </c:pt>
                <c:pt idx="10">
                  <c:v>4.4053993697307456</c:v>
                </c:pt>
                <c:pt idx="11">
                  <c:v>-1.0100189664238126</c:v>
                </c:pt>
                <c:pt idx="12">
                  <c:v>10.133096382460781</c:v>
                </c:pt>
                <c:pt idx="13">
                  <c:v>10.878121453002999</c:v>
                </c:pt>
                <c:pt idx="14">
                  <c:v>19.29513164494017</c:v>
                </c:pt>
                <c:pt idx="15">
                  <c:v>12.488040450194879</c:v>
                </c:pt>
                <c:pt idx="16">
                  <c:v>13.680392253039019</c:v>
                </c:pt>
                <c:pt idx="17">
                  <c:v>11.213329051552011</c:v>
                </c:pt>
                <c:pt idx="18">
                  <c:v>12.995590333508186</c:v>
                </c:pt>
                <c:pt idx="19">
                  <c:v>7.694794080578979</c:v>
                </c:pt>
                <c:pt idx="20">
                  <c:v>13.460076153050746</c:v>
                </c:pt>
                <c:pt idx="21">
                  <c:v>6.3338179095562905</c:v>
                </c:pt>
                <c:pt idx="22">
                  <c:v>17.401117534984795</c:v>
                </c:pt>
                <c:pt idx="23">
                  <c:v>9.2861787221533518</c:v>
                </c:pt>
                <c:pt idx="24">
                  <c:v>6.1900666852430559</c:v>
                </c:pt>
                <c:pt idx="25">
                  <c:v>14.403660976984225</c:v>
                </c:pt>
                <c:pt idx="26">
                  <c:v>8.6802855677455604</c:v>
                </c:pt>
                <c:pt idx="27">
                  <c:v>13.981388874008493</c:v>
                </c:pt>
                <c:pt idx="28">
                  <c:v>12.746329023364295</c:v>
                </c:pt>
                <c:pt idx="29">
                  <c:v>10.35213079338453</c:v>
                </c:pt>
                <c:pt idx="30">
                  <c:v>10.858185026275333</c:v>
                </c:pt>
                <c:pt idx="31">
                  <c:v>10.819086000249079</c:v>
                </c:pt>
                <c:pt idx="32">
                  <c:v>3.3531400270581933</c:v>
                </c:pt>
                <c:pt idx="33">
                  <c:v>9.1719988689324552</c:v>
                </c:pt>
                <c:pt idx="34">
                  <c:v>0.18180398256140062</c:v>
                </c:pt>
                <c:pt idx="35">
                  <c:v>4.593081748640734</c:v>
                </c:pt>
                <c:pt idx="36">
                  <c:v>10.039938439148946</c:v>
                </c:pt>
                <c:pt idx="37">
                  <c:v>7.5233461054320436</c:v>
                </c:pt>
                <c:pt idx="38">
                  <c:v>10.4543120211658</c:v>
                </c:pt>
                <c:pt idx="39">
                  <c:v>8.8542595378758335</c:v>
                </c:pt>
                <c:pt idx="40">
                  <c:v>9.4339394756725863</c:v>
                </c:pt>
                <c:pt idx="41">
                  <c:v>12.18086699781264</c:v>
                </c:pt>
                <c:pt idx="42">
                  <c:v>13.970577214121462</c:v>
                </c:pt>
                <c:pt idx="43">
                  <c:v>7.3154344517166265</c:v>
                </c:pt>
                <c:pt idx="44">
                  <c:v>3.2043097724561154E-2</c:v>
                </c:pt>
                <c:pt idx="45">
                  <c:v>-1.9581800032897911</c:v>
                </c:pt>
                <c:pt idx="46">
                  <c:v>10.655879540545223</c:v>
                </c:pt>
                <c:pt idx="47">
                  <c:v>7.38771763709655</c:v>
                </c:pt>
                <c:pt idx="48">
                  <c:v>9.2428560686679369</c:v>
                </c:pt>
                <c:pt idx="49">
                  <c:v>19.680023267713871</c:v>
                </c:pt>
                <c:pt idx="50">
                  <c:v>9.6082451779123126</c:v>
                </c:pt>
                <c:pt idx="51">
                  <c:v>19.686333370721801</c:v>
                </c:pt>
                <c:pt idx="52">
                  <c:v>0.84621418574761931</c:v>
                </c:pt>
                <c:pt idx="53">
                  <c:v>6.6047943458771732</c:v>
                </c:pt>
                <c:pt idx="54">
                  <c:v>20.448798373831764</c:v>
                </c:pt>
                <c:pt idx="55">
                  <c:v>2.5970708693008913</c:v>
                </c:pt>
                <c:pt idx="56">
                  <c:v>15.922828898849367</c:v>
                </c:pt>
                <c:pt idx="57">
                  <c:v>7.0107803158486348</c:v>
                </c:pt>
                <c:pt idx="58">
                  <c:v>12.116605934635034</c:v>
                </c:pt>
                <c:pt idx="59">
                  <c:v>17.76180076947071</c:v>
                </c:pt>
                <c:pt idx="60">
                  <c:v>6.474862365172279</c:v>
                </c:pt>
                <c:pt idx="61">
                  <c:v>9.9786227755117842</c:v>
                </c:pt>
                <c:pt idx="62">
                  <c:v>16.36222102163325</c:v>
                </c:pt>
                <c:pt idx="63">
                  <c:v>18.619263929324077</c:v>
                </c:pt>
                <c:pt idx="64">
                  <c:v>9.4672570038898769</c:v>
                </c:pt>
                <c:pt idx="65">
                  <c:v>8.5996083135091439E-3</c:v>
                </c:pt>
                <c:pt idx="66">
                  <c:v>4.170288611355458</c:v>
                </c:pt>
                <c:pt idx="67">
                  <c:v>11.751121964723119</c:v>
                </c:pt>
                <c:pt idx="68">
                  <c:v>13.139377067661366</c:v>
                </c:pt>
                <c:pt idx="69">
                  <c:v>17.514916957772542</c:v>
                </c:pt>
                <c:pt idx="70">
                  <c:v>-0.82899790108127824</c:v>
                </c:pt>
                <c:pt idx="71">
                  <c:v>10.621964634037214</c:v>
                </c:pt>
                <c:pt idx="72">
                  <c:v>7.7911306300265482</c:v>
                </c:pt>
                <c:pt idx="73">
                  <c:v>12.53521130006312</c:v>
                </c:pt>
                <c:pt idx="74">
                  <c:v>11.864476704696472</c:v>
                </c:pt>
                <c:pt idx="75">
                  <c:v>16.636471228918857</c:v>
                </c:pt>
                <c:pt idx="76">
                  <c:v>24.29799409857873</c:v>
                </c:pt>
                <c:pt idx="77">
                  <c:v>11.542135023181714</c:v>
                </c:pt>
                <c:pt idx="78">
                  <c:v>8.0090074712560479</c:v>
                </c:pt>
                <c:pt idx="79">
                  <c:v>18.229234583347321</c:v>
                </c:pt>
                <c:pt idx="80">
                  <c:v>15.07892330416033</c:v>
                </c:pt>
                <c:pt idx="81">
                  <c:v>10.561039270047017</c:v>
                </c:pt>
                <c:pt idx="82">
                  <c:v>8.8376608635962377</c:v>
                </c:pt>
                <c:pt idx="83">
                  <c:v>18.272835142472257</c:v>
                </c:pt>
                <c:pt idx="84">
                  <c:v>15.808111661484268</c:v>
                </c:pt>
                <c:pt idx="85">
                  <c:v>9.5874185365765321</c:v>
                </c:pt>
                <c:pt idx="86">
                  <c:v>4.2156184990682641</c:v>
                </c:pt>
                <c:pt idx="87">
                  <c:v>6.9166738427379393</c:v>
                </c:pt>
                <c:pt idx="88">
                  <c:v>12.093959110520128</c:v>
                </c:pt>
                <c:pt idx="89">
                  <c:v>13.548355502218595</c:v>
                </c:pt>
                <c:pt idx="90">
                  <c:v>13.391280613424478</c:v>
                </c:pt>
                <c:pt idx="91">
                  <c:v>11.534165824469051</c:v>
                </c:pt>
                <c:pt idx="92">
                  <c:v>7.807759001632169</c:v>
                </c:pt>
                <c:pt idx="93">
                  <c:v>19.851078628990912</c:v>
                </c:pt>
                <c:pt idx="94">
                  <c:v>5.7068630705554462</c:v>
                </c:pt>
                <c:pt idx="95">
                  <c:v>5.143128162060659</c:v>
                </c:pt>
                <c:pt idx="96">
                  <c:v>4.673133427419125</c:v>
                </c:pt>
                <c:pt idx="97">
                  <c:v>18.782251871222631</c:v>
                </c:pt>
                <c:pt idx="98">
                  <c:v>11.070352634978251</c:v>
                </c:pt>
                <c:pt idx="99">
                  <c:v>13.022929616742836</c:v>
                </c:pt>
                <c:pt idx="100">
                  <c:v>4.8599303260624147</c:v>
                </c:pt>
                <c:pt idx="101">
                  <c:v>15.570947727257277</c:v>
                </c:pt>
                <c:pt idx="102">
                  <c:v>16.367358150565114</c:v>
                </c:pt>
                <c:pt idx="103">
                  <c:v>1.5282086184110839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F4-4552-9E19-915F446A4DF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'Син. апрокс. МНК-МНМ'!$AI$27:$AK$27</c:f>
              <c:numCache>
                <c:formatCode>0</c:formatCode>
                <c:ptCount val="3"/>
                <c:pt idx="0">
                  <c:v>28.06176946317942</c:v>
                </c:pt>
                <c:pt idx="1">
                  <c:v>43.530686361278114</c:v>
                </c:pt>
                <c:pt idx="2">
                  <c:v>58.999603259376812</c:v>
                </c:pt>
              </c:numCache>
            </c:numRef>
          </c:xVal>
          <c:yVal>
            <c:numRef>
              <c:f>'Син. апрокс. МНК-МНМ'!$AM$22:$AO$22</c:f>
              <c:numCache>
                <c:formatCode>General</c:formatCode>
                <c:ptCount val="3"/>
                <c:pt idx="0">
                  <c:v>26.496975751945641</c:v>
                </c:pt>
                <c:pt idx="1">
                  <c:v>44.735691862577056</c:v>
                </c:pt>
                <c:pt idx="2">
                  <c:v>65.928774089263214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F4-4552-9E19-915F446A4DF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'Син. апрокс. МНК-МНМ'!$AI$27:$AK$27</c:f>
              <c:numCache>
                <c:formatCode>0</c:formatCode>
                <c:ptCount val="3"/>
                <c:pt idx="0">
                  <c:v>28.06176946317942</c:v>
                </c:pt>
                <c:pt idx="1">
                  <c:v>43.530686361278114</c:v>
                </c:pt>
                <c:pt idx="2">
                  <c:v>58.999603259376812</c:v>
                </c:pt>
              </c:numCache>
            </c:numRef>
          </c:xVal>
          <c:yVal>
            <c:numRef>
              <c:f>'Син. апрокс. МНК-МНМ'!$AM$23:$AO$23</c:f>
              <c:numCache>
                <c:formatCode>General</c:formatCode>
                <c:ptCount val="3"/>
                <c:pt idx="0">
                  <c:v>48.436086066654752</c:v>
                </c:pt>
                <c:pt idx="1">
                  <c:v>66.937418792502129</c:v>
                </c:pt>
                <c:pt idx="2">
                  <c:v>85.551990061418508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F4-4552-9E19-915F446A4DFE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'Син. апрокс. МНК-МНМ'!$AI$27:$AK$27</c:f>
              <c:numCache>
                <c:formatCode>0</c:formatCode>
                <c:ptCount val="3"/>
                <c:pt idx="0">
                  <c:v>28.06176946317942</c:v>
                </c:pt>
                <c:pt idx="1">
                  <c:v>43.530686361278114</c:v>
                </c:pt>
                <c:pt idx="2">
                  <c:v>58.999603259376812</c:v>
                </c:pt>
              </c:numCache>
            </c:numRef>
          </c:xVal>
          <c:yVal>
            <c:numRef>
              <c:f>'Син. апрокс. МНК-МНМ'!$M$13:$O$13</c:f>
              <c:numCache>
                <c:formatCode>General</c:formatCode>
                <c:ptCount val="3"/>
                <c:pt idx="0">
                  <c:v>32.45390720662251</c:v>
                </c:pt>
                <c:pt idx="1">
                  <c:v>50.751386495248859</c:v>
                </c:pt>
                <c:pt idx="2">
                  <c:v>66.463087238852481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F4-4552-9E19-915F446A4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482480"/>
        <c:axId val="1473491600"/>
      </c:scatterChart>
      <c:valAx>
        <c:axId val="147348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3491600"/>
        <c:crosses val="autoZero"/>
        <c:crossBetween val="midCat"/>
      </c:valAx>
      <c:valAx>
        <c:axId val="14734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3482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28574</xdr:colOff>
      <xdr:row>20</xdr:row>
      <xdr:rowOff>133348</xdr:rowOff>
    </xdr:from>
    <xdr:to>
      <xdr:col>27</xdr:col>
      <xdr:colOff>590549</xdr:colOff>
      <xdr:row>46</xdr:row>
      <xdr:rowOff>38099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B77AACE-1179-4187-5808-FA50E041B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38099</xdr:colOff>
      <xdr:row>47</xdr:row>
      <xdr:rowOff>142875</xdr:rowOff>
    </xdr:from>
    <xdr:to>
      <xdr:col>28</xdr:col>
      <xdr:colOff>9524</xdr:colOff>
      <xdr:row>75</xdr:row>
      <xdr:rowOff>123825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95E3041-25D5-295F-B0CE-28BFDE21C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28575</xdr:colOff>
      <xdr:row>76</xdr:row>
      <xdr:rowOff>171450</xdr:rowOff>
    </xdr:from>
    <xdr:to>
      <xdr:col>27</xdr:col>
      <xdr:colOff>600075</xdr:colOff>
      <xdr:row>102</xdr:row>
      <xdr:rowOff>38100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A72E8E71-D967-44C1-AD3A-F07F476F7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28574</xdr:colOff>
      <xdr:row>20</xdr:row>
      <xdr:rowOff>133348</xdr:rowOff>
    </xdr:from>
    <xdr:to>
      <xdr:col>27</xdr:col>
      <xdr:colOff>590549</xdr:colOff>
      <xdr:row>46</xdr:row>
      <xdr:rowOff>38099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744A9DDB-810B-444F-9C2C-9EFD6D278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38099</xdr:colOff>
      <xdr:row>47</xdr:row>
      <xdr:rowOff>142875</xdr:rowOff>
    </xdr:from>
    <xdr:to>
      <xdr:col>28</xdr:col>
      <xdr:colOff>9524</xdr:colOff>
      <xdr:row>75</xdr:row>
      <xdr:rowOff>123825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49EEE20-409D-442A-B02A-305105B81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28575</xdr:colOff>
      <xdr:row>76</xdr:row>
      <xdr:rowOff>171450</xdr:rowOff>
    </xdr:from>
    <xdr:to>
      <xdr:col>27</xdr:col>
      <xdr:colOff>600075</xdr:colOff>
      <xdr:row>102</xdr:row>
      <xdr:rowOff>38100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BAD61635-C810-4E05-8D30-E7ED8C7AE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133350</xdr:colOff>
      <xdr:row>2</xdr:row>
      <xdr:rowOff>90487</xdr:rowOff>
    </xdr:from>
    <xdr:to>
      <xdr:col>25</xdr:col>
      <xdr:colOff>438150</xdr:colOff>
      <xdr:row>16</xdr:row>
      <xdr:rowOff>138112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0334561D-74FB-4484-E7D2-2AA926BA5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47625</xdr:colOff>
      <xdr:row>2</xdr:row>
      <xdr:rowOff>80962</xdr:rowOff>
    </xdr:from>
    <xdr:to>
      <xdr:col>33</xdr:col>
      <xdr:colOff>352425</xdr:colOff>
      <xdr:row>16</xdr:row>
      <xdr:rowOff>128587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869FA46B-C07B-B960-59A0-B7E9BFD73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276225</xdr:colOff>
      <xdr:row>28</xdr:row>
      <xdr:rowOff>104775</xdr:rowOff>
    </xdr:from>
    <xdr:to>
      <xdr:col>40</xdr:col>
      <xdr:colOff>581025</xdr:colOff>
      <xdr:row>42</xdr:row>
      <xdr:rowOff>161925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D8461EA8-23AC-4CE3-8E8C-59E86576B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33</xdr:col>
      <xdr:colOff>304800</xdr:colOff>
      <xdr:row>44</xdr:row>
      <xdr:rowOff>28575</xdr:rowOff>
    </xdr:from>
    <xdr:to>
      <xdr:col>41</xdr:col>
      <xdr:colOff>0</xdr:colOff>
      <xdr:row>58</xdr:row>
      <xdr:rowOff>85725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EC384915-E893-4A5B-88B3-06A7E423A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66674</xdr:colOff>
      <xdr:row>20</xdr:row>
      <xdr:rowOff>133348</xdr:rowOff>
    </xdr:from>
    <xdr:to>
      <xdr:col>28</xdr:col>
      <xdr:colOff>19049</xdr:colOff>
      <xdr:row>46</xdr:row>
      <xdr:rowOff>38099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724BC98-1C44-46DC-BA1A-F35F182DF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38099</xdr:colOff>
      <xdr:row>47</xdr:row>
      <xdr:rowOff>142875</xdr:rowOff>
    </xdr:from>
    <xdr:to>
      <xdr:col>28</xdr:col>
      <xdr:colOff>9524</xdr:colOff>
      <xdr:row>75</xdr:row>
      <xdr:rowOff>123825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F0DE6F7-89EE-4F95-80A5-D6B7776CB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28575</xdr:colOff>
      <xdr:row>76</xdr:row>
      <xdr:rowOff>171450</xdr:rowOff>
    </xdr:from>
    <xdr:to>
      <xdr:col>27</xdr:col>
      <xdr:colOff>600075</xdr:colOff>
      <xdr:row>102</xdr:row>
      <xdr:rowOff>38100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2A522B3-3087-48BD-BA94-C3AC05A45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180975</xdr:colOff>
      <xdr:row>2</xdr:row>
      <xdr:rowOff>185736</xdr:rowOff>
    </xdr:from>
    <xdr:to>
      <xdr:col>27</xdr:col>
      <xdr:colOff>180975</xdr:colOff>
      <xdr:row>18</xdr:row>
      <xdr:rowOff>123824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4BFA4E5-F302-CDFB-6302-DE894675F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361950</xdr:colOff>
      <xdr:row>27</xdr:row>
      <xdr:rowOff>157162</xdr:rowOff>
    </xdr:from>
    <xdr:to>
      <xdr:col>41</xdr:col>
      <xdr:colOff>57150</xdr:colOff>
      <xdr:row>42</xdr:row>
      <xdr:rowOff>23812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2761B324-9C5C-3DC6-5852-9DDE5E424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571500</xdr:colOff>
      <xdr:row>3</xdr:row>
      <xdr:rowOff>42862</xdr:rowOff>
    </xdr:from>
    <xdr:to>
      <xdr:col>35</xdr:col>
      <xdr:colOff>266700</xdr:colOff>
      <xdr:row>17</xdr:row>
      <xdr:rowOff>90487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1C90AFC5-5E7D-81F9-167F-48894AF43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304800</xdr:colOff>
      <xdr:row>42</xdr:row>
      <xdr:rowOff>71437</xdr:rowOff>
    </xdr:from>
    <xdr:to>
      <xdr:col>41</xdr:col>
      <xdr:colOff>0</xdr:colOff>
      <xdr:row>56</xdr:row>
      <xdr:rowOff>128587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886D294F-ACE0-1AA9-836A-E0005971D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6"/>
  <sheetViews>
    <sheetView tabSelected="1" workbookViewId="0">
      <selection activeCell="F9" sqref="F9"/>
    </sheetView>
  </sheetViews>
  <sheetFormatPr defaultRowHeight="15" x14ac:dyDescent="0.25"/>
  <cols>
    <col min="2" max="2" width="9.5703125" bestFit="1" customWidth="1"/>
  </cols>
  <sheetData>
    <row r="1" spans="1:18" x14ac:dyDescent="0.25">
      <c r="A1" t="s">
        <v>13</v>
      </c>
    </row>
    <row r="2" spans="1:18" x14ac:dyDescent="0.25">
      <c r="A2" s="1">
        <v>1</v>
      </c>
      <c r="E2" s="1">
        <v>4</v>
      </c>
      <c r="F2" t="s">
        <v>51</v>
      </c>
      <c r="G2" s="12">
        <v>11</v>
      </c>
      <c r="H2" t="s">
        <v>52</v>
      </c>
    </row>
    <row r="3" spans="1:18" x14ac:dyDescent="0.25">
      <c r="A3" t="s">
        <v>0</v>
      </c>
      <c r="E3" t="s">
        <v>21</v>
      </c>
      <c r="F3">
        <v>20.299195417054985</v>
      </c>
      <c r="G3" t="s">
        <v>21</v>
      </c>
      <c r="H3">
        <v>20.503786127844084</v>
      </c>
    </row>
    <row r="4" spans="1:18" x14ac:dyDescent="0.25">
      <c r="A4" t="s">
        <v>1</v>
      </c>
      <c r="B4" s="2">
        <v>103.6802270577105</v>
      </c>
      <c r="E4" t="s">
        <v>22</v>
      </c>
      <c r="F4">
        <v>22.004797601607542</v>
      </c>
      <c r="G4" t="s">
        <v>22</v>
      </c>
      <c r="H4">
        <v>21.464136822537725</v>
      </c>
    </row>
    <row r="5" spans="1:18" x14ac:dyDescent="0.25">
      <c r="A5" t="s">
        <v>2</v>
      </c>
      <c r="B5" s="2">
        <v>1.228003784295175</v>
      </c>
      <c r="E5" t="s">
        <v>23</v>
      </c>
      <c r="F5">
        <v>0.24642992003662534</v>
      </c>
      <c r="G5" t="s">
        <v>23</v>
      </c>
      <c r="H5">
        <v>0.235131292909563</v>
      </c>
    </row>
    <row r="6" spans="1:18" ht="15.75" thickBot="1" x14ac:dyDescent="0.3">
      <c r="A6" s="4" t="s">
        <v>3</v>
      </c>
      <c r="B6" s="5">
        <v>12.592852565080722</v>
      </c>
      <c r="E6" t="s">
        <v>24</v>
      </c>
      <c r="F6">
        <f>SUMSQ(F23:F126)</f>
        <v>93.603345566894262</v>
      </c>
      <c r="G6" t="s">
        <v>53</v>
      </c>
      <c r="H6">
        <f>SUMIF(AC23:AC126,"&gt;0")-SUMIF(AC23:AC126,"&lt;0")</f>
        <v>79.156599242733577</v>
      </c>
    </row>
    <row r="7" spans="1:18" x14ac:dyDescent="0.25">
      <c r="A7" s="3" t="s">
        <v>4</v>
      </c>
      <c r="B7" s="15">
        <v>20.395220922655401</v>
      </c>
    </row>
    <row r="8" spans="1:18" x14ac:dyDescent="0.25">
      <c r="A8" s="3" t="s">
        <v>5</v>
      </c>
      <c r="B8" s="15">
        <v>21.073476596502587</v>
      </c>
    </row>
    <row r="9" spans="1:18" x14ac:dyDescent="0.25">
      <c r="A9" s="3" t="s">
        <v>6</v>
      </c>
      <c r="B9" s="16">
        <v>0.23501577339193319</v>
      </c>
    </row>
    <row r="10" spans="1:18" ht="15.75" thickBot="1" x14ac:dyDescent="0.3">
      <c r="A10" s="4" t="s">
        <v>7</v>
      </c>
      <c r="B10" s="17">
        <v>0.97046736603369932</v>
      </c>
      <c r="E10" s="1">
        <v>6</v>
      </c>
      <c r="F10" t="s">
        <v>34</v>
      </c>
      <c r="I10" t="s">
        <v>42</v>
      </c>
      <c r="L10" s="1">
        <v>12</v>
      </c>
      <c r="M10" t="s">
        <v>34</v>
      </c>
      <c r="P10" t="s">
        <v>42</v>
      </c>
    </row>
    <row r="11" spans="1:18" x14ac:dyDescent="0.25">
      <c r="A11" t="s">
        <v>4</v>
      </c>
      <c r="B11">
        <v>3.1920832346513635</v>
      </c>
      <c r="D11" t="s">
        <v>35</v>
      </c>
      <c r="F11">
        <v>10</v>
      </c>
      <c r="G11">
        <v>10</v>
      </c>
      <c r="H11">
        <v>10</v>
      </c>
      <c r="M11" t="s">
        <v>63</v>
      </c>
      <c r="O11" t="s">
        <v>37</v>
      </c>
      <c r="P11">
        <f>P$14-3*P$15</f>
        <v>17.455713266931962</v>
      </c>
      <c r="Q11">
        <f>Q$14-3*Q$15</f>
        <v>17.0866698508705</v>
      </c>
      <c r="R11">
        <f>R$14-3*R$15</f>
        <v>17.406521492737443</v>
      </c>
    </row>
    <row r="12" spans="1:18" x14ac:dyDescent="0.25">
      <c r="A12" t="s">
        <v>5</v>
      </c>
      <c r="B12">
        <v>1.0632638274400961</v>
      </c>
      <c r="D12" t="s">
        <v>36</v>
      </c>
      <c r="F12">
        <f>(F14-F13)/F11</f>
        <v>0.45163546612983152</v>
      </c>
      <c r="G12">
        <f t="shared" ref="G12:H12" si="0">(G14-G13)/G11</f>
        <v>0.51623904702433199</v>
      </c>
      <c r="H12">
        <f t="shared" si="0"/>
        <v>0.51167052863880935</v>
      </c>
      <c r="O12" t="s">
        <v>38</v>
      </c>
      <c r="P12">
        <f>P$14+3*P$15</f>
        <v>23.482844868809746</v>
      </c>
      <c r="Q12">
        <f>Q$14+3*Q$15</f>
        <v>23.240950591877109</v>
      </c>
      <c r="R12">
        <f>R$14+3*R$15</f>
        <v>23.038602262908913</v>
      </c>
    </row>
    <row r="13" spans="1:18" x14ac:dyDescent="0.25">
      <c r="A13" t="s">
        <v>6</v>
      </c>
      <c r="B13">
        <v>1.5057074809446931</v>
      </c>
      <c r="E13" t="s">
        <v>37</v>
      </c>
      <c r="F13">
        <f t="shared" ref="F13:K13" si="1">MIN(L23:L124)</f>
        <v>18.361962076244751</v>
      </c>
      <c r="G13">
        <f t="shared" si="1"/>
        <v>17.840044976065968</v>
      </c>
      <c r="H13">
        <f t="shared" si="1"/>
        <v>17.936497723632666</v>
      </c>
      <c r="I13" s="7">
        <f t="shared" si="1"/>
        <v>18.272908864576927</v>
      </c>
      <c r="J13" s="7">
        <f t="shared" si="1"/>
        <v>17.744296571496303</v>
      </c>
      <c r="K13" s="7">
        <f t="shared" si="1"/>
        <v>17.840481586472706</v>
      </c>
      <c r="L13" t="s">
        <v>60</v>
      </c>
      <c r="M13" s="7">
        <f>$B$7-$B$8*EXP(-$B$9*F$16)</f>
        <v>20.366408344242025</v>
      </c>
      <c r="N13" s="7">
        <f>$B$7-$B$8*EXP(-$B$9*G$16)</f>
        <v>20.394461067482691</v>
      </c>
      <c r="O13" s="7">
        <f>$B$7-$B$8*EXP(-$B$9*H$16)</f>
        <v>20.395200883494894</v>
      </c>
      <c r="P13" s="13">
        <f>ABS(M13-P14)/M13*100</f>
        <v>0.50509997585270172</v>
      </c>
      <c r="Q13" s="13">
        <f t="shared" ref="Q13:R13" si="2">ABS(N13-Q14)/N13*100</f>
        <v>1.1309484734393926</v>
      </c>
      <c r="R13" s="13">
        <f t="shared" si="2"/>
        <v>0.84646876810821858</v>
      </c>
    </row>
    <row r="14" spans="1:18" x14ac:dyDescent="0.25">
      <c r="A14" t="s">
        <v>8</v>
      </c>
      <c r="B14">
        <v>1.0102170361060416</v>
      </c>
      <c r="E14" t="s">
        <v>38</v>
      </c>
      <c r="F14" s="7">
        <f t="shared" ref="F14:K14" si="3">MAX(L23:L124)</f>
        <v>22.878316737543066</v>
      </c>
      <c r="G14" s="7">
        <f t="shared" si="3"/>
        <v>23.002435446309288</v>
      </c>
      <c r="H14" s="7">
        <f t="shared" si="3"/>
        <v>23.053203010020759</v>
      </c>
      <c r="I14">
        <f t="shared" si="3"/>
        <v>22.789263525875242</v>
      </c>
      <c r="J14">
        <f t="shared" si="3"/>
        <v>22.906687041739623</v>
      </c>
      <c r="K14">
        <f t="shared" si="3"/>
        <v>22.957186872860799</v>
      </c>
      <c r="L14" t="s">
        <v>61</v>
      </c>
      <c r="M14" s="7">
        <f t="shared" ref="M14:R14" si="4">AVERAGE(L23:L124)</f>
        <v>20.558332279538682</v>
      </c>
      <c r="N14" s="7">
        <f t="shared" si="4"/>
        <v>20.259558625943466</v>
      </c>
      <c r="O14" s="7">
        <f t="shared" si="4"/>
        <v>20.318578014983142</v>
      </c>
      <c r="P14" s="7">
        <f t="shared" si="4"/>
        <v>20.469279067870854</v>
      </c>
      <c r="Q14" s="7">
        <f t="shared" si="4"/>
        <v>20.163810221373804</v>
      </c>
      <c r="R14" s="7">
        <f t="shared" si="4"/>
        <v>20.222561877823178</v>
      </c>
    </row>
    <row r="15" spans="1:18" x14ac:dyDescent="0.25">
      <c r="A15" t="s">
        <v>9</v>
      </c>
      <c r="B15">
        <v>16.326869222684763</v>
      </c>
      <c r="F15" t="s">
        <v>39</v>
      </c>
      <c r="G15" t="s">
        <v>40</v>
      </c>
      <c r="H15" t="s">
        <v>41</v>
      </c>
      <c r="I15" t="s">
        <v>39</v>
      </c>
      <c r="J15" t="s">
        <v>40</v>
      </c>
      <c r="K15" t="s">
        <v>41</v>
      </c>
      <c r="L15" t="s">
        <v>62</v>
      </c>
      <c r="M15">
        <f t="shared" ref="M15:R15" si="5">_xlfn.STDEV.S(L23:L124)</f>
        <v>1.0045219336462978</v>
      </c>
      <c r="N15">
        <f t="shared" si="5"/>
        <v>1.0257134568344346</v>
      </c>
      <c r="O15">
        <f t="shared" si="5"/>
        <v>0.93868012836191206</v>
      </c>
      <c r="P15">
        <f t="shared" si="5"/>
        <v>1.0045219336462976</v>
      </c>
      <c r="Q15">
        <f t="shared" si="5"/>
        <v>1.0257134568344346</v>
      </c>
      <c r="R15">
        <f t="shared" si="5"/>
        <v>0.93868012836191206</v>
      </c>
    </row>
    <row r="16" spans="1:18" ht="15.75" thickBot="1" x14ac:dyDescent="0.3">
      <c r="A16" s="4" t="s">
        <v>7</v>
      </c>
      <c r="B16">
        <v>3.2514202606107574</v>
      </c>
      <c r="F16" s="2">
        <f>B6+B19</f>
        <v>28.06176946317942</v>
      </c>
      <c r="G16" s="2">
        <f>B19+F16</f>
        <v>43.530686361278114</v>
      </c>
      <c r="H16" s="2">
        <f>G16+B19</f>
        <v>58.999603259376812</v>
      </c>
      <c r="I16" s="2">
        <f>F16</f>
        <v>28.06176946317942</v>
      </c>
      <c r="J16" s="2">
        <f>G16</f>
        <v>43.530686361278114</v>
      </c>
      <c r="K16" s="2">
        <f t="shared" ref="K16" si="6">H16</f>
        <v>58.999603259376812</v>
      </c>
      <c r="M16" s="2"/>
      <c r="N16" s="2"/>
      <c r="O16" s="2"/>
      <c r="P16" s="2"/>
      <c r="Q16" s="2"/>
      <c r="R16" s="2"/>
    </row>
    <row r="17" spans="1:41" x14ac:dyDescent="0.25">
      <c r="A17" t="s">
        <v>10</v>
      </c>
      <c r="B17">
        <v>0.2</v>
      </c>
    </row>
    <row r="18" spans="1:41" x14ac:dyDescent="0.25">
      <c r="A18" t="s">
        <v>11</v>
      </c>
      <c r="B18" s="2">
        <v>102.25928525650806</v>
      </c>
    </row>
    <row r="19" spans="1:41" x14ac:dyDescent="0.25">
      <c r="A19" t="s">
        <v>12</v>
      </c>
      <c r="B19" s="2">
        <v>15.468916898098698</v>
      </c>
    </row>
    <row r="21" spans="1:41" ht="15.75" thickBot="1" x14ac:dyDescent="0.3">
      <c r="A21" s="1">
        <v>2</v>
      </c>
      <c r="B21" t="s">
        <v>14</v>
      </c>
      <c r="F21" s="1">
        <v>3</v>
      </c>
      <c r="H21" s="1">
        <v>5</v>
      </c>
      <c r="R21" s="1">
        <v>7</v>
      </c>
      <c r="S21" t="s">
        <v>46</v>
      </c>
      <c r="AC21" s="1">
        <v>10</v>
      </c>
      <c r="AH21" s="1">
        <v>13</v>
      </c>
    </row>
    <row r="22" spans="1:41" x14ac:dyDescent="0.25">
      <c r="A22" t="s">
        <v>1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1</v>
      </c>
      <c r="I22" t="s">
        <v>25</v>
      </c>
      <c r="J22" t="s">
        <v>26</v>
      </c>
      <c r="K22" t="s">
        <v>27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 t="s">
        <v>33</v>
      </c>
      <c r="T22" s="11" t="s">
        <v>43</v>
      </c>
      <c r="U22" s="11" t="s">
        <v>45</v>
      </c>
      <c r="V22" t="s">
        <v>49</v>
      </c>
      <c r="AC22" t="s">
        <v>50</v>
      </c>
      <c r="AD22" t="s">
        <v>54</v>
      </c>
      <c r="AE22" t="s">
        <v>55</v>
      </c>
      <c r="AF22" t="s">
        <v>56</v>
      </c>
      <c r="AG22" t="s">
        <v>57</v>
      </c>
      <c r="AL22" t="s">
        <v>37</v>
      </c>
      <c r="AM22">
        <f>AM$25-3*AM$26</f>
        <v>17.638374537950337</v>
      </c>
      <c r="AN22">
        <f>AN$25-3*AN$26</f>
        <v>17.275738886153476</v>
      </c>
      <c r="AO22">
        <f>AO$25-3*AO$26</f>
        <v>17.606661437760067</v>
      </c>
    </row>
    <row r="23" spans="1:41" x14ac:dyDescent="0.25">
      <c r="A23">
        <v>1</v>
      </c>
      <c r="B23">
        <v>7.3854487746818442</v>
      </c>
      <c r="C23">
        <v>-0.22154154066811316</v>
      </c>
      <c r="D23">
        <f>$B$7-$B$8*EXP(-$B$9*B23)</f>
        <v>16.680445366465278</v>
      </c>
      <c r="E23">
        <f>D23+$B$10*C23</f>
        <v>16.465446531026046</v>
      </c>
      <c r="F23">
        <f>$F$3-$F$4*EXP(-$F$5*B23)-E23</f>
        <v>0.26838916815701452</v>
      </c>
      <c r="G23">
        <f>$F$3-$F$4*EXP(-$F$5*B23)</f>
        <v>16.733835699183061</v>
      </c>
      <c r="H23">
        <v>1</v>
      </c>
      <c r="I23">
        <v>0.10603343980619701</v>
      </c>
      <c r="J23">
        <v>1.2354007594694849</v>
      </c>
      <c r="K23">
        <v>0.76979858931736089</v>
      </c>
      <c r="L23">
        <f t="shared" ref="L23:L54" si="7">$B$7-$B$8*EXP(-$B$9*F$16)+I23*$B$10</f>
        <v>20.469310337282238</v>
      </c>
      <c r="M23">
        <f t="shared" ref="M23:M54" si="8">$B$7-$B$8*EXP(-$B$9*G$16)+J23*$B$10</f>
        <v>21.593377188521075</v>
      </c>
      <c r="N23">
        <f t="shared" ref="N23:N54" si="9">$B$7-$B$8*EXP(-$B$9*H$16)+K23*$B$10</f>
        <v>21.142265292846172</v>
      </c>
      <c r="O23">
        <f t="shared" ref="O23:O54" si="10">$F$3-$F$4*EXP(-$F$5*I$16)+I23*$B$10</f>
        <v>20.380257125614413</v>
      </c>
      <c r="P23">
        <f t="shared" ref="P23:P54" si="11">$F$3-$F$4*EXP(-$F$5*J$16)+J23*$B$10</f>
        <v>21.497628783951409</v>
      </c>
      <c r="Q23">
        <f t="shared" ref="Q23:Q54" si="12">$F$3-$F$4*EXP(-$F$5*K$16)+K23*$B$10</f>
        <v>21.046249155686212</v>
      </c>
      <c r="R23">
        <v>1</v>
      </c>
      <c r="S23">
        <f>F13+$F$12</f>
        <v>18.813597542374584</v>
      </c>
      <c r="T23" s="8">
        <v>18.813597542374584</v>
      </c>
      <c r="U23" s="9">
        <v>3</v>
      </c>
      <c r="V23">
        <f>U23/$U$34</f>
        <v>2.9411764705882353E-2</v>
      </c>
      <c r="AC23">
        <f>$H$3-$H$4*EXP(-$H$5*B23)-E23</f>
        <v>0.25792619766354363</v>
      </c>
      <c r="AD23">
        <f>$H$3-$H$4*EXP(-$H$5*B23)</f>
        <v>16.72337272868959</v>
      </c>
      <c r="AE23">
        <f t="shared" ref="AE23:AE54" si="13">$H$3-$H$4*EXP(-$H$5*AI$27)+I23*$B$10</f>
        <v>20.5774363933952</v>
      </c>
      <c r="AF23">
        <f t="shared" ref="AF23:AF54" si="14">$H$3-$H$4*EXP(-$H$5*AJ$27)+J23*$B$10</f>
        <v>21.701932189616855</v>
      </c>
      <c r="AG23">
        <f t="shared" ref="AG23:AG54" si="15">$H$3-$H$4*EXP(-$H$5*AK$27)+K23*$B$10</f>
        <v>21.250830265186718</v>
      </c>
      <c r="AL23" t="s">
        <v>38</v>
      </c>
      <c r="AM23">
        <f>AM$25+3*AM$26</f>
        <v>23.694542133352936</v>
      </c>
      <c r="AN23">
        <f>AN$25+3*AN$26</f>
        <v>23.460488367925031</v>
      </c>
      <c r="AO23">
        <f>AO$25+3*AO$26</f>
        <v>23.247624536887301</v>
      </c>
    </row>
    <row r="24" spans="1:41" x14ac:dyDescent="0.25">
      <c r="A24">
        <v>2</v>
      </c>
      <c r="B24">
        <v>6.0483718375194551</v>
      </c>
      <c r="C24">
        <v>0.94616325441165827</v>
      </c>
      <c r="D24">
        <f t="shared" ref="D24:D87" si="16">$B$7-$B$8*EXP(-$B$9*B24)</f>
        <v>15.308911866263596</v>
      </c>
      <c r="E24">
        <f t="shared" ref="E24:E87" si="17">D24+$B$10*C24</f>
        <v>16.22713242761035</v>
      </c>
      <c r="F24">
        <f t="shared" ref="F24:F87" si="18">$F$3-$F$4*EXP(-$F$5*B24)-E24</f>
        <v>-0.88473871010424787</v>
      </c>
      <c r="G24">
        <f t="shared" ref="G24:G87" si="19">$F$3-$F$4*EXP(-$F$5*B24)</f>
        <v>15.342393717506102</v>
      </c>
      <c r="H24">
        <v>2</v>
      </c>
      <c r="I24">
        <v>-1.4626652955485042</v>
      </c>
      <c r="J24">
        <v>9.6806616056710482E-2</v>
      </c>
      <c r="K24">
        <v>1.9430990505497903</v>
      </c>
      <c r="L24">
        <f t="shared" si="7"/>
        <v>18.946939407482166</v>
      </c>
      <c r="M24">
        <f t="shared" si="8"/>
        <v>20.488408729181884</v>
      </c>
      <c r="N24">
        <f t="shared" si="9"/>
        <v>22.280915101024529</v>
      </c>
      <c r="O24">
        <f t="shared" si="10"/>
        <v>18.857886195814341</v>
      </c>
      <c r="P24">
        <f t="shared" si="11"/>
        <v>20.392660324612216</v>
      </c>
      <c r="Q24">
        <f t="shared" si="12"/>
        <v>22.184898963864569</v>
      </c>
      <c r="R24">
        <v>2</v>
      </c>
      <c r="S24">
        <f t="shared" ref="S24:S32" si="20">S23+$F$12</f>
        <v>19.265233008504417</v>
      </c>
      <c r="T24" s="8">
        <v>19.265233008504417</v>
      </c>
      <c r="U24" s="9">
        <v>12</v>
      </c>
      <c r="V24">
        <f t="shared" ref="V24:V87" si="21">U24/$U$34</f>
        <v>0.11764705882352941</v>
      </c>
      <c r="AC24">
        <f t="shared" ref="AC24:AC87" si="22">$H$3-$H$4*EXP(-$H$5*B24)-E24</f>
        <v>-0.90032693545177445</v>
      </c>
      <c r="AD24">
        <f t="shared" ref="AD24:AD87" si="23">$H$3-$H$4*EXP(-$H$5*B24)</f>
        <v>15.326805492158575</v>
      </c>
      <c r="AE24">
        <f t="shared" si="13"/>
        <v>19.055065463595128</v>
      </c>
      <c r="AF24">
        <f t="shared" si="14"/>
        <v>20.596963730277665</v>
      </c>
      <c r="AG24">
        <f t="shared" si="15"/>
        <v>22.389480073365075</v>
      </c>
      <c r="AH24" t="s">
        <v>58</v>
      </c>
      <c r="AI24" s="7">
        <f>MIN(AE23:AE124)</f>
        <v>18.470088132357713</v>
      </c>
      <c r="AJ24" s="7">
        <f>MIN(AF23:AF124)</f>
        <v>17.948599977161749</v>
      </c>
      <c r="AK24" s="7">
        <f>MIN(AG23:AG124)</f>
        <v>18.045062695973211</v>
      </c>
      <c r="AM24" s="14">
        <f>ABS(M13-AM25)/M13*100</f>
        <v>1.4732592332336381</v>
      </c>
      <c r="AN24" s="14">
        <f>ABS(N13-AN25)/N13*100</f>
        <v>0.12918919679346894</v>
      </c>
      <c r="AO24" s="14">
        <f>ABS(O13-AO25)/O13*100</f>
        <v>0.15661578432718223</v>
      </c>
    </row>
    <row r="25" spans="1:41" x14ac:dyDescent="0.25">
      <c r="A25">
        <v>3</v>
      </c>
      <c r="B25">
        <v>3.3983886226996676</v>
      </c>
      <c r="C25">
        <v>-7.8837274486431852E-2</v>
      </c>
      <c r="D25">
        <f t="shared" si="16"/>
        <v>10.913742214635413</v>
      </c>
      <c r="E25">
        <f t="shared" si="17"/>
        <v>10.837233212519289</v>
      </c>
      <c r="F25">
        <f t="shared" si="18"/>
        <v>-6.1856243224406526E-2</v>
      </c>
      <c r="G25">
        <f t="shared" si="19"/>
        <v>10.775376969294882</v>
      </c>
      <c r="H25">
        <v>3</v>
      </c>
      <c r="I25">
        <v>-1.60264789883513</v>
      </c>
      <c r="J25">
        <v>-7.4232957558706403E-2</v>
      </c>
      <c r="K25">
        <v>-0.53400071919895709</v>
      </c>
      <c r="L25">
        <f t="shared" si="7"/>
        <v>18.811090859180055</v>
      </c>
      <c r="M25">
        <f t="shared" si="8"/>
        <v>20.322420404687801</v>
      </c>
      <c r="N25">
        <f t="shared" si="9"/>
        <v>19.87697061207378</v>
      </c>
      <c r="O25">
        <f t="shared" si="10"/>
        <v>18.722037647512231</v>
      </c>
      <c r="P25">
        <f t="shared" si="11"/>
        <v>20.226672000118135</v>
      </c>
      <c r="Q25">
        <f t="shared" si="12"/>
        <v>19.78095447491382</v>
      </c>
      <c r="R25">
        <v>3</v>
      </c>
      <c r="S25">
        <f t="shared" si="20"/>
        <v>19.71686847463425</v>
      </c>
      <c r="T25" s="8">
        <v>19.71686847463425</v>
      </c>
      <c r="U25" s="9">
        <v>9</v>
      </c>
      <c r="V25">
        <f t="shared" si="21"/>
        <v>8.8235294117647065E-2</v>
      </c>
      <c r="AC25">
        <f t="shared" si="22"/>
        <v>1.309700220532406E-2</v>
      </c>
      <c r="AD25">
        <f t="shared" si="23"/>
        <v>10.850330214724613</v>
      </c>
      <c r="AE25">
        <f t="shared" si="13"/>
        <v>18.919216915293017</v>
      </c>
      <c r="AF25">
        <f t="shared" si="14"/>
        <v>20.430975405783581</v>
      </c>
      <c r="AG25">
        <f t="shared" si="15"/>
        <v>19.985535584414325</v>
      </c>
      <c r="AH25" t="s">
        <v>59</v>
      </c>
      <c r="AI25">
        <f>MAX(AE23:AE124)</f>
        <v>22.986442793656028</v>
      </c>
      <c r="AJ25">
        <f>MAX(AF23:AF124)</f>
        <v>23.110990447405069</v>
      </c>
      <c r="AK25">
        <f>MAX(AG23:AG124)</f>
        <v>23.161767982361305</v>
      </c>
      <c r="AL25" t="s">
        <v>64</v>
      </c>
      <c r="AM25" s="7">
        <f>AVERAGE(AE23:AE124)</f>
        <v>20.666458335651637</v>
      </c>
      <c r="AN25" s="7">
        <f>AVERAGE(AF23:AF124)</f>
        <v>20.368113627039254</v>
      </c>
      <c r="AO25" s="7">
        <f>AVERAGE(AG23:AG124)</f>
        <v>20.427142987323684</v>
      </c>
    </row>
    <row r="26" spans="1:41" x14ac:dyDescent="0.25">
      <c r="A26">
        <v>4</v>
      </c>
      <c r="B26">
        <v>4.3007599108859527</v>
      </c>
      <c r="C26">
        <v>0.23945290195115376</v>
      </c>
      <c r="D26">
        <f t="shared" si="16"/>
        <v>12.725587659518489</v>
      </c>
      <c r="E26">
        <f t="shared" si="17"/>
        <v>12.957968886564151</v>
      </c>
      <c r="F26">
        <f t="shared" si="18"/>
        <v>-0.28371444426505654</v>
      </c>
      <c r="G26">
        <f t="shared" si="19"/>
        <v>12.674254442299095</v>
      </c>
      <c r="H26">
        <v>4</v>
      </c>
      <c r="I26">
        <v>1.7165439203381538</v>
      </c>
      <c r="J26">
        <v>1.9819344743154943</v>
      </c>
      <c r="K26">
        <v>-0.97197244031121954</v>
      </c>
      <c r="L26">
        <f t="shared" si="7"/>
        <v>22.032258201293754</v>
      </c>
      <c r="M26">
        <f t="shared" si="8"/>
        <v>22.317863796423033</v>
      </c>
      <c r="N26">
        <f t="shared" si="9"/>
        <v>19.451933349488719</v>
      </c>
      <c r="O26">
        <f t="shared" si="10"/>
        <v>21.943204989625929</v>
      </c>
      <c r="P26">
        <f t="shared" si="11"/>
        <v>22.222115391853368</v>
      </c>
      <c r="Q26">
        <f t="shared" si="12"/>
        <v>19.355917212328759</v>
      </c>
      <c r="R26">
        <v>4</v>
      </c>
      <c r="S26">
        <f t="shared" si="20"/>
        <v>20.168503940764083</v>
      </c>
      <c r="T26" s="8">
        <v>20.168503940764083</v>
      </c>
      <c r="U26" s="9">
        <v>10</v>
      </c>
      <c r="V26">
        <f t="shared" si="21"/>
        <v>9.8039215686274508E-2</v>
      </c>
      <c r="AC26">
        <f t="shared" si="22"/>
        <v>-0.2621156114936003</v>
      </c>
      <c r="AD26">
        <f t="shared" si="23"/>
        <v>12.695853275070551</v>
      </c>
      <c r="AE26">
        <f t="shared" si="13"/>
        <v>22.140384257406716</v>
      </c>
      <c r="AF26">
        <f t="shared" si="14"/>
        <v>22.426418797518814</v>
      </c>
      <c r="AG26">
        <f t="shared" si="15"/>
        <v>19.560498321829265</v>
      </c>
      <c r="AI26" t="s">
        <v>39</v>
      </c>
      <c r="AJ26" t="s">
        <v>40</v>
      </c>
      <c r="AK26" t="s">
        <v>41</v>
      </c>
      <c r="AL26" t="s">
        <v>62</v>
      </c>
      <c r="AM26">
        <f>_xlfn.STDEV.S(AE22:AE123)</f>
        <v>1.0093612659004334</v>
      </c>
      <c r="AN26">
        <f>_xlfn.STDEV.S(AF22:AF123)</f>
        <v>1.030791580295259</v>
      </c>
      <c r="AO26">
        <f>_xlfn.STDEV.S(AG22:AG123)</f>
        <v>0.94016051652120558</v>
      </c>
    </row>
    <row r="27" spans="1:41" x14ac:dyDescent="0.25">
      <c r="A27">
        <v>5</v>
      </c>
      <c r="B27">
        <v>1.8239997558519243</v>
      </c>
      <c r="C27">
        <v>-0.14729266695212573</v>
      </c>
      <c r="D27">
        <f t="shared" si="16"/>
        <v>6.6684706576984887</v>
      </c>
      <c r="E27">
        <f t="shared" si="17"/>
        <v>6.5255279311653807</v>
      </c>
      <c r="F27">
        <f t="shared" si="18"/>
        <v>-0.26439498467736566</v>
      </c>
      <c r="G27">
        <f t="shared" si="19"/>
        <v>6.261132946488015</v>
      </c>
      <c r="H27">
        <v>5</v>
      </c>
      <c r="I27">
        <v>0.28832914722443093</v>
      </c>
      <c r="J27">
        <v>-0.12474743016355205</v>
      </c>
      <c r="K27">
        <v>-0.79389110396732576</v>
      </c>
      <c r="L27">
        <f t="shared" si="7"/>
        <v>20.646222372299661</v>
      </c>
      <c r="M27">
        <f t="shared" si="8"/>
        <v>20.273397757512395</v>
      </c>
      <c r="N27">
        <f t="shared" si="9"/>
        <v>19.624755474910138</v>
      </c>
      <c r="O27">
        <f t="shared" si="10"/>
        <v>20.557169160631837</v>
      </c>
      <c r="P27">
        <f t="shared" si="11"/>
        <v>20.17764935294273</v>
      </c>
      <c r="Q27">
        <f t="shared" si="12"/>
        <v>19.528739337750178</v>
      </c>
      <c r="R27">
        <v>5</v>
      </c>
      <c r="S27">
        <f t="shared" si="20"/>
        <v>20.620139406893916</v>
      </c>
      <c r="T27" s="8">
        <v>20.620139406893916</v>
      </c>
      <c r="U27" s="9">
        <v>20</v>
      </c>
      <c r="V27">
        <f t="shared" si="21"/>
        <v>0.19607843137254902</v>
      </c>
      <c r="AC27">
        <f>$H$3-$H$4*EXP(-$H$5*B27)-E27</f>
        <v>-1.300292097194955E-5</v>
      </c>
      <c r="AD27">
        <f t="shared" si="23"/>
        <v>6.5255149282444087</v>
      </c>
      <c r="AE27">
        <f t="shared" si="13"/>
        <v>20.754348428412623</v>
      </c>
      <c r="AF27">
        <f t="shared" si="14"/>
        <v>20.381952758608175</v>
      </c>
      <c r="AG27">
        <f t="shared" si="15"/>
        <v>19.733320447250684</v>
      </c>
      <c r="AI27" s="2">
        <f>I16</f>
        <v>28.06176946317942</v>
      </c>
      <c r="AJ27" s="2">
        <f>J16</f>
        <v>43.530686361278114</v>
      </c>
      <c r="AK27" s="2">
        <f>K16</f>
        <v>58.999603259376812</v>
      </c>
    </row>
    <row r="28" spans="1:41" x14ac:dyDescent="0.25">
      <c r="A28">
        <v>6</v>
      </c>
      <c r="B28">
        <v>5.29871517075106</v>
      </c>
      <c r="C28">
        <v>0.30615865398431197</v>
      </c>
      <c r="D28">
        <f t="shared" si="16"/>
        <v>14.329013684490556</v>
      </c>
      <c r="E28">
        <f t="shared" si="17"/>
        <v>14.626130667011134</v>
      </c>
      <c r="F28">
        <f t="shared" si="18"/>
        <v>-0.28948706636184163</v>
      </c>
      <c r="G28">
        <f t="shared" si="19"/>
        <v>14.336643600649293</v>
      </c>
      <c r="H28">
        <v>6</v>
      </c>
      <c r="I28">
        <v>-1.0188000487687532</v>
      </c>
      <c r="J28">
        <v>2.1688902052119374</v>
      </c>
      <c r="K28">
        <v>-2.5335248210467398</v>
      </c>
      <c r="L28">
        <f t="shared" si="7"/>
        <v>19.37769614439841</v>
      </c>
      <c r="M28">
        <f t="shared" si="8"/>
        <v>22.499298232151009</v>
      </c>
      <c r="N28">
        <f t="shared" si="9"/>
        <v>17.936497723632666</v>
      </c>
      <c r="O28">
        <f t="shared" si="10"/>
        <v>19.288642932730585</v>
      </c>
      <c r="P28">
        <f t="shared" si="11"/>
        <v>22.403549827581344</v>
      </c>
      <c r="Q28">
        <f t="shared" si="12"/>
        <v>17.840481586472706</v>
      </c>
      <c r="R28">
        <v>6</v>
      </c>
      <c r="S28">
        <f t="shared" si="20"/>
        <v>21.071774873023749</v>
      </c>
      <c r="T28" s="8">
        <v>21.071774873023749</v>
      </c>
      <c r="U28" s="9">
        <v>19</v>
      </c>
      <c r="V28">
        <f t="shared" si="21"/>
        <v>0.18627450980392157</v>
      </c>
      <c r="AC28">
        <f t="shared" si="22"/>
        <v>-0.29722632760105405</v>
      </c>
      <c r="AD28">
        <f t="shared" si="23"/>
        <v>14.32890433941008</v>
      </c>
      <c r="AE28">
        <f t="shared" si="13"/>
        <v>19.485822200511372</v>
      </c>
      <c r="AF28">
        <f t="shared" si="14"/>
        <v>22.607853233246789</v>
      </c>
      <c r="AG28">
        <f t="shared" si="15"/>
        <v>18.045062695973211</v>
      </c>
    </row>
    <row r="29" spans="1:41" x14ac:dyDescent="0.25">
      <c r="A29">
        <v>7</v>
      </c>
      <c r="B29">
        <v>10.532029175695058</v>
      </c>
      <c r="C29">
        <v>-0.69418888415384572</v>
      </c>
      <c r="D29">
        <f t="shared" si="16"/>
        <v>18.621956358539855</v>
      </c>
      <c r="E29">
        <f t="shared" si="17"/>
        <v>17.948268700605198</v>
      </c>
      <c r="F29">
        <f t="shared" si="18"/>
        <v>0.70902788719227772</v>
      </c>
      <c r="G29">
        <f t="shared" si="19"/>
        <v>18.657296587797475</v>
      </c>
      <c r="H29">
        <v>7</v>
      </c>
      <c r="I29">
        <v>-1.5950263332342729E-2</v>
      </c>
      <c r="J29">
        <v>0.28251292860659305</v>
      </c>
      <c r="K29">
        <v>-0.47243474909919314</v>
      </c>
      <c r="L29">
        <f t="shared" si="7"/>
        <v>20.350929134198342</v>
      </c>
      <c r="M29">
        <f t="shared" si="8"/>
        <v>20.668630645177998</v>
      </c>
      <c r="N29">
        <f t="shared" si="9"/>
        <v>19.936718376913809</v>
      </c>
      <c r="O29">
        <f t="shared" si="10"/>
        <v>20.261875922530518</v>
      </c>
      <c r="P29">
        <f t="shared" si="11"/>
        <v>20.572882240608333</v>
      </c>
      <c r="Q29">
        <f t="shared" si="12"/>
        <v>19.840702239753849</v>
      </c>
      <c r="R29">
        <v>7</v>
      </c>
      <c r="S29">
        <f t="shared" si="20"/>
        <v>21.523410339153582</v>
      </c>
      <c r="T29" s="8">
        <v>21.523410339153582</v>
      </c>
      <c r="U29" s="9">
        <v>8</v>
      </c>
      <c r="V29">
        <f t="shared" si="21"/>
        <v>7.8431372549019607E-2</v>
      </c>
      <c r="AC29">
        <f t="shared" si="22"/>
        <v>0.75157618448735874</v>
      </c>
      <c r="AD29">
        <f t="shared" si="23"/>
        <v>18.699844885092556</v>
      </c>
      <c r="AE29">
        <f t="shared" si="13"/>
        <v>20.459055190311304</v>
      </c>
      <c r="AF29">
        <f t="shared" si="14"/>
        <v>20.777185646273779</v>
      </c>
      <c r="AG29">
        <f t="shared" si="15"/>
        <v>20.045283349254355</v>
      </c>
    </row>
    <row r="30" spans="1:41" x14ac:dyDescent="0.25">
      <c r="A30">
        <v>8</v>
      </c>
      <c r="B30">
        <v>2.4890591143528549</v>
      </c>
      <c r="C30">
        <v>-0.15154796528804582</v>
      </c>
      <c r="D30">
        <f t="shared" si="16"/>
        <v>8.6546896846297905</v>
      </c>
      <c r="E30">
        <f t="shared" si="17"/>
        <v>8.5076173299289337</v>
      </c>
      <c r="F30">
        <f t="shared" si="18"/>
        <v>-0.12441987543829391</v>
      </c>
      <c r="G30">
        <f t="shared" si="19"/>
        <v>8.3831974544906398</v>
      </c>
      <c r="H30">
        <v>8</v>
      </c>
      <c r="I30">
        <v>-1.2543273442133795</v>
      </c>
      <c r="J30">
        <v>-0.64517280407017097</v>
      </c>
      <c r="K30">
        <v>-1.7537695384817198</v>
      </c>
      <c r="L30">
        <f t="shared" si="7"/>
        <v>19.149124590359222</v>
      </c>
      <c r="M30">
        <f t="shared" si="8"/>
        <v>19.768341915680136</v>
      </c>
      <c r="N30">
        <f t="shared" si="9"/>
        <v>18.693224778854404</v>
      </c>
      <c r="O30">
        <f t="shared" si="10"/>
        <v>19.060071378691397</v>
      </c>
      <c r="P30">
        <f t="shared" si="11"/>
        <v>19.67259351111047</v>
      </c>
      <c r="Q30">
        <f t="shared" si="12"/>
        <v>18.597208641694444</v>
      </c>
      <c r="R30">
        <v>8</v>
      </c>
      <c r="S30">
        <f t="shared" si="20"/>
        <v>21.975045805283415</v>
      </c>
      <c r="T30" s="8">
        <v>21.975045805283415</v>
      </c>
      <c r="U30" s="9">
        <v>13</v>
      </c>
      <c r="V30">
        <f t="shared" si="21"/>
        <v>0.12745098039215685</v>
      </c>
      <c r="AC30">
        <f t="shared" si="22"/>
        <v>4.1429425800041386E-2</v>
      </c>
      <c r="AD30">
        <f t="shared" si="23"/>
        <v>8.5490467557289751</v>
      </c>
      <c r="AE30">
        <f t="shared" si="13"/>
        <v>19.257250646472183</v>
      </c>
      <c r="AF30">
        <f t="shared" si="14"/>
        <v>19.876896916775916</v>
      </c>
      <c r="AG30">
        <f t="shared" si="15"/>
        <v>18.801789751194949</v>
      </c>
    </row>
    <row r="31" spans="1:41" x14ac:dyDescent="0.25">
      <c r="A31">
        <v>9</v>
      </c>
      <c r="B31">
        <v>1.7683339945677052</v>
      </c>
      <c r="C31">
        <v>3.2403022487415001E-2</v>
      </c>
      <c r="D31">
        <f t="shared" si="16"/>
        <v>6.4877129662294557</v>
      </c>
      <c r="E31">
        <f t="shared" si="17"/>
        <v>6.5191590421143477</v>
      </c>
      <c r="F31">
        <f t="shared" si="18"/>
        <v>-0.45192302323285638</v>
      </c>
      <c r="G31">
        <f t="shared" si="19"/>
        <v>6.0672360188814913</v>
      </c>
      <c r="H31">
        <v>9</v>
      </c>
      <c r="I31">
        <v>-1.2433156371116638</v>
      </c>
      <c r="J31">
        <v>0.70856913225725293</v>
      </c>
      <c r="K31">
        <v>-1.3349108485272154E-2</v>
      </c>
      <c r="L31">
        <f t="shared" si="7"/>
        <v>19.159811092745759</v>
      </c>
      <c r="M31">
        <f t="shared" si="8"/>
        <v>21.082104286917172</v>
      </c>
      <c r="N31">
        <f t="shared" si="9"/>
        <v>20.382246009344293</v>
      </c>
      <c r="O31">
        <f t="shared" si="10"/>
        <v>19.070757881077935</v>
      </c>
      <c r="P31">
        <f t="shared" si="11"/>
        <v>20.986355882347507</v>
      </c>
      <c r="Q31">
        <f t="shared" si="12"/>
        <v>20.286229872184332</v>
      </c>
      <c r="R31">
        <v>9</v>
      </c>
      <c r="S31">
        <f t="shared" si="20"/>
        <v>22.426681271413248</v>
      </c>
      <c r="T31" s="8">
        <v>22.426681271413248</v>
      </c>
      <c r="U31" s="9">
        <v>6</v>
      </c>
      <c r="V31">
        <f t="shared" si="21"/>
        <v>5.8823529411764705E-2</v>
      </c>
      <c r="AC31">
        <f t="shared" si="22"/>
        <v>-0.17780497441128418</v>
      </c>
      <c r="AD31">
        <f t="shared" si="23"/>
        <v>6.3413540677030635</v>
      </c>
      <c r="AE31">
        <f t="shared" si="13"/>
        <v>19.267937148858721</v>
      </c>
      <c r="AF31">
        <f t="shared" si="14"/>
        <v>21.190659288012952</v>
      </c>
      <c r="AG31">
        <f t="shared" si="15"/>
        <v>20.490810981684838</v>
      </c>
    </row>
    <row r="32" spans="1:41" x14ac:dyDescent="0.25">
      <c r="A32">
        <v>10</v>
      </c>
      <c r="B32">
        <v>6.1201513718070011</v>
      </c>
      <c r="C32">
        <v>-0.74644731284934096</v>
      </c>
      <c r="D32">
        <f t="shared" si="16"/>
        <v>15.393994792056555</v>
      </c>
      <c r="E32">
        <f t="shared" si="17"/>
        <v>14.669592034472721</v>
      </c>
      <c r="F32">
        <f t="shared" si="18"/>
        <v>0.75970978057949878</v>
      </c>
      <c r="G32">
        <f t="shared" si="19"/>
        <v>15.42930181505222</v>
      </c>
      <c r="H32">
        <v>10</v>
      </c>
      <c r="I32">
        <v>1.4247120816435199</v>
      </c>
      <c r="J32">
        <v>-1.2865575627074577</v>
      </c>
      <c r="K32">
        <v>0.34398567549942527</v>
      </c>
      <c r="L32">
        <f t="shared" si="7"/>
        <v>21.749044925471001</v>
      </c>
      <c r="M32">
        <f t="shared" si="8"/>
        <v>19.145898938351248</v>
      </c>
      <c r="N32">
        <f t="shared" si="9"/>
        <v>20.729027755950145</v>
      </c>
      <c r="O32">
        <f t="shared" si="10"/>
        <v>21.659991713803176</v>
      </c>
      <c r="P32">
        <f t="shared" si="11"/>
        <v>19.050150533781583</v>
      </c>
      <c r="Q32">
        <f t="shared" si="12"/>
        <v>20.633011618790185</v>
      </c>
      <c r="R32">
        <v>10</v>
      </c>
      <c r="S32">
        <f t="shared" si="20"/>
        <v>22.878316737543081</v>
      </c>
      <c r="T32" s="8">
        <v>22.878316737543081</v>
      </c>
      <c r="U32" s="9">
        <v>2</v>
      </c>
      <c r="V32">
        <f t="shared" si="21"/>
        <v>1.9607843137254902E-2</v>
      </c>
      <c r="AC32">
        <f t="shared" si="22"/>
        <v>0.74385533141137117</v>
      </c>
      <c r="AD32">
        <f t="shared" si="23"/>
        <v>15.413447365884092</v>
      </c>
      <c r="AE32">
        <f t="shared" si="13"/>
        <v>21.857170981583963</v>
      </c>
      <c r="AF32">
        <f t="shared" si="14"/>
        <v>19.254453939447028</v>
      </c>
      <c r="AG32">
        <f t="shared" si="15"/>
        <v>20.837592728290691</v>
      </c>
    </row>
    <row r="33" spans="1:33" ht="15.75" thickBot="1" x14ac:dyDescent="0.3">
      <c r="A33">
        <v>11</v>
      </c>
      <c r="B33">
        <v>5.5678884243293556</v>
      </c>
      <c r="C33">
        <v>-1.9070012058364227</v>
      </c>
      <c r="D33">
        <f t="shared" si="16"/>
        <v>14.700875722824602</v>
      </c>
      <c r="E33">
        <f t="shared" si="17"/>
        <v>12.85019328557344</v>
      </c>
      <c r="F33">
        <f t="shared" si="18"/>
        <v>1.8691280884562786</v>
      </c>
      <c r="G33">
        <f t="shared" si="19"/>
        <v>14.719321374029718</v>
      </c>
      <c r="H33">
        <v>11</v>
      </c>
      <c r="I33">
        <v>2.5883491616696119</v>
      </c>
      <c r="J33">
        <v>-1.8266564438818023</v>
      </c>
      <c r="K33">
        <v>2.4657492758706212</v>
      </c>
      <c r="L33">
        <f t="shared" si="7"/>
        <v>22.878316737543066</v>
      </c>
      <c r="M33">
        <f t="shared" si="8"/>
        <v>18.621750599740235</v>
      </c>
      <c r="N33">
        <f t="shared" si="9"/>
        <v>22.788130088548556</v>
      </c>
      <c r="O33">
        <f t="shared" si="10"/>
        <v>22.789263525875242</v>
      </c>
      <c r="P33">
        <f t="shared" si="11"/>
        <v>18.52600219517057</v>
      </c>
      <c r="Q33">
        <f t="shared" si="12"/>
        <v>22.692113951388595</v>
      </c>
      <c r="T33" s="10" t="s">
        <v>44</v>
      </c>
      <c r="U33" s="10">
        <v>0</v>
      </c>
      <c r="AC33">
        <f t="shared" si="22"/>
        <v>1.8574151390065783</v>
      </c>
      <c r="AD33">
        <f t="shared" si="23"/>
        <v>14.707608424580018</v>
      </c>
      <c r="AE33">
        <f t="shared" si="13"/>
        <v>22.986442793656028</v>
      </c>
      <c r="AF33">
        <f t="shared" si="14"/>
        <v>18.730305600836015</v>
      </c>
      <c r="AG33">
        <f t="shared" si="15"/>
        <v>22.896695060889101</v>
      </c>
    </row>
    <row r="34" spans="1:33" ht="15.75" thickBot="1" x14ac:dyDescent="0.3">
      <c r="A34">
        <v>12</v>
      </c>
      <c r="B34">
        <v>2.500411999877926</v>
      </c>
      <c r="C34">
        <v>-1.6536023395019583</v>
      </c>
      <c r="D34">
        <f t="shared" si="16"/>
        <v>8.6859729281464944</v>
      </c>
      <c r="E34">
        <f t="shared" si="17"/>
        <v>7.0812058212628664</v>
      </c>
      <c r="F34">
        <f t="shared" si="18"/>
        <v>1.335282319341685</v>
      </c>
      <c r="G34">
        <f t="shared" si="19"/>
        <v>8.4164881406045513</v>
      </c>
      <c r="H34">
        <v>12</v>
      </c>
      <c r="I34">
        <v>-1.4192437447491102</v>
      </c>
      <c r="J34">
        <v>1.1211704986635596</v>
      </c>
      <c r="K34">
        <v>-1.5466321201529354</v>
      </c>
      <c r="L34">
        <f t="shared" si="7"/>
        <v>18.989078605515552</v>
      </c>
      <c r="M34">
        <f t="shared" si="8"/>
        <v>21.482520448195405</v>
      </c>
      <c r="N34">
        <f t="shared" si="9"/>
        <v>18.894244883626961</v>
      </c>
      <c r="O34">
        <f t="shared" si="10"/>
        <v>18.900025393847727</v>
      </c>
      <c r="P34">
        <f t="shared" si="11"/>
        <v>21.38677204362574</v>
      </c>
      <c r="Q34">
        <f t="shared" si="12"/>
        <v>18.798228746467</v>
      </c>
      <c r="U34">
        <f>SUM(U23:U32)</f>
        <v>102</v>
      </c>
      <c r="AC34">
        <f t="shared" si="22"/>
        <v>1.4997105830810806</v>
      </c>
      <c r="AD34">
        <f t="shared" si="23"/>
        <v>8.580916404343947</v>
      </c>
      <c r="AE34">
        <f t="shared" si="13"/>
        <v>19.097204661628513</v>
      </c>
      <c r="AF34">
        <f t="shared" si="14"/>
        <v>21.591075449291186</v>
      </c>
      <c r="AG34">
        <f t="shared" si="15"/>
        <v>19.002809855967506</v>
      </c>
    </row>
    <row r="35" spans="1:33" x14ac:dyDescent="0.25">
      <c r="A35">
        <v>13</v>
      </c>
      <c r="B35">
        <v>5.5246742149113439</v>
      </c>
      <c r="C35">
        <v>-0.13338649296201766</v>
      </c>
      <c r="D35">
        <f t="shared" si="16"/>
        <v>14.642749166621648</v>
      </c>
      <c r="E35">
        <f t="shared" si="17"/>
        <v>14.513301928132327</v>
      </c>
      <c r="F35">
        <f t="shared" si="18"/>
        <v>0.14628031273664455</v>
      </c>
      <c r="G35">
        <f t="shared" si="19"/>
        <v>14.659582240868971</v>
      </c>
      <c r="H35">
        <v>13</v>
      </c>
      <c r="I35">
        <v>-0.88621845861780457</v>
      </c>
      <c r="J35">
        <v>-2.6321504265069962</v>
      </c>
      <c r="K35">
        <v>0.11542397260200232</v>
      </c>
      <c r="L35">
        <f t="shared" si="7"/>
        <v>19.50636225097676</v>
      </c>
      <c r="M35">
        <f t="shared" si="8"/>
        <v>17.840044976065968</v>
      </c>
      <c r="N35">
        <f t="shared" si="9"/>
        <v>20.507216082163104</v>
      </c>
      <c r="O35">
        <f t="shared" si="10"/>
        <v>19.417309039308936</v>
      </c>
      <c r="P35">
        <f t="shared" si="11"/>
        <v>17.744296571496303</v>
      </c>
      <c r="Q35">
        <f t="shared" si="12"/>
        <v>20.411199945003144</v>
      </c>
      <c r="T35" s="11" t="s">
        <v>43</v>
      </c>
      <c r="U35" s="11" t="s">
        <v>45</v>
      </c>
      <c r="AC35">
        <f t="shared" si="22"/>
        <v>0.13511122720372626</v>
      </c>
      <c r="AD35">
        <f t="shared" si="23"/>
        <v>14.648413155336053</v>
      </c>
      <c r="AE35">
        <f t="shared" si="13"/>
        <v>19.614488307089722</v>
      </c>
      <c r="AF35">
        <f t="shared" si="14"/>
        <v>17.948599977161749</v>
      </c>
      <c r="AG35">
        <f t="shared" si="15"/>
        <v>20.61578105450365</v>
      </c>
    </row>
    <row r="36" spans="1:33" x14ac:dyDescent="0.25">
      <c r="A36">
        <v>14</v>
      </c>
      <c r="B36">
        <v>10.036164433729057</v>
      </c>
      <c r="C36">
        <v>-0.88485876403865404</v>
      </c>
      <c r="D36">
        <f t="shared" si="16"/>
        <v>18.402784405786218</v>
      </c>
      <c r="E36">
        <f t="shared" si="17"/>
        <v>17.54405785173779</v>
      </c>
      <c r="F36">
        <f t="shared" si="18"/>
        <v>0.8998321933712532</v>
      </c>
      <c r="G36">
        <f t="shared" si="19"/>
        <v>18.443890045109043</v>
      </c>
      <c r="H36">
        <v>14</v>
      </c>
      <c r="I36">
        <v>0.53188500714895781</v>
      </c>
      <c r="J36">
        <v>-1.1680049283313565</v>
      </c>
      <c r="K36">
        <v>2.738888724707067</v>
      </c>
      <c r="L36">
        <f t="shared" si="7"/>
        <v>20.882585386162688</v>
      </c>
      <c r="M36">
        <f t="shared" si="8"/>
        <v>19.260950401170579</v>
      </c>
      <c r="N36">
        <f t="shared" si="9"/>
        <v>23.053203010020759</v>
      </c>
      <c r="O36">
        <f t="shared" si="10"/>
        <v>20.793532174494864</v>
      </c>
      <c r="P36">
        <f t="shared" si="11"/>
        <v>19.165201996600914</v>
      </c>
      <c r="Q36">
        <f t="shared" si="12"/>
        <v>22.957186872860799</v>
      </c>
      <c r="T36" s="8">
        <v>18.813597542374584</v>
      </c>
      <c r="U36" s="9">
        <v>4</v>
      </c>
      <c r="V36">
        <f t="shared" si="21"/>
        <v>3.9215686274509803E-2</v>
      </c>
      <c r="AC36">
        <f t="shared" si="22"/>
        <v>0.93270739589197049</v>
      </c>
      <c r="AD36">
        <f t="shared" si="23"/>
        <v>18.476765247629761</v>
      </c>
      <c r="AE36">
        <f t="shared" si="13"/>
        <v>20.99071144227565</v>
      </c>
      <c r="AF36">
        <f t="shared" si="14"/>
        <v>19.369505402266359</v>
      </c>
      <c r="AG36">
        <f t="shared" si="15"/>
        <v>23.161767982361305</v>
      </c>
    </row>
    <row r="37" spans="1:33" x14ac:dyDescent="0.25">
      <c r="A37">
        <v>15</v>
      </c>
      <c r="B37">
        <v>12.603747672963653</v>
      </c>
      <c r="C37">
        <v>0.56209273679996841</v>
      </c>
      <c r="D37">
        <f t="shared" si="16"/>
        <v>19.305484656386156</v>
      </c>
      <c r="E37">
        <f t="shared" si="17"/>
        <v>19.850977314135093</v>
      </c>
      <c r="F37">
        <f t="shared" si="18"/>
        <v>-0.53720909454103705</v>
      </c>
      <c r="G37">
        <f t="shared" si="19"/>
        <v>19.313768219594056</v>
      </c>
      <c r="H37">
        <v>15</v>
      </c>
      <c r="I37">
        <v>-1.4084389476920478</v>
      </c>
      <c r="J37">
        <v>1.2243208402651362</v>
      </c>
      <c r="K37">
        <v>-0.73697947300388478</v>
      </c>
      <c r="L37">
        <f t="shared" si="7"/>
        <v>18.999564308456048</v>
      </c>
      <c r="M37">
        <f t="shared" si="8"/>
        <v>21.582624488514963</v>
      </c>
      <c r="N37">
        <f t="shared" si="9"/>
        <v>19.679986355507911</v>
      </c>
      <c r="O37">
        <f t="shared" si="10"/>
        <v>18.910511096788223</v>
      </c>
      <c r="P37">
        <f t="shared" si="11"/>
        <v>21.486876083945297</v>
      </c>
      <c r="Q37">
        <f t="shared" si="12"/>
        <v>19.58397021834795</v>
      </c>
      <c r="T37" s="8">
        <v>19.265233008504417</v>
      </c>
      <c r="U37" s="9">
        <v>11</v>
      </c>
      <c r="V37">
        <f t="shared" si="21"/>
        <v>0.10784313725490197</v>
      </c>
      <c r="AC37">
        <f t="shared" si="22"/>
        <v>-0.45551411943448272</v>
      </c>
      <c r="AD37">
        <f t="shared" si="23"/>
        <v>19.395463194700611</v>
      </c>
      <c r="AE37">
        <f t="shared" si="13"/>
        <v>19.107690364569009</v>
      </c>
      <c r="AF37">
        <f t="shared" si="14"/>
        <v>21.691179489610743</v>
      </c>
      <c r="AG37">
        <f t="shared" si="15"/>
        <v>19.788551327848456</v>
      </c>
    </row>
    <row r="38" spans="1:33" x14ac:dyDescent="0.25">
      <c r="A38">
        <v>16</v>
      </c>
      <c r="B38">
        <v>8.0336619159520239</v>
      </c>
      <c r="C38">
        <v>0.63288212004408706</v>
      </c>
      <c r="D38">
        <f t="shared" si="16"/>
        <v>17.205357989964874</v>
      </c>
      <c r="E38">
        <f t="shared" si="17"/>
        <v>17.819549434013883</v>
      </c>
      <c r="F38">
        <f t="shared" si="18"/>
        <v>-0.55934588734162105</v>
      </c>
      <c r="G38">
        <f t="shared" si="19"/>
        <v>17.260203546672262</v>
      </c>
      <c r="H38">
        <v>16</v>
      </c>
      <c r="I38">
        <v>0.15038722267490812</v>
      </c>
      <c r="J38">
        <v>-2.0758852770086378</v>
      </c>
      <c r="K38">
        <v>-0.55119471653597429</v>
      </c>
      <c r="L38">
        <f t="shared" si="7"/>
        <v>20.512354236116465</v>
      </c>
      <c r="M38">
        <f t="shared" si="8"/>
        <v>18.379882150515982</v>
      </c>
      <c r="N38">
        <f t="shared" si="9"/>
        <v>19.860284398766535</v>
      </c>
      <c r="O38">
        <f t="shared" si="10"/>
        <v>20.423301024448641</v>
      </c>
      <c r="P38">
        <f t="shared" si="11"/>
        <v>18.284133745946317</v>
      </c>
      <c r="Q38">
        <f t="shared" si="12"/>
        <v>19.764268261606574</v>
      </c>
      <c r="T38" s="8">
        <v>19.71686847463425</v>
      </c>
      <c r="U38" s="9">
        <v>12</v>
      </c>
      <c r="V38">
        <f t="shared" si="21"/>
        <v>0.11764705882352941</v>
      </c>
      <c r="AC38">
        <f t="shared" si="22"/>
        <v>-0.56174612003152191</v>
      </c>
      <c r="AD38">
        <f t="shared" si="23"/>
        <v>17.257803313982361</v>
      </c>
      <c r="AE38">
        <f t="shared" si="13"/>
        <v>20.620480292229427</v>
      </c>
      <c r="AF38">
        <f t="shared" si="14"/>
        <v>18.488437151611762</v>
      </c>
      <c r="AG38">
        <f t="shared" si="15"/>
        <v>19.96884937110708</v>
      </c>
    </row>
    <row r="39" spans="1:33" x14ac:dyDescent="0.25">
      <c r="A39">
        <v>17</v>
      </c>
      <c r="B39">
        <v>8.0256050294503609</v>
      </c>
      <c r="C39">
        <v>1.0003350325860083</v>
      </c>
      <c r="D39">
        <f t="shared" si="16"/>
        <v>17.199312277177505</v>
      </c>
      <c r="E39">
        <f t="shared" si="17"/>
        <v>18.170104781402483</v>
      </c>
      <c r="F39">
        <f t="shared" si="18"/>
        <v>-0.9159410190208277</v>
      </c>
      <c r="G39">
        <f t="shared" si="19"/>
        <v>17.254163762381655</v>
      </c>
      <c r="H39">
        <v>17</v>
      </c>
      <c r="I39">
        <v>-1.5727027857792564</v>
      </c>
      <c r="J39">
        <v>1.3833096090820618</v>
      </c>
      <c r="K39">
        <v>0.34910272006527521</v>
      </c>
      <c r="L39">
        <f t="shared" si="7"/>
        <v>18.840151614172967</v>
      </c>
      <c r="M39">
        <f t="shared" si="8"/>
        <v>21.736917900217666</v>
      </c>
      <c r="N39">
        <f t="shared" si="9"/>
        <v>20.733993680711841</v>
      </c>
      <c r="O39">
        <f t="shared" si="10"/>
        <v>18.751098402505143</v>
      </c>
      <c r="P39">
        <f t="shared" si="11"/>
        <v>21.641169495648001</v>
      </c>
      <c r="Q39">
        <f t="shared" si="12"/>
        <v>20.63797754355188</v>
      </c>
      <c r="T39" s="8">
        <v>20.168503940764083</v>
      </c>
      <c r="U39" s="9">
        <v>8</v>
      </c>
      <c r="V39">
        <f t="shared" si="21"/>
        <v>7.8431372549019607E-2</v>
      </c>
      <c r="AC39">
        <f t="shared" si="22"/>
        <v>-0.91845657046580698</v>
      </c>
      <c r="AD39">
        <f t="shared" si="23"/>
        <v>17.251648210936676</v>
      </c>
      <c r="AE39">
        <f t="shared" si="13"/>
        <v>18.948277670285929</v>
      </c>
      <c r="AF39">
        <f t="shared" si="14"/>
        <v>21.845472901313446</v>
      </c>
      <c r="AG39">
        <f t="shared" si="15"/>
        <v>20.842558653052386</v>
      </c>
    </row>
    <row r="40" spans="1:33" x14ac:dyDescent="0.25">
      <c r="A40">
        <v>18</v>
      </c>
      <c r="B40">
        <v>8.1592761009552301</v>
      </c>
      <c r="C40">
        <v>0.22585481929127127</v>
      </c>
      <c r="D40">
        <f t="shared" si="16"/>
        <v>17.298150520119048</v>
      </c>
      <c r="E40">
        <f t="shared" si="17"/>
        <v>17.517335251702665</v>
      </c>
      <c r="F40">
        <f t="shared" si="18"/>
        <v>-0.16450052734215959</v>
      </c>
      <c r="G40">
        <f t="shared" si="19"/>
        <v>17.352834724360505</v>
      </c>
      <c r="H40">
        <v>18</v>
      </c>
      <c r="I40">
        <v>0.69984480433049612</v>
      </c>
      <c r="J40">
        <v>0.10711119102779776</v>
      </c>
      <c r="K40">
        <v>-0.62467961470247246</v>
      </c>
      <c r="L40">
        <f t="shared" si="7"/>
        <v>21.045584888133011</v>
      </c>
      <c r="M40">
        <f t="shared" si="8"/>
        <v>20.498408982912171</v>
      </c>
      <c r="N40">
        <f t="shared" si="9"/>
        <v>19.788969703199641</v>
      </c>
      <c r="O40">
        <f t="shared" si="10"/>
        <v>20.956531676465186</v>
      </c>
      <c r="P40">
        <f t="shared" si="11"/>
        <v>20.402660578342505</v>
      </c>
      <c r="Q40">
        <f t="shared" si="12"/>
        <v>19.69295356603968</v>
      </c>
      <c r="T40" s="8">
        <v>20.620139406893916</v>
      </c>
      <c r="U40" s="9">
        <v>22</v>
      </c>
      <c r="V40">
        <f t="shared" si="21"/>
        <v>0.21568627450980393</v>
      </c>
      <c r="AC40">
        <f t="shared" si="22"/>
        <v>-0.16506115889544759</v>
      </c>
      <c r="AD40">
        <f t="shared" si="23"/>
        <v>17.352274092807217</v>
      </c>
      <c r="AE40">
        <f t="shared" si="13"/>
        <v>21.153710944245972</v>
      </c>
      <c r="AF40">
        <f t="shared" si="14"/>
        <v>20.606963984007951</v>
      </c>
      <c r="AG40">
        <f t="shared" si="15"/>
        <v>19.897534675540186</v>
      </c>
    </row>
    <row r="41" spans="1:33" x14ac:dyDescent="0.25">
      <c r="A41">
        <v>19</v>
      </c>
      <c r="B41">
        <v>4.5662709433271278</v>
      </c>
      <c r="C41">
        <v>1.2287000572541729</v>
      </c>
      <c r="D41">
        <f t="shared" si="16"/>
        <v>13.18954153335816</v>
      </c>
      <c r="E41">
        <f t="shared" si="17"/>
        <v>14.381954841567072</v>
      </c>
      <c r="F41">
        <f t="shared" si="18"/>
        <v>-1.2247727785098697</v>
      </c>
      <c r="G41">
        <f t="shared" si="19"/>
        <v>13.157182063057203</v>
      </c>
      <c r="H41">
        <v>19</v>
      </c>
      <c r="I41">
        <v>0.80167183114099316</v>
      </c>
      <c r="J41">
        <v>1.1104793884442188</v>
      </c>
      <c r="K41">
        <v>-1.9835715647786856</v>
      </c>
      <c r="L41">
        <f t="shared" si="7"/>
        <v>21.144404694632836</v>
      </c>
      <c r="M41">
        <f t="shared" si="8"/>
        <v>21.472145074620865</v>
      </c>
      <c r="N41">
        <f t="shared" si="9"/>
        <v>18.470209411684781</v>
      </c>
      <c r="O41">
        <f t="shared" si="10"/>
        <v>21.055351482965012</v>
      </c>
      <c r="P41">
        <f t="shared" si="11"/>
        <v>21.3763966700512</v>
      </c>
      <c r="Q41">
        <f t="shared" si="12"/>
        <v>18.374193274524821</v>
      </c>
      <c r="T41" s="8">
        <v>21.071774873023749</v>
      </c>
      <c r="U41" s="9">
        <v>18</v>
      </c>
      <c r="V41">
        <f t="shared" si="21"/>
        <v>0.17647058823529413</v>
      </c>
      <c r="AC41">
        <f t="shared" si="22"/>
        <v>-1.2135566379550511</v>
      </c>
      <c r="AD41">
        <f t="shared" si="23"/>
        <v>13.168398203612021</v>
      </c>
      <c r="AE41">
        <f t="shared" si="13"/>
        <v>21.252530750745798</v>
      </c>
      <c r="AF41">
        <f t="shared" si="14"/>
        <v>21.580700075716646</v>
      </c>
      <c r="AG41">
        <f t="shared" si="15"/>
        <v>18.578774384025326</v>
      </c>
    </row>
    <row r="42" spans="1:33" x14ac:dyDescent="0.25">
      <c r="A42">
        <v>20</v>
      </c>
      <c r="B42">
        <v>3.5170445875423444</v>
      </c>
      <c r="C42">
        <v>0.40404756873613223</v>
      </c>
      <c r="D42">
        <f t="shared" si="16"/>
        <v>11.174490438775958</v>
      </c>
      <c r="E42">
        <f t="shared" si="17"/>
        <v>11.566605418559632</v>
      </c>
      <c r="F42">
        <f t="shared" si="18"/>
        <v>-0.51678041600752067</v>
      </c>
      <c r="G42">
        <f t="shared" si="19"/>
        <v>11.049825002552112</v>
      </c>
      <c r="H42">
        <v>20</v>
      </c>
      <c r="I42">
        <v>1.2627720025193412</v>
      </c>
      <c r="J42">
        <v>-0.86422687672893517</v>
      </c>
      <c r="K42">
        <v>-0.81290409070788883</v>
      </c>
      <c r="L42">
        <f t="shared" si="7"/>
        <v>21.591887363428071</v>
      </c>
      <c r="M42">
        <f t="shared" si="8"/>
        <v>19.555757086768033</v>
      </c>
      <c r="N42">
        <f t="shared" si="9"/>
        <v>19.606303991747591</v>
      </c>
      <c r="O42">
        <f t="shared" si="10"/>
        <v>21.502834151760247</v>
      </c>
      <c r="P42">
        <f t="shared" si="11"/>
        <v>19.460008682198367</v>
      </c>
      <c r="Q42">
        <f t="shared" si="12"/>
        <v>19.510287854587631</v>
      </c>
      <c r="T42" s="8">
        <v>21.523410339153582</v>
      </c>
      <c r="U42" s="9">
        <v>9</v>
      </c>
      <c r="V42">
        <f t="shared" si="21"/>
        <v>8.8235294117647065E-2</v>
      </c>
      <c r="AC42">
        <f t="shared" si="22"/>
        <v>-0.45066878855088888</v>
      </c>
      <c r="AD42">
        <f t="shared" si="23"/>
        <v>11.115936630008743</v>
      </c>
      <c r="AE42">
        <f t="shared" si="13"/>
        <v>21.700013419541033</v>
      </c>
      <c r="AF42">
        <f t="shared" si="14"/>
        <v>19.664312087863813</v>
      </c>
      <c r="AG42">
        <f t="shared" si="15"/>
        <v>19.714868964088136</v>
      </c>
    </row>
    <row r="43" spans="1:33" x14ac:dyDescent="0.25">
      <c r="A43">
        <v>21</v>
      </c>
      <c r="B43">
        <v>4.3608203375347143</v>
      </c>
      <c r="C43">
        <v>1.5188970792223699</v>
      </c>
      <c r="D43">
        <f t="shared" si="16"/>
        <v>12.833085208537192</v>
      </c>
      <c r="E43">
        <f t="shared" si="17"/>
        <v>14.307125256286405</v>
      </c>
      <c r="F43">
        <f t="shared" si="18"/>
        <v>-1.5208475116608824</v>
      </c>
      <c r="G43">
        <f t="shared" si="19"/>
        <v>12.786277744625522</v>
      </c>
      <c r="H43">
        <v>21</v>
      </c>
      <c r="I43">
        <v>2.2127096599433571</v>
      </c>
      <c r="J43">
        <v>-1.469611561333295</v>
      </c>
      <c r="K43">
        <v>-0.23614802557858638</v>
      </c>
      <c r="L43">
        <f t="shared" si="7"/>
        <v>22.513770859724577</v>
      </c>
      <c r="M43">
        <f t="shared" si="8"/>
        <v>18.968251006462896</v>
      </c>
      <c r="N43">
        <f t="shared" si="9"/>
        <v>20.166026931117585</v>
      </c>
      <c r="O43">
        <f t="shared" si="10"/>
        <v>22.424717648056752</v>
      </c>
      <c r="P43">
        <f t="shared" si="11"/>
        <v>18.872502601893231</v>
      </c>
      <c r="Q43">
        <f t="shared" si="12"/>
        <v>20.070010793957625</v>
      </c>
      <c r="T43" s="8">
        <v>21.975045805283415</v>
      </c>
      <c r="U43" s="9">
        <v>11</v>
      </c>
      <c r="V43">
        <f t="shared" si="21"/>
        <v>0.10784313725490197</v>
      </c>
      <c r="AC43">
        <f t="shared" si="22"/>
        <v>-1.5017826125515317</v>
      </c>
      <c r="AD43">
        <f t="shared" si="23"/>
        <v>12.805342643734873</v>
      </c>
      <c r="AE43">
        <f t="shared" si="13"/>
        <v>22.621896915837539</v>
      </c>
      <c r="AF43">
        <f t="shared" si="14"/>
        <v>19.076806007558677</v>
      </c>
      <c r="AG43">
        <f t="shared" si="15"/>
        <v>20.274591903458131</v>
      </c>
    </row>
    <row r="44" spans="1:33" x14ac:dyDescent="0.25">
      <c r="A44">
        <v>22</v>
      </c>
      <c r="B44">
        <v>8.1032441175572991</v>
      </c>
      <c r="C44">
        <v>-1.2673694982368033</v>
      </c>
      <c r="D44">
        <f t="shared" si="16"/>
        <v>17.257097349455112</v>
      </c>
      <c r="E44">
        <f t="shared" si="17"/>
        <v>16.027156610709792</v>
      </c>
      <c r="F44">
        <f t="shared" si="18"/>
        <v>1.284712717998886</v>
      </c>
      <c r="G44">
        <f t="shared" si="19"/>
        <v>17.311869328708678</v>
      </c>
      <c r="H44">
        <v>22</v>
      </c>
      <c r="I44">
        <v>0.23064444576448295</v>
      </c>
      <c r="J44">
        <v>-1.3650196706294082</v>
      </c>
      <c r="K44">
        <v>-1.3907174434280023</v>
      </c>
      <c r="L44">
        <f t="shared" si="7"/>
        <v>20.590241252013385</v>
      </c>
      <c r="M44">
        <f t="shared" si="8"/>
        <v>19.069754023142782</v>
      </c>
      <c r="N44">
        <f t="shared" si="9"/>
        <v>19.045554989274201</v>
      </c>
      <c r="O44">
        <f t="shared" si="10"/>
        <v>20.501188040345561</v>
      </c>
      <c r="P44">
        <f t="shared" si="11"/>
        <v>18.974005618573116</v>
      </c>
      <c r="Q44">
        <f t="shared" si="12"/>
        <v>18.949538852114241</v>
      </c>
      <c r="T44" s="8">
        <v>22.426681271413248</v>
      </c>
      <c r="U44" s="9">
        <v>6</v>
      </c>
      <c r="V44">
        <f t="shared" si="21"/>
        <v>5.8823529411764705E-2</v>
      </c>
      <c r="AC44">
        <f t="shared" si="22"/>
        <v>1.2833219916487231</v>
      </c>
      <c r="AD44">
        <f t="shared" si="23"/>
        <v>17.310478602358515</v>
      </c>
      <c r="AE44">
        <f t="shared" si="13"/>
        <v>20.698367308126347</v>
      </c>
      <c r="AF44">
        <f t="shared" si="14"/>
        <v>19.178309024238562</v>
      </c>
      <c r="AG44">
        <f t="shared" si="15"/>
        <v>19.154119961614747</v>
      </c>
    </row>
    <row r="45" spans="1:33" x14ac:dyDescent="0.25">
      <c r="A45">
        <v>23</v>
      </c>
      <c r="B45">
        <v>9.9717093417157496</v>
      </c>
      <c r="C45">
        <v>1.1724023352144286</v>
      </c>
      <c r="D45">
        <f t="shared" si="16"/>
        <v>18.372373298899316</v>
      </c>
      <c r="E45">
        <f t="shared" si="17"/>
        <v>19.510151505086622</v>
      </c>
      <c r="F45">
        <f t="shared" si="18"/>
        <v>-1.0959657878458344</v>
      </c>
      <c r="G45">
        <f t="shared" si="19"/>
        <v>18.414185717240787</v>
      </c>
      <c r="H45">
        <v>23</v>
      </c>
      <c r="I45">
        <v>-0.60655679590126965</v>
      </c>
      <c r="J45">
        <v>0.86522732090088539</v>
      </c>
      <c r="K45">
        <v>-5.9972080634906888E-2</v>
      </c>
      <c r="L45">
        <f t="shared" si="7"/>
        <v>19.777764768173881</v>
      </c>
      <c r="M45">
        <f t="shared" si="8"/>
        <v>21.234135946617769</v>
      </c>
      <c r="N45">
        <f t="shared" si="9"/>
        <v>20.336999936365576</v>
      </c>
      <c r="O45">
        <f t="shared" si="10"/>
        <v>19.688711556506057</v>
      </c>
      <c r="P45">
        <f t="shared" si="11"/>
        <v>21.138387542048104</v>
      </c>
      <c r="Q45">
        <f t="shared" si="12"/>
        <v>20.240983799205615</v>
      </c>
      <c r="T45" s="8">
        <v>22.878316737543081</v>
      </c>
      <c r="U45" s="9">
        <v>1</v>
      </c>
      <c r="V45">
        <f t="shared" si="21"/>
        <v>9.8039215686274508E-3</v>
      </c>
      <c r="AC45">
        <f t="shared" si="22"/>
        <v>-1.0643405582573671</v>
      </c>
      <c r="AD45">
        <f t="shared" si="23"/>
        <v>18.445810946829255</v>
      </c>
      <c r="AE45">
        <f t="shared" si="13"/>
        <v>19.885890824286843</v>
      </c>
      <c r="AF45">
        <f t="shared" si="14"/>
        <v>21.34269094771355</v>
      </c>
      <c r="AG45">
        <f t="shared" si="15"/>
        <v>20.445564908706121</v>
      </c>
    </row>
    <row r="46" spans="1:33" ht="15.75" thickBot="1" x14ac:dyDescent="0.3">
      <c r="A46">
        <v>24</v>
      </c>
      <c r="B46">
        <v>7.3297830133976252</v>
      </c>
      <c r="C46">
        <v>-0.37007680475653615</v>
      </c>
      <c r="D46">
        <f t="shared" si="16"/>
        <v>16.631528161671604</v>
      </c>
      <c r="E46">
        <f t="shared" si="17"/>
        <v>16.272380699729361</v>
      </c>
      <c r="F46">
        <f t="shared" si="18"/>
        <v>0.41220943607507365</v>
      </c>
      <c r="G46">
        <f t="shared" si="19"/>
        <v>16.684590135804434</v>
      </c>
      <c r="H46">
        <v>24</v>
      </c>
      <c r="I46">
        <v>-0.27289161153021269</v>
      </c>
      <c r="J46">
        <v>-1.0921007742581423</v>
      </c>
      <c r="K46">
        <v>-1.2098780644009821</v>
      </c>
      <c r="L46">
        <f t="shared" si="7"/>
        <v>20.101575940787608</v>
      </c>
      <c r="M46">
        <f t="shared" si="8"/>
        <v>19.334612905645027</v>
      </c>
      <c r="N46">
        <f t="shared" si="9"/>
        <v>19.221053705113722</v>
      </c>
      <c r="O46">
        <f t="shared" si="10"/>
        <v>20.012522729119784</v>
      </c>
      <c r="P46">
        <f t="shared" si="11"/>
        <v>19.238864501075362</v>
      </c>
      <c r="Q46">
        <f t="shared" si="12"/>
        <v>19.125037567953761</v>
      </c>
      <c r="T46" s="10" t="s">
        <v>44</v>
      </c>
      <c r="U46" s="10">
        <v>0</v>
      </c>
      <c r="V46">
        <f t="shared" si="21"/>
        <v>0</v>
      </c>
      <c r="AC46">
        <f t="shared" si="22"/>
        <v>0.40118585659105577</v>
      </c>
      <c r="AD46">
        <f t="shared" si="23"/>
        <v>16.673566556320417</v>
      </c>
      <c r="AE46">
        <f t="shared" si="13"/>
        <v>20.20970199690057</v>
      </c>
      <c r="AF46">
        <f t="shared" si="14"/>
        <v>19.443167906740808</v>
      </c>
      <c r="AG46">
        <f t="shared" si="15"/>
        <v>19.329618677454267</v>
      </c>
    </row>
    <row r="47" spans="1:33" x14ac:dyDescent="0.25">
      <c r="A47">
        <v>25</v>
      </c>
      <c r="B47">
        <v>5.6081728568376725</v>
      </c>
      <c r="C47">
        <v>-1.3685257727047428</v>
      </c>
      <c r="D47">
        <f t="shared" si="16"/>
        <v>14.754532407883236</v>
      </c>
      <c r="E47">
        <f t="shared" si="17"/>
        <v>13.42642280589723</v>
      </c>
      <c r="F47">
        <f t="shared" si="18"/>
        <v>1.3480175493193531</v>
      </c>
      <c r="G47">
        <f t="shared" si="19"/>
        <v>14.774440355216583</v>
      </c>
      <c r="H47">
        <v>25</v>
      </c>
      <c r="I47">
        <v>1.9684830476762727</v>
      </c>
      <c r="J47">
        <v>-0.65727817855076864</v>
      </c>
      <c r="K47">
        <v>0.27114538170280866</v>
      </c>
      <c r="L47">
        <f t="shared" si="7"/>
        <v>22.276756902602408</v>
      </c>
      <c r="M47">
        <f t="shared" si="8"/>
        <v>19.756594044793101</v>
      </c>
      <c r="N47">
        <f t="shared" si="9"/>
        <v>20.65833862788822</v>
      </c>
      <c r="O47">
        <f t="shared" si="10"/>
        <v>22.187703690934583</v>
      </c>
      <c r="P47">
        <f t="shared" si="11"/>
        <v>19.660845640223435</v>
      </c>
      <c r="Q47">
        <f t="shared" si="12"/>
        <v>20.56232249072826</v>
      </c>
      <c r="V47">
        <f t="shared" si="21"/>
        <v>0</v>
      </c>
      <c r="AC47">
        <f t="shared" si="22"/>
        <v>1.3358285703053649</v>
      </c>
      <c r="AD47">
        <f t="shared" si="23"/>
        <v>14.762251376202595</v>
      </c>
      <c r="AE47">
        <f t="shared" si="13"/>
        <v>22.384882958715369</v>
      </c>
      <c r="AF47">
        <f t="shared" si="14"/>
        <v>19.865149045888881</v>
      </c>
      <c r="AG47">
        <f t="shared" si="15"/>
        <v>20.766903600228765</v>
      </c>
    </row>
    <row r="48" spans="1:33" ht="15.75" thickBot="1" x14ac:dyDescent="0.3">
      <c r="A48">
        <v>26</v>
      </c>
      <c r="B48">
        <v>11.983367412335582</v>
      </c>
      <c r="C48">
        <v>-0.90945604824810289</v>
      </c>
      <c r="D48">
        <f t="shared" si="16"/>
        <v>19.134435527626859</v>
      </c>
      <c r="E48">
        <f t="shared" si="17"/>
        <v>18.251838111960105</v>
      </c>
      <c r="F48">
        <f t="shared" si="18"/>
        <v>0.89915187358912263</v>
      </c>
      <c r="G48">
        <f t="shared" si="19"/>
        <v>19.150989985549227</v>
      </c>
      <c r="H48">
        <v>26</v>
      </c>
      <c r="I48">
        <v>-1.2749205779982731</v>
      </c>
      <c r="J48">
        <v>-1.2506393431976903</v>
      </c>
      <c r="K48">
        <v>0.62319259086507373</v>
      </c>
      <c r="L48">
        <f t="shared" si="7"/>
        <v>19.12913952900988</v>
      </c>
      <c r="M48">
        <f t="shared" si="8"/>
        <v>19.180756398231512</v>
      </c>
      <c r="N48">
        <f t="shared" si="9"/>
        <v>20.999988955683438</v>
      </c>
      <c r="O48">
        <f t="shared" si="10"/>
        <v>19.040086317342055</v>
      </c>
      <c r="P48">
        <f t="shared" si="11"/>
        <v>19.085007993661847</v>
      </c>
      <c r="Q48">
        <f t="shared" si="12"/>
        <v>20.903972818523478</v>
      </c>
      <c r="R48" s="1">
        <v>8</v>
      </c>
      <c r="S48" t="s">
        <v>47</v>
      </c>
      <c r="V48">
        <f t="shared" si="21"/>
        <v>0</v>
      </c>
      <c r="AC48">
        <f t="shared" si="22"/>
        <v>0.96956662051381315</v>
      </c>
      <c r="AD48">
        <f t="shared" si="23"/>
        <v>19.221404732473918</v>
      </c>
      <c r="AE48">
        <f t="shared" si="13"/>
        <v>19.237265585122842</v>
      </c>
      <c r="AF48">
        <f t="shared" si="14"/>
        <v>19.289311399327293</v>
      </c>
      <c r="AG48">
        <f t="shared" si="15"/>
        <v>21.108553928023984</v>
      </c>
    </row>
    <row r="49" spans="1:33" x14ac:dyDescent="0.25">
      <c r="A49">
        <v>27</v>
      </c>
      <c r="B49">
        <v>6.4266792809839171</v>
      </c>
      <c r="C49">
        <v>-0.66613438320928253</v>
      </c>
      <c r="D49">
        <f t="shared" si="16"/>
        <v>15.741606490725735</v>
      </c>
      <c r="E49">
        <f t="shared" si="17"/>
        <v>15.09514481042814</v>
      </c>
      <c r="F49">
        <f t="shared" si="18"/>
        <v>0.68846698619068825</v>
      </c>
      <c r="G49">
        <f t="shared" si="19"/>
        <v>15.783611796618828</v>
      </c>
      <c r="H49">
        <v>27</v>
      </c>
      <c r="I49">
        <v>-1.1862039173138328</v>
      </c>
      <c r="J49">
        <v>-1.3534599929698743</v>
      </c>
      <c r="K49">
        <v>6.51084519631695E-2</v>
      </c>
      <c r="L49">
        <f t="shared" si="7"/>
        <v>19.215236153027615</v>
      </c>
      <c r="M49">
        <f t="shared" si="8"/>
        <v>19.080972313073229</v>
      </c>
      <c r="N49">
        <f t="shared" si="9"/>
        <v>20.458386511378123</v>
      </c>
      <c r="O49">
        <f t="shared" si="10"/>
        <v>19.12618294135979</v>
      </c>
      <c r="P49">
        <f t="shared" si="11"/>
        <v>18.985223908503563</v>
      </c>
      <c r="Q49">
        <f t="shared" si="12"/>
        <v>20.362370374218163</v>
      </c>
      <c r="T49" s="11" t="s">
        <v>43</v>
      </c>
      <c r="U49" s="11" t="s">
        <v>45</v>
      </c>
      <c r="V49" t="e">
        <f t="shared" si="21"/>
        <v>#VALUE!</v>
      </c>
      <c r="AC49">
        <f t="shared" si="22"/>
        <v>0.6722757713417078</v>
      </c>
      <c r="AD49">
        <f t="shared" si="23"/>
        <v>15.767420581769848</v>
      </c>
      <c r="AE49">
        <f t="shared" si="13"/>
        <v>19.323362209140576</v>
      </c>
      <c r="AF49">
        <f t="shared" si="14"/>
        <v>19.189527314169009</v>
      </c>
      <c r="AG49">
        <f t="shared" si="15"/>
        <v>20.566951483718668</v>
      </c>
    </row>
    <row r="50" spans="1:33" x14ac:dyDescent="0.25">
      <c r="A50">
        <v>28</v>
      </c>
      <c r="B50">
        <v>8.7986999114963211</v>
      </c>
      <c r="C50">
        <v>0.88984961621463299</v>
      </c>
      <c r="D50">
        <f t="shared" si="16"/>
        <v>17.730279833827659</v>
      </c>
      <c r="E50">
        <f t="shared" si="17"/>
        <v>18.593849847041572</v>
      </c>
      <c r="F50">
        <f t="shared" si="18"/>
        <v>-0.81147792051326562</v>
      </c>
      <c r="G50">
        <f t="shared" si="19"/>
        <v>17.782371926528306</v>
      </c>
      <c r="H50">
        <v>28</v>
      </c>
      <c r="I50">
        <v>2.8958311304450035E-2</v>
      </c>
      <c r="J50">
        <v>-1.1728593563020695</v>
      </c>
      <c r="K50">
        <v>0.53506028052652255</v>
      </c>
      <c r="L50">
        <f t="shared" si="7"/>
        <v>20.394511440338437</v>
      </c>
      <c r="M50">
        <f t="shared" si="8"/>
        <v>19.256239337244242</v>
      </c>
      <c r="N50">
        <f t="shared" si="9"/>
        <v>20.914459424606722</v>
      </c>
      <c r="O50">
        <f t="shared" si="10"/>
        <v>20.305458228670613</v>
      </c>
      <c r="P50">
        <f t="shared" si="11"/>
        <v>19.160490932674577</v>
      </c>
      <c r="Q50">
        <f t="shared" si="12"/>
        <v>20.818443287446762</v>
      </c>
      <c r="R50">
        <v>1</v>
      </c>
      <c r="S50">
        <f>G13+G12</f>
        <v>18.3562840230903</v>
      </c>
      <c r="T50" s="8">
        <v>18.3562840230903</v>
      </c>
      <c r="U50" s="9">
        <v>1</v>
      </c>
      <c r="V50">
        <f t="shared" si="21"/>
        <v>9.8039215686274508E-3</v>
      </c>
      <c r="AC50">
        <f t="shared" si="22"/>
        <v>-0.80164998478171157</v>
      </c>
      <c r="AD50">
        <f t="shared" si="23"/>
        <v>17.79219986225986</v>
      </c>
      <c r="AE50">
        <f t="shared" si="13"/>
        <v>20.502637496451399</v>
      </c>
      <c r="AF50">
        <f t="shared" si="14"/>
        <v>19.364794338340023</v>
      </c>
      <c r="AG50">
        <f t="shared" si="15"/>
        <v>21.023024396947267</v>
      </c>
    </row>
    <row r="51" spans="1:33" x14ac:dyDescent="0.25">
      <c r="A51">
        <v>29</v>
      </c>
      <c r="B51">
        <v>7.3484603411969349</v>
      </c>
      <c r="C51">
        <v>0.69623411036445759</v>
      </c>
      <c r="D51">
        <f t="shared" si="16"/>
        <v>16.648012560154072</v>
      </c>
      <c r="E51">
        <f t="shared" si="17"/>
        <v>17.323685043382284</v>
      </c>
      <c r="F51">
        <f t="shared" si="18"/>
        <v>-0.6224963638851797</v>
      </c>
      <c r="G51">
        <f t="shared" si="19"/>
        <v>16.701188679497104</v>
      </c>
      <c r="H51">
        <v>29</v>
      </c>
      <c r="I51">
        <v>1.3008661881031003</v>
      </c>
      <c r="J51">
        <v>-0.20526272237475496</v>
      </c>
      <c r="K51">
        <v>-1.0687881513149478</v>
      </c>
      <c r="L51">
        <f t="shared" si="7"/>
        <v>21.62885652737274</v>
      </c>
      <c r="M51">
        <f t="shared" si="8"/>
        <v>20.195260293954757</v>
      </c>
      <c r="N51">
        <f t="shared" si="9"/>
        <v>19.35797686144025</v>
      </c>
      <c r="O51">
        <f t="shared" si="10"/>
        <v>21.539803315704916</v>
      </c>
      <c r="P51">
        <f t="shared" si="11"/>
        <v>20.099511889385091</v>
      </c>
      <c r="Q51">
        <f t="shared" si="12"/>
        <v>19.261960724280289</v>
      </c>
      <c r="R51">
        <v>2</v>
      </c>
      <c r="S51">
        <f t="shared" ref="S51:S58" si="24">S50+$G$12</f>
        <v>18.872523070114632</v>
      </c>
      <c r="T51" s="8">
        <v>18.872523070114632</v>
      </c>
      <c r="U51" s="9">
        <v>7</v>
      </c>
      <c r="V51">
        <f t="shared" si="21"/>
        <v>6.8627450980392163E-2</v>
      </c>
      <c r="AC51">
        <f t="shared" si="22"/>
        <v>-0.63333448346541132</v>
      </c>
      <c r="AD51">
        <f t="shared" si="23"/>
        <v>16.690350559916872</v>
      </c>
      <c r="AE51">
        <f t="shared" si="13"/>
        <v>21.736982583485702</v>
      </c>
      <c r="AF51">
        <f t="shared" si="14"/>
        <v>20.303815295050537</v>
      </c>
      <c r="AG51">
        <f t="shared" si="15"/>
        <v>19.466541833780795</v>
      </c>
    </row>
    <row r="52" spans="1:33" x14ac:dyDescent="0.25">
      <c r="A52">
        <v>30</v>
      </c>
      <c r="B52">
        <v>4.3751029999694815</v>
      </c>
      <c r="C52">
        <v>0.55244299801415764</v>
      </c>
      <c r="D52">
        <f t="shared" si="16"/>
        <v>12.858426104563373</v>
      </c>
      <c r="E52">
        <f t="shared" si="17"/>
        <v>13.394554005729933</v>
      </c>
      <c r="F52">
        <f t="shared" si="18"/>
        <v>-0.58187971077241052</v>
      </c>
      <c r="G52">
        <f t="shared" si="19"/>
        <v>12.812674294957523</v>
      </c>
      <c r="H52">
        <v>30</v>
      </c>
      <c r="I52">
        <v>0.92541995400097221</v>
      </c>
      <c r="J52">
        <v>0.65055246523115784</v>
      </c>
      <c r="K52">
        <v>-1.5674550013500266</v>
      </c>
      <c r="L52">
        <f t="shared" si="7"/>
        <v>21.264498209476375</v>
      </c>
      <c r="M52">
        <f t="shared" si="8"/>
        <v>21.025801004882304</v>
      </c>
      <c r="N52">
        <f t="shared" si="9"/>
        <v>18.874036956958385</v>
      </c>
      <c r="O52">
        <f t="shared" si="10"/>
        <v>21.175444997808551</v>
      </c>
      <c r="P52">
        <f t="shared" si="11"/>
        <v>20.930052600312639</v>
      </c>
      <c r="Q52">
        <f t="shared" si="12"/>
        <v>18.778020819798424</v>
      </c>
      <c r="R52">
        <v>3</v>
      </c>
      <c r="S52">
        <f t="shared" si="24"/>
        <v>19.388762117138963</v>
      </c>
      <c r="T52" s="8">
        <v>19.388762117138963</v>
      </c>
      <c r="U52" s="9">
        <v>17</v>
      </c>
      <c r="V52">
        <f t="shared" si="21"/>
        <v>0.16666666666666666</v>
      </c>
      <c r="AC52">
        <f t="shared" si="22"/>
        <v>-0.56340103611119297</v>
      </c>
      <c r="AD52">
        <f t="shared" si="23"/>
        <v>12.83115296961874</v>
      </c>
      <c r="AE52">
        <f t="shared" si="13"/>
        <v>21.372624265589337</v>
      </c>
      <c r="AF52">
        <f t="shared" si="14"/>
        <v>21.134356005978084</v>
      </c>
      <c r="AG52">
        <f t="shared" si="15"/>
        <v>18.98260192929893</v>
      </c>
    </row>
    <row r="53" spans="1:33" x14ac:dyDescent="0.25">
      <c r="A53">
        <v>31</v>
      </c>
      <c r="B53">
        <v>12.247047334208197</v>
      </c>
      <c r="C53">
        <v>-2.0317747839726508</v>
      </c>
      <c r="D53">
        <f t="shared" si="16"/>
        <v>19.210193500480475</v>
      </c>
      <c r="E53">
        <f t="shared" si="17"/>
        <v>17.238422377504847</v>
      </c>
      <c r="F53">
        <f t="shared" si="18"/>
        <v>1.9848040866615406</v>
      </c>
      <c r="G53">
        <f t="shared" si="19"/>
        <v>19.223226464166387</v>
      </c>
      <c r="H53">
        <v>31</v>
      </c>
      <c r="I53">
        <v>5.0395101425237954E-2</v>
      </c>
      <c r="J53">
        <v>-9.2950358521193266E-3</v>
      </c>
      <c r="K53">
        <v>-0.80304516814067028</v>
      </c>
      <c r="L53">
        <f t="shared" si="7"/>
        <v>20.415315145583175</v>
      </c>
      <c r="M53">
        <f t="shared" si="8"/>
        <v>20.385440538522097</v>
      </c>
      <c r="N53">
        <f t="shared" si="9"/>
        <v>19.615871754363329</v>
      </c>
      <c r="O53">
        <f t="shared" si="10"/>
        <v>20.326261933915351</v>
      </c>
      <c r="P53">
        <f t="shared" si="11"/>
        <v>20.289692133952432</v>
      </c>
      <c r="Q53">
        <f t="shared" si="12"/>
        <v>19.519855617203369</v>
      </c>
      <c r="R53">
        <v>4</v>
      </c>
      <c r="S53">
        <f t="shared" si="24"/>
        <v>19.905001164163295</v>
      </c>
      <c r="T53" s="8">
        <v>19.905001164163295</v>
      </c>
      <c r="U53" s="9">
        <v>16</v>
      </c>
      <c r="V53">
        <f t="shared" si="21"/>
        <v>0.15686274509803921</v>
      </c>
      <c r="AC53">
        <f t="shared" si="22"/>
        <v>2.0600747004563615</v>
      </c>
      <c r="AD53">
        <f t="shared" si="23"/>
        <v>19.298497077961208</v>
      </c>
      <c r="AE53">
        <f t="shared" si="13"/>
        <v>20.523441201696137</v>
      </c>
      <c r="AF53">
        <f t="shared" si="14"/>
        <v>20.493995539617877</v>
      </c>
      <c r="AG53">
        <f t="shared" si="15"/>
        <v>19.724436726703875</v>
      </c>
    </row>
    <row r="54" spans="1:33" x14ac:dyDescent="0.25">
      <c r="A54">
        <v>32</v>
      </c>
      <c r="B54">
        <v>6.8416089358195746</v>
      </c>
      <c r="C54">
        <v>3.5847733670379966E-2</v>
      </c>
      <c r="D54">
        <f t="shared" si="16"/>
        <v>16.173979751823879</v>
      </c>
      <c r="E54">
        <f t="shared" si="17"/>
        <v>16.20876880749725</v>
      </c>
      <c r="F54">
        <f t="shared" si="18"/>
        <v>1.3744865811354146E-2</v>
      </c>
      <c r="G54">
        <f t="shared" si="19"/>
        <v>16.222513673308605</v>
      </c>
      <c r="H54">
        <v>32</v>
      </c>
      <c r="I54">
        <v>-0.10357325663790107</v>
      </c>
      <c r="J54">
        <v>-1.4420220395550132</v>
      </c>
      <c r="K54">
        <v>-1.6942794900387526</v>
      </c>
      <c r="L54">
        <f t="shared" si="7"/>
        <v>20.265893878681108</v>
      </c>
      <c r="M54">
        <f t="shared" si="8"/>
        <v>18.995025736993195</v>
      </c>
      <c r="N54">
        <f t="shared" si="9"/>
        <v>18.750957929472065</v>
      </c>
      <c r="O54">
        <f t="shared" si="10"/>
        <v>20.176840667013284</v>
      </c>
      <c r="P54">
        <f t="shared" si="11"/>
        <v>18.89927733242353</v>
      </c>
      <c r="Q54">
        <f t="shared" si="12"/>
        <v>18.654941792312105</v>
      </c>
      <c r="R54">
        <v>5</v>
      </c>
      <c r="S54">
        <f t="shared" si="24"/>
        <v>20.421240211187627</v>
      </c>
      <c r="T54" s="8">
        <v>20.421240211187627</v>
      </c>
      <c r="U54" s="9">
        <v>14</v>
      </c>
      <c r="V54">
        <f t="shared" si="21"/>
        <v>0.13725490196078433</v>
      </c>
      <c r="AC54">
        <f t="shared" si="22"/>
        <v>-1.0805253813970239E-3</v>
      </c>
      <c r="AD54">
        <f t="shared" si="23"/>
        <v>16.207688282115853</v>
      </c>
      <c r="AE54">
        <f t="shared" si="13"/>
        <v>20.37401993479407</v>
      </c>
      <c r="AF54">
        <f t="shared" si="14"/>
        <v>19.103580738088976</v>
      </c>
      <c r="AG54">
        <f t="shared" si="15"/>
        <v>18.85952290181261</v>
      </c>
    </row>
    <row r="55" spans="1:33" x14ac:dyDescent="0.25">
      <c r="A55">
        <v>33</v>
      </c>
      <c r="B55">
        <v>1.2329172643208106</v>
      </c>
      <c r="C55">
        <v>-0.14814418136666063</v>
      </c>
      <c r="D55">
        <f t="shared" si="16"/>
        <v>4.6228424533006436</v>
      </c>
      <c r="E55">
        <f t="shared" si="17"/>
        <v>4.479073359816522</v>
      </c>
      <c r="F55">
        <f t="shared" si="18"/>
        <v>-0.41915470709426916</v>
      </c>
      <c r="G55">
        <f t="shared" si="19"/>
        <v>4.0599186527222528</v>
      </c>
      <c r="H55">
        <v>33</v>
      </c>
      <c r="I55">
        <v>-2.1689174900529906E-2</v>
      </c>
      <c r="J55">
        <v>-1.062983301380882</v>
      </c>
      <c r="K55">
        <v>5.1238657761132345E-2</v>
      </c>
      <c r="L55">
        <f t="shared" ref="L55:L86" si="25">$B$7-$B$8*EXP(-$B$9*F$16)+I55*$B$10</f>
        <v>20.345359707804864</v>
      </c>
      <c r="M55">
        <f t="shared" ref="M55:M86" si="26">$B$7-$B$8*EXP(-$B$9*G$16)+J55*$B$10</f>
        <v>19.362870462853781</v>
      </c>
      <c r="N55">
        <f t="shared" ref="N55:N86" si="27">$B$7-$B$8*EXP(-$B$9*H$16)+K55*$B$10</f>
        <v>20.444926328731441</v>
      </c>
      <c r="O55">
        <f t="shared" ref="O55:O86" si="28">$F$3-$F$4*EXP(-$F$5*I$16)+I55*$B$10</f>
        <v>20.256306496137039</v>
      </c>
      <c r="P55">
        <f t="shared" ref="P55:P86" si="29">$F$3-$F$4*EXP(-$F$5*J$16)+J55*$B$10</f>
        <v>19.267122058284116</v>
      </c>
      <c r="Q55">
        <f t="shared" ref="Q55:Q86" si="30">$F$3-$F$4*EXP(-$F$5*K$16)+K55*$B$10</f>
        <v>20.348910191571481</v>
      </c>
      <c r="R55">
        <v>6</v>
      </c>
      <c r="S55">
        <f t="shared" si="24"/>
        <v>20.937479258211958</v>
      </c>
      <c r="T55" s="8">
        <v>20.937479258211958</v>
      </c>
      <c r="U55" s="9">
        <v>20</v>
      </c>
      <c r="V55">
        <f t="shared" si="21"/>
        <v>0.19607843137254902</v>
      </c>
      <c r="AC55">
        <f t="shared" si="22"/>
        <v>-3.7766263193252492E-2</v>
      </c>
      <c r="AD55">
        <f t="shared" si="23"/>
        <v>4.4413070966232695</v>
      </c>
      <c r="AE55">
        <f t="shared" ref="AE55:AE86" si="31">$H$3-$H$4*EXP(-$H$5*AI$27)+I55*$B$10</f>
        <v>20.453485763917826</v>
      </c>
      <c r="AF55">
        <f t="shared" ref="AF55:AF86" si="32">$H$3-$H$4*EXP(-$H$5*AJ$27)+J55*$B$10</f>
        <v>19.471425463949561</v>
      </c>
      <c r="AG55">
        <f t="shared" ref="AG55:AG86" si="33">$H$3-$H$4*EXP(-$H$5*AK$27)+K55*$B$10</f>
        <v>20.553491301071986</v>
      </c>
    </row>
    <row r="56" spans="1:33" x14ac:dyDescent="0.25">
      <c r="A56">
        <v>34</v>
      </c>
      <c r="B56">
        <v>3.1134678182317574</v>
      </c>
      <c r="C56">
        <v>1.1473707672848832</v>
      </c>
      <c r="D56">
        <f t="shared" si="16"/>
        <v>10.25711519159432</v>
      </c>
      <c r="E56">
        <f t="shared" si="17"/>
        <v>11.370601077985345</v>
      </c>
      <c r="F56">
        <f t="shared" si="18"/>
        <v>-1.2879548691627338</v>
      </c>
      <c r="G56">
        <f t="shared" si="19"/>
        <v>10.082646208822611</v>
      </c>
      <c r="H56">
        <v>34</v>
      </c>
      <c r="I56">
        <v>1.798580342438072</v>
      </c>
      <c r="J56">
        <v>0.48737092583905905</v>
      </c>
      <c r="K56">
        <v>9.6038093033712357E-2</v>
      </c>
      <c r="L56">
        <f t="shared" si="25"/>
        <v>22.111871871767889</v>
      </c>
      <c r="M56">
        <f t="shared" si="26"/>
        <v>20.867438646163126</v>
      </c>
      <c r="N56">
        <f t="shared" si="27"/>
        <v>20.48840271868022</v>
      </c>
      <c r="O56">
        <f t="shared" si="28"/>
        <v>22.022818660100064</v>
      </c>
      <c r="P56">
        <f t="shared" si="29"/>
        <v>20.771690241593461</v>
      </c>
      <c r="Q56">
        <f t="shared" si="30"/>
        <v>20.39238658152026</v>
      </c>
      <c r="R56">
        <v>7</v>
      </c>
      <c r="S56">
        <f t="shared" si="24"/>
        <v>21.45371830523629</v>
      </c>
      <c r="T56" s="8">
        <v>21.45371830523629</v>
      </c>
      <c r="U56" s="9">
        <v>12</v>
      </c>
      <c r="V56">
        <f t="shared" si="21"/>
        <v>0.11764705882352941</v>
      </c>
      <c r="AC56">
        <f t="shared" si="22"/>
        <v>-1.1891476785253463</v>
      </c>
      <c r="AD56">
        <f t="shared" si="23"/>
        <v>10.181453399459999</v>
      </c>
      <c r="AE56">
        <f t="shared" si="31"/>
        <v>22.219997927880851</v>
      </c>
      <c r="AF56">
        <f t="shared" si="32"/>
        <v>20.975993647258907</v>
      </c>
      <c r="AG56">
        <f t="shared" si="33"/>
        <v>20.596967691020765</v>
      </c>
    </row>
    <row r="57" spans="1:33" x14ac:dyDescent="0.25">
      <c r="A57">
        <v>35</v>
      </c>
      <c r="B57">
        <v>1.5683767204809718</v>
      </c>
      <c r="C57">
        <v>-1.1069414540543221</v>
      </c>
      <c r="D57">
        <f t="shared" si="16"/>
        <v>5.8185561258641165</v>
      </c>
      <c r="E57">
        <f t="shared" si="17"/>
        <v>4.7443055685945055</v>
      </c>
      <c r="F57">
        <f t="shared" si="18"/>
        <v>0.60407874811334317</v>
      </c>
      <c r="G57">
        <f t="shared" si="19"/>
        <v>5.3483843167078486</v>
      </c>
      <c r="H57">
        <v>35</v>
      </c>
      <c r="I57">
        <v>1.1746874406526331</v>
      </c>
      <c r="J57">
        <v>0.83818122220691293</v>
      </c>
      <c r="K57">
        <v>0.90818502940237522</v>
      </c>
      <c r="L57">
        <f t="shared" si="25"/>
        <v>21.506404170685052</v>
      </c>
      <c r="M57">
        <f t="shared" si="26"/>
        <v>21.20788859045674</v>
      </c>
      <c r="N57">
        <f t="shared" si="27"/>
        <v>21.276564816850254</v>
      </c>
      <c r="O57">
        <f t="shared" si="28"/>
        <v>21.417350959017227</v>
      </c>
      <c r="P57">
        <f t="shared" si="29"/>
        <v>21.112140185887075</v>
      </c>
      <c r="Q57">
        <f t="shared" si="30"/>
        <v>21.180548679690293</v>
      </c>
      <c r="R57">
        <v>8</v>
      </c>
      <c r="S57">
        <f t="shared" si="24"/>
        <v>21.969957352260622</v>
      </c>
      <c r="T57" s="8">
        <v>21.969957352260622</v>
      </c>
      <c r="U57" s="9">
        <v>11</v>
      </c>
      <c r="V57">
        <f t="shared" si="21"/>
        <v>0.10784313725490197</v>
      </c>
      <c r="AC57">
        <f t="shared" si="22"/>
        <v>0.9152831570623281</v>
      </c>
      <c r="AD57">
        <f t="shared" si="23"/>
        <v>5.6595887256568336</v>
      </c>
      <c r="AE57">
        <f t="shared" si="31"/>
        <v>21.614530226798014</v>
      </c>
      <c r="AF57">
        <f t="shared" si="32"/>
        <v>21.31644359155252</v>
      </c>
      <c r="AG57">
        <f t="shared" si="33"/>
        <v>21.385129789190799</v>
      </c>
    </row>
    <row r="58" spans="1:33" x14ac:dyDescent="0.25">
      <c r="A58">
        <v>36</v>
      </c>
      <c r="B58">
        <v>2.1345561082796718</v>
      </c>
      <c r="C58">
        <v>0.18670334611670114</v>
      </c>
      <c r="D58">
        <f t="shared" si="16"/>
        <v>7.6346392593533903</v>
      </c>
      <c r="E58">
        <f t="shared" si="17"/>
        <v>7.815828763888943</v>
      </c>
      <c r="F58">
        <f t="shared" si="18"/>
        <v>-0.52043840358256688</v>
      </c>
      <c r="G58">
        <f t="shared" si="19"/>
        <v>7.2953903603063761</v>
      </c>
      <c r="H58">
        <v>36</v>
      </c>
      <c r="I58">
        <v>-1.25298356579151</v>
      </c>
      <c r="J58">
        <v>0.499467205372639</v>
      </c>
      <c r="K58">
        <v>0.38873849916853942</v>
      </c>
      <c r="L58">
        <f t="shared" si="25"/>
        <v>19.150428683464824</v>
      </c>
      <c r="M58">
        <f t="shared" si="26"/>
        <v>20.879177690700889</v>
      </c>
      <c r="N58">
        <f t="shared" si="27"/>
        <v>20.77245891085888</v>
      </c>
      <c r="O58">
        <f t="shared" si="28"/>
        <v>19.061375471797</v>
      </c>
      <c r="P58">
        <f t="shared" si="29"/>
        <v>20.783429286131224</v>
      </c>
      <c r="Q58">
        <f t="shared" si="30"/>
        <v>20.67644277369892</v>
      </c>
      <c r="R58">
        <v>9</v>
      </c>
      <c r="S58">
        <f t="shared" si="24"/>
        <v>22.486196399284953</v>
      </c>
      <c r="T58" s="8">
        <v>22.486196399284953</v>
      </c>
      <c r="U58" s="9">
        <v>2</v>
      </c>
      <c r="V58">
        <f t="shared" si="21"/>
        <v>1.9607843137254902E-2</v>
      </c>
      <c r="AC58">
        <f t="shared" si="22"/>
        <v>-0.30597555637480056</v>
      </c>
      <c r="AD58">
        <f t="shared" si="23"/>
        <v>7.5098532075141424</v>
      </c>
      <c r="AE58">
        <f t="shared" si="31"/>
        <v>19.258554739577789</v>
      </c>
      <c r="AF58">
        <f t="shared" si="32"/>
        <v>20.987732691796669</v>
      </c>
      <c r="AG58">
        <f t="shared" si="33"/>
        <v>20.881023883199425</v>
      </c>
    </row>
    <row r="59" spans="1:33" x14ac:dyDescent="0.25">
      <c r="A59">
        <v>37</v>
      </c>
      <c r="B59">
        <v>5.9798883022553175</v>
      </c>
      <c r="C59">
        <v>-0.2459137249388732</v>
      </c>
      <c r="D59">
        <f t="shared" si="16"/>
        <v>15.226386865330046</v>
      </c>
      <c r="E59">
        <f t="shared" si="17"/>
        <v>14.987735620417082</v>
      </c>
      <c r="F59">
        <f t="shared" si="18"/>
        <v>0.27029530042260319</v>
      </c>
      <c r="G59">
        <f t="shared" si="19"/>
        <v>15.258030920839685</v>
      </c>
      <c r="H59">
        <v>37</v>
      </c>
      <c r="I59">
        <v>1.5213254300761037</v>
      </c>
      <c r="J59">
        <v>-1.1318479664623737</v>
      </c>
      <c r="K59">
        <v>-0.56030103223747574</v>
      </c>
      <c r="L59">
        <f t="shared" si="25"/>
        <v>21.842805027248065</v>
      </c>
      <c r="M59">
        <f t="shared" si="26"/>
        <v>19.296039552719353</v>
      </c>
      <c r="N59">
        <f t="shared" si="27"/>
        <v>19.851447016553429</v>
      </c>
      <c r="O59">
        <f t="shared" si="28"/>
        <v>21.753751815580241</v>
      </c>
      <c r="P59">
        <f t="shared" si="29"/>
        <v>19.200291148149688</v>
      </c>
      <c r="Q59">
        <f t="shared" si="30"/>
        <v>19.755430879393469</v>
      </c>
      <c r="R59">
        <v>10</v>
      </c>
      <c r="S59">
        <f>S58+$G$12+0.00001</f>
        <v>23.002445446309284</v>
      </c>
      <c r="T59" s="8">
        <v>23.002445446309284</v>
      </c>
      <c r="U59" s="9">
        <v>2</v>
      </c>
      <c r="V59">
        <f t="shared" si="21"/>
        <v>1.9607843137254902E-2</v>
      </c>
      <c r="AC59">
        <f t="shared" si="22"/>
        <v>0.25503211018900629</v>
      </c>
      <c r="AD59">
        <f t="shared" si="23"/>
        <v>15.242767730606088</v>
      </c>
      <c r="AE59">
        <f t="shared" si="31"/>
        <v>21.950931083361027</v>
      </c>
      <c r="AF59">
        <f t="shared" si="32"/>
        <v>19.404594553815134</v>
      </c>
      <c r="AG59">
        <f t="shared" si="33"/>
        <v>19.960011988893974</v>
      </c>
    </row>
    <row r="60" spans="1:33" ht="15.75" thickBot="1" x14ac:dyDescent="0.3">
      <c r="A60">
        <v>38</v>
      </c>
      <c r="B60">
        <v>3.7975707266457106</v>
      </c>
      <c r="C60">
        <v>0.1323064680036623</v>
      </c>
      <c r="D60">
        <f t="shared" si="16"/>
        <v>11.762789595675898</v>
      </c>
      <c r="E60">
        <f t="shared" si="17"/>
        <v>11.891188705188634</v>
      </c>
      <c r="F60">
        <f t="shared" si="18"/>
        <v>-0.22355500020471908</v>
      </c>
      <c r="G60">
        <f t="shared" si="19"/>
        <v>11.667633704983915</v>
      </c>
      <c r="H60">
        <v>38</v>
      </c>
      <c r="I60">
        <v>-9.2811660579172894E-2</v>
      </c>
      <c r="J60">
        <v>1.212906681757886</v>
      </c>
      <c r="K60">
        <v>0.11388465281925164</v>
      </c>
      <c r="L60">
        <f t="shared" si="25"/>
        <v>20.276337656462541</v>
      </c>
      <c r="M60">
        <f t="shared" si="26"/>
        <v>21.571547420172941</v>
      </c>
      <c r="N60">
        <f t="shared" si="27"/>
        <v>20.505722222548055</v>
      </c>
      <c r="O60">
        <f t="shared" si="28"/>
        <v>20.187284444794717</v>
      </c>
      <c r="P60">
        <f t="shared" si="29"/>
        <v>21.475799015603275</v>
      </c>
      <c r="Q60">
        <f t="shared" si="30"/>
        <v>20.409706085388095</v>
      </c>
      <c r="T60" s="10" t="s">
        <v>44</v>
      </c>
      <c r="U60" s="10">
        <v>0</v>
      </c>
      <c r="AC60">
        <f t="shared" si="22"/>
        <v>-0.17600561496448641</v>
      </c>
      <c r="AD60">
        <f t="shared" si="23"/>
        <v>11.715183090224148</v>
      </c>
      <c r="AE60">
        <f t="shared" si="31"/>
        <v>20.384463712575503</v>
      </c>
      <c r="AF60">
        <f t="shared" si="32"/>
        <v>21.680102421268721</v>
      </c>
      <c r="AG60">
        <f t="shared" si="33"/>
        <v>20.6142871948886</v>
      </c>
    </row>
    <row r="61" spans="1:33" ht="15.75" thickBot="1" x14ac:dyDescent="0.3">
      <c r="A61">
        <v>39</v>
      </c>
      <c r="B61">
        <v>6.3248695333719898</v>
      </c>
      <c r="C61">
        <v>-0.12575014807225671</v>
      </c>
      <c r="D61">
        <f t="shared" si="16"/>
        <v>15.62891716270482</v>
      </c>
      <c r="E61">
        <f t="shared" si="17"/>
        <v>15.50688074772679</v>
      </c>
      <c r="F61">
        <f t="shared" si="18"/>
        <v>0.16200657454809786</v>
      </c>
      <c r="G61">
        <f t="shared" si="19"/>
        <v>15.668887322274887</v>
      </c>
      <c r="H61">
        <v>39</v>
      </c>
      <c r="I61">
        <v>1.4768602341064252</v>
      </c>
      <c r="J61">
        <v>0.65727817855076864</v>
      </c>
      <c r="K61">
        <v>0.71260728873312473</v>
      </c>
      <c r="L61">
        <f t="shared" si="25"/>
        <v>21.7996530056352</v>
      </c>
      <c r="M61">
        <f t="shared" si="26"/>
        <v>21.032328090172282</v>
      </c>
      <c r="N61">
        <f t="shared" si="27"/>
        <v>21.086763002008144</v>
      </c>
      <c r="O61">
        <f t="shared" si="28"/>
        <v>21.710599793967376</v>
      </c>
      <c r="P61">
        <f t="shared" si="29"/>
        <v>20.936579685602617</v>
      </c>
      <c r="Q61">
        <f t="shared" si="30"/>
        <v>20.990746864848184</v>
      </c>
      <c r="AC61">
        <f t="shared" si="22"/>
        <v>0.14578959755889542</v>
      </c>
      <c r="AD61">
        <f t="shared" si="23"/>
        <v>15.652670345285685</v>
      </c>
      <c r="AE61">
        <f t="shared" si="31"/>
        <v>21.907779061748162</v>
      </c>
      <c r="AF61">
        <f t="shared" si="32"/>
        <v>21.140883091268062</v>
      </c>
      <c r="AG61">
        <f t="shared" si="33"/>
        <v>21.19532797434869</v>
      </c>
    </row>
    <row r="62" spans="1:33" x14ac:dyDescent="0.25">
      <c r="A62">
        <v>40</v>
      </c>
      <c r="B62">
        <v>4.6790673543504138</v>
      </c>
      <c r="C62">
        <v>-0.12073996913386509</v>
      </c>
      <c r="D62">
        <f t="shared" si="16"/>
        <v>13.378046849033321</v>
      </c>
      <c r="E62">
        <f t="shared" si="17"/>
        <v>13.260872649212988</v>
      </c>
      <c r="F62">
        <f t="shared" si="18"/>
        <v>9.2098032740372204E-2</v>
      </c>
      <c r="G62">
        <f t="shared" si="19"/>
        <v>13.35297068195336</v>
      </c>
      <c r="H62">
        <v>40</v>
      </c>
      <c r="I62">
        <v>0.60646470956271514</v>
      </c>
      <c r="J62">
        <v>-1.4359875422087498</v>
      </c>
      <c r="K62">
        <v>1.255671122635249</v>
      </c>
      <c r="L62">
        <f t="shared" si="25"/>
        <v>20.954962553523746</v>
      </c>
      <c r="M62">
        <f t="shared" si="26"/>
        <v>19.00088201973816</v>
      </c>
      <c r="N62">
        <f t="shared" si="27"/>
        <v>21.613788730483304</v>
      </c>
      <c r="O62">
        <f t="shared" si="28"/>
        <v>20.865909341855922</v>
      </c>
      <c r="P62">
        <f t="shared" si="29"/>
        <v>18.905133615168495</v>
      </c>
      <c r="Q62">
        <f t="shared" si="30"/>
        <v>21.517772593323343</v>
      </c>
      <c r="T62" s="11" t="s">
        <v>43</v>
      </c>
      <c r="U62" s="11" t="s">
        <v>45</v>
      </c>
      <c r="AC62">
        <f t="shared" si="22"/>
        <v>9.9517211119110272E-2</v>
      </c>
      <c r="AD62">
        <f t="shared" si="23"/>
        <v>13.360389860332099</v>
      </c>
      <c r="AE62">
        <f t="shared" si="31"/>
        <v>21.063088609636708</v>
      </c>
      <c r="AF62">
        <f t="shared" si="32"/>
        <v>19.109437020833941</v>
      </c>
      <c r="AG62">
        <f t="shared" si="33"/>
        <v>21.722353702823849</v>
      </c>
    </row>
    <row r="63" spans="1:33" x14ac:dyDescent="0.25">
      <c r="A63">
        <v>41</v>
      </c>
      <c r="B63">
        <v>4.1784417249061558</v>
      </c>
      <c r="C63">
        <v>0.41920088733604643</v>
      </c>
      <c r="D63">
        <f t="shared" si="16"/>
        <v>12.50191141521692</v>
      </c>
      <c r="E63">
        <f t="shared" si="17"/>
        <v>12.908732196188923</v>
      </c>
      <c r="F63">
        <f t="shared" si="18"/>
        <v>-0.46781433725251276</v>
      </c>
      <c r="G63">
        <f t="shared" si="19"/>
        <v>12.440917858936411</v>
      </c>
      <c r="H63">
        <v>41</v>
      </c>
      <c r="I63">
        <v>0.12636746760108508</v>
      </c>
      <c r="J63">
        <v>0.34317395147809293</v>
      </c>
      <c r="K63">
        <v>0.15077375792316161</v>
      </c>
      <c r="L63">
        <f t="shared" si="25"/>
        <v>20.489043847677198</v>
      </c>
      <c r="M63">
        <f t="shared" si="26"/>
        <v>20.727500188265012</v>
      </c>
      <c r="N63">
        <f t="shared" si="27"/>
        <v>20.541521895213588</v>
      </c>
      <c r="O63">
        <f t="shared" si="28"/>
        <v>20.399990636009374</v>
      </c>
      <c r="P63">
        <f t="shared" si="29"/>
        <v>20.631751783695346</v>
      </c>
      <c r="Q63">
        <f t="shared" si="30"/>
        <v>20.445505758053628</v>
      </c>
      <c r="T63" s="8">
        <v>18.3562840230903</v>
      </c>
      <c r="U63" s="9">
        <v>2</v>
      </c>
      <c r="V63">
        <f t="shared" si="21"/>
        <v>1.9607843137254902E-2</v>
      </c>
      <c r="AC63">
        <f t="shared" si="22"/>
        <v>-0.4407020632362677</v>
      </c>
      <c r="AD63">
        <f t="shared" si="23"/>
        <v>12.468030132952656</v>
      </c>
      <c r="AE63">
        <f t="shared" si="31"/>
        <v>20.59716990379016</v>
      </c>
      <c r="AF63">
        <f t="shared" si="32"/>
        <v>20.836055189360792</v>
      </c>
      <c r="AG63">
        <f t="shared" si="33"/>
        <v>20.650086867554133</v>
      </c>
    </row>
    <row r="64" spans="1:33" x14ac:dyDescent="0.25">
      <c r="A64">
        <v>42</v>
      </c>
      <c r="B64">
        <v>2.8856776635029147</v>
      </c>
      <c r="C64">
        <v>2.2136009647510946</v>
      </c>
      <c r="D64">
        <f t="shared" si="16"/>
        <v>9.6995887649884569</v>
      </c>
      <c r="E64">
        <f t="shared" si="17"/>
        <v>11.847816262700107</v>
      </c>
      <c r="F64">
        <f t="shared" si="18"/>
        <v>-2.3550709367387945</v>
      </c>
      <c r="G64">
        <f t="shared" si="19"/>
        <v>9.4927453259613124</v>
      </c>
      <c r="H64">
        <v>42</v>
      </c>
      <c r="I64">
        <v>0.76815240390715189</v>
      </c>
      <c r="J64">
        <v>-1.6629792298772372</v>
      </c>
      <c r="K64">
        <v>-0.76753622124670073</v>
      </c>
      <c r="L64">
        <f t="shared" si="25"/>
        <v>21.111875184374252</v>
      </c>
      <c r="M64">
        <f t="shared" si="26"/>
        <v>18.780593994494978</v>
      </c>
      <c r="N64">
        <f t="shared" si="27"/>
        <v>19.650332028526151</v>
      </c>
      <c r="O64">
        <f t="shared" si="28"/>
        <v>21.022821972706428</v>
      </c>
      <c r="P64">
        <f t="shared" si="29"/>
        <v>18.684845589925313</v>
      </c>
      <c r="Q64">
        <f t="shared" si="30"/>
        <v>19.554315891366191</v>
      </c>
      <c r="T64" s="8">
        <v>18.872523070114632</v>
      </c>
      <c r="U64" s="9">
        <v>7</v>
      </c>
      <c r="V64">
        <f t="shared" si="21"/>
        <v>6.8627450980392163E-2</v>
      </c>
      <c r="AC64">
        <f t="shared" si="22"/>
        <v>-2.2343070790382171</v>
      </c>
      <c r="AD64">
        <f t="shared" si="23"/>
        <v>9.6135091836618898</v>
      </c>
      <c r="AE64">
        <f t="shared" si="31"/>
        <v>21.220001240487214</v>
      </c>
      <c r="AF64">
        <f t="shared" si="32"/>
        <v>18.889148995590759</v>
      </c>
      <c r="AG64">
        <f t="shared" si="33"/>
        <v>19.758897000866696</v>
      </c>
    </row>
    <row r="65" spans="1:33" x14ac:dyDescent="0.25">
      <c r="A65">
        <v>43</v>
      </c>
      <c r="B65">
        <v>6.4687948240607929</v>
      </c>
      <c r="C65">
        <v>0.96390522230649367</v>
      </c>
      <c r="D65">
        <f t="shared" si="16"/>
        <v>15.787439914827353</v>
      </c>
      <c r="E65">
        <f t="shared" si="17"/>
        <v>16.722878477025262</v>
      </c>
      <c r="F65">
        <f t="shared" si="18"/>
        <v>-0.89264391709260948</v>
      </c>
      <c r="G65">
        <f t="shared" si="19"/>
        <v>15.830234559932652</v>
      </c>
      <c r="H65">
        <v>43</v>
      </c>
      <c r="I65">
        <v>2.0514471543719992</v>
      </c>
      <c r="J65">
        <v>0.5343531483958941</v>
      </c>
      <c r="K65">
        <v>8.8355136540485546E-2</v>
      </c>
      <c r="L65">
        <f t="shared" si="25"/>
        <v>22.357270860702748</v>
      </c>
      <c r="M65">
        <f t="shared" si="26"/>
        <v>20.913033359938268</v>
      </c>
      <c r="N65">
        <f t="shared" si="27"/>
        <v>20.480946660128886</v>
      </c>
      <c r="O65">
        <f t="shared" si="28"/>
        <v>22.268217649034924</v>
      </c>
      <c r="P65">
        <f t="shared" si="29"/>
        <v>20.817284955368603</v>
      </c>
      <c r="Q65">
        <f t="shared" si="30"/>
        <v>20.384930522968926</v>
      </c>
      <c r="T65" s="8">
        <v>19.388762117138963</v>
      </c>
      <c r="U65" s="9">
        <v>17</v>
      </c>
      <c r="V65">
        <f t="shared" si="21"/>
        <v>0.16666666666666666</v>
      </c>
      <c r="AC65">
        <f t="shared" si="22"/>
        <v>-0.90878663966271134</v>
      </c>
      <c r="AD65">
        <f t="shared" si="23"/>
        <v>15.81409183736255</v>
      </c>
      <c r="AE65">
        <f t="shared" si="31"/>
        <v>22.46539691681571</v>
      </c>
      <c r="AF65">
        <f t="shared" si="32"/>
        <v>21.021588361034048</v>
      </c>
      <c r="AG65">
        <f t="shared" si="33"/>
        <v>20.589511632469431</v>
      </c>
    </row>
    <row r="66" spans="1:33" x14ac:dyDescent="0.25">
      <c r="A66">
        <v>44</v>
      </c>
      <c r="B66">
        <v>4.6395153660695208</v>
      </c>
      <c r="C66">
        <v>-0.56792487157508731</v>
      </c>
      <c r="D66">
        <f t="shared" si="16"/>
        <v>13.31251572713143</v>
      </c>
      <c r="E66">
        <f t="shared" si="17"/>
        <v>12.761363172908927</v>
      </c>
      <c r="F66">
        <f t="shared" si="18"/>
        <v>0.52357307207858206</v>
      </c>
      <c r="G66">
        <f t="shared" si="19"/>
        <v>13.284936244987509</v>
      </c>
      <c r="H66">
        <v>44</v>
      </c>
      <c r="I66">
        <v>8.4977500591776334E-2</v>
      </c>
      <c r="J66">
        <v>-1.6288913684547879</v>
      </c>
      <c r="K66">
        <v>-7.5231127993902192E-2</v>
      </c>
      <c r="L66">
        <f t="shared" si="25"/>
        <v>20.448876235413454</v>
      </c>
      <c r="M66">
        <f t="shared" si="26"/>
        <v>18.813675151583347</v>
      </c>
      <c r="N66">
        <f t="shared" si="27"/>
        <v>20.322191528866909</v>
      </c>
      <c r="O66">
        <f t="shared" si="28"/>
        <v>20.35982302374563</v>
      </c>
      <c r="P66">
        <f t="shared" si="29"/>
        <v>18.717926747013681</v>
      </c>
      <c r="Q66">
        <f t="shared" si="30"/>
        <v>20.226175391706949</v>
      </c>
      <c r="T66" s="8">
        <v>19.905001164163295</v>
      </c>
      <c r="U66" s="9">
        <v>18</v>
      </c>
      <c r="V66">
        <f t="shared" si="21"/>
        <v>0.17647058823529413</v>
      </c>
      <c r="AC66">
        <f t="shared" si="22"/>
        <v>0.53228387398429966</v>
      </c>
      <c r="AD66">
        <f t="shared" si="23"/>
        <v>13.293647046893227</v>
      </c>
      <c r="AE66">
        <f t="shared" si="31"/>
        <v>20.557002291526416</v>
      </c>
      <c r="AF66">
        <f t="shared" si="32"/>
        <v>18.922230152679127</v>
      </c>
      <c r="AG66">
        <f t="shared" si="33"/>
        <v>20.430756501207455</v>
      </c>
    </row>
    <row r="67" spans="1:33" x14ac:dyDescent="0.25">
      <c r="A67">
        <v>45</v>
      </c>
      <c r="B67">
        <v>1.2695394756920071</v>
      </c>
      <c r="C67">
        <v>-1.166340553027112</v>
      </c>
      <c r="D67">
        <f t="shared" si="16"/>
        <v>4.7580096056388612</v>
      </c>
      <c r="E67">
        <f t="shared" si="17"/>
        <v>3.6261141612443515</v>
      </c>
      <c r="F67">
        <f t="shared" si="18"/>
        <v>0.57970151977980766</v>
      </c>
      <c r="G67">
        <f t="shared" si="19"/>
        <v>4.2058156810241591</v>
      </c>
      <c r="H67">
        <v>45</v>
      </c>
      <c r="I67">
        <v>-0.64263304011547007</v>
      </c>
      <c r="J67">
        <v>-0.32521597859158646</v>
      </c>
      <c r="K67">
        <v>-0.73617684392957017</v>
      </c>
      <c r="L67">
        <f t="shared" si="25"/>
        <v>19.742753950474935</v>
      </c>
      <c r="M67">
        <f t="shared" si="26"/>
        <v>20.078849573346844</v>
      </c>
      <c r="N67">
        <f t="shared" si="27"/>
        <v>19.680765280831562</v>
      </c>
      <c r="O67">
        <f t="shared" si="28"/>
        <v>19.65370073880711</v>
      </c>
      <c r="P67">
        <f t="shared" si="29"/>
        <v>19.983101168777178</v>
      </c>
      <c r="Q67">
        <f t="shared" si="30"/>
        <v>19.584749143671601</v>
      </c>
      <c r="T67" s="8">
        <v>20.421240211187627</v>
      </c>
      <c r="U67" s="9">
        <v>17</v>
      </c>
      <c r="V67">
        <f t="shared" si="21"/>
        <v>0.16666666666666666</v>
      </c>
      <c r="AC67">
        <f t="shared" si="22"/>
        <v>0.95291358144420268</v>
      </c>
      <c r="AD67">
        <f t="shared" si="23"/>
        <v>4.5790277426885542</v>
      </c>
      <c r="AE67">
        <f t="shared" si="31"/>
        <v>19.850880006587897</v>
      </c>
      <c r="AF67">
        <f t="shared" si="32"/>
        <v>20.187404574442624</v>
      </c>
      <c r="AG67">
        <f t="shared" si="33"/>
        <v>19.789330253172107</v>
      </c>
    </row>
    <row r="68" spans="1:33" x14ac:dyDescent="0.25">
      <c r="A68">
        <v>46</v>
      </c>
      <c r="B68">
        <v>2.2488174077578051</v>
      </c>
      <c r="C68">
        <v>-1.8579703464638442</v>
      </c>
      <c r="D68">
        <f t="shared" si="16"/>
        <v>7.9727419214328759</v>
      </c>
      <c r="E68">
        <f t="shared" si="17"/>
        <v>6.1696423331313888</v>
      </c>
      <c r="F68">
        <f t="shared" si="18"/>
        <v>1.4867944860020277</v>
      </c>
      <c r="G68">
        <f t="shared" si="19"/>
        <v>7.6564368191334164</v>
      </c>
      <c r="H68">
        <v>46</v>
      </c>
      <c r="I68">
        <v>0.35414814192336053</v>
      </c>
      <c r="J68">
        <v>-0.62877461459720507</v>
      </c>
      <c r="K68">
        <v>1.6381864043069072</v>
      </c>
      <c r="L68">
        <f t="shared" si="25"/>
        <v>20.710097558720118</v>
      </c>
      <c r="M68">
        <f t="shared" si="26"/>
        <v>19.784255823425688</v>
      </c>
      <c r="N68">
        <f t="shared" si="27"/>
        <v>21.985007328354836</v>
      </c>
      <c r="O68">
        <f t="shared" si="28"/>
        <v>20.621044347052294</v>
      </c>
      <c r="P68">
        <f t="shared" si="29"/>
        <v>19.688507418856023</v>
      </c>
      <c r="Q68">
        <f t="shared" si="30"/>
        <v>21.888991191194876</v>
      </c>
      <c r="T68" s="8">
        <v>20.937479258211958</v>
      </c>
      <c r="U68" s="9">
        <v>17</v>
      </c>
      <c r="V68">
        <f t="shared" si="21"/>
        <v>0.16666666666666666</v>
      </c>
      <c r="AC68">
        <f t="shared" si="22"/>
        <v>1.6846633468870618</v>
      </c>
      <c r="AD68">
        <f t="shared" si="23"/>
        <v>7.8543056800184505</v>
      </c>
      <c r="AE68">
        <f t="shared" si="31"/>
        <v>20.81822361483308</v>
      </c>
      <c r="AF68">
        <f t="shared" si="32"/>
        <v>19.892810824521469</v>
      </c>
      <c r="AG68">
        <f t="shared" si="33"/>
        <v>22.093572300695381</v>
      </c>
    </row>
    <row r="69" spans="1:33" x14ac:dyDescent="0.25">
      <c r="A69">
        <v>47</v>
      </c>
      <c r="B69">
        <v>7.8077028717917418</v>
      </c>
      <c r="C69">
        <v>8.0448216976947151E-2</v>
      </c>
      <c r="D69">
        <f t="shared" si="16"/>
        <v>17.031385265271346</v>
      </c>
      <c r="E69">
        <f t="shared" si="17"/>
        <v>17.109457634503073</v>
      </c>
      <c r="F69">
        <f t="shared" si="18"/>
        <v>-2.3274516466621264E-2</v>
      </c>
      <c r="G69">
        <f t="shared" si="19"/>
        <v>17.086183118036452</v>
      </c>
      <c r="H69">
        <v>47</v>
      </c>
      <c r="I69">
        <v>-0.32626417123537976</v>
      </c>
      <c r="J69">
        <v>0.44498392526293173</v>
      </c>
      <c r="K69">
        <v>0.19012873053725343</v>
      </c>
      <c r="L69">
        <f t="shared" si="25"/>
        <v>20.049779613352058</v>
      </c>
      <c r="M69">
        <f t="shared" si="26"/>
        <v>20.826303445359944</v>
      </c>
      <c r="N69">
        <f t="shared" si="27"/>
        <v>20.579714611826713</v>
      </c>
      <c r="O69">
        <f t="shared" si="28"/>
        <v>19.960726401684234</v>
      </c>
      <c r="P69">
        <f t="shared" si="29"/>
        <v>20.730555040790279</v>
      </c>
      <c r="Q69">
        <f t="shared" si="30"/>
        <v>20.483698474666753</v>
      </c>
      <c r="T69" s="8">
        <v>21.45371830523629</v>
      </c>
      <c r="U69" s="9">
        <v>13</v>
      </c>
      <c r="V69">
        <f t="shared" si="21"/>
        <v>0.12745098039215685</v>
      </c>
      <c r="AC69">
        <f t="shared" si="22"/>
        <v>-2.87771323795738E-2</v>
      </c>
      <c r="AD69">
        <f t="shared" si="23"/>
        <v>17.080680502123499</v>
      </c>
      <c r="AE69">
        <f t="shared" si="31"/>
        <v>20.15790566946502</v>
      </c>
      <c r="AF69">
        <f t="shared" si="32"/>
        <v>20.934858446455724</v>
      </c>
      <c r="AG69">
        <f t="shared" si="33"/>
        <v>20.688279584167258</v>
      </c>
    </row>
    <row r="70" spans="1:33" x14ac:dyDescent="0.25">
      <c r="A70">
        <v>48</v>
      </c>
      <c r="B70">
        <v>4.3329874568926048</v>
      </c>
      <c r="C70">
        <v>-0.32795924198580906</v>
      </c>
      <c r="D70">
        <f t="shared" si="16"/>
        <v>12.78345789043218</v>
      </c>
      <c r="E70">
        <f t="shared" si="17"/>
        <v>12.465184148695803</v>
      </c>
      <c r="F70">
        <f t="shared" si="18"/>
        <v>0.26938646321799276</v>
      </c>
      <c r="G70">
        <f t="shared" si="19"/>
        <v>12.734570611913796</v>
      </c>
      <c r="H70">
        <v>48</v>
      </c>
      <c r="I70">
        <v>-0.16425133253505919</v>
      </c>
      <c r="J70">
        <v>0.56039084483927581</v>
      </c>
      <c r="K70">
        <v>-1.2033842722303234</v>
      </c>
      <c r="L70">
        <f t="shared" si="25"/>
        <v>20.207007786189202</v>
      </c>
      <c r="M70">
        <f t="shared" si="26"/>
        <v>20.938302094623264</v>
      </c>
      <c r="N70">
        <f t="shared" si="27"/>
        <v>19.227355718497151</v>
      </c>
      <c r="O70">
        <f t="shared" si="28"/>
        <v>20.117954574521377</v>
      </c>
      <c r="P70">
        <f t="shared" si="29"/>
        <v>20.842553690053599</v>
      </c>
      <c r="Q70">
        <f t="shared" si="30"/>
        <v>19.13133958133719</v>
      </c>
      <c r="T70" s="8">
        <v>21.969957352260622</v>
      </c>
      <c r="U70" s="9">
        <v>7</v>
      </c>
      <c r="V70">
        <f t="shared" si="21"/>
        <v>6.8627450980392163E-2</v>
      </c>
      <c r="AC70">
        <f t="shared" si="22"/>
        <v>0.28961172789805012</v>
      </c>
      <c r="AD70">
        <f t="shared" si="23"/>
        <v>12.754795876593853</v>
      </c>
      <c r="AE70">
        <f t="shared" si="31"/>
        <v>20.315133842302163</v>
      </c>
      <c r="AF70">
        <f t="shared" si="32"/>
        <v>21.046857095719044</v>
      </c>
      <c r="AG70">
        <f t="shared" si="33"/>
        <v>19.335920690837696</v>
      </c>
    </row>
    <row r="71" spans="1:33" x14ac:dyDescent="0.25">
      <c r="A71">
        <v>49</v>
      </c>
      <c r="B71">
        <v>9.0828882717368078</v>
      </c>
      <c r="C71">
        <v>-0.71112935984274372</v>
      </c>
      <c r="D71">
        <f t="shared" si="16"/>
        <v>17.902454256396567</v>
      </c>
      <c r="E71">
        <f t="shared" si="17"/>
        <v>17.21232641964075</v>
      </c>
      <c r="F71">
        <f t="shared" si="18"/>
        <v>0.74027462954983037</v>
      </c>
      <c r="G71">
        <f t="shared" si="19"/>
        <v>17.95260104919058</v>
      </c>
      <c r="H71">
        <v>49</v>
      </c>
      <c r="I71">
        <v>-0.53364829000202008</v>
      </c>
      <c r="J71">
        <v>0.857799022924155</v>
      </c>
      <c r="K71">
        <v>1.7105685401475057</v>
      </c>
      <c r="L71">
        <f t="shared" si="25"/>
        <v>19.848520093855377</v>
      </c>
      <c r="M71">
        <f t="shared" si="26"/>
        <v>21.226927025846177</v>
      </c>
      <c r="N71">
        <f t="shared" si="27"/>
        <v>22.055251829071953</v>
      </c>
      <c r="O71">
        <f t="shared" si="28"/>
        <v>19.759466882187553</v>
      </c>
      <c r="P71">
        <f t="shared" si="29"/>
        <v>21.131178621276511</v>
      </c>
      <c r="Q71">
        <f t="shared" si="30"/>
        <v>21.959235691911992</v>
      </c>
      <c r="T71" s="8">
        <v>22.486196399284953</v>
      </c>
      <c r="U71" s="9">
        <v>3</v>
      </c>
      <c r="V71">
        <f t="shared" si="21"/>
        <v>2.9411764705882353E-2</v>
      </c>
      <c r="AC71">
        <f t="shared" si="22"/>
        <v>0.75514474698070799</v>
      </c>
      <c r="AD71">
        <f t="shared" si="23"/>
        <v>17.967471166621458</v>
      </c>
      <c r="AE71">
        <f t="shared" si="31"/>
        <v>19.956646149968339</v>
      </c>
      <c r="AF71">
        <f t="shared" si="32"/>
        <v>21.335482026941957</v>
      </c>
      <c r="AG71">
        <f t="shared" si="33"/>
        <v>22.163816801412498</v>
      </c>
    </row>
    <row r="72" spans="1:33" x14ac:dyDescent="0.25">
      <c r="A72">
        <v>50</v>
      </c>
      <c r="B72">
        <v>12.059907834101383</v>
      </c>
      <c r="C72">
        <v>0.70101805249578319</v>
      </c>
      <c r="D72">
        <f t="shared" si="16"/>
        <v>19.156912033479397</v>
      </c>
      <c r="E72">
        <f t="shared" si="17"/>
        <v>19.837227176427053</v>
      </c>
      <c r="F72">
        <f t="shared" si="18"/>
        <v>-0.66478288227922278</v>
      </c>
      <c r="G72">
        <f t="shared" si="19"/>
        <v>19.17244429414783</v>
      </c>
      <c r="H72">
        <v>50</v>
      </c>
      <c r="I72">
        <v>-0.10603343980619684</v>
      </c>
      <c r="J72">
        <v>0.34853428587666713</v>
      </c>
      <c r="K72">
        <v>1.2280497685424052</v>
      </c>
      <c r="L72">
        <f t="shared" si="25"/>
        <v>20.263506351201812</v>
      </c>
      <c r="M72">
        <f t="shared" si="26"/>
        <v>20.732702217869857</v>
      </c>
      <c r="N72">
        <f t="shared" si="27"/>
        <v>21.586983107730536</v>
      </c>
      <c r="O72">
        <f t="shared" si="28"/>
        <v>20.174453139533988</v>
      </c>
      <c r="P72">
        <f t="shared" si="29"/>
        <v>20.636953813300192</v>
      </c>
      <c r="Q72">
        <f t="shared" si="30"/>
        <v>21.490966970570575</v>
      </c>
      <c r="T72" s="8">
        <v>23.002435446309285</v>
      </c>
      <c r="U72" s="9">
        <v>1</v>
      </c>
      <c r="V72">
        <f t="shared" si="21"/>
        <v>9.8039215686274508E-3</v>
      </c>
      <c r="AC72">
        <f t="shared" si="22"/>
        <v>-0.59294980138598063</v>
      </c>
      <c r="AD72">
        <f t="shared" si="23"/>
        <v>19.244277375041072</v>
      </c>
      <c r="AE72">
        <f t="shared" si="31"/>
        <v>20.371632407314774</v>
      </c>
      <c r="AF72">
        <f t="shared" si="32"/>
        <v>20.841257218965637</v>
      </c>
      <c r="AG72">
        <f t="shared" si="33"/>
        <v>21.695548080071081</v>
      </c>
    </row>
    <row r="73" spans="1:33" ht="15.75" thickBot="1" x14ac:dyDescent="0.3">
      <c r="A73">
        <v>51</v>
      </c>
      <c r="B73">
        <v>4.8347117526779995</v>
      </c>
      <c r="C73">
        <v>1.3808403309667483E-2</v>
      </c>
      <c r="D73">
        <f t="shared" si="16"/>
        <v>13.630089456413598</v>
      </c>
      <c r="E73">
        <f t="shared" si="17"/>
        <v>13.643490061202662</v>
      </c>
      <c r="F73">
        <f t="shared" si="18"/>
        <v>-2.9138626209064711E-2</v>
      </c>
      <c r="G73">
        <f t="shared" si="19"/>
        <v>13.614351434993598</v>
      </c>
      <c r="H73">
        <v>51</v>
      </c>
      <c r="I73">
        <v>0.66747134042088874</v>
      </c>
      <c r="J73">
        <v>1.0522762750042602</v>
      </c>
      <c r="K73">
        <v>-0.27654664336296264</v>
      </c>
      <c r="L73">
        <f t="shared" si="25"/>
        <v>21.014167497883268</v>
      </c>
      <c r="M73">
        <f t="shared" si="26"/>
        <v>21.415660852425827</v>
      </c>
      <c r="N73">
        <f t="shared" si="27"/>
        <v>20.126821390924977</v>
      </c>
      <c r="O73">
        <f t="shared" si="28"/>
        <v>20.925114286215443</v>
      </c>
      <c r="P73">
        <f t="shared" si="29"/>
        <v>21.319912447856161</v>
      </c>
      <c r="Q73">
        <f t="shared" si="30"/>
        <v>20.030805253765017</v>
      </c>
      <c r="T73" s="10" t="s">
        <v>44</v>
      </c>
      <c r="U73" s="10">
        <v>0</v>
      </c>
      <c r="AC73">
        <f t="shared" si="22"/>
        <v>-2.6400125569676192E-2</v>
      </c>
      <c r="AD73">
        <f t="shared" si="23"/>
        <v>13.617089935632986</v>
      </c>
      <c r="AE73">
        <f t="shared" si="31"/>
        <v>21.122293553996229</v>
      </c>
      <c r="AF73">
        <f t="shared" si="32"/>
        <v>21.524215853521607</v>
      </c>
      <c r="AG73">
        <f t="shared" si="33"/>
        <v>20.235386363265523</v>
      </c>
    </row>
    <row r="74" spans="1:33" x14ac:dyDescent="0.25">
      <c r="A74">
        <v>52</v>
      </c>
      <c r="B74">
        <v>11.238837855159154</v>
      </c>
      <c r="C74">
        <v>0.97627435025060549</v>
      </c>
      <c r="D74">
        <f t="shared" si="16"/>
        <v>18.893350851280779</v>
      </c>
      <c r="E74">
        <f t="shared" si="17"/>
        <v>19.840793248494744</v>
      </c>
      <c r="F74">
        <f t="shared" si="18"/>
        <v>-0.9210336499813998</v>
      </c>
      <c r="G74">
        <f t="shared" si="19"/>
        <v>18.919759598513345</v>
      </c>
      <c r="H74">
        <v>52</v>
      </c>
      <c r="I74">
        <v>-1.7165439203381538</v>
      </c>
      <c r="J74">
        <v>-0.50815174290619325</v>
      </c>
      <c r="K74">
        <v>-0.44456214709498454</v>
      </c>
      <c r="L74">
        <f t="shared" si="25"/>
        <v>18.700558487190296</v>
      </c>
      <c r="M74">
        <f t="shared" si="26"/>
        <v>19.901316383999085</v>
      </c>
      <c r="N74">
        <f t="shared" si="27"/>
        <v>19.963767827565338</v>
      </c>
      <c r="O74">
        <f t="shared" si="28"/>
        <v>18.611505275522472</v>
      </c>
      <c r="P74">
        <f t="shared" si="29"/>
        <v>19.805567979429419</v>
      </c>
      <c r="Q74">
        <f t="shared" si="30"/>
        <v>19.867751690405377</v>
      </c>
      <c r="AC74">
        <f t="shared" si="22"/>
        <v>-0.86473412381408821</v>
      </c>
      <c r="AD74">
        <f t="shared" si="23"/>
        <v>18.976059124680656</v>
      </c>
      <c r="AE74">
        <f t="shared" si="31"/>
        <v>18.808684543303258</v>
      </c>
      <c r="AF74">
        <f t="shared" si="32"/>
        <v>20.009871385094865</v>
      </c>
      <c r="AG74">
        <f t="shared" si="33"/>
        <v>20.072332799905883</v>
      </c>
    </row>
    <row r="75" spans="1:33" x14ac:dyDescent="0.25">
      <c r="A75">
        <v>53</v>
      </c>
      <c r="B75">
        <v>2.302285836359752</v>
      </c>
      <c r="C75">
        <v>-1.011499080050271</v>
      </c>
      <c r="D75">
        <f t="shared" si="16"/>
        <v>8.1278651749903847</v>
      </c>
      <c r="E75">
        <f t="shared" si="17"/>
        <v>7.1462383270284882</v>
      </c>
      <c r="F75">
        <f t="shared" si="18"/>
        <v>0.67568960024531499</v>
      </c>
      <c r="G75">
        <f t="shared" si="19"/>
        <v>7.8219279272738031</v>
      </c>
      <c r="H75">
        <v>53</v>
      </c>
      <c r="I75">
        <v>1.4754914445802569</v>
      </c>
      <c r="J75">
        <v>-0.4871981218457222</v>
      </c>
      <c r="K75">
        <v>2.3065922505338676E-2</v>
      </c>
      <c r="L75">
        <f t="shared" si="25"/>
        <v>21.798324640069083</v>
      </c>
      <c r="M75">
        <f t="shared" si="26"/>
        <v>19.921651189438506</v>
      </c>
      <c r="N75">
        <f t="shared" si="27"/>
        <v>20.417585608553786</v>
      </c>
      <c r="O75">
        <f t="shared" si="28"/>
        <v>21.709271428401259</v>
      </c>
      <c r="P75">
        <f t="shared" si="29"/>
        <v>19.825902784868841</v>
      </c>
      <c r="Q75">
        <f t="shared" si="30"/>
        <v>20.321569471393826</v>
      </c>
      <c r="AC75">
        <f t="shared" si="22"/>
        <v>0.86610239777578002</v>
      </c>
      <c r="AD75">
        <f t="shared" si="23"/>
        <v>8.0123407248042682</v>
      </c>
      <c r="AE75">
        <f t="shared" si="31"/>
        <v>21.906450696182048</v>
      </c>
      <c r="AF75">
        <f t="shared" si="32"/>
        <v>20.030206190534287</v>
      </c>
      <c r="AG75">
        <f t="shared" si="33"/>
        <v>20.526150580894331</v>
      </c>
    </row>
    <row r="76" spans="1:33" x14ac:dyDescent="0.25">
      <c r="A76">
        <v>54</v>
      </c>
      <c r="B76">
        <v>2.8959318826868499</v>
      </c>
      <c r="C76">
        <v>0.49271875468548387</v>
      </c>
      <c r="D76">
        <f t="shared" si="16"/>
        <v>9.7253331704851025</v>
      </c>
      <c r="E76">
        <f t="shared" si="17"/>
        <v>10.203500642540128</v>
      </c>
      <c r="F76">
        <f t="shared" si="18"/>
        <v>-0.68348246930235312</v>
      </c>
      <c r="G76">
        <f t="shared" si="19"/>
        <v>9.5200181732377747</v>
      </c>
      <c r="H76">
        <v>54</v>
      </c>
      <c r="I76">
        <v>0.3998172815045109</v>
      </c>
      <c r="J76">
        <v>-0.84035718828090467</v>
      </c>
      <c r="K76">
        <v>0.13593535186373629</v>
      </c>
      <c r="L76">
        <f t="shared" si="25"/>
        <v>20.75441796831846</v>
      </c>
      <c r="M76">
        <f t="shared" si="26"/>
        <v>19.578921840444234</v>
      </c>
      <c r="N76">
        <f t="shared" si="27"/>
        <v>20.527121706368959</v>
      </c>
      <c r="O76">
        <f t="shared" si="28"/>
        <v>20.665364756650636</v>
      </c>
      <c r="P76">
        <f t="shared" si="29"/>
        <v>19.483173435874569</v>
      </c>
      <c r="Q76">
        <f t="shared" si="30"/>
        <v>20.431105569208999</v>
      </c>
      <c r="AC76">
        <f t="shared" si="22"/>
        <v>-0.56376567388190146</v>
      </c>
      <c r="AD76">
        <f t="shared" si="23"/>
        <v>9.6397349686582263</v>
      </c>
      <c r="AE76">
        <f t="shared" si="31"/>
        <v>20.862544024431422</v>
      </c>
      <c r="AF76">
        <f t="shared" si="32"/>
        <v>19.687476841540015</v>
      </c>
      <c r="AG76">
        <f t="shared" si="33"/>
        <v>20.635686678709504</v>
      </c>
    </row>
    <row r="77" spans="1:33" ht="15.75" thickBot="1" x14ac:dyDescent="0.3">
      <c r="A77">
        <v>55</v>
      </c>
      <c r="B77">
        <v>11.925870540482803</v>
      </c>
      <c r="C77">
        <v>0.96074472821783274</v>
      </c>
      <c r="D77">
        <f t="shared" si="16"/>
        <v>19.117283323299581</v>
      </c>
      <c r="E77">
        <f t="shared" si="17"/>
        <v>20.049654729123905</v>
      </c>
      <c r="F77">
        <f t="shared" si="18"/>
        <v>-0.91504941103705306</v>
      </c>
      <c r="G77">
        <f t="shared" si="19"/>
        <v>19.134605318086852</v>
      </c>
      <c r="H77">
        <v>55</v>
      </c>
      <c r="I77">
        <v>-0.80716972661321051</v>
      </c>
      <c r="J77">
        <v>0.10726466825872194</v>
      </c>
      <c r="K77">
        <v>0.81237203630735166</v>
      </c>
      <c r="L77">
        <f t="shared" si="25"/>
        <v>19.58307646571356</v>
      </c>
      <c r="M77">
        <f t="shared" si="26"/>
        <v>20.498557927556213</v>
      </c>
      <c r="N77">
        <f t="shared" si="27"/>
        <v>21.183581433809522</v>
      </c>
      <c r="O77">
        <f t="shared" si="28"/>
        <v>19.494023254045736</v>
      </c>
      <c r="P77">
        <f t="shared" si="29"/>
        <v>20.402809522986548</v>
      </c>
      <c r="Q77">
        <f t="shared" si="30"/>
        <v>21.087565296649561</v>
      </c>
      <c r="R77" s="1">
        <v>9</v>
      </c>
      <c r="S77" t="s">
        <v>48</v>
      </c>
      <c r="AC77">
        <f t="shared" si="22"/>
        <v>-0.84570463468106993</v>
      </c>
      <c r="AD77">
        <f t="shared" si="23"/>
        <v>19.203950094442835</v>
      </c>
      <c r="AE77">
        <f t="shared" si="31"/>
        <v>19.691202521826522</v>
      </c>
      <c r="AF77">
        <f t="shared" si="32"/>
        <v>20.607112928651993</v>
      </c>
      <c r="AG77">
        <f t="shared" si="33"/>
        <v>21.292146406150067</v>
      </c>
    </row>
    <row r="78" spans="1:33" x14ac:dyDescent="0.25">
      <c r="A78">
        <v>56</v>
      </c>
      <c r="B78">
        <v>5.9084749900814844</v>
      </c>
      <c r="C78">
        <v>-2.5278859538957477</v>
      </c>
      <c r="D78">
        <f t="shared" si="16"/>
        <v>15.138904944152586</v>
      </c>
      <c r="E78">
        <f t="shared" si="17"/>
        <v>12.685674120841794</v>
      </c>
      <c r="F78">
        <f t="shared" si="18"/>
        <v>2.4828552565918365</v>
      </c>
      <c r="G78">
        <f t="shared" si="19"/>
        <v>15.168529377433631</v>
      </c>
      <c r="H78">
        <v>56</v>
      </c>
      <c r="I78">
        <v>-0.36532924241328146</v>
      </c>
      <c r="J78">
        <v>-1.6112744560814463</v>
      </c>
      <c r="K78">
        <v>-0.55164036893984303</v>
      </c>
      <c r="L78">
        <f t="shared" si="25"/>
        <v>20.011868236622121</v>
      </c>
      <c r="M78">
        <f t="shared" si="26"/>
        <v>18.830771790131948</v>
      </c>
      <c r="N78">
        <f t="shared" si="27"/>
        <v>19.859851907651986</v>
      </c>
      <c r="O78">
        <f t="shared" si="28"/>
        <v>19.922815024954296</v>
      </c>
      <c r="P78">
        <f t="shared" si="29"/>
        <v>18.735023385562283</v>
      </c>
      <c r="Q78">
        <f t="shared" si="30"/>
        <v>19.763835770492026</v>
      </c>
      <c r="T78" s="11" t="s">
        <v>43</v>
      </c>
      <c r="U78" s="11" t="s">
        <v>45</v>
      </c>
      <c r="AC78">
        <f t="shared" si="22"/>
        <v>2.4680073430405187</v>
      </c>
      <c r="AD78">
        <f t="shared" si="23"/>
        <v>15.153681463882313</v>
      </c>
      <c r="AE78">
        <f t="shared" si="31"/>
        <v>20.119994292735083</v>
      </c>
      <c r="AF78">
        <f t="shared" si="32"/>
        <v>18.939326791227728</v>
      </c>
      <c r="AG78">
        <f t="shared" si="33"/>
        <v>19.968416879992532</v>
      </c>
    </row>
    <row r="79" spans="1:33" x14ac:dyDescent="0.25">
      <c r="A79">
        <v>57</v>
      </c>
      <c r="B79">
        <v>10.239051484725486</v>
      </c>
      <c r="C79">
        <v>0.50562903197715059</v>
      </c>
      <c r="D79">
        <f t="shared" si="16"/>
        <v>18.495557711964722</v>
      </c>
      <c r="E79">
        <f t="shared" si="17"/>
        <v>18.986254186817757</v>
      </c>
      <c r="F79">
        <f t="shared" si="18"/>
        <v>-0.45188434937469424</v>
      </c>
      <c r="G79">
        <f t="shared" si="19"/>
        <v>18.534369837443062</v>
      </c>
      <c r="H79">
        <v>57</v>
      </c>
      <c r="I79">
        <v>0.22020913093001582</v>
      </c>
      <c r="J79">
        <v>-0.76271817306405865</v>
      </c>
      <c r="K79">
        <v>0.24031805878621526</v>
      </c>
      <c r="L79">
        <f t="shared" si="25"/>
        <v>20.580114119512249</v>
      </c>
      <c r="M79">
        <f t="shared" si="26"/>
        <v>19.654267971043179</v>
      </c>
      <c r="N79">
        <f t="shared" si="27"/>
        <v>20.628421717015485</v>
      </c>
      <c r="O79">
        <f t="shared" si="28"/>
        <v>20.491060907844425</v>
      </c>
      <c r="P79">
        <f t="shared" si="29"/>
        <v>19.558519566473514</v>
      </c>
      <c r="Q79">
        <f t="shared" si="30"/>
        <v>20.532405579855524</v>
      </c>
      <c r="R79">
        <v>1</v>
      </c>
      <c r="S79">
        <f>H13+H12</f>
        <v>18.448168252271476</v>
      </c>
      <c r="T79" s="8">
        <v>18.448168252271476</v>
      </c>
      <c r="U79" s="9">
        <v>2</v>
      </c>
      <c r="V79">
        <f t="shared" si="21"/>
        <v>1.9607843137254902E-2</v>
      </c>
      <c r="AC79">
        <f t="shared" si="22"/>
        <v>-0.41505999475591082</v>
      </c>
      <c r="AD79">
        <f t="shared" si="23"/>
        <v>18.571194192061846</v>
      </c>
      <c r="AE79">
        <f t="shared" si="31"/>
        <v>20.688240175625211</v>
      </c>
      <c r="AF79">
        <f t="shared" si="32"/>
        <v>19.762822972138959</v>
      </c>
      <c r="AG79">
        <f t="shared" si="33"/>
        <v>20.73698668935603</v>
      </c>
    </row>
    <row r="80" spans="1:33" x14ac:dyDescent="0.25">
      <c r="A80">
        <v>58</v>
      </c>
      <c r="B80">
        <v>3.9261146885586111</v>
      </c>
      <c r="C80">
        <v>-0.12744635569106322</v>
      </c>
      <c r="D80">
        <f t="shared" si="16"/>
        <v>12.01967436284386</v>
      </c>
      <c r="E80">
        <f t="shared" si="17"/>
        <v>11.895991833725759</v>
      </c>
      <c r="F80">
        <f t="shared" si="18"/>
        <v>4.0779278883428915E-2</v>
      </c>
      <c r="G80">
        <f t="shared" si="19"/>
        <v>11.936771112609188</v>
      </c>
      <c r="H80">
        <v>58</v>
      </c>
      <c r="I80">
        <v>0.19238768800278194</v>
      </c>
      <c r="J80">
        <v>-1.8250375433126464</v>
      </c>
      <c r="K80">
        <v>1.1318479664623737</v>
      </c>
      <c r="L80">
        <f t="shared" si="25"/>
        <v>20.553114317075398</v>
      </c>
      <c r="M80">
        <f t="shared" si="26"/>
        <v>18.623321689911453</v>
      </c>
      <c r="N80">
        <f t="shared" si="27"/>
        <v>21.493622398258232</v>
      </c>
      <c r="O80">
        <f t="shared" si="28"/>
        <v>20.464061105407573</v>
      </c>
      <c r="P80">
        <f t="shared" si="29"/>
        <v>18.527573285341788</v>
      </c>
      <c r="Q80">
        <f t="shared" si="30"/>
        <v>21.397606261098272</v>
      </c>
      <c r="R80">
        <v>2</v>
      </c>
      <c r="S80">
        <f t="shared" ref="S80:S88" si="34">S79+$H$12</f>
        <v>18.959838780910285</v>
      </c>
      <c r="T80" s="8">
        <v>18.959838780910285</v>
      </c>
      <c r="U80" s="9">
        <v>7</v>
      </c>
      <c r="V80">
        <f t="shared" si="21"/>
        <v>6.8627450980392163E-2</v>
      </c>
      <c r="AC80">
        <f t="shared" si="22"/>
        <v>8.0850017679608754E-2</v>
      </c>
      <c r="AD80">
        <f t="shared" si="23"/>
        <v>11.976841851405368</v>
      </c>
      <c r="AE80">
        <f t="shared" si="31"/>
        <v>20.66124037318836</v>
      </c>
      <c r="AF80">
        <f t="shared" si="32"/>
        <v>18.731876691007233</v>
      </c>
      <c r="AG80">
        <f t="shared" si="33"/>
        <v>21.602187370598777</v>
      </c>
    </row>
    <row r="81" spans="1:33" x14ac:dyDescent="0.25">
      <c r="A81">
        <v>59</v>
      </c>
      <c r="B81">
        <v>4.2758568071535388</v>
      </c>
      <c r="C81">
        <v>1.1695192370098084</v>
      </c>
      <c r="D81">
        <f t="shared" si="16"/>
        <v>12.680568582422275</v>
      </c>
      <c r="E81">
        <f t="shared" si="17"/>
        <v>13.815548835888926</v>
      </c>
      <c r="F81">
        <f t="shared" si="18"/>
        <v>-1.1882315403247752</v>
      </c>
      <c r="G81">
        <f t="shared" si="19"/>
        <v>12.627317295564151</v>
      </c>
      <c r="H81">
        <v>59</v>
      </c>
      <c r="I81">
        <v>2.1002506400691345</v>
      </c>
      <c r="J81">
        <v>5.4915290093049407E-2</v>
      </c>
      <c r="K81">
        <v>0.16347598830179777</v>
      </c>
      <c r="L81">
        <f t="shared" si="25"/>
        <v>22.404633050920509</v>
      </c>
      <c r="M81">
        <f t="shared" si="26"/>
        <v>20.447754564414268</v>
      </c>
      <c r="N81">
        <f t="shared" si="27"/>
        <v>20.553848995271895</v>
      </c>
      <c r="O81">
        <f t="shared" si="28"/>
        <v>22.315579839252685</v>
      </c>
      <c r="P81">
        <f t="shared" si="29"/>
        <v>20.352006159844603</v>
      </c>
      <c r="Q81">
        <f t="shared" si="30"/>
        <v>20.457832858111935</v>
      </c>
      <c r="R81">
        <v>3</v>
      </c>
      <c r="S81">
        <f t="shared" si="34"/>
        <v>19.471509309549095</v>
      </c>
      <c r="T81" s="8">
        <v>19.471509309549095</v>
      </c>
      <c r="U81" s="9">
        <v>8</v>
      </c>
      <c r="V81">
        <f t="shared" si="21"/>
        <v>7.8431372549019607E-2</v>
      </c>
      <c r="AC81">
        <f t="shared" si="22"/>
        <v>-1.1655490200863028</v>
      </c>
      <c r="AD81">
        <f t="shared" si="23"/>
        <v>12.649999815802623</v>
      </c>
      <c r="AE81">
        <f t="shared" si="31"/>
        <v>22.512759107033471</v>
      </c>
      <c r="AF81">
        <f t="shared" si="32"/>
        <v>20.556309565510048</v>
      </c>
      <c r="AG81">
        <f t="shared" si="33"/>
        <v>20.662413967612441</v>
      </c>
    </row>
    <row r="82" spans="1:33" x14ac:dyDescent="0.25">
      <c r="A82">
        <v>60</v>
      </c>
      <c r="B82">
        <v>12.650990325632497</v>
      </c>
      <c r="C82">
        <v>9.3348262453218922E-2</v>
      </c>
      <c r="D82">
        <f t="shared" si="16"/>
        <v>19.317516827130319</v>
      </c>
      <c r="E82">
        <f t="shared" si="17"/>
        <v>19.408108269517118</v>
      </c>
      <c r="F82">
        <f t="shared" si="18"/>
        <v>-8.2934225562492969E-2</v>
      </c>
      <c r="G82">
        <f t="shared" si="19"/>
        <v>19.325174043954625</v>
      </c>
      <c r="H82">
        <v>60</v>
      </c>
      <c r="I82">
        <v>-1.2451391739887185</v>
      </c>
      <c r="J82">
        <v>2.6873385650105774</v>
      </c>
      <c r="K82">
        <v>0.53082771955814678</v>
      </c>
      <c r="L82">
        <f t="shared" si="25"/>
        <v>19.158041409715818</v>
      </c>
      <c r="M82">
        <f t="shared" si="26"/>
        <v>23.002435446309288</v>
      </c>
      <c r="N82">
        <f t="shared" si="27"/>
        <v>20.910351862312165</v>
      </c>
      <c r="O82">
        <f t="shared" si="28"/>
        <v>19.068988198047993</v>
      </c>
      <c r="P82">
        <f t="shared" si="29"/>
        <v>22.906687041739623</v>
      </c>
      <c r="Q82">
        <f t="shared" si="30"/>
        <v>20.814335725152205</v>
      </c>
      <c r="R82">
        <v>4</v>
      </c>
      <c r="S82">
        <f t="shared" si="34"/>
        <v>19.983179838187905</v>
      </c>
      <c r="T82" s="8">
        <v>19.983179838187905</v>
      </c>
      <c r="U82" s="9">
        <v>19</v>
      </c>
      <c r="V82">
        <f t="shared" si="21"/>
        <v>0.18627450980392157</v>
      </c>
      <c r="AC82">
        <f t="shared" si="22"/>
        <v>-4.0170017266305535E-4</v>
      </c>
      <c r="AD82">
        <f t="shared" si="23"/>
        <v>19.407706569344455</v>
      </c>
      <c r="AE82">
        <f t="shared" si="31"/>
        <v>19.266167465828779</v>
      </c>
      <c r="AF82">
        <f t="shared" si="32"/>
        <v>23.110990447405069</v>
      </c>
      <c r="AG82">
        <f t="shared" si="33"/>
        <v>21.01891683465271</v>
      </c>
    </row>
    <row r="83" spans="1:33" x14ac:dyDescent="0.25">
      <c r="A83">
        <v>61</v>
      </c>
      <c r="B83">
        <v>8.2797631763664654</v>
      </c>
      <c r="C83">
        <v>-1.2523150871857069</v>
      </c>
      <c r="D83">
        <f t="shared" si="16"/>
        <v>17.384618286658082</v>
      </c>
      <c r="E83">
        <f t="shared" si="17"/>
        <v>16.169287362552705</v>
      </c>
      <c r="F83">
        <f t="shared" si="18"/>
        <v>1.2697435995503064</v>
      </c>
      <c r="G83">
        <f t="shared" si="19"/>
        <v>17.439030962103011</v>
      </c>
      <c r="H83">
        <v>61</v>
      </c>
      <c r="I83">
        <v>-0.84002977018826641</v>
      </c>
      <c r="J83">
        <v>-1.1096290108980611</v>
      </c>
      <c r="K83">
        <v>0.60068259699619375</v>
      </c>
      <c r="L83">
        <f t="shared" si="25"/>
        <v>19.551186865777524</v>
      </c>
      <c r="M83">
        <f t="shared" si="26"/>
        <v>19.317602324001871</v>
      </c>
      <c r="N83">
        <f t="shared" si="27"/>
        <v>20.978143741224073</v>
      </c>
      <c r="O83">
        <f t="shared" si="28"/>
        <v>19.462133654109699</v>
      </c>
      <c r="P83">
        <f t="shared" si="29"/>
        <v>19.221853919432206</v>
      </c>
      <c r="Q83">
        <f t="shared" si="30"/>
        <v>20.882127604064113</v>
      </c>
      <c r="R83">
        <v>5</v>
      </c>
      <c r="S83">
        <f t="shared" si="34"/>
        <v>20.494850366826714</v>
      </c>
      <c r="T83" s="8">
        <v>20.494850366826714</v>
      </c>
      <c r="U83" s="9">
        <v>25</v>
      </c>
      <c r="V83">
        <f t="shared" si="21"/>
        <v>0.24509803921568626</v>
      </c>
      <c r="AC83">
        <f t="shared" si="22"/>
        <v>1.2710171039970639</v>
      </c>
      <c r="AD83">
        <f t="shared" si="23"/>
        <v>17.440304466549769</v>
      </c>
      <c r="AE83">
        <f t="shared" si="31"/>
        <v>19.659312921890486</v>
      </c>
      <c r="AF83">
        <f t="shared" si="32"/>
        <v>19.426157325097652</v>
      </c>
      <c r="AG83">
        <f t="shared" si="33"/>
        <v>21.086708713564619</v>
      </c>
    </row>
    <row r="84" spans="1:33" x14ac:dyDescent="0.25">
      <c r="A84">
        <v>62</v>
      </c>
      <c r="B84">
        <v>10.057771538438063</v>
      </c>
      <c r="C84">
        <v>-1.1786619324993808</v>
      </c>
      <c r="D84">
        <f t="shared" si="16"/>
        <v>18.412876373942076</v>
      </c>
      <c r="E84">
        <f t="shared" si="17"/>
        <v>17.269023432865211</v>
      </c>
      <c r="F84">
        <f t="shared" si="18"/>
        <v>1.184719186064406</v>
      </c>
      <c r="G84">
        <f t="shared" si="19"/>
        <v>18.453742618929617</v>
      </c>
      <c r="H84">
        <v>62</v>
      </c>
      <c r="I84">
        <v>-0.682362042425666</v>
      </c>
      <c r="J84">
        <v>1.1011729839083273</v>
      </c>
      <c r="K84">
        <v>0.62905428421800025</v>
      </c>
      <c r="L84">
        <f t="shared" si="25"/>
        <v>19.704198250247813</v>
      </c>
      <c r="M84">
        <f t="shared" si="26"/>
        <v>21.463113512723673</v>
      </c>
      <c r="N84">
        <f t="shared" si="27"/>
        <v>21.005677537792153</v>
      </c>
      <c r="O84">
        <f t="shared" si="28"/>
        <v>19.615145038579989</v>
      </c>
      <c r="P84">
        <f t="shared" si="29"/>
        <v>21.367365108154008</v>
      </c>
      <c r="Q84">
        <f t="shared" si="30"/>
        <v>20.909661400632192</v>
      </c>
      <c r="R84">
        <v>6</v>
      </c>
      <c r="S84">
        <f t="shared" si="34"/>
        <v>21.006520895465524</v>
      </c>
      <c r="T84" s="8">
        <v>21.006520895465524</v>
      </c>
      <c r="U84" s="9">
        <v>23</v>
      </c>
      <c r="V84">
        <f t="shared" si="21"/>
        <v>0.22549019607843138</v>
      </c>
      <c r="AC84">
        <f t="shared" si="22"/>
        <v>1.2180139914286912</v>
      </c>
      <c r="AD84">
        <f t="shared" si="23"/>
        <v>18.487037424293902</v>
      </c>
      <c r="AE84">
        <f t="shared" si="31"/>
        <v>19.812324306360775</v>
      </c>
      <c r="AF84">
        <f t="shared" si="32"/>
        <v>21.571668513819453</v>
      </c>
      <c r="AG84">
        <f t="shared" si="33"/>
        <v>21.114242510132698</v>
      </c>
    </row>
    <row r="85" spans="1:33" x14ac:dyDescent="0.25">
      <c r="A85">
        <v>63</v>
      </c>
      <c r="B85">
        <v>11.959929197058017</v>
      </c>
      <c r="C85">
        <v>-0.30279352358775213</v>
      </c>
      <c r="D85">
        <f t="shared" si="16"/>
        <v>19.127471517534982</v>
      </c>
      <c r="E85">
        <f t="shared" si="17"/>
        <v>18.833620284246713</v>
      </c>
      <c r="F85">
        <f t="shared" si="18"/>
        <v>0.31071861793516575</v>
      </c>
      <c r="G85">
        <f t="shared" si="19"/>
        <v>19.144338902181879</v>
      </c>
      <c r="H85">
        <v>63</v>
      </c>
      <c r="I85">
        <v>0.40164081838156562</v>
      </c>
      <c r="J85">
        <v>0.52098926062171813</v>
      </c>
      <c r="K85">
        <v>-0.13956423572381027</v>
      </c>
      <c r="L85">
        <f t="shared" si="25"/>
        <v>20.756187651348402</v>
      </c>
      <c r="M85">
        <f t="shared" si="26"/>
        <v>20.900064142970095</v>
      </c>
      <c r="N85">
        <f t="shared" si="27"/>
        <v>20.259758347259503</v>
      </c>
      <c r="O85">
        <f t="shared" si="28"/>
        <v>20.667134439680577</v>
      </c>
      <c r="P85">
        <f t="shared" si="29"/>
        <v>20.80431573840043</v>
      </c>
      <c r="Q85">
        <f t="shared" si="30"/>
        <v>20.163742210099542</v>
      </c>
      <c r="R85">
        <v>7</v>
      </c>
      <c r="S85">
        <f t="shared" si="34"/>
        <v>21.518191424104334</v>
      </c>
      <c r="T85" s="8">
        <v>21.518191424104334</v>
      </c>
      <c r="U85" s="9">
        <v>8</v>
      </c>
      <c r="V85">
        <f t="shared" si="21"/>
        <v>7.8431372549019607E-2</v>
      </c>
      <c r="AC85">
        <f t="shared" si="22"/>
        <v>0.38069766024374019</v>
      </c>
      <c r="AD85">
        <f t="shared" si="23"/>
        <v>19.214317944490453</v>
      </c>
      <c r="AE85">
        <f t="shared" si="31"/>
        <v>20.864313707461363</v>
      </c>
      <c r="AF85">
        <f t="shared" si="32"/>
        <v>21.008619144065875</v>
      </c>
      <c r="AG85">
        <f t="shared" si="33"/>
        <v>20.368323319600048</v>
      </c>
    </row>
    <row r="86" spans="1:33" x14ac:dyDescent="0.25">
      <c r="A86">
        <v>64</v>
      </c>
      <c r="B86">
        <v>10.860530411694693</v>
      </c>
      <c r="C86">
        <v>0.87382431956939399</v>
      </c>
      <c r="D86">
        <f t="shared" si="16"/>
        <v>18.753706470331306</v>
      </c>
      <c r="E86">
        <f t="shared" si="17"/>
        <v>19.601724456120007</v>
      </c>
      <c r="F86">
        <f t="shared" si="18"/>
        <v>-0.81674965471721706</v>
      </c>
      <c r="G86">
        <f t="shared" si="19"/>
        <v>18.78497480140279</v>
      </c>
      <c r="H86">
        <v>64</v>
      </c>
      <c r="I86">
        <v>-0.77423010225174949</v>
      </c>
      <c r="J86">
        <v>-0.11072756933572236</v>
      </c>
      <c r="K86">
        <v>0.74271270023018587</v>
      </c>
      <c r="L86">
        <f t="shared" si="25"/>
        <v>19.615043296205769</v>
      </c>
      <c r="M86">
        <f t="shared" si="26"/>
        <v>20.287003574922139</v>
      </c>
      <c r="N86">
        <f t="shared" si="27"/>
        <v>21.11597932140706</v>
      </c>
      <c r="O86">
        <f t="shared" si="28"/>
        <v>19.525990084537945</v>
      </c>
      <c r="P86">
        <f t="shared" si="29"/>
        <v>20.191255170352473</v>
      </c>
      <c r="Q86">
        <f t="shared" si="30"/>
        <v>21.0199631842471</v>
      </c>
      <c r="R86">
        <v>8</v>
      </c>
      <c r="S86">
        <f t="shared" si="34"/>
        <v>22.029861952743143</v>
      </c>
      <c r="T86" s="8">
        <v>22.029861952743143</v>
      </c>
      <c r="U86" s="9">
        <v>5</v>
      </c>
      <c r="V86">
        <f t="shared" si="21"/>
        <v>4.9019607843137254E-2</v>
      </c>
      <c r="AC86">
        <f t="shared" si="22"/>
        <v>-0.76778687249277411</v>
      </c>
      <c r="AD86">
        <f t="shared" si="23"/>
        <v>18.833937583627232</v>
      </c>
      <c r="AE86">
        <f t="shared" si="31"/>
        <v>19.723169352318731</v>
      </c>
      <c r="AF86">
        <f t="shared" si="32"/>
        <v>20.395558576017919</v>
      </c>
      <c r="AG86">
        <f t="shared" si="33"/>
        <v>21.224544293747606</v>
      </c>
    </row>
    <row r="87" spans="1:33" x14ac:dyDescent="0.25">
      <c r="A87">
        <v>65</v>
      </c>
      <c r="B87">
        <v>11.393383587145603</v>
      </c>
      <c r="C87">
        <v>-2.2419590095523745</v>
      </c>
      <c r="D87">
        <f t="shared" si="16"/>
        <v>18.946921058356576</v>
      </c>
      <c r="E87">
        <f t="shared" si="17"/>
        <v>16.771173003600762</v>
      </c>
      <c r="F87">
        <f t="shared" si="18"/>
        <v>2.2001341665877376</v>
      </c>
      <c r="G87">
        <f t="shared" si="19"/>
        <v>18.971307170188499</v>
      </c>
      <c r="H87">
        <v>65</v>
      </c>
      <c r="I87">
        <v>-1.1469273886177689</v>
      </c>
      <c r="J87">
        <v>9.4808001449564472E-2</v>
      </c>
      <c r="K87">
        <v>-0.69029965743538924</v>
      </c>
      <c r="L87">
        <f t="shared" ref="L87:L118" si="35">$B$7-$B$8*EXP(-$B$9*F$16)+I87*$B$10</f>
        <v>19.25335274237823</v>
      </c>
      <c r="M87">
        <f t="shared" ref="M87:M118" si="36">$B$7-$B$8*EXP(-$B$9*G$16)+J87*$B$10</f>
        <v>20.486469138928371</v>
      </c>
      <c r="N87">
        <f t="shared" ref="N87:N118" si="37">$B$7-$B$8*EXP(-$B$9*H$16)+K87*$B$10</f>
        <v>19.725287593169607</v>
      </c>
      <c r="O87">
        <f t="shared" ref="O87:O118" si="38">$F$3-$F$4*EXP(-$F$5*I$16)+I87*$B$10</f>
        <v>19.164299530710405</v>
      </c>
      <c r="P87">
        <f t="shared" ref="P87:P118" si="39">$F$3-$F$4*EXP(-$F$5*J$16)+J87*$B$10</f>
        <v>20.390720734358705</v>
      </c>
      <c r="Q87">
        <f t="shared" ref="Q87:Q118" si="40">$F$3-$F$4*EXP(-$F$5*K$16)+K87*$B$10</f>
        <v>19.629271456009647</v>
      </c>
      <c r="R87">
        <v>9</v>
      </c>
      <c r="S87">
        <f t="shared" si="34"/>
        <v>22.541532481381953</v>
      </c>
      <c r="T87" s="8">
        <v>22.541532481381953</v>
      </c>
      <c r="U87" s="9">
        <v>3</v>
      </c>
      <c r="V87">
        <f t="shared" si="21"/>
        <v>2.9411764705882353E-2</v>
      </c>
      <c r="AC87">
        <f t="shared" si="22"/>
        <v>2.2594049206080804</v>
      </c>
      <c r="AD87">
        <f t="shared" si="23"/>
        <v>19.030577924208842</v>
      </c>
      <c r="AE87">
        <f t="shared" ref="AE87:AE118" si="41">$H$3-$H$4*EXP(-$H$5*AI$27)+I87*$B$10</f>
        <v>19.361478798491191</v>
      </c>
      <c r="AF87">
        <f t="shared" ref="AF87:AF118" si="42">$H$3-$H$4*EXP(-$H$5*AJ$27)+J87*$B$10</f>
        <v>20.595024140024151</v>
      </c>
      <c r="AG87">
        <f t="shared" ref="AG87:AG118" si="43">$H$3-$H$4*EXP(-$H$5*AK$27)+K87*$B$10</f>
        <v>19.833852565510153</v>
      </c>
    </row>
    <row r="88" spans="1:33" x14ac:dyDescent="0.25">
      <c r="A88">
        <v>66</v>
      </c>
      <c r="B88">
        <v>2.9193700979644155</v>
      </c>
      <c r="C88">
        <v>-1.5496743799303658</v>
      </c>
      <c r="D88">
        <f t="shared" ref="D88:D126" si="44">$B$7-$B$8*EXP(-$B$9*B88)</f>
        <v>9.7839450741351417</v>
      </c>
      <c r="E88">
        <f t="shared" ref="E88:E126" si="45">D88+$B$10*C88</f>
        <v>8.280036660434213</v>
      </c>
      <c r="F88">
        <f t="shared" ref="F88:F126" si="46">$F$3-$F$4*EXP(-$F$5*B88)-E88</f>
        <v>1.3020612651855661</v>
      </c>
      <c r="G88">
        <f t="shared" ref="G88:G126" si="47">$F$3-$F$4*EXP(-$F$5*B88)</f>
        <v>9.5820979256197791</v>
      </c>
      <c r="H88">
        <v>66</v>
      </c>
      <c r="I88">
        <v>0.47149455895123538</v>
      </c>
      <c r="J88">
        <v>-1.8299124349141493</v>
      </c>
      <c r="K88">
        <v>-3.4010554372798651E-2</v>
      </c>
      <c r="L88">
        <f t="shared" si="35"/>
        <v>20.823978426966651</v>
      </c>
      <c r="M88">
        <f t="shared" si="36"/>
        <v>18.618590766699242</v>
      </c>
      <c r="N88">
        <f t="shared" si="37"/>
        <v>20.362194750375377</v>
      </c>
      <c r="O88">
        <f t="shared" si="38"/>
        <v>20.734925215298826</v>
      </c>
      <c r="P88">
        <f t="shared" si="39"/>
        <v>18.522842362129577</v>
      </c>
      <c r="Q88">
        <f t="shared" si="40"/>
        <v>20.266178613215416</v>
      </c>
      <c r="R88">
        <v>10</v>
      </c>
      <c r="S88">
        <f t="shared" si="34"/>
        <v>23.053203010020763</v>
      </c>
      <c r="T88" s="8">
        <v>23.053203010020763</v>
      </c>
      <c r="U88" s="9">
        <v>2</v>
      </c>
      <c r="V88">
        <f t="shared" ref="V88:V101" si="48">U88/$U$34</f>
        <v>1.9607843137254902E-2</v>
      </c>
      <c r="AC88">
        <f t="shared" ref="AC88:AC126" si="49">$H$3-$H$4*EXP(-$H$5*B88)-E88</f>
        <v>1.4194060452590271</v>
      </c>
      <c r="AD88">
        <f t="shared" ref="AD88:AD126" si="50">$H$3-$H$4*EXP(-$H$5*B88)</f>
        <v>9.6994427056932402</v>
      </c>
      <c r="AE88">
        <f t="shared" si="41"/>
        <v>20.932104483079613</v>
      </c>
      <c r="AF88">
        <f t="shared" si="42"/>
        <v>18.727145767795022</v>
      </c>
      <c r="AG88">
        <f t="shared" si="43"/>
        <v>20.470759722715922</v>
      </c>
    </row>
    <row r="89" spans="1:33" ht="15.75" thickBot="1" x14ac:dyDescent="0.3">
      <c r="A89">
        <v>67</v>
      </c>
      <c r="B89">
        <v>4.4750816370128481</v>
      </c>
      <c r="C89">
        <v>-1.4215538612916134</v>
      </c>
      <c r="D89">
        <f t="shared" si="44"/>
        <v>13.033450543238409</v>
      </c>
      <c r="E89">
        <f t="shared" si="45"/>
        <v>11.653878911795703</v>
      </c>
      <c r="F89">
        <f t="shared" si="46"/>
        <v>1.3409925720663249</v>
      </c>
      <c r="G89">
        <f t="shared" si="47"/>
        <v>12.994871483862028</v>
      </c>
      <c r="H89">
        <v>67</v>
      </c>
      <c r="I89">
        <v>0.30015144147910178</v>
      </c>
      <c r="J89">
        <v>-0.85448846220970154</v>
      </c>
      <c r="K89">
        <v>0.5630772648146376</v>
      </c>
      <c r="L89">
        <f t="shared" si="35"/>
        <v>20.657695523065467</v>
      </c>
      <c r="M89">
        <f t="shared" si="36"/>
        <v>19.565207900255857</v>
      </c>
      <c r="N89">
        <f t="shared" si="37"/>
        <v>20.941648993553017</v>
      </c>
      <c r="O89">
        <f t="shared" si="38"/>
        <v>20.568642311397642</v>
      </c>
      <c r="P89">
        <f t="shared" si="39"/>
        <v>19.469459495686191</v>
      </c>
      <c r="Q89">
        <f t="shared" si="40"/>
        <v>20.845632856393056</v>
      </c>
      <c r="T89" s="10" t="s">
        <v>44</v>
      </c>
      <c r="U89" s="10">
        <v>0</v>
      </c>
      <c r="AC89">
        <f t="shared" si="49"/>
        <v>1.3555395809369202</v>
      </c>
      <c r="AD89">
        <f t="shared" si="50"/>
        <v>13.009418492732623</v>
      </c>
      <c r="AE89">
        <f t="shared" si="41"/>
        <v>20.765821579178429</v>
      </c>
      <c r="AF89">
        <f t="shared" si="42"/>
        <v>19.673762901351637</v>
      </c>
      <c r="AG89">
        <f t="shared" si="43"/>
        <v>21.050213965893562</v>
      </c>
    </row>
    <row r="90" spans="1:33" ht="15.75" thickBot="1" x14ac:dyDescent="0.3">
      <c r="A90">
        <v>68</v>
      </c>
      <c r="B90">
        <v>6.8745689260536516</v>
      </c>
      <c r="C90">
        <v>0.32699063012842089</v>
      </c>
      <c r="D90">
        <f t="shared" si="44"/>
        <v>16.20655166652703</v>
      </c>
      <c r="E90">
        <f t="shared" si="45"/>
        <v>16.52388540206546</v>
      </c>
      <c r="F90">
        <f t="shared" si="46"/>
        <v>-0.26839369397620416</v>
      </c>
      <c r="G90">
        <f t="shared" si="47"/>
        <v>16.255491708089256</v>
      </c>
      <c r="H90">
        <v>68</v>
      </c>
      <c r="I90">
        <v>-0.27464011509437114</v>
      </c>
      <c r="J90">
        <v>-0.80114432421396486</v>
      </c>
      <c r="K90">
        <v>-1.5622526916558854</v>
      </c>
      <c r="L90">
        <f t="shared" si="35"/>
        <v>20.099879075139199</v>
      </c>
      <c r="M90">
        <f t="shared" si="36"/>
        <v>19.616976645349915</v>
      </c>
      <c r="N90">
        <f t="shared" si="37"/>
        <v>18.879085628744551</v>
      </c>
      <c r="O90">
        <f t="shared" si="38"/>
        <v>20.010825863471375</v>
      </c>
      <c r="P90">
        <f t="shared" si="39"/>
        <v>19.52122824078025</v>
      </c>
      <c r="Q90">
        <f t="shared" si="40"/>
        <v>18.783069491584591</v>
      </c>
      <c r="AC90">
        <f t="shared" si="49"/>
        <v>-0.28303136540075968</v>
      </c>
      <c r="AD90">
        <f t="shared" si="50"/>
        <v>16.2408540366647</v>
      </c>
      <c r="AE90">
        <f t="shared" si="41"/>
        <v>20.208005131252161</v>
      </c>
      <c r="AF90">
        <f t="shared" si="42"/>
        <v>19.725531646445695</v>
      </c>
      <c r="AG90">
        <f t="shared" si="43"/>
        <v>18.987650601085097</v>
      </c>
    </row>
    <row r="91" spans="1:33" x14ac:dyDescent="0.25">
      <c r="A91">
        <v>69</v>
      </c>
      <c r="B91">
        <v>10.066194647053438</v>
      </c>
      <c r="C91">
        <v>-0.21323785404092632</v>
      </c>
      <c r="D91">
        <f t="shared" si="44"/>
        <v>18.416796669111783</v>
      </c>
      <c r="E91">
        <f t="shared" si="45"/>
        <v>18.209856290562005</v>
      </c>
      <c r="F91">
        <f t="shared" si="46"/>
        <v>0.24771297291275829</v>
      </c>
      <c r="G91">
        <f t="shared" si="47"/>
        <v>18.457569263474763</v>
      </c>
      <c r="H91">
        <v>69</v>
      </c>
      <c r="I91">
        <v>-5.499146027432289E-2</v>
      </c>
      <c r="J91">
        <v>-0.88101842266041785</v>
      </c>
      <c r="K91">
        <v>-1.3214662430982571</v>
      </c>
      <c r="L91">
        <f t="shared" si="35"/>
        <v>20.313040926635257</v>
      </c>
      <c r="M91">
        <f t="shared" si="36"/>
        <v>19.539461439416272</v>
      </c>
      <c r="N91">
        <f t="shared" si="37"/>
        <v>19.112761019252879</v>
      </c>
      <c r="O91">
        <f t="shared" si="38"/>
        <v>20.223987714967432</v>
      </c>
      <c r="P91">
        <f t="shared" si="39"/>
        <v>19.443713034846606</v>
      </c>
      <c r="Q91">
        <f t="shared" si="40"/>
        <v>19.016744882092919</v>
      </c>
      <c r="T91" s="11" t="s">
        <v>43</v>
      </c>
      <c r="U91" s="11" t="s">
        <v>45</v>
      </c>
      <c r="AC91">
        <f t="shared" si="49"/>
        <v>0.2811714252242048</v>
      </c>
      <c r="AD91">
        <f t="shared" si="50"/>
        <v>18.49102771578621</v>
      </c>
      <c r="AE91">
        <f t="shared" si="41"/>
        <v>20.421166982748218</v>
      </c>
      <c r="AF91">
        <f t="shared" si="42"/>
        <v>19.648016440512052</v>
      </c>
      <c r="AG91">
        <f t="shared" si="43"/>
        <v>19.221325991593424</v>
      </c>
    </row>
    <row r="92" spans="1:33" x14ac:dyDescent="0.25">
      <c r="A92">
        <v>70</v>
      </c>
      <c r="B92">
        <v>12.56053346354564</v>
      </c>
      <c r="C92">
        <v>1.2507825886132196E-2</v>
      </c>
      <c r="D92">
        <f t="shared" si="44"/>
        <v>19.294360881113526</v>
      </c>
      <c r="E92">
        <f t="shared" si="45"/>
        <v>19.30649931795605</v>
      </c>
      <c r="F92">
        <f t="shared" si="46"/>
        <v>-3.2812588343311688E-3</v>
      </c>
      <c r="G92">
        <f t="shared" si="47"/>
        <v>19.303218059121718</v>
      </c>
      <c r="H92">
        <v>70</v>
      </c>
      <c r="I92">
        <v>1.611551851965487</v>
      </c>
      <c r="J92">
        <v>-0.99932549346704036</v>
      </c>
      <c r="K92">
        <v>-0.52309360398794524</v>
      </c>
      <c r="L92">
        <f t="shared" si="35"/>
        <v>21.930366825245702</v>
      </c>
      <c r="M92">
        <f t="shared" si="36"/>
        <v>19.424648288027406</v>
      </c>
      <c r="N92">
        <f t="shared" si="37"/>
        <v>19.887555611443638</v>
      </c>
      <c r="O92">
        <f t="shared" si="38"/>
        <v>21.841313613577878</v>
      </c>
      <c r="P92">
        <f t="shared" si="39"/>
        <v>19.328899883457741</v>
      </c>
      <c r="Q92">
        <f t="shared" si="40"/>
        <v>19.791539474283677</v>
      </c>
      <c r="T92" s="8">
        <v>18.448168252271476</v>
      </c>
      <c r="U92" s="9">
        <v>3</v>
      </c>
      <c r="V92">
        <f t="shared" si="48"/>
        <v>2.9411764705882353E-2</v>
      </c>
      <c r="AC92">
        <f t="shared" si="49"/>
        <v>7.7644783749924784E-2</v>
      </c>
      <c r="AD92">
        <f t="shared" si="50"/>
        <v>19.384144101705974</v>
      </c>
      <c r="AE92">
        <f t="shared" si="41"/>
        <v>22.038492881358664</v>
      </c>
      <c r="AF92">
        <f t="shared" si="42"/>
        <v>19.533203289123186</v>
      </c>
      <c r="AG92">
        <f t="shared" si="43"/>
        <v>19.996120583784183</v>
      </c>
    </row>
    <row r="93" spans="1:33" x14ac:dyDescent="0.25">
      <c r="A93">
        <v>71</v>
      </c>
      <c r="B93">
        <v>1.1626026184881131</v>
      </c>
      <c r="C93">
        <v>-1.4413717508432455</v>
      </c>
      <c r="D93">
        <f t="shared" si="44"/>
        <v>4.3600376458041623</v>
      </c>
      <c r="E93">
        <f t="shared" si="45"/>
        <v>2.9612333992879361</v>
      </c>
      <c r="F93">
        <f t="shared" si="46"/>
        <v>0.81484499474193406</v>
      </c>
      <c r="G93">
        <f t="shared" si="47"/>
        <v>3.7760783940298701</v>
      </c>
      <c r="H93">
        <v>71</v>
      </c>
      <c r="I93">
        <v>0.68545432441169396</v>
      </c>
      <c r="J93">
        <v>0.2993510861415416</v>
      </c>
      <c r="K93">
        <v>-0.56882413446146529</v>
      </c>
      <c r="L93">
        <f t="shared" si="35"/>
        <v>21.031619396990251</v>
      </c>
      <c r="M93">
        <f t="shared" si="36"/>
        <v>20.6849715275698</v>
      </c>
      <c r="N93">
        <f t="shared" si="37"/>
        <v>19.843175623987676</v>
      </c>
      <c r="O93">
        <f t="shared" si="38"/>
        <v>20.942566185322427</v>
      </c>
      <c r="P93">
        <f t="shared" si="39"/>
        <v>20.589223123000135</v>
      </c>
      <c r="Q93">
        <f t="shared" si="40"/>
        <v>19.747159486827716</v>
      </c>
      <c r="T93" s="8">
        <v>18.959838780910285</v>
      </c>
      <c r="U93" s="9">
        <v>7</v>
      </c>
      <c r="V93">
        <f t="shared" si="48"/>
        <v>6.8627450980392163E-2</v>
      </c>
      <c r="AC93">
        <f t="shared" si="49"/>
        <v>1.2123024888534619</v>
      </c>
      <c r="AD93">
        <f t="shared" si="50"/>
        <v>4.173535888141398</v>
      </c>
      <c r="AE93">
        <f t="shared" si="41"/>
        <v>21.139745453103213</v>
      </c>
      <c r="AF93">
        <f t="shared" si="42"/>
        <v>20.793526528665581</v>
      </c>
      <c r="AG93">
        <f t="shared" si="43"/>
        <v>19.951740596328221</v>
      </c>
    </row>
    <row r="94" spans="1:33" x14ac:dyDescent="0.25">
      <c r="A94">
        <v>72</v>
      </c>
      <c r="B94">
        <v>4.2260505996887119</v>
      </c>
      <c r="C94">
        <v>0.7478638508473523</v>
      </c>
      <c r="D94">
        <f t="shared" si="44"/>
        <v>12.589736120589837</v>
      </c>
      <c r="E94">
        <f t="shared" si="45"/>
        <v>13.315513582073486</v>
      </c>
      <c r="F94">
        <f t="shared" si="46"/>
        <v>-0.78293915705217998</v>
      </c>
      <c r="G94">
        <f t="shared" si="47"/>
        <v>12.532574425021306</v>
      </c>
      <c r="H94">
        <v>72</v>
      </c>
      <c r="I94">
        <v>-0.7827225090295542</v>
      </c>
      <c r="J94">
        <v>2.1215419110376388</v>
      </c>
      <c r="K94">
        <v>-0.23205984689411707</v>
      </c>
      <c r="L94">
        <f t="shared" si="35"/>
        <v>19.606801692568826</v>
      </c>
      <c r="M94">
        <f t="shared" si="36"/>
        <v>22.453348257817488</v>
      </c>
      <c r="N94">
        <f t="shared" si="37"/>
        <v>20.169994375117376</v>
      </c>
      <c r="O94">
        <f t="shared" si="38"/>
        <v>19.517748480901002</v>
      </c>
      <c r="P94">
        <f t="shared" si="39"/>
        <v>22.357599853247823</v>
      </c>
      <c r="Q94">
        <f t="shared" si="40"/>
        <v>20.073978237957416</v>
      </c>
      <c r="T94" s="8">
        <v>19.471509309549095</v>
      </c>
      <c r="U94" s="9">
        <v>8</v>
      </c>
      <c r="V94">
        <f t="shared" si="48"/>
        <v>7.8431372549019607E-2</v>
      </c>
      <c r="AC94">
        <f t="shared" si="49"/>
        <v>-0.75803011373420581</v>
      </c>
      <c r="AD94">
        <f t="shared" si="50"/>
        <v>12.55748346833928</v>
      </c>
      <c r="AE94">
        <f t="shared" si="41"/>
        <v>19.714927748681788</v>
      </c>
      <c r="AF94">
        <f t="shared" si="42"/>
        <v>22.561903258913269</v>
      </c>
      <c r="AG94">
        <f t="shared" si="43"/>
        <v>20.278559347457922</v>
      </c>
    </row>
    <row r="95" spans="1:33" x14ac:dyDescent="0.25">
      <c r="A95">
        <v>73</v>
      </c>
      <c r="B95">
        <v>7.0408337656788849</v>
      </c>
      <c r="C95">
        <v>-0.86767840912216343</v>
      </c>
      <c r="D95">
        <f t="shared" si="44"/>
        <v>16.367066853581186</v>
      </c>
      <c r="E95">
        <f t="shared" si="45"/>
        <v>15.525013273316089</v>
      </c>
      <c r="F95">
        <f t="shared" si="46"/>
        <v>0.8928113037299088</v>
      </c>
      <c r="G95">
        <f t="shared" si="47"/>
        <v>16.417824577045998</v>
      </c>
      <c r="H95">
        <v>73</v>
      </c>
      <c r="I95">
        <v>-0.74917807069141418</v>
      </c>
      <c r="J95">
        <v>-0.86767840912216343</v>
      </c>
      <c r="K95">
        <v>-0.2124556885974016</v>
      </c>
      <c r="L95">
        <f t="shared" si="35"/>
        <v>19.639355475287921</v>
      </c>
      <c r="M95">
        <f t="shared" si="36"/>
        <v>19.552407487217593</v>
      </c>
      <c r="N95">
        <f t="shared" si="37"/>
        <v>20.189019570982897</v>
      </c>
      <c r="O95">
        <f t="shared" si="38"/>
        <v>19.550302263620097</v>
      </c>
      <c r="P95">
        <f t="shared" si="39"/>
        <v>19.456659082647928</v>
      </c>
      <c r="Q95">
        <f t="shared" si="40"/>
        <v>20.093003433822936</v>
      </c>
      <c r="T95" s="8">
        <v>19.983179838187905</v>
      </c>
      <c r="U95" s="9">
        <v>18</v>
      </c>
      <c r="V95">
        <f t="shared" si="48"/>
        <v>0.17647058823529413</v>
      </c>
      <c r="AC95">
        <f t="shared" si="49"/>
        <v>0.87928053667185146</v>
      </c>
      <c r="AD95">
        <f t="shared" si="50"/>
        <v>16.404293809987941</v>
      </c>
      <c r="AE95">
        <f t="shared" si="41"/>
        <v>19.747481531400883</v>
      </c>
      <c r="AF95">
        <f t="shared" si="42"/>
        <v>19.660962488313373</v>
      </c>
      <c r="AG95">
        <f t="shared" si="43"/>
        <v>20.297584543323442</v>
      </c>
    </row>
    <row r="96" spans="1:33" x14ac:dyDescent="0.25">
      <c r="A96">
        <v>74</v>
      </c>
      <c r="B96">
        <v>8.725089266640218</v>
      </c>
      <c r="C96">
        <v>0.47637286115786992</v>
      </c>
      <c r="D96">
        <f t="shared" si="44"/>
        <v>17.683776162940717</v>
      </c>
      <c r="E96">
        <f t="shared" si="45"/>
        <v>18.146080478758531</v>
      </c>
      <c r="F96">
        <f t="shared" si="46"/>
        <v>-0.40977999293341227</v>
      </c>
      <c r="G96">
        <f t="shared" si="47"/>
        <v>17.736300485825119</v>
      </c>
      <c r="H96">
        <v>74</v>
      </c>
      <c r="I96">
        <v>0.59930925999651663</v>
      </c>
      <c r="J96">
        <v>-0.42296278479625471</v>
      </c>
      <c r="K96">
        <v>1.7198908608406782</v>
      </c>
      <c r="L96">
        <f t="shared" si="35"/>
        <v>20.948018423230451</v>
      </c>
      <c r="M96">
        <f t="shared" si="36"/>
        <v>19.983989487791192</v>
      </c>
      <c r="N96">
        <f t="shared" si="37"/>
        <v>22.064298837080379</v>
      </c>
      <c r="O96">
        <f t="shared" si="38"/>
        <v>20.858965211562627</v>
      </c>
      <c r="P96">
        <f t="shared" si="39"/>
        <v>19.888241083221526</v>
      </c>
      <c r="Q96">
        <f t="shared" si="40"/>
        <v>21.968282699920419</v>
      </c>
      <c r="T96" s="8">
        <v>20.494850366826714</v>
      </c>
      <c r="U96" s="9">
        <v>32</v>
      </c>
      <c r="V96">
        <f t="shared" si="48"/>
        <v>0.31372549019607843</v>
      </c>
      <c r="AC96">
        <f t="shared" si="49"/>
        <v>-0.40122171392279071</v>
      </c>
      <c r="AD96">
        <f t="shared" si="50"/>
        <v>17.74485876483574</v>
      </c>
      <c r="AE96">
        <f t="shared" si="41"/>
        <v>21.056144479343413</v>
      </c>
      <c r="AF96">
        <f t="shared" si="42"/>
        <v>20.092544488886972</v>
      </c>
      <c r="AG96">
        <f t="shared" si="43"/>
        <v>22.172863809420924</v>
      </c>
    </row>
    <row r="97" spans="1:33" x14ac:dyDescent="0.25">
      <c r="A97">
        <v>75</v>
      </c>
      <c r="B97">
        <v>8.8613238929410691</v>
      </c>
      <c r="C97">
        <v>0.21018763618485536</v>
      </c>
      <c r="D97">
        <f t="shared" si="44"/>
        <v>17.769214219636847</v>
      </c>
      <c r="E97">
        <f t="shared" si="45"/>
        <v>17.973194461298014</v>
      </c>
      <c r="F97">
        <f t="shared" si="46"/>
        <v>-0.15228001784613809</v>
      </c>
      <c r="G97">
        <f t="shared" si="47"/>
        <v>17.820914443451876</v>
      </c>
      <c r="H97">
        <v>75</v>
      </c>
      <c r="I97">
        <v>-2.0654442778322846</v>
      </c>
      <c r="J97">
        <v>0.5315325779520208</v>
      </c>
      <c r="K97">
        <v>0.27011424208467361</v>
      </c>
      <c r="L97">
        <f t="shared" si="35"/>
        <v>18.361962076244751</v>
      </c>
      <c r="M97">
        <f t="shared" si="36"/>
        <v>20.910296088368892</v>
      </c>
      <c r="N97">
        <f t="shared" si="37"/>
        <v>20.657337940538998</v>
      </c>
      <c r="O97">
        <f t="shared" si="38"/>
        <v>18.272908864576927</v>
      </c>
      <c r="P97">
        <f t="shared" si="39"/>
        <v>20.814547683799226</v>
      </c>
      <c r="Q97">
        <f t="shared" si="40"/>
        <v>20.561321803379037</v>
      </c>
      <c r="T97" s="8">
        <v>21.006520895465524</v>
      </c>
      <c r="U97" s="9">
        <v>17</v>
      </c>
      <c r="V97">
        <f t="shared" si="48"/>
        <v>0.16666666666666666</v>
      </c>
      <c r="AC97">
        <f t="shared" si="49"/>
        <v>-0.14135940451457429</v>
      </c>
      <c r="AD97">
        <f t="shared" si="50"/>
        <v>17.83183505678344</v>
      </c>
      <c r="AE97">
        <f t="shared" si="41"/>
        <v>18.470088132357713</v>
      </c>
      <c r="AF97">
        <f t="shared" si="42"/>
        <v>21.018851089464672</v>
      </c>
      <c r="AG97">
        <f t="shared" si="43"/>
        <v>20.765902912879543</v>
      </c>
    </row>
    <row r="98" spans="1:33" x14ac:dyDescent="0.25">
      <c r="A98">
        <v>76</v>
      </c>
      <c r="B98">
        <v>12.171239356669819</v>
      </c>
      <c r="C98">
        <v>-0.24843757273629308</v>
      </c>
      <c r="D98">
        <f t="shared" si="44"/>
        <v>19.188891775349141</v>
      </c>
      <c r="E98">
        <f t="shared" si="45"/>
        <v>18.947791218511945</v>
      </c>
      <c r="F98">
        <f t="shared" si="46"/>
        <v>0.25514576147544688</v>
      </c>
      <c r="G98">
        <f t="shared" si="47"/>
        <v>19.202936979987392</v>
      </c>
      <c r="H98">
        <v>76</v>
      </c>
      <c r="I98">
        <v>1.0340863809688017</v>
      </c>
      <c r="J98">
        <v>-0.48504603000765201</v>
      </c>
      <c r="K98">
        <v>0.43000000005122274</v>
      </c>
      <c r="L98">
        <f t="shared" si="35"/>
        <v>21.369955430632139</v>
      </c>
      <c r="M98">
        <f t="shared" si="36"/>
        <v>19.923739724336063</v>
      </c>
      <c r="N98">
        <f t="shared" si="37"/>
        <v>20.812501850939096</v>
      </c>
      <c r="O98">
        <f t="shared" si="38"/>
        <v>21.280902218964314</v>
      </c>
      <c r="P98">
        <f t="shared" si="39"/>
        <v>19.827991319766397</v>
      </c>
      <c r="Q98">
        <f t="shared" si="40"/>
        <v>20.716485713779136</v>
      </c>
      <c r="T98" s="8">
        <v>21.518191424104334</v>
      </c>
      <c r="U98" s="9">
        <v>10</v>
      </c>
      <c r="V98">
        <f t="shared" si="48"/>
        <v>9.8039215686274508E-2</v>
      </c>
      <c r="AC98">
        <f t="shared" si="49"/>
        <v>0.3290291720419205</v>
      </c>
      <c r="AD98">
        <f t="shared" si="50"/>
        <v>19.276820390553866</v>
      </c>
      <c r="AE98">
        <f t="shared" si="41"/>
        <v>21.478081486745101</v>
      </c>
      <c r="AF98">
        <f t="shared" si="42"/>
        <v>20.032294725431843</v>
      </c>
      <c r="AG98">
        <f t="shared" si="43"/>
        <v>20.921066823279642</v>
      </c>
    </row>
    <row r="99" spans="1:33" x14ac:dyDescent="0.25">
      <c r="A99">
        <v>77</v>
      </c>
      <c r="B99">
        <v>11.237372966704307</v>
      </c>
      <c r="C99">
        <v>2.3953907657414675</v>
      </c>
      <c r="D99">
        <f t="shared" si="44"/>
        <v>18.892833710614653</v>
      </c>
      <c r="E99">
        <f t="shared" si="45"/>
        <v>21.217482277665219</v>
      </c>
      <c r="F99">
        <f t="shared" si="46"/>
        <v>-2.2982207348142296</v>
      </c>
      <c r="G99">
        <f t="shared" si="47"/>
        <v>18.91926154285099</v>
      </c>
      <c r="H99">
        <v>77</v>
      </c>
      <c r="I99">
        <v>1.2506393431976903</v>
      </c>
      <c r="J99">
        <v>-0.57062379710259847</v>
      </c>
      <c r="K99">
        <v>0.25348981580464169</v>
      </c>
      <c r="L99">
        <f t="shared" si="35"/>
        <v>21.580113013493204</v>
      </c>
      <c r="M99">
        <f t="shared" si="36"/>
        <v>19.840689294112384</v>
      </c>
      <c r="N99">
        <f t="shared" si="37"/>
        <v>20.641204477355192</v>
      </c>
      <c r="O99">
        <f t="shared" si="38"/>
        <v>21.491059801825379</v>
      </c>
      <c r="P99">
        <f t="shared" si="39"/>
        <v>19.744940889542718</v>
      </c>
      <c r="Q99">
        <f t="shared" si="40"/>
        <v>20.545188340195232</v>
      </c>
      <c r="T99" s="8">
        <v>22.029861952743143</v>
      </c>
      <c r="U99" s="9">
        <v>4</v>
      </c>
      <c r="V99">
        <f t="shared" si="48"/>
        <v>3.9215686274509803E-2</v>
      </c>
      <c r="AC99">
        <f t="shared" si="49"/>
        <v>-2.2419494556139483</v>
      </c>
      <c r="AD99">
        <f t="shared" si="50"/>
        <v>18.975532822051271</v>
      </c>
      <c r="AE99">
        <f t="shared" si="41"/>
        <v>21.688239069606166</v>
      </c>
      <c r="AF99">
        <f t="shared" si="42"/>
        <v>19.949244295208164</v>
      </c>
      <c r="AG99">
        <f t="shared" si="43"/>
        <v>20.749769449695737</v>
      </c>
    </row>
    <row r="100" spans="1:33" x14ac:dyDescent="0.25">
      <c r="A100">
        <v>78</v>
      </c>
      <c r="B100">
        <v>4.5999633777886295</v>
      </c>
      <c r="C100">
        <v>0.75863226811634377</v>
      </c>
      <c r="D100">
        <f t="shared" si="44"/>
        <v>13.246372631250747</v>
      </c>
      <c r="E100">
        <f t="shared" si="45"/>
        <v>13.982600490277786</v>
      </c>
      <c r="F100">
        <f t="shared" si="46"/>
        <v>-0.76636504201120914</v>
      </c>
      <c r="G100">
        <f t="shared" si="47"/>
        <v>13.216235448266577</v>
      </c>
      <c r="H100">
        <v>78</v>
      </c>
      <c r="I100">
        <v>0.19613025870057754</v>
      </c>
      <c r="J100">
        <v>-0.74745912570506334</v>
      </c>
      <c r="K100">
        <v>1.6799913282738999</v>
      </c>
      <c r="L100">
        <f t="shared" si="35"/>
        <v>20.556746359802684</v>
      </c>
      <c r="M100">
        <f t="shared" si="36"/>
        <v>19.669076378541845</v>
      </c>
      <c r="N100">
        <f t="shared" si="37"/>
        <v>22.025577642804322</v>
      </c>
      <c r="O100">
        <f t="shared" si="38"/>
        <v>20.46769314813486</v>
      </c>
      <c r="P100">
        <f t="shared" si="39"/>
        <v>19.57332797397218</v>
      </c>
      <c r="Q100">
        <f t="shared" si="40"/>
        <v>21.929561505644362</v>
      </c>
      <c r="T100" s="8">
        <v>22.541532481381953</v>
      </c>
      <c r="U100" s="9">
        <v>1</v>
      </c>
      <c r="V100">
        <f t="shared" si="48"/>
        <v>9.8039215686274508E-3</v>
      </c>
      <c r="AC100">
        <f t="shared" si="49"/>
        <v>-0.75631985419628833</v>
      </c>
      <c r="AD100">
        <f t="shared" si="50"/>
        <v>13.226280636081498</v>
      </c>
      <c r="AE100">
        <f t="shared" si="41"/>
        <v>20.664872415915646</v>
      </c>
      <c r="AF100">
        <f t="shared" si="42"/>
        <v>19.777631379637626</v>
      </c>
      <c r="AG100">
        <f t="shared" si="43"/>
        <v>22.134142615144867</v>
      </c>
    </row>
    <row r="101" spans="1:33" x14ac:dyDescent="0.25">
      <c r="A101">
        <v>79</v>
      </c>
      <c r="B101">
        <v>6.1820429090243234</v>
      </c>
      <c r="C101">
        <v>-0.87989292296697386</v>
      </c>
      <c r="D101">
        <f t="shared" si="44"/>
        <v>15.466213562262562</v>
      </c>
      <c r="E101">
        <f t="shared" si="45"/>
        <v>14.61230619491911</v>
      </c>
      <c r="F101">
        <f t="shared" si="46"/>
        <v>0.89070732806003505</v>
      </c>
      <c r="G101">
        <f t="shared" si="47"/>
        <v>15.503013522979145</v>
      </c>
      <c r="H101">
        <v>79</v>
      </c>
      <c r="I101">
        <v>2.0533298084046692</v>
      </c>
      <c r="J101">
        <v>-1.3031876733293757</v>
      </c>
      <c r="K101">
        <v>-0.73878709372365847</v>
      </c>
      <c r="L101">
        <f t="shared" si="35"/>
        <v>22.359097915002984</v>
      </c>
      <c r="M101">
        <f t="shared" si="36"/>
        <v>19.129759958699147</v>
      </c>
      <c r="N101">
        <f t="shared" si="37"/>
        <v>19.678232118589204</v>
      </c>
      <c r="O101">
        <f t="shared" si="38"/>
        <v>22.270044703335159</v>
      </c>
      <c r="P101">
        <f t="shared" si="39"/>
        <v>19.034011554129481</v>
      </c>
      <c r="Q101">
        <f t="shared" si="40"/>
        <v>19.582215981429243</v>
      </c>
      <c r="T101" s="8">
        <v>23.053203010020763</v>
      </c>
      <c r="U101" s="9">
        <v>2</v>
      </c>
      <c r="V101">
        <f t="shared" si="48"/>
        <v>1.9607843137254902E-2</v>
      </c>
      <c r="AC101">
        <f t="shared" si="49"/>
        <v>0.87468261516835</v>
      </c>
      <c r="AD101">
        <f t="shared" si="50"/>
        <v>15.48698881008746</v>
      </c>
      <c r="AE101">
        <f t="shared" si="41"/>
        <v>22.467223971115946</v>
      </c>
      <c r="AF101">
        <f t="shared" si="42"/>
        <v>19.238314959794927</v>
      </c>
      <c r="AG101">
        <f t="shared" si="43"/>
        <v>19.786797090929749</v>
      </c>
    </row>
    <row r="102" spans="1:33" ht="15.75" thickBot="1" x14ac:dyDescent="0.3">
      <c r="A102">
        <v>80</v>
      </c>
      <c r="B102">
        <v>10.362102114932707</v>
      </c>
      <c r="C102">
        <v>1.1183078640897293</v>
      </c>
      <c r="D102">
        <f t="shared" si="44"/>
        <v>18.549707025218925</v>
      </c>
      <c r="E102">
        <f t="shared" si="45"/>
        <v>19.634988312496858</v>
      </c>
      <c r="F102">
        <f t="shared" si="46"/>
        <v>-1.047906283365279</v>
      </c>
      <c r="G102">
        <f t="shared" si="47"/>
        <v>18.587082029131579</v>
      </c>
      <c r="H102">
        <v>80</v>
      </c>
      <c r="I102">
        <v>0.44354919737088494</v>
      </c>
      <c r="J102">
        <v>-0.130301032186253</v>
      </c>
      <c r="K102">
        <v>-0.17565980670042336</v>
      </c>
      <c r="L102">
        <f t="shared" si="35"/>
        <v>20.796858365520908</v>
      </c>
      <c r="M102">
        <f t="shared" si="36"/>
        <v>20.268008167985425</v>
      </c>
      <c r="N102">
        <f t="shared" si="37"/>
        <v>20.224728773568344</v>
      </c>
      <c r="O102">
        <f t="shared" si="38"/>
        <v>20.707805153853084</v>
      </c>
      <c r="P102">
        <f t="shared" si="39"/>
        <v>20.172259763415759</v>
      </c>
      <c r="Q102">
        <f t="shared" si="40"/>
        <v>20.128712636408384</v>
      </c>
      <c r="T102" s="10" t="s">
        <v>44</v>
      </c>
      <c r="U102" s="10">
        <v>0</v>
      </c>
      <c r="AC102">
        <f t="shared" si="49"/>
        <v>-1.0086794959803562</v>
      </c>
      <c r="AD102">
        <f t="shared" si="50"/>
        <v>18.626308816516502</v>
      </c>
      <c r="AE102">
        <f t="shared" si="41"/>
        <v>20.90498442163387</v>
      </c>
      <c r="AF102">
        <f t="shared" si="42"/>
        <v>20.376563169081205</v>
      </c>
      <c r="AG102">
        <f t="shared" si="43"/>
        <v>20.33329374590889</v>
      </c>
    </row>
    <row r="103" spans="1:33" x14ac:dyDescent="0.25">
      <c r="A103">
        <v>81</v>
      </c>
      <c r="B103">
        <v>7.2239448225348681</v>
      </c>
      <c r="C103">
        <v>1.3986073099658825</v>
      </c>
      <c r="D103">
        <f t="shared" si="44"/>
        <v>16.536737398077303</v>
      </c>
      <c r="E103">
        <f t="shared" si="45"/>
        <v>17.894040150295371</v>
      </c>
      <c r="F103">
        <f t="shared" si="46"/>
        <v>-1.3049652389603814</v>
      </c>
      <c r="G103">
        <f t="shared" si="47"/>
        <v>16.58907491133499</v>
      </c>
      <c r="H103">
        <v>81</v>
      </c>
      <c r="I103">
        <v>-0.83525037553044967</v>
      </c>
      <c r="J103">
        <v>-0.62393496591539588</v>
      </c>
      <c r="K103">
        <v>0.98319787866785191</v>
      </c>
      <c r="L103">
        <f t="shared" si="35"/>
        <v>19.555825112322331</v>
      </c>
      <c r="M103">
        <f t="shared" si="36"/>
        <v>19.78895254453445</v>
      </c>
      <c r="N103">
        <f t="shared" si="37"/>
        <v>21.349362339095606</v>
      </c>
      <c r="O103">
        <f t="shared" si="38"/>
        <v>19.466771900654507</v>
      </c>
      <c r="P103">
        <f t="shared" si="39"/>
        <v>19.693204139964784</v>
      </c>
      <c r="Q103">
        <f t="shared" si="40"/>
        <v>21.253346201935646</v>
      </c>
      <c r="AC103">
        <f t="shared" si="49"/>
        <v>-1.3169878829317412</v>
      </c>
      <c r="AD103">
        <f t="shared" si="50"/>
        <v>16.57705226736363</v>
      </c>
      <c r="AE103">
        <f t="shared" si="41"/>
        <v>19.663951168435293</v>
      </c>
      <c r="AF103">
        <f t="shared" si="42"/>
        <v>19.89750754563023</v>
      </c>
      <c r="AG103">
        <f t="shared" si="43"/>
        <v>21.457927311436151</v>
      </c>
    </row>
    <row r="104" spans="1:33" x14ac:dyDescent="0.25">
      <c r="A104">
        <v>82</v>
      </c>
      <c r="B104">
        <v>5.8886989959410387</v>
      </c>
      <c r="C104">
        <v>-7.6150854511070065E-2</v>
      </c>
      <c r="D104">
        <f t="shared" si="44"/>
        <v>15.114418460661506</v>
      </c>
      <c r="E104">
        <f t="shared" si="45"/>
        <v>15.040516541462932</v>
      </c>
      <c r="F104">
        <f t="shared" si="46"/>
        <v>0.1029480395167397</v>
      </c>
      <c r="G104">
        <f t="shared" si="47"/>
        <v>15.143464580979671</v>
      </c>
      <c r="H104">
        <v>82</v>
      </c>
      <c r="I104">
        <v>0.3194145392626524</v>
      </c>
      <c r="J104">
        <v>1.154044184659142</v>
      </c>
      <c r="K104">
        <v>-0.17511638361611404</v>
      </c>
      <c r="L104">
        <f t="shared" si="35"/>
        <v>20.676389730833119</v>
      </c>
      <c r="M104">
        <f t="shared" si="36"/>
        <v>21.514423287655358</v>
      </c>
      <c r="N104">
        <f t="shared" si="37"/>
        <v>20.225256147937618</v>
      </c>
      <c r="O104">
        <f t="shared" si="38"/>
        <v>20.587336519165294</v>
      </c>
      <c r="P104">
        <f t="shared" si="39"/>
        <v>21.418674883085693</v>
      </c>
      <c r="Q104">
        <f t="shared" si="40"/>
        <v>20.129240010777657</v>
      </c>
      <c r="AC104">
        <f t="shared" si="49"/>
        <v>8.8229246150735463E-2</v>
      </c>
      <c r="AD104">
        <f t="shared" si="50"/>
        <v>15.128745787613667</v>
      </c>
      <c r="AE104">
        <f t="shared" si="41"/>
        <v>20.784515786946081</v>
      </c>
      <c r="AF104">
        <f t="shared" si="42"/>
        <v>21.622978288751138</v>
      </c>
      <c r="AG104">
        <f t="shared" si="43"/>
        <v>20.333821120278163</v>
      </c>
    </row>
    <row r="105" spans="1:33" x14ac:dyDescent="0.25">
      <c r="A105">
        <v>83</v>
      </c>
      <c r="B105">
        <v>7.7795037690359212</v>
      </c>
      <c r="C105">
        <v>-0.47868752517388202</v>
      </c>
      <c r="D105">
        <f t="shared" si="44"/>
        <v>17.00901830575043</v>
      </c>
      <c r="E105">
        <f t="shared" si="45"/>
        <v>16.544467684041742</v>
      </c>
      <c r="F105">
        <f t="shared" si="46"/>
        <v>0.51931012351579042</v>
      </c>
      <c r="G105">
        <f t="shared" si="47"/>
        <v>17.063777807557532</v>
      </c>
      <c r="H105">
        <v>83</v>
      </c>
      <c r="I105">
        <v>1.2713076102954801</v>
      </c>
      <c r="J105">
        <v>-0.12960640560777392</v>
      </c>
      <c r="K105">
        <v>-0.27829628379549831</v>
      </c>
      <c r="L105">
        <f t="shared" si="35"/>
        <v>21.600170892224078</v>
      </c>
      <c r="M105">
        <f t="shared" si="36"/>
        <v>20.268682280411419</v>
      </c>
      <c r="N105">
        <f t="shared" si="37"/>
        <v>20.125123421982909</v>
      </c>
      <c r="O105">
        <f t="shared" si="38"/>
        <v>21.511117680556254</v>
      </c>
      <c r="P105">
        <f t="shared" si="39"/>
        <v>20.172933875841753</v>
      </c>
      <c r="Q105">
        <f t="shared" si="40"/>
        <v>20.029107284822949</v>
      </c>
      <c r="AC105">
        <f t="shared" si="49"/>
        <v>0.51344053306941007</v>
      </c>
      <c r="AD105">
        <f t="shared" si="50"/>
        <v>17.057908217111152</v>
      </c>
      <c r="AE105">
        <f t="shared" si="41"/>
        <v>21.708296948337036</v>
      </c>
      <c r="AF105">
        <f t="shared" si="42"/>
        <v>20.377237281507199</v>
      </c>
      <c r="AG105">
        <f t="shared" si="43"/>
        <v>20.233688394323455</v>
      </c>
    </row>
    <row r="106" spans="1:33" x14ac:dyDescent="0.25">
      <c r="A106">
        <v>84</v>
      </c>
      <c r="B106">
        <v>9.549455244605852</v>
      </c>
      <c r="C106">
        <v>1.7627371562412009</v>
      </c>
      <c r="D106">
        <f t="shared" si="44"/>
        <v>18.161335063775454</v>
      </c>
      <c r="E106">
        <f t="shared" si="45"/>
        <v>19.872013948802586</v>
      </c>
      <c r="F106">
        <f t="shared" si="46"/>
        <v>-1.6645433762395889</v>
      </c>
      <c r="G106">
        <f t="shared" si="47"/>
        <v>18.207470572562997</v>
      </c>
      <c r="H106">
        <v>84</v>
      </c>
      <c r="I106">
        <v>1.4640045264968649</v>
      </c>
      <c r="J106">
        <v>-0.53470671446120832</v>
      </c>
      <c r="K106">
        <v>6.2348135543288663E-2</v>
      </c>
      <c r="L106">
        <f t="shared" si="35"/>
        <v>21.78717696093285</v>
      </c>
      <c r="M106">
        <f t="shared" si="36"/>
        <v>19.875545650698989</v>
      </c>
      <c r="N106">
        <f t="shared" si="37"/>
        <v>20.4557077143727</v>
      </c>
      <c r="O106">
        <f t="shared" si="38"/>
        <v>21.698123749265026</v>
      </c>
      <c r="P106">
        <f t="shared" si="39"/>
        <v>19.779797246129323</v>
      </c>
      <c r="Q106">
        <f t="shared" si="40"/>
        <v>20.35969157721274</v>
      </c>
      <c r="AC106">
        <f t="shared" si="49"/>
        <v>-1.6410168611150198</v>
      </c>
      <c r="AD106">
        <f t="shared" si="50"/>
        <v>18.230997087687566</v>
      </c>
      <c r="AE106">
        <f t="shared" si="41"/>
        <v>21.895303017045812</v>
      </c>
      <c r="AF106">
        <f t="shared" si="42"/>
        <v>19.984100651794769</v>
      </c>
      <c r="AG106">
        <f t="shared" si="43"/>
        <v>20.564272686713245</v>
      </c>
    </row>
    <row r="107" spans="1:33" x14ac:dyDescent="0.25">
      <c r="A107">
        <v>85</v>
      </c>
      <c r="B107">
        <v>8.6254768517105624</v>
      </c>
      <c r="C107">
        <v>1.5213254300761037</v>
      </c>
      <c r="D107">
        <f t="shared" si="44"/>
        <v>17.61955107882774</v>
      </c>
      <c r="E107">
        <f t="shared" si="45"/>
        <v>19.095947761833781</v>
      </c>
      <c r="F107">
        <f t="shared" si="46"/>
        <v>-1.4233384169291377</v>
      </c>
      <c r="G107">
        <f t="shared" si="47"/>
        <v>17.672609344904643</v>
      </c>
      <c r="H107">
        <v>85</v>
      </c>
      <c r="I107">
        <v>1.4038050721865147E-2</v>
      </c>
      <c r="J107">
        <v>-1.4418037608265877</v>
      </c>
      <c r="K107">
        <v>0.86167347035370767</v>
      </c>
      <c r="L107">
        <f t="shared" si="35"/>
        <v>20.380031814350321</v>
      </c>
      <c r="M107">
        <f t="shared" si="36"/>
        <v>18.995237569375831</v>
      </c>
      <c r="N107">
        <f t="shared" si="37"/>
        <v>21.231426866650175</v>
      </c>
      <c r="O107">
        <f t="shared" si="38"/>
        <v>20.290978602682497</v>
      </c>
      <c r="P107">
        <f t="shared" si="39"/>
        <v>18.899489164806166</v>
      </c>
      <c r="Q107">
        <f t="shared" si="40"/>
        <v>21.135410729490214</v>
      </c>
      <c r="AC107">
        <f t="shared" si="49"/>
        <v>-1.4164712852832224</v>
      </c>
      <c r="AD107">
        <f t="shared" si="50"/>
        <v>17.679476476550558</v>
      </c>
      <c r="AE107">
        <f t="shared" si="41"/>
        <v>20.488157870463283</v>
      </c>
      <c r="AF107">
        <f t="shared" si="42"/>
        <v>19.103792570471612</v>
      </c>
      <c r="AG107">
        <f t="shared" si="43"/>
        <v>21.33999183899072</v>
      </c>
    </row>
    <row r="108" spans="1:33" x14ac:dyDescent="0.25">
      <c r="A108">
        <v>86</v>
      </c>
      <c r="B108">
        <v>8.1006805627613137</v>
      </c>
      <c r="C108">
        <v>-0.26638758754415903</v>
      </c>
      <c r="D108">
        <f t="shared" si="44"/>
        <v>17.255206136256117</v>
      </c>
      <c r="E108">
        <f t="shared" si="45"/>
        <v>16.996685675828065</v>
      </c>
      <c r="F108">
        <f t="shared" si="46"/>
        <v>0.31329585341113031</v>
      </c>
      <c r="G108">
        <f t="shared" si="47"/>
        <v>17.309981529239195</v>
      </c>
      <c r="H108">
        <v>86</v>
      </c>
      <c r="I108">
        <v>1.1860493032145314</v>
      </c>
      <c r="J108">
        <v>0.23787833924870938</v>
      </c>
      <c r="K108">
        <v>1.1997622095805127</v>
      </c>
      <c r="L108">
        <f t="shared" si="35"/>
        <v>21.517430487518737</v>
      </c>
      <c r="M108">
        <f t="shared" si="36"/>
        <v>20.625314232809856</v>
      </c>
      <c r="N108">
        <f t="shared" si="37"/>
        <v>21.559530954893265</v>
      </c>
      <c r="O108">
        <f t="shared" si="38"/>
        <v>21.428377275850913</v>
      </c>
      <c r="P108">
        <f t="shared" si="39"/>
        <v>20.529565828240191</v>
      </c>
      <c r="Q108">
        <f t="shared" si="40"/>
        <v>21.463514817733305</v>
      </c>
      <c r="AC108">
        <f t="shared" si="49"/>
        <v>0.31186751007956914</v>
      </c>
      <c r="AD108">
        <f t="shared" si="50"/>
        <v>17.308553185907634</v>
      </c>
      <c r="AE108">
        <f t="shared" si="41"/>
        <v>21.625556543631696</v>
      </c>
      <c r="AF108">
        <f t="shared" si="42"/>
        <v>20.733869233905637</v>
      </c>
      <c r="AG108">
        <f t="shared" si="43"/>
        <v>21.668095927233811</v>
      </c>
    </row>
    <row r="109" spans="1:33" x14ac:dyDescent="0.25">
      <c r="A109">
        <v>87</v>
      </c>
      <c r="B109">
        <v>7.9805597094637903</v>
      </c>
      <c r="C109">
        <v>-1.9070012058364227</v>
      </c>
      <c r="D109">
        <f t="shared" si="44"/>
        <v>17.165299517427794</v>
      </c>
      <c r="E109">
        <f t="shared" si="45"/>
        <v>15.314617080176632</v>
      </c>
      <c r="F109">
        <f t="shared" si="46"/>
        <v>1.9055569611816416</v>
      </c>
      <c r="G109">
        <f t="shared" si="47"/>
        <v>17.220174041358273</v>
      </c>
      <c r="H109">
        <v>87</v>
      </c>
      <c r="I109">
        <v>-5.2616542234318331E-2</v>
      </c>
      <c r="J109">
        <v>0.15015530152595602</v>
      </c>
      <c r="K109">
        <v>-0.15387058738269843</v>
      </c>
      <c r="L109">
        <f t="shared" si="35"/>
        <v>20.315345707090085</v>
      </c>
      <c r="M109">
        <f t="shared" si="36"/>
        <v>20.540181887450583</v>
      </c>
      <c r="N109">
        <f t="shared" si="37"/>
        <v>20.245874499847549</v>
      </c>
      <c r="O109">
        <f t="shared" si="38"/>
        <v>20.22629249542226</v>
      </c>
      <c r="P109">
        <f t="shared" si="39"/>
        <v>20.444433482880918</v>
      </c>
      <c r="Q109">
        <f t="shared" si="40"/>
        <v>20.149858362687588</v>
      </c>
      <c r="AC109">
        <f t="shared" si="49"/>
        <v>1.9024028426589403</v>
      </c>
      <c r="AD109">
        <f t="shared" si="50"/>
        <v>17.217019922835572</v>
      </c>
      <c r="AE109">
        <f t="shared" si="41"/>
        <v>20.423471763203047</v>
      </c>
      <c r="AF109">
        <f t="shared" si="42"/>
        <v>20.648736888546363</v>
      </c>
      <c r="AG109">
        <f t="shared" si="43"/>
        <v>20.354439472188094</v>
      </c>
    </row>
    <row r="110" spans="1:33" x14ac:dyDescent="0.25">
      <c r="A110">
        <v>88</v>
      </c>
      <c r="B110">
        <v>6.1758171330912202</v>
      </c>
      <c r="C110">
        <v>-1.2157852324889973</v>
      </c>
      <c r="D110">
        <f t="shared" si="44"/>
        <v>15.458996379164326</v>
      </c>
      <c r="E110">
        <f t="shared" si="45"/>
        <v>14.279116486928061</v>
      </c>
      <c r="F110">
        <f t="shared" si="46"/>
        <v>1.2165330024521346</v>
      </c>
      <c r="G110">
        <f t="shared" si="47"/>
        <v>15.495649489380195</v>
      </c>
      <c r="H110">
        <v>88</v>
      </c>
      <c r="I110">
        <v>0.86500449469895102</v>
      </c>
      <c r="J110">
        <v>-1.3913199836679269</v>
      </c>
      <c r="K110">
        <v>-0.15673435882490594</v>
      </c>
      <c r="L110">
        <f t="shared" si="35"/>
        <v>21.205866977819827</v>
      </c>
      <c r="M110">
        <f t="shared" si="36"/>
        <v>19.044230427622427</v>
      </c>
      <c r="N110">
        <f t="shared" si="37"/>
        <v>20.243095303119105</v>
      </c>
      <c r="O110">
        <f t="shared" si="38"/>
        <v>21.116813766152003</v>
      </c>
      <c r="P110">
        <f t="shared" si="39"/>
        <v>18.948482023052762</v>
      </c>
      <c r="Q110">
        <f t="shared" si="40"/>
        <v>20.147079165959145</v>
      </c>
      <c r="AC110">
        <f t="shared" si="49"/>
        <v>1.2005229823227879</v>
      </c>
      <c r="AD110">
        <f t="shared" si="50"/>
        <v>15.479639469250849</v>
      </c>
      <c r="AE110">
        <f t="shared" si="41"/>
        <v>21.313993033932789</v>
      </c>
      <c r="AF110">
        <f t="shared" si="42"/>
        <v>19.152785428718207</v>
      </c>
      <c r="AG110">
        <f t="shared" si="43"/>
        <v>20.351660275459651</v>
      </c>
    </row>
    <row r="111" spans="1:33" x14ac:dyDescent="0.25">
      <c r="A111">
        <v>89</v>
      </c>
      <c r="B111">
        <v>9.8277840510269474</v>
      </c>
      <c r="C111">
        <v>-0.34699041862040758</v>
      </c>
      <c r="D111">
        <f t="shared" si="44"/>
        <v>18.302780718024149</v>
      </c>
      <c r="E111">
        <f t="shared" si="45"/>
        <v>17.966037840426672</v>
      </c>
      <c r="F111">
        <f t="shared" si="46"/>
        <v>0.38009153939097828</v>
      </c>
      <c r="G111">
        <f t="shared" si="47"/>
        <v>18.346129379817651</v>
      </c>
      <c r="H111">
        <v>89</v>
      </c>
      <c r="I111">
        <v>-0.33199853533005808</v>
      </c>
      <c r="J111">
        <v>-0.15983346202119719</v>
      </c>
      <c r="K111">
        <v>0.16254489310085773</v>
      </c>
      <c r="L111">
        <f t="shared" si="35"/>
        <v>20.044214600133216</v>
      </c>
      <c r="M111">
        <f t="shared" si="36"/>
        <v>20.239347908590933</v>
      </c>
      <c r="N111">
        <f t="shared" si="37"/>
        <v>20.552945397764713</v>
      </c>
      <c r="O111">
        <f t="shared" si="38"/>
        <v>19.955161388465392</v>
      </c>
      <c r="P111">
        <f t="shared" si="39"/>
        <v>20.143599504021267</v>
      </c>
      <c r="Q111">
        <f t="shared" si="40"/>
        <v>20.456929260604753</v>
      </c>
      <c r="AC111">
        <f t="shared" si="49"/>
        <v>0.40893662884138493</v>
      </c>
      <c r="AD111">
        <f t="shared" si="50"/>
        <v>18.374974469268057</v>
      </c>
      <c r="AE111">
        <f t="shared" si="41"/>
        <v>20.152340656246178</v>
      </c>
      <c r="AF111">
        <f t="shared" si="42"/>
        <v>20.347902909686713</v>
      </c>
      <c r="AG111">
        <f t="shared" si="43"/>
        <v>20.661510370105258</v>
      </c>
    </row>
    <row r="112" spans="1:33" x14ac:dyDescent="0.25">
      <c r="A112">
        <v>90</v>
      </c>
      <c r="B112">
        <v>10.926816614276559</v>
      </c>
      <c r="C112">
        <v>-0.72917373472591862</v>
      </c>
      <c r="D112">
        <f t="shared" si="44"/>
        <v>18.779080326160706</v>
      </c>
      <c r="E112">
        <f t="shared" si="45"/>
        <v>18.071441012440289</v>
      </c>
      <c r="F112">
        <f t="shared" si="46"/>
        <v>0.73806751321717456</v>
      </c>
      <c r="G112">
        <f t="shared" si="47"/>
        <v>18.809508525657463</v>
      </c>
      <c r="H112">
        <v>90</v>
      </c>
      <c r="I112">
        <v>1.5960540622472763</v>
      </c>
      <c r="J112">
        <v>0.73447267823212314</v>
      </c>
      <c r="K112">
        <v>-1.1200245353393257</v>
      </c>
      <c r="L112">
        <f t="shared" si="35"/>
        <v>21.915326726078526</v>
      </c>
      <c r="M112">
        <f t="shared" si="36"/>
        <v>21.107242832950337</v>
      </c>
      <c r="N112">
        <f t="shared" si="37"/>
        <v>19.308253622791021</v>
      </c>
      <c r="O112">
        <f t="shared" si="38"/>
        <v>21.826273514410701</v>
      </c>
      <c r="P112">
        <f t="shared" si="39"/>
        <v>21.011494428380672</v>
      </c>
      <c r="Q112">
        <f t="shared" si="40"/>
        <v>19.212237485631061</v>
      </c>
      <c r="AC112">
        <f t="shared" si="49"/>
        <v>0.78832099268158373</v>
      </c>
      <c r="AD112">
        <f t="shared" si="50"/>
        <v>18.859762005121873</v>
      </c>
      <c r="AE112">
        <f t="shared" si="41"/>
        <v>22.023452782191487</v>
      </c>
      <c r="AF112">
        <f t="shared" si="42"/>
        <v>21.215797834046118</v>
      </c>
      <c r="AG112">
        <f t="shared" si="43"/>
        <v>19.416818595131566</v>
      </c>
    </row>
    <row r="113" spans="1:33" x14ac:dyDescent="0.25">
      <c r="A113">
        <v>91</v>
      </c>
      <c r="B113">
        <v>5.1654103213599054</v>
      </c>
      <c r="C113">
        <v>1.0026087693404406</v>
      </c>
      <c r="D113">
        <f t="shared" si="44"/>
        <v>14.135958747006491</v>
      </c>
      <c r="E113">
        <f t="shared" si="45"/>
        <v>15.108957838550598</v>
      </c>
      <c r="F113">
        <f t="shared" si="46"/>
        <v>-0.97143861542907217</v>
      </c>
      <c r="G113">
        <f t="shared" si="47"/>
        <v>14.137519223121526</v>
      </c>
      <c r="H113">
        <v>91</v>
      </c>
      <c r="I113">
        <v>1.0619078238960356</v>
      </c>
      <c r="J113">
        <v>0.83059603639412671</v>
      </c>
      <c r="K113">
        <v>-6.6870597947854549E-2</v>
      </c>
      <c r="L113">
        <f t="shared" si="35"/>
        <v>21.396955233068987</v>
      </c>
      <c r="M113">
        <f t="shared" si="36"/>
        <v>21.200527415160131</v>
      </c>
      <c r="N113">
        <f t="shared" si="37"/>
        <v>20.33030515043934</v>
      </c>
      <c r="O113">
        <f t="shared" si="38"/>
        <v>21.307902021401162</v>
      </c>
      <c r="P113">
        <f t="shared" si="39"/>
        <v>21.104779010590466</v>
      </c>
      <c r="Q113">
        <f t="shared" si="40"/>
        <v>20.23428901327938</v>
      </c>
      <c r="AC113">
        <f t="shared" si="49"/>
        <v>-0.97666508228317284</v>
      </c>
      <c r="AD113">
        <f t="shared" si="50"/>
        <v>14.132292756267425</v>
      </c>
      <c r="AE113">
        <f t="shared" si="41"/>
        <v>21.505081289181948</v>
      </c>
      <c r="AF113">
        <f t="shared" si="42"/>
        <v>21.309082416255912</v>
      </c>
      <c r="AG113">
        <f t="shared" si="43"/>
        <v>20.438870122779885</v>
      </c>
    </row>
    <row r="114" spans="1:33" x14ac:dyDescent="0.25">
      <c r="A114">
        <v>92</v>
      </c>
      <c r="B114">
        <v>6.750053407391583</v>
      </c>
      <c r="C114">
        <v>0.24378437046834733</v>
      </c>
      <c r="D114">
        <f t="shared" si="44"/>
        <v>16.082167110005987</v>
      </c>
      <c r="E114">
        <f t="shared" si="45"/>
        <v>16.318751885894589</v>
      </c>
      <c r="F114">
        <f t="shared" si="46"/>
        <v>-0.18926184851120098</v>
      </c>
      <c r="G114">
        <f t="shared" si="47"/>
        <v>16.129490037383388</v>
      </c>
      <c r="H114">
        <v>92</v>
      </c>
      <c r="I114">
        <v>1.375979081785772</v>
      </c>
      <c r="J114">
        <v>0.71784370447858237</v>
      </c>
      <c r="K114">
        <v>-0.18289028957951814</v>
      </c>
      <c r="L114">
        <f t="shared" si="35"/>
        <v>21.701751139460132</v>
      </c>
      <c r="M114">
        <f t="shared" si="36"/>
        <v>21.091104956591895</v>
      </c>
      <c r="N114">
        <f t="shared" si="37"/>
        <v>20.21771182589352</v>
      </c>
      <c r="O114">
        <f t="shared" si="38"/>
        <v>21.612697927792308</v>
      </c>
      <c r="P114">
        <f t="shared" si="39"/>
        <v>20.99535655202223</v>
      </c>
      <c r="Q114">
        <f t="shared" si="40"/>
        <v>20.12169568873356</v>
      </c>
      <c r="AC114">
        <f t="shared" si="49"/>
        <v>-0.20455081572108824</v>
      </c>
      <c r="AD114">
        <f t="shared" si="50"/>
        <v>16.1142010701735</v>
      </c>
      <c r="AE114">
        <f t="shared" si="41"/>
        <v>21.809877195573094</v>
      </c>
      <c r="AF114">
        <f t="shared" si="42"/>
        <v>21.199659957687675</v>
      </c>
      <c r="AG114">
        <f t="shared" si="43"/>
        <v>20.326276798234066</v>
      </c>
    </row>
    <row r="115" spans="1:33" x14ac:dyDescent="0.25">
      <c r="A115">
        <v>93</v>
      </c>
      <c r="B115">
        <v>4.3677785576952424</v>
      </c>
      <c r="C115">
        <v>-0.22467816052085254</v>
      </c>
      <c r="D115">
        <f t="shared" si="44"/>
        <v>12.845441398995177</v>
      </c>
      <c r="E115">
        <f t="shared" si="45"/>
        <v>12.62739857634921</v>
      </c>
      <c r="F115">
        <f t="shared" si="46"/>
        <v>0.17175063207753816</v>
      </c>
      <c r="G115">
        <f t="shared" si="47"/>
        <v>12.799149208426748</v>
      </c>
      <c r="H115">
        <v>93</v>
      </c>
      <c r="I115">
        <v>-1.1939710020669736</v>
      </c>
      <c r="J115">
        <v>0.24268160814244766</v>
      </c>
      <c r="K115">
        <v>-0.65348558564437553</v>
      </c>
      <c r="L115">
        <f t="shared" si="35"/>
        <v>19.207698450745472</v>
      </c>
      <c r="M115">
        <f t="shared" si="36"/>
        <v>20.629975648521516</v>
      </c>
      <c r="N115">
        <f t="shared" si="37"/>
        <v>19.761014448453608</v>
      </c>
      <c r="O115">
        <f t="shared" si="38"/>
        <v>19.118645239077647</v>
      </c>
      <c r="P115">
        <f t="shared" si="39"/>
        <v>20.53422724395185</v>
      </c>
      <c r="Q115">
        <f t="shared" si="40"/>
        <v>19.664998311293648</v>
      </c>
      <c r="AC115">
        <f t="shared" si="49"/>
        <v>0.19052915659808001</v>
      </c>
      <c r="AD115">
        <f t="shared" si="50"/>
        <v>12.81792773294729</v>
      </c>
      <c r="AE115">
        <f t="shared" si="41"/>
        <v>19.315824506858434</v>
      </c>
      <c r="AF115">
        <f t="shared" si="42"/>
        <v>20.738530649617296</v>
      </c>
      <c r="AG115">
        <f t="shared" si="43"/>
        <v>19.869579420794153</v>
      </c>
    </row>
    <row r="116" spans="1:33" x14ac:dyDescent="0.25">
      <c r="A116">
        <v>94</v>
      </c>
      <c r="B116">
        <v>12.573351237525559</v>
      </c>
      <c r="C116">
        <v>0.73157025326509029</v>
      </c>
      <c r="D116">
        <f t="shared" si="44"/>
        <v>19.297672099030503</v>
      </c>
      <c r="E116">
        <f t="shared" si="45"/>
        <v>20.007637155785282</v>
      </c>
      <c r="F116">
        <f t="shared" si="46"/>
        <v>-0.70127808324226137</v>
      </c>
      <c r="G116">
        <f t="shared" si="47"/>
        <v>19.306359072543021</v>
      </c>
      <c r="H116">
        <v>94</v>
      </c>
      <c r="I116">
        <v>-0.63774905356694944</v>
      </c>
      <c r="J116">
        <v>1.4302213457995094</v>
      </c>
      <c r="K116">
        <v>-3.4316371966269799E-2</v>
      </c>
      <c r="L116">
        <f t="shared" si="35"/>
        <v>19.747493700036422</v>
      </c>
      <c r="M116">
        <f t="shared" si="36"/>
        <v>21.782444209785915</v>
      </c>
      <c r="N116">
        <f t="shared" si="37"/>
        <v>20.361897964380955</v>
      </c>
      <c r="O116">
        <f t="shared" si="38"/>
        <v>19.658440488368598</v>
      </c>
      <c r="P116">
        <f t="shared" si="39"/>
        <v>21.68669580521625</v>
      </c>
      <c r="Q116">
        <f t="shared" si="40"/>
        <v>20.265881827220994</v>
      </c>
      <c r="AC116">
        <f t="shared" si="49"/>
        <v>-0.62012368996792944</v>
      </c>
      <c r="AD116">
        <f t="shared" si="50"/>
        <v>19.387513465817353</v>
      </c>
      <c r="AE116">
        <f t="shared" si="41"/>
        <v>19.855619756149384</v>
      </c>
      <c r="AF116">
        <f t="shared" si="42"/>
        <v>21.890999210881695</v>
      </c>
      <c r="AG116">
        <f t="shared" si="43"/>
        <v>20.4704629367215</v>
      </c>
    </row>
    <row r="117" spans="1:33" x14ac:dyDescent="0.25">
      <c r="A117">
        <v>95</v>
      </c>
      <c r="B117">
        <v>2.258705404828028</v>
      </c>
      <c r="C117">
        <v>0.49660911827231757</v>
      </c>
      <c r="D117">
        <f t="shared" si="44"/>
        <v>8.0015762003522948</v>
      </c>
      <c r="E117">
        <f t="shared" si="45"/>
        <v>8.4835191433103478</v>
      </c>
      <c r="F117">
        <f t="shared" si="46"/>
        <v>-0.79631323816293964</v>
      </c>
      <c r="G117">
        <f t="shared" si="47"/>
        <v>7.6872059051474082</v>
      </c>
      <c r="H117">
        <v>95</v>
      </c>
      <c r="I117">
        <v>1.3732233128394</v>
      </c>
      <c r="J117">
        <v>-1.3656062947120517E-2</v>
      </c>
      <c r="K117">
        <v>-2.3387474357150495</v>
      </c>
      <c r="L117">
        <f t="shared" si="35"/>
        <v>21.699076755629349</v>
      </c>
      <c r="M117">
        <f t="shared" si="36"/>
        <v>20.381208304044009</v>
      </c>
      <c r="N117">
        <f t="shared" si="37"/>
        <v>18.125522819738443</v>
      </c>
      <c r="O117">
        <f t="shared" si="38"/>
        <v>21.610023543961525</v>
      </c>
      <c r="P117">
        <f t="shared" si="39"/>
        <v>20.285459899474343</v>
      </c>
      <c r="Q117">
        <f t="shared" si="40"/>
        <v>18.029506682578482</v>
      </c>
      <c r="AC117">
        <f t="shared" si="49"/>
        <v>-0.59983786744886913</v>
      </c>
      <c r="AD117">
        <f t="shared" si="50"/>
        <v>7.8836812758614787</v>
      </c>
      <c r="AE117">
        <f t="shared" si="41"/>
        <v>21.807202811742311</v>
      </c>
      <c r="AF117">
        <f t="shared" si="42"/>
        <v>20.489763305139789</v>
      </c>
      <c r="AG117">
        <f t="shared" si="43"/>
        <v>18.234087792078988</v>
      </c>
    </row>
    <row r="118" spans="1:33" x14ac:dyDescent="0.25">
      <c r="A118">
        <v>96</v>
      </c>
      <c r="B118">
        <v>3.8623920407727286</v>
      </c>
      <c r="C118">
        <v>-0.65121412262669764</v>
      </c>
      <c r="D118">
        <f t="shared" si="44"/>
        <v>11.893299702926523</v>
      </c>
      <c r="E118">
        <f t="shared" si="45"/>
        <v>11.261317648617045</v>
      </c>
      <c r="F118">
        <f t="shared" si="46"/>
        <v>0.54310045767428683</v>
      </c>
      <c r="G118">
        <f t="shared" si="47"/>
        <v>11.804418106291331</v>
      </c>
      <c r="H118">
        <v>96</v>
      </c>
      <c r="I118">
        <v>0.38816097003291361</v>
      </c>
      <c r="J118">
        <v>0.93912376541993581</v>
      </c>
      <c r="K118">
        <v>6.1198761613923125E-2</v>
      </c>
      <c r="L118">
        <f t="shared" si="35"/>
        <v>20.743105898426954</v>
      </c>
      <c r="M118">
        <f t="shared" si="36"/>
        <v>21.305850034489424</v>
      </c>
      <c r="N118">
        <f t="shared" si="37"/>
        <v>20.454592284482882</v>
      </c>
      <c r="O118">
        <f t="shared" si="38"/>
        <v>20.65405268675913</v>
      </c>
      <c r="P118">
        <f t="shared" si="39"/>
        <v>21.210101629919762</v>
      </c>
      <c r="Q118">
        <f t="shared" si="40"/>
        <v>20.358576147322921</v>
      </c>
      <c r="AC118">
        <f t="shared" si="49"/>
        <v>0.58680145840069287</v>
      </c>
      <c r="AD118">
        <f t="shared" si="50"/>
        <v>11.848119107017737</v>
      </c>
      <c r="AE118">
        <f t="shared" si="41"/>
        <v>20.851231954539912</v>
      </c>
      <c r="AF118">
        <f t="shared" si="42"/>
        <v>21.414405035585204</v>
      </c>
      <c r="AG118">
        <f t="shared" si="43"/>
        <v>20.563157256823427</v>
      </c>
    </row>
    <row r="119" spans="1:33" x14ac:dyDescent="0.25">
      <c r="A119">
        <v>97</v>
      </c>
      <c r="B119">
        <v>4.3769341105380413</v>
      </c>
      <c r="C119">
        <v>-1.1955307854805142</v>
      </c>
      <c r="D119">
        <f t="shared" si="44"/>
        <v>12.861668790060282</v>
      </c>
      <c r="E119">
        <f t="shared" si="45"/>
        <v>11.701445177662809</v>
      </c>
      <c r="F119">
        <f t="shared" si="46"/>
        <v>1.1146065762321307</v>
      </c>
      <c r="G119">
        <f t="shared" si="47"/>
        <v>12.816051753894939</v>
      </c>
      <c r="H119">
        <v>97</v>
      </c>
      <c r="I119">
        <v>0.51303231884958223</v>
      </c>
      <c r="J119">
        <v>-1.4682609617011622</v>
      </c>
      <c r="K119">
        <v>0.55208602134371176</v>
      </c>
      <c r="L119">
        <f t="shared" ref="L119:L124" si="51">$B$7-$B$8*EXP(-$B$9*F$16)+I119*$B$10</f>
        <v>20.864289467406142</v>
      </c>
      <c r="M119">
        <f t="shared" ref="M119:M124" si="52">$B$7-$B$8*EXP(-$B$9*G$16)+J119*$B$10</f>
        <v>18.969561719330457</v>
      </c>
      <c r="N119">
        <f t="shared" ref="N119:N124" si="53">$B$7-$B$8*EXP(-$B$9*H$16)+K119*$B$10</f>
        <v>20.93098235045235</v>
      </c>
      <c r="O119">
        <f t="shared" ref="O119:O124" si="54">$F$3-$F$4*EXP(-$F$5*I$16)+I119*$B$10</f>
        <v>20.775236255738317</v>
      </c>
      <c r="P119">
        <f t="shared" ref="P119:P124" si="55">$F$3-$F$4*EXP(-$F$5*J$16)+J119*$B$10</f>
        <v>18.873813314760792</v>
      </c>
      <c r="Q119">
        <f t="shared" ref="Q119:Q124" si="56">$F$3-$F$4*EXP(-$F$5*K$16)+K119*$B$10</f>
        <v>20.83496621329239</v>
      </c>
      <c r="AC119">
        <f t="shared" si="49"/>
        <v>1.1330105438157183</v>
      </c>
      <c r="AD119">
        <f t="shared" si="50"/>
        <v>12.834455721478527</v>
      </c>
      <c r="AE119">
        <f t="shared" ref="AE119:AE126" si="57">$H$3-$H$4*EXP(-$H$5*AI$27)+I119*$B$10</f>
        <v>20.972415523519103</v>
      </c>
      <c r="AF119">
        <f t="shared" ref="AF119:AF126" si="58">$H$3-$H$4*EXP(-$H$5*AJ$27)+J119*$B$10</f>
        <v>19.078116720426237</v>
      </c>
      <c r="AG119">
        <f t="shared" ref="AG119:AG126" si="59">$H$3-$H$4*EXP(-$H$5*AK$27)+K119*$B$10</f>
        <v>21.039547322792895</v>
      </c>
    </row>
    <row r="120" spans="1:33" x14ac:dyDescent="0.25">
      <c r="A120">
        <v>98</v>
      </c>
      <c r="B120">
        <v>12.935178685872982</v>
      </c>
      <c r="C120">
        <v>0.43478848965605721</v>
      </c>
      <c r="D120">
        <f t="shared" si="44"/>
        <v>19.387144287611559</v>
      </c>
      <c r="E120">
        <f t="shared" si="45"/>
        <v>19.809092327949841</v>
      </c>
      <c r="F120">
        <f t="shared" si="46"/>
        <v>-0.41803889101383263</v>
      </c>
      <c r="G120">
        <f t="shared" si="47"/>
        <v>19.391053436936009</v>
      </c>
      <c r="H120">
        <v>98</v>
      </c>
      <c r="I120">
        <v>0.53638359531760216</v>
      </c>
      <c r="J120">
        <v>1.2148257155786268</v>
      </c>
      <c r="K120">
        <v>0.36010078474646434</v>
      </c>
      <c r="L120">
        <f t="shared" si="51"/>
        <v>20.886951119173585</v>
      </c>
      <c r="M120">
        <f t="shared" si="52"/>
        <v>21.573409779870286</v>
      </c>
      <c r="N120">
        <f t="shared" si="53"/>
        <v>20.744666943574465</v>
      </c>
      <c r="O120">
        <f t="shared" si="54"/>
        <v>20.79789790750576</v>
      </c>
      <c r="P120">
        <f t="shared" si="55"/>
        <v>21.47766137530062</v>
      </c>
      <c r="Q120">
        <f t="shared" si="56"/>
        <v>20.648650806414501</v>
      </c>
      <c r="AC120">
        <f t="shared" si="49"/>
        <v>-0.33053745245314659</v>
      </c>
      <c r="AD120">
        <f t="shared" si="50"/>
        <v>19.478554875496695</v>
      </c>
      <c r="AE120">
        <f t="shared" si="57"/>
        <v>20.995077175286546</v>
      </c>
      <c r="AF120">
        <f t="shared" si="58"/>
        <v>21.681964780966066</v>
      </c>
      <c r="AG120">
        <f t="shared" si="59"/>
        <v>20.853231915915011</v>
      </c>
    </row>
    <row r="121" spans="1:33" x14ac:dyDescent="0.25">
      <c r="A121">
        <v>99</v>
      </c>
      <c r="B121">
        <v>4.7160557878353222</v>
      </c>
      <c r="C121">
        <v>0.5369145128497621</v>
      </c>
      <c r="D121">
        <f t="shared" si="44"/>
        <v>13.438781835072334</v>
      </c>
      <c r="E121">
        <f t="shared" si="45"/>
        <v>13.959839848142909</v>
      </c>
      <c r="F121">
        <f t="shared" si="46"/>
        <v>-0.5438416200477505</v>
      </c>
      <c r="G121">
        <f t="shared" si="47"/>
        <v>13.415998228095159</v>
      </c>
      <c r="H121">
        <v>99</v>
      </c>
      <c r="I121">
        <v>0.13215185390436091</v>
      </c>
      <c r="J121">
        <v>0.15301793609978631</v>
      </c>
      <c r="K121">
        <v>-1.7788806871976703</v>
      </c>
      <c r="L121">
        <f t="shared" si="51"/>
        <v>20.494657405817062</v>
      </c>
      <c r="M121">
        <f t="shared" si="52"/>
        <v>20.542959980885364</v>
      </c>
      <c r="N121">
        <f t="shared" si="53"/>
        <v>18.668855228501954</v>
      </c>
      <c r="O121">
        <f t="shared" si="54"/>
        <v>20.405604194149237</v>
      </c>
      <c r="P121">
        <f t="shared" si="55"/>
        <v>20.447211576315699</v>
      </c>
      <c r="Q121">
        <f t="shared" si="56"/>
        <v>18.572839091341994</v>
      </c>
      <c r="AC121">
        <f t="shared" si="49"/>
        <v>-0.53759226582905484</v>
      </c>
      <c r="AD121">
        <f t="shared" si="50"/>
        <v>13.422247582313855</v>
      </c>
      <c r="AE121">
        <f t="shared" si="57"/>
        <v>20.602783461930024</v>
      </c>
      <c r="AF121">
        <f t="shared" si="58"/>
        <v>20.651514981981144</v>
      </c>
      <c r="AG121">
        <f t="shared" si="59"/>
        <v>18.777420200842499</v>
      </c>
    </row>
    <row r="122" spans="1:33" x14ac:dyDescent="0.25">
      <c r="A122">
        <v>100</v>
      </c>
      <c r="B122">
        <v>7.7304300057985174</v>
      </c>
      <c r="C122">
        <v>0.80801783042261377</v>
      </c>
      <c r="D122">
        <f t="shared" si="44"/>
        <v>16.969738791777431</v>
      </c>
      <c r="E122">
        <f t="shared" si="45"/>
        <v>17.753893727375928</v>
      </c>
      <c r="F122">
        <f t="shared" si="46"/>
        <v>-0.72948015385318854</v>
      </c>
      <c r="G122">
        <f t="shared" si="47"/>
        <v>17.02441357352274</v>
      </c>
      <c r="H122">
        <v>100</v>
      </c>
      <c r="I122">
        <v>-0.25159351935144514</v>
      </c>
      <c r="J122">
        <v>8.9892182586481795E-2</v>
      </c>
      <c r="K122">
        <v>-1.0674352779460605</v>
      </c>
      <c r="L122">
        <f t="shared" si="51"/>
        <v>20.122245044205879</v>
      </c>
      <c r="M122">
        <f t="shared" si="52"/>
        <v>20.481698497144414</v>
      </c>
      <c r="N122">
        <f t="shared" si="53"/>
        <v>19.359289780895132</v>
      </c>
      <c r="O122">
        <f t="shared" si="54"/>
        <v>20.033191832538055</v>
      </c>
      <c r="P122">
        <f t="shared" si="55"/>
        <v>20.385950092574749</v>
      </c>
      <c r="Q122">
        <f t="shared" si="56"/>
        <v>19.263273643735172</v>
      </c>
      <c r="AC122">
        <f t="shared" si="49"/>
        <v>-0.73597701121487091</v>
      </c>
      <c r="AD122">
        <f t="shared" si="50"/>
        <v>17.017916716161057</v>
      </c>
      <c r="AE122">
        <f t="shared" si="57"/>
        <v>20.230371100318841</v>
      </c>
      <c r="AF122">
        <f t="shared" si="58"/>
        <v>20.590253498240195</v>
      </c>
      <c r="AG122">
        <f t="shared" si="59"/>
        <v>19.467854753235677</v>
      </c>
    </row>
    <row r="123" spans="1:33" x14ac:dyDescent="0.25">
      <c r="A123">
        <v>101</v>
      </c>
      <c r="B123">
        <v>1.4522843104342784</v>
      </c>
      <c r="C123">
        <v>0.3297350303910207</v>
      </c>
      <c r="D123">
        <f t="shared" si="44"/>
        <v>5.4153779433754625</v>
      </c>
      <c r="E123">
        <f t="shared" si="45"/>
        <v>5.7353750298080781</v>
      </c>
      <c r="F123">
        <f t="shared" si="46"/>
        <v>-0.82089017930871488</v>
      </c>
      <c r="G123">
        <f t="shared" si="47"/>
        <v>4.9144848504993632</v>
      </c>
      <c r="H123">
        <v>101</v>
      </c>
      <c r="I123">
        <v>0.60977754401392303</v>
      </c>
      <c r="J123">
        <v>1.3671615306520835</v>
      </c>
      <c r="K123">
        <v>7.8759967436781153E-2</v>
      </c>
      <c r="L123">
        <f t="shared" si="51"/>
        <v>20.958177551247715</v>
      </c>
      <c r="M123">
        <f t="shared" si="52"/>
        <v>21.721246717077218</v>
      </c>
      <c r="N123">
        <f t="shared" si="53"/>
        <v>20.471634861642166</v>
      </c>
      <c r="O123">
        <f t="shared" si="54"/>
        <v>20.869124339579891</v>
      </c>
      <c r="P123">
        <f t="shared" si="55"/>
        <v>21.625498312507553</v>
      </c>
      <c r="Q123">
        <f t="shared" si="56"/>
        <v>20.375618724482205</v>
      </c>
      <c r="AC123">
        <f t="shared" si="49"/>
        <v>-0.48656879378593576</v>
      </c>
      <c r="AD123">
        <f t="shared" si="50"/>
        <v>5.2488062360221424</v>
      </c>
      <c r="AE123">
        <f t="shared" si="57"/>
        <v>21.066303607360677</v>
      </c>
      <c r="AF123">
        <f t="shared" si="58"/>
        <v>21.829801718172998</v>
      </c>
      <c r="AG123">
        <f t="shared" si="59"/>
        <v>20.580199833982711</v>
      </c>
    </row>
    <row r="124" spans="1:33" x14ac:dyDescent="0.25">
      <c r="A124">
        <v>102</v>
      </c>
      <c r="B124">
        <v>12.476302377391889</v>
      </c>
      <c r="C124">
        <v>-0.58781324696610682</v>
      </c>
      <c r="D124">
        <f t="shared" si="44"/>
        <v>19.272351533029976</v>
      </c>
      <c r="E124">
        <f t="shared" si="45"/>
        <v>18.701897959527063</v>
      </c>
      <c r="F124">
        <f t="shared" si="46"/>
        <v>0.58043048452482537</v>
      </c>
      <c r="G124">
        <f t="shared" si="47"/>
        <v>19.282328444051888</v>
      </c>
      <c r="H124">
        <v>102</v>
      </c>
      <c r="I124">
        <v>0.38816097003291361</v>
      </c>
      <c r="J124">
        <v>-0.2293882062076591</v>
      </c>
      <c r="K124">
        <v>-0.87517037172801793</v>
      </c>
      <c r="L124">
        <f t="shared" si="51"/>
        <v>20.743105898426954</v>
      </c>
      <c r="M124">
        <f t="shared" si="52"/>
        <v>20.171847299205147</v>
      </c>
      <c r="N124">
        <f t="shared" si="53"/>
        <v>19.545876598013272</v>
      </c>
      <c r="O124">
        <f t="shared" si="54"/>
        <v>20.65405268675913</v>
      </c>
      <c r="P124">
        <f t="shared" si="55"/>
        <v>20.076098894635482</v>
      </c>
      <c r="Q124">
        <f t="shared" si="56"/>
        <v>19.449860460853312</v>
      </c>
      <c r="AC124">
        <f t="shared" si="49"/>
        <v>0.65985017602312013</v>
      </c>
      <c r="AD124">
        <f t="shared" si="50"/>
        <v>19.361748135550183</v>
      </c>
      <c r="AE124">
        <f t="shared" si="57"/>
        <v>20.851231954539912</v>
      </c>
      <c r="AF124">
        <f t="shared" si="58"/>
        <v>20.280402300300928</v>
      </c>
      <c r="AG124">
        <f t="shared" si="59"/>
        <v>19.654441570353818</v>
      </c>
    </row>
    <row r="125" spans="1:33" x14ac:dyDescent="0.25">
      <c r="A125">
        <v>103</v>
      </c>
      <c r="B125">
        <v>7.3770256660664693</v>
      </c>
      <c r="C125">
        <v>1.8130322132492438</v>
      </c>
      <c r="D125">
        <f t="shared" si="44"/>
        <v>16.673084449491387</v>
      </c>
      <c r="E125">
        <f t="shared" si="45"/>
        <v>18.43257304601763</v>
      </c>
      <c r="F125">
        <f t="shared" si="46"/>
        <v>-1.7061456714227923</v>
      </c>
      <c r="G125">
        <f t="shared" si="47"/>
        <v>16.726427374594838</v>
      </c>
      <c r="AC125">
        <f t="shared" si="49"/>
        <v>-1.7166949830234763</v>
      </c>
      <c r="AD125">
        <f t="shared" si="50"/>
        <v>16.715878062994154</v>
      </c>
      <c r="AE125">
        <f t="shared" si="57"/>
        <v>20.474534400354987</v>
      </c>
      <c r="AF125">
        <f t="shared" si="58"/>
        <v>20.503016068578471</v>
      </c>
      <c r="AG125">
        <f t="shared" si="59"/>
        <v>20.503765855835439</v>
      </c>
    </row>
    <row r="126" spans="1:33" x14ac:dyDescent="0.25">
      <c r="A126">
        <v>104</v>
      </c>
      <c r="B126">
        <v>3.137272255623035</v>
      </c>
      <c r="C126">
        <v>-1.2193163456686307</v>
      </c>
      <c r="D126">
        <f t="shared" si="44"/>
        <v>10.313673642129372</v>
      </c>
      <c r="E126">
        <f t="shared" si="45"/>
        <v>9.1303669197864998</v>
      </c>
      <c r="F126">
        <f t="shared" si="46"/>
        <v>1.0120354101057298</v>
      </c>
      <c r="G126">
        <f t="shared" si="47"/>
        <v>10.14240232989223</v>
      </c>
      <c r="AC126">
        <f t="shared" si="49"/>
        <v>1.108700922284763</v>
      </c>
      <c r="AD126">
        <f t="shared" si="50"/>
        <v>10.239067842071263</v>
      </c>
      <c r="AE126">
        <f t="shared" si="57"/>
        <v>20.474534400354987</v>
      </c>
      <c r="AF126">
        <f t="shared" si="58"/>
        <v>20.503016068578471</v>
      </c>
      <c r="AG126">
        <f t="shared" si="59"/>
        <v>20.503765855835439</v>
      </c>
    </row>
  </sheetData>
  <sortState xmlns:xlrd2="http://schemas.microsoft.com/office/spreadsheetml/2017/richdata2" ref="T92:T101">
    <sortCondition ref="T9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C962-E790-4BF1-8A28-466150DBFFBD}">
  <dimension ref="A1:AO126"/>
  <sheetViews>
    <sheetView workbookViewId="0">
      <selection activeCell="K18" sqref="K18"/>
    </sheetView>
  </sheetViews>
  <sheetFormatPr defaultRowHeight="15" x14ac:dyDescent="0.25"/>
  <cols>
    <col min="2" max="2" width="9.5703125" bestFit="1" customWidth="1"/>
  </cols>
  <sheetData>
    <row r="1" spans="1:18" x14ac:dyDescent="0.25">
      <c r="A1" t="s">
        <v>13</v>
      </c>
    </row>
    <row r="2" spans="1:18" x14ac:dyDescent="0.25">
      <c r="A2" s="1">
        <v>1</v>
      </c>
      <c r="E2" s="1">
        <v>4</v>
      </c>
      <c r="F2" t="s">
        <v>51</v>
      </c>
      <c r="G2" s="12">
        <v>11</v>
      </c>
      <c r="H2" t="s">
        <v>52</v>
      </c>
    </row>
    <row r="3" spans="1:18" x14ac:dyDescent="0.25">
      <c r="A3" t="s">
        <v>0</v>
      </c>
      <c r="E3" t="s">
        <v>21</v>
      </c>
      <c r="F3">
        <v>1.5718153739371366</v>
      </c>
      <c r="G3" t="s">
        <v>21</v>
      </c>
      <c r="H3">
        <v>1.8743413042188286</v>
      </c>
    </row>
    <row r="4" spans="1:18" x14ac:dyDescent="0.25">
      <c r="A4" t="s">
        <v>1</v>
      </c>
      <c r="B4" s="2">
        <v>103.6802270577105</v>
      </c>
      <c r="E4" t="s">
        <v>22</v>
      </c>
      <c r="F4">
        <v>1.2676967980025549</v>
      </c>
      <c r="G4" t="s">
        <v>22</v>
      </c>
      <c r="H4">
        <v>1.2508259642840409</v>
      </c>
    </row>
    <row r="5" spans="1:18" x14ac:dyDescent="0.25">
      <c r="A5" t="s">
        <v>2</v>
      </c>
      <c r="B5" s="2">
        <v>1.228003784295175</v>
      </c>
      <c r="E5" t="s">
        <v>23</v>
      </c>
      <c r="F5">
        <v>-1.4970577418575166</v>
      </c>
      <c r="G5" t="s">
        <v>23</v>
      </c>
      <c r="H5">
        <v>1.6842525002735951</v>
      </c>
    </row>
    <row r="6" spans="1:18" ht="15.75" thickBot="1" x14ac:dyDescent="0.3">
      <c r="A6" s="4" t="s">
        <v>3</v>
      </c>
      <c r="B6" s="5">
        <v>12.592852565080722</v>
      </c>
      <c r="E6" t="s">
        <v>65</v>
      </c>
      <c r="F6">
        <v>54.885026099418987</v>
      </c>
      <c r="G6" t="s">
        <v>65</v>
      </c>
      <c r="H6">
        <v>25.848953138824463</v>
      </c>
    </row>
    <row r="7" spans="1:18" x14ac:dyDescent="0.25">
      <c r="A7" s="3" t="s">
        <v>4</v>
      </c>
      <c r="B7" s="6">
        <v>20.395220922655401</v>
      </c>
      <c r="E7" t="s">
        <v>66</v>
      </c>
      <c r="F7">
        <v>-2.9239736367103446</v>
      </c>
      <c r="G7" t="s">
        <v>66</v>
      </c>
      <c r="H7">
        <v>32.70945152328644</v>
      </c>
    </row>
    <row r="8" spans="1:18" x14ac:dyDescent="0.25">
      <c r="A8" s="3" t="s">
        <v>5</v>
      </c>
      <c r="B8" s="6">
        <v>21.073476596502587</v>
      </c>
      <c r="E8" t="s">
        <v>24</v>
      </c>
      <c r="F8">
        <f>SUMSQ(F23:F126)</f>
        <v>1004.1473617587734</v>
      </c>
      <c r="G8" t="s">
        <v>53</v>
      </c>
      <c r="H8">
        <f>SUMIF(AC23:AC126,"&gt;0")-SUMIF(AC23:AC126,"&lt;0")</f>
        <v>242.91728059836146</v>
      </c>
    </row>
    <row r="9" spans="1:18" x14ac:dyDescent="0.25">
      <c r="A9" s="3" t="s">
        <v>6</v>
      </c>
      <c r="B9" s="6">
        <v>0.23501577339193319</v>
      </c>
    </row>
    <row r="10" spans="1:18" ht="15.75" thickBot="1" x14ac:dyDescent="0.3">
      <c r="A10" s="4" t="s">
        <v>7</v>
      </c>
      <c r="B10" s="6">
        <v>0.97046736603369932</v>
      </c>
      <c r="E10" s="1">
        <v>6</v>
      </c>
      <c r="F10" t="s">
        <v>34</v>
      </c>
      <c r="I10" t="s">
        <v>42</v>
      </c>
      <c r="L10" s="1">
        <v>12</v>
      </c>
      <c r="M10" t="s">
        <v>34</v>
      </c>
      <c r="P10" t="s">
        <v>42</v>
      </c>
    </row>
    <row r="11" spans="1:18" x14ac:dyDescent="0.25">
      <c r="A11" t="s">
        <v>4</v>
      </c>
      <c r="B11" s="15">
        <v>3.1920832346513635</v>
      </c>
      <c r="D11" t="s">
        <v>35</v>
      </c>
      <c r="F11">
        <v>10</v>
      </c>
      <c r="G11">
        <v>10</v>
      </c>
      <c r="H11">
        <v>10</v>
      </c>
      <c r="M11" t="s">
        <v>63</v>
      </c>
      <c r="O11" t="s">
        <v>37</v>
      </c>
      <c r="P11">
        <f>P$14-3*P$15</f>
        <v>-4.5876353616601993</v>
      </c>
      <c r="Q11">
        <f>Q$14-3*Q$15</f>
        <v>-10.647074310381736</v>
      </c>
      <c r="R11">
        <f>R$14-3*R$15</f>
        <v>-4.719628003198034</v>
      </c>
    </row>
    <row r="12" spans="1:18" x14ac:dyDescent="0.25">
      <c r="A12" t="s">
        <v>5</v>
      </c>
      <c r="B12" s="15">
        <v>1.0632638274400961</v>
      </c>
      <c r="D12" t="s">
        <v>36</v>
      </c>
      <c r="F12">
        <f>(I14-F13)/F11</f>
        <v>2.1764700619062505</v>
      </c>
      <c r="G12">
        <f>(G14-J13)/G11</f>
        <v>2.1193808514142356</v>
      </c>
      <c r="H12">
        <f>(K14-H13)/H11</f>
        <v>2.907841708630837</v>
      </c>
      <c r="O12" t="s">
        <v>38</v>
      </c>
      <c r="P12">
        <f>P$14+3*P$15</f>
        <v>26.440991045815849</v>
      </c>
      <c r="Q12">
        <f>Q$14+3*Q$15</f>
        <v>12.776117121422299</v>
      </c>
      <c r="R12">
        <f>R$14+3*R$15</f>
        <v>33.31458785596395</v>
      </c>
    </row>
    <row r="13" spans="1:18" x14ac:dyDescent="0.25">
      <c r="A13" t="s">
        <v>6</v>
      </c>
      <c r="B13" s="15">
        <v>1.5057074809446931</v>
      </c>
      <c r="E13" t="s">
        <v>37</v>
      </c>
      <c r="F13" s="7">
        <f t="shared" ref="F13:K13" si="0">MIN(L23:L124)</f>
        <v>-0.24802068319613557</v>
      </c>
      <c r="G13">
        <f t="shared" si="0"/>
        <v>-5.0306050546250454</v>
      </c>
      <c r="H13" s="7">
        <f t="shared" si="0"/>
        <v>0.24788211537837679</v>
      </c>
      <c r="I13" s="18">
        <f t="shared" si="0"/>
        <v>-1.1788826208058807</v>
      </c>
      <c r="J13" s="7">
        <f t="shared" si="0"/>
        <v>-8.2047220079504619</v>
      </c>
      <c r="K13" s="18">
        <f t="shared" si="0"/>
        <v>-2.3001545676094475</v>
      </c>
      <c r="L13" t="s">
        <v>60</v>
      </c>
      <c r="M13" s="7">
        <f>$B$11+$B$12*I$16+$B$13*SIN($B$14*(B23-$B$15))</f>
        <v>32.45390720662251</v>
      </c>
      <c r="N13" s="7">
        <f t="shared" ref="N13:O13" si="1">$B$11+$B$12*J$16+$B$13*SIN($B$14*(C23-$B$15))</f>
        <v>50.751386495248859</v>
      </c>
      <c r="O13" s="7">
        <f t="shared" si="1"/>
        <v>66.463087238852481</v>
      </c>
      <c r="P13" s="13">
        <f>ABS(M13-P14)/M13*100</f>
        <v>66.331703075036415</v>
      </c>
      <c r="Q13" s="13">
        <f t="shared" ref="Q13:R13" si="2">ABS(N13-Q14)/N13*100</f>
        <v>97.902478180335166</v>
      </c>
      <c r="R13" s="13">
        <f t="shared" si="2"/>
        <v>78.488089373577822</v>
      </c>
    </row>
    <row r="14" spans="1:18" x14ac:dyDescent="0.25">
      <c r="A14" t="s">
        <v>8</v>
      </c>
      <c r="B14" s="15">
        <v>1.0102170361060416</v>
      </c>
      <c r="E14" t="s">
        <v>38</v>
      </c>
      <c r="F14" s="18">
        <f t="shared" ref="F14:K14" si="3">MAX(L23:L124)</f>
        <v>22.714081101775552</v>
      </c>
      <c r="G14" s="7">
        <f t="shared" si="3"/>
        <v>12.989086506191896</v>
      </c>
      <c r="H14" s="18">
        <f t="shared" si="3"/>
        <v>27.017920802622971</v>
      </c>
      <c r="I14" s="7">
        <f t="shared" si="3"/>
        <v>21.516679935866371</v>
      </c>
      <c r="J14">
        <f t="shared" si="3"/>
        <v>9.4313945694028689</v>
      </c>
      <c r="K14" s="7">
        <f t="shared" si="3"/>
        <v>29.326299201686748</v>
      </c>
      <c r="L14" t="s">
        <v>61</v>
      </c>
      <c r="M14" s="7">
        <f t="shared" ref="M14:R14" si="4">AVERAGE(L23:L124)</f>
        <v>11.10272382474861</v>
      </c>
      <c r="N14" s="7">
        <f t="shared" si="4"/>
        <v>3.3447048587912072</v>
      </c>
      <c r="O14" s="7">
        <f t="shared" si="4"/>
        <v>14.310194810910845</v>
      </c>
      <c r="P14" s="7">
        <f t="shared" si="4"/>
        <v>10.926677842077824</v>
      </c>
      <c r="Q14" s="7">
        <f t="shared" si="4"/>
        <v>1.0645214055202807</v>
      </c>
      <c r="R14" s="7">
        <f t="shared" si="4"/>
        <v>14.297479926382957</v>
      </c>
    </row>
    <row r="15" spans="1:18" x14ac:dyDescent="0.25">
      <c r="A15" t="s">
        <v>9</v>
      </c>
      <c r="B15" s="15">
        <v>16.326869222684763</v>
      </c>
      <c r="F15" t="s">
        <v>39</v>
      </c>
      <c r="G15" t="s">
        <v>40</v>
      </c>
      <c r="H15" t="s">
        <v>41</v>
      </c>
      <c r="I15" t="s">
        <v>39</v>
      </c>
      <c r="J15" t="s">
        <v>40</v>
      </c>
      <c r="K15" t="s">
        <v>41</v>
      </c>
      <c r="L15" t="s">
        <v>62</v>
      </c>
      <c r="M15">
        <f t="shared" ref="M15:R15" si="5">_xlfn.STDEV.S(L23:L124)</f>
        <v>4.9647792668731112</v>
      </c>
      <c r="N15">
        <f t="shared" si="5"/>
        <v>3.6505451042281281</v>
      </c>
      <c r="O15">
        <f t="shared" si="5"/>
        <v>5.9134511619575454</v>
      </c>
      <c r="P15">
        <f t="shared" si="5"/>
        <v>5.1714377345793414</v>
      </c>
      <c r="Q15">
        <f t="shared" si="5"/>
        <v>3.9038652386340056</v>
      </c>
      <c r="R15">
        <f t="shared" si="5"/>
        <v>6.339035976526997</v>
      </c>
    </row>
    <row r="16" spans="1:18" ht="15.75" thickBot="1" x14ac:dyDescent="0.3">
      <c r="A16" s="4" t="s">
        <v>7</v>
      </c>
      <c r="B16" s="15">
        <v>3.2514202606107574</v>
      </c>
      <c r="F16" s="2">
        <f>B6+B19</f>
        <v>28.06176946317942</v>
      </c>
      <c r="G16" s="2">
        <f>B19+F16</f>
        <v>43.530686361278114</v>
      </c>
      <c r="H16" s="2">
        <f>G16+B19</f>
        <v>58.999603259376812</v>
      </c>
      <c r="I16" s="2">
        <f>F16</f>
        <v>28.06176946317942</v>
      </c>
      <c r="J16" s="2">
        <f>G16</f>
        <v>43.530686361278114</v>
      </c>
      <c r="K16" s="2">
        <f t="shared" ref="K16" si="6">H16</f>
        <v>58.999603259376812</v>
      </c>
      <c r="M16" s="2"/>
      <c r="N16" s="2"/>
      <c r="O16" s="2"/>
      <c r="P16" s="2"/>
      <c r="Q16" s="2"/>
      <c r="R16" s="2"/>
    </row>
    <row r="17" spans="1:41" x14ac:dyDescent="0.25">
      <c r="A17" t="s">
        <v>10</v>
      </c>
      <c r="B17">
        <v>0.2</v>
      </c>
    </row>
    <row r="18" spans="1:41" x14ac:dyDescent="0.25">
      <c r="A18" t="s">
        <v>11</v>
      </c>
      <c r="B18" s="2">
        <v>102.25928525650806</v>
      </c>
    </row>
    <row r="19" spans="1:41" x14ac:dyDescent="0.25">
      <c r="A19" t="s">
        <v>12</v>
      </c>
      <c r="B19" s="2">
        <v>15.468916898098698</v>
      </c>
    </row>
    <row r="21" spans="1:41" ht="15.75" thickBot="1" x14ac:dyDescent="0.3">
      <c r="A21" s="1">
        <v>2</v>
      </c>
      <c r="B21" t="s">
        <v>14</v>
      </c>
      <c r="F21" s="1">
        <v>3</v>
      </c>
      <c r="H21" s="1">
        <v>5</v>
      </c>
      <c r="R21" s="1">
        <v>7</v>
      </c>
      <c r="S21" t="s">
        <v>46</v>
      </c>
      <c r="AC21" s="1">
        <v>10</v>
      </c>
      <c r="AH21" s="1">
        <v>13</v>
      </c>
    </row>
    <row r="22" spans="1:41" x14ac:dyDescent="0.25">
      <c r="A22" t="s">
        <v>1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1</v>
      </c>
      <c r="I22" t="s">
        <v>25</v>
      </c>
      <c r="J22" t="s">
        <v>26</v>
      </c>
      <c r="K22" t="s">
        <v>27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 t="s">
        <v>33</v>
      </c>
      <c r="T22" s="11" t="s">
        <v>43</v>
      </c>
      <c r="U22" s="11" t="s">
        <v>45</v>
      </c>
      <c r="V22" t="s">
        <v>49</v>
      </c>
      <c r="AC22" t="s">
        <v>50</v>
      </c>
      <c r="AD22" t="s">
        <v>54</v>
      </c>
      <c r="AE22" t="s">
        <v>55</v>
      </c>
      <c r="AF22" t="s">
        <v>56</v>
      </c>
      <c r="AG22" t="s">
        <v>57</v>
      </c>
      <c r="AL22" t="s">
        <v>37</v>
      </c>
      <c r="AM22">
        <f>AM$25-3*AM$26</f>
        <v>26.496975751945641</v>
      </c>
      <c r="AN22">
        <f>AN$25-3*AN$26</f>
        <v>44.735691862577056</v>
      </c>
      <c r="AO22">
        <f>AO$25-3*AO$26</f>
        <v>65.928774089263214</v>
      </c>
    </row>
    <row r="23" spans="1:41" x14ac:dyDescent="0.25">
      <c r="A23">
        <v>1</v>
      </c>
      <c r="B23">
        <v>7.3854487746818442</v>
      </c>
      <c r="C23">
        <v>-0.22154154066811316</v>
      </c>
      <c r="D23">
        <f>$B$11+$B$12*B23+$B$13*SIN($B$14*(B23-$B$15))</f>
        <v>10.469523333991729</v>
      </c>
      <c r="E23">
        <f>D23+$B$16*C23</f>
        <v>9.7491986800965034</v>
      </c>
      <c r="F23">
        <f>$F$3+$F$4*B23+$F$5*SIN($F$6*(B23-$F$7))-E23</f>
        <v>0.67707926000965912</v>
      </c>
      <c r="G23">
        <f>$F$3+$F$4*B23+$F$5*SIN($F$6*(B23-$F$7))</f>
        <v>10.426277940106162</v>
      </c>
      <c r="H23">
        <v>1</v>
      </c>
      <c r="I23">
        <v>0.10603343980619701</v>
      </c>
      <c r="J23">
        <v>1.2354007594694849</v>
      </c>
      <c r="K23">
        <v>0.76979858931736089</v>
      </c>
      <c r="L23">
        <f>$B$11+$B$12*B23+$B$13*SIN($B$14*(B23-$B$15))+I23*$B$16</f>
        <v>10.81428260847985</v>
      </c>
      <c r="M23">
        <f>$B$11+$B$12*C23+$B$13*SIN($B$14*(C23-$B$15))+J23*$B$16</f>
        <v>8.2480322565071482</v>
      </c>
      <c r="N23">
        <f>$B$11+$B$12*D23+$B$13*SIN($B$14*(D23-$B$15))+K23*$B$16</f>
        <v>17.365747441309804</v>
      </c>
      <c r="O23">
        <f>$F$3+$F$4*B23+$F$5*SIN($F$6*(B23-$F$7))+I23*$B$16</f>
        <v>10.771037214594283</v>
      </c>
      <c r="P23">
        <f>$F$3+$F$4*C23+$F$5*SIN($F$6*(C23-$F$7))+J23*$B$16</f>
        <v>6.2353147891589558</v>
      </c>
      <c r="Q23">
        <f>$F$3+$F$4*D23+$F$5*SIN($F$6*(D23-$F$7))+K23*$B$16</f>
        <v>17.392214611667448</v>
      </c>
      <c r="R23">
        <v>1</v>
      </c>
      <c r="S23">
        <f>F13+$F$12-0.00001</f>
        <v>1.9284393787101148</v>
      </c>
      <c r="T23" s="8">
        <v>2.2290166647241683</v>
      </c>
      <c r="U23" s="9">
        <v>6</v>
      </c>
      <c r="V23">
        <f t="shared" ref="V23:V33" si="7">U23/$U$34</f>
        <v>5.8823529411764705E-2</v>
      </c>
      <c r="AC23">
        <f>$H$3+$H$4*B23+$H$5*SIN($H$6*(B23-$H$7))-E23</f>
        <v>-0.17267675440939279</v>
      </c>
      <c r="AD23">
        <f>$H$3+$H$4*B23+$H$5*SIN($H$6*(B23-$H$7))</f>
        <v>9.5765219256871106</v>
      </c>
      <c r="AE23">
        <f>$H$3+$H$4*AI$27+$H$5*SIN($H$6*(B23-$H$7))+I23*$B$16</f>
        <v>35.783759963211274</v>
      </c>
      <c r="AF23">
        <f>$H$3+$H$4*AJ$27+$H$5*SIN($H$6*(C23-$H$7))+J23*$B$16</f>
        <v>60.105581035716639</v>
      </c>
      <c r="AG23">
        <f>$H$3+$H$4*AK$27+$H$5*SIN($H$6*(D23-$H$7))+K23*$B$16</f>
        <v>78.120628814712248</v>
      </c>
      <c r="AL23" t="s">
        <v>38</v>
      </c>
      <c r="AM23">
        <f>AM$25+3*AM$26</f>
        <v>48.436086066654752</v>
      </c>
      <c r="AN23">
        <f>AN$25+3*AN$26</f>
        <v>66.937418792502129</v>
      </c>
      <c r="AO23">
        <f>AO$25+3*AO$26</f>
        <v>85.551990061418508</v>
      </c>
    </row>
    <row r="24" spans="1:41" x14ac:dyDescent="0.25">
      <c r="A24">
        <v>2</v>
      </c>
      <c r="B24">
        <v>6.0483718375194551</v>
      </c>
      <c r="C24">
        <v>0.94616325441165827</v>
      </c>
      <c r="D24">
        <f t="shared" ref="D24:D87" si="8">$B$11+$B$12*B24+$B$13*SIN($B$14*(B24-$B$15))</f>
        <v>10.855467891400348</v>
      </c>
      <c r="E24">
        <f t="shared" ref="E24:E87" si="9">D24+$B$16*C24</f>
        <v>13.931842266639825</v>
      </c>
      <c r="F24">
        <f t="shared" ref="F24:F87" si="10">$F$3+$F$4*B24+$F$5*SIN($F$6*(B24-$F$7))-E24</f>
        <v>-5.7481717430375383</v>
      </c>
      <c r="G24">
        <f>$F$3+$F$4*B24+$F$5*SIN($F$6*(B24-$F$7))</f>
        <v>8.1836705236022862</v>
      </c>
      <c r="H24">
        <v>2</v>
      </c>
      <c r="I24">
        <v>-1.4626652955485042</v>
      </c>
      <c r="J24">
        <v>9.6806616056710482E-2</v>
      </c>
      <c r="K24">
        <v>1.9430990505497903</v>
      </c>
      <c r="L24">
        <f t="shared" ref="L24:L87" si="11">$B$11+$B$12*B24+$B$13*SIN($B$14*(B24-$B$15))+I24*$B$16</f>
        <v>6.0997283149617205</v>
      </c>
      <c r="M24">
        <f t="shared" ref="M24:M87" si="12">$B$11+$B$12*C24+$B$13*SIN($B$14*(C24-$B$15))+J24*$B$16</f>
        <v>4.2579579493812414</v>
      </c>
      <c r="N24">
        <f t="shared" ref="N24:N87" si="13">$B$11+$B$12*D24+$B$13*SIN($B$14*(D24-$B$15))+K24*$B$16</f>
        <v>22.084952753735678</v>
      </c>
      <c r="O24">
        <f t="shared" ref="O24:O87" si="14">$F$3+$F$4*B24+$F$5*SIN($F$6*(B24-$F$7))+I24*$B$16</f>
        <v>3.4279309471636585</v>
      </c>
      <c r="P24">
        <f t="shared" ref="P24:P87" si="15">$F$3+$F$4*C24+$F$5*SIN($F$6*(C24-$F$7))+J24*$B$16</f>
        <v>4.4897021222667366</v>
      </c>
      <c r="Q24">
        <f t="shared" ref="Q24:Q87" si="16">$F$3+$F$4*D24+$F$5*SIN($F$6*(D24-$F$7))+K24*$B$16</f>
        <v>20.537493391792836</v>
      </c>
      <c r="R24">
        <v>2</v>
      </c>
      <c r="S24">
        <f t="shared" ref="S24:S31" si="17">S23+$F$12</f>
        <v>4.1049094406163658</v>
      </c>
      <c r="T24" s="8">
        <v>4.7060640126444717</v>
      </c>
      <c r="U24" s="9">
        <v>3</v>
      </c>
      <c r="V24">
        <f t="shared" si="7"/>
        <v>2.9411764705882353E-2</v>
      </c>
      <c r="AC24">
        <f t="shared" ref="AC24:AC87" si="18">$H$3+$H$4*B24+$H$5*SIN($H$6*(B24-$H$7))-E24</f>
        <v>-2.9531999316837929</v>
      </c>
      <c r="AD24">
        <f>$H$3+$H$4*B24+$H$5*SIN($H$6*(B24-$H$7))</f>
        <v>10.978642334956032</v>
      </c>
      <c r="AE24">
        <f t="shared" ref="AE24:AE87" si="19">$H$3+$H$4*AI$27+$H$5*SIN($H$6*(B24-$H$7))+I24*$B$16</f>
        <v>33.757832070801548</v>
      </c>
      <c r="AF24">
        <f t="shared" ref="AF24:AF87" si="20">$H$3+$H$4*AJ$27+$H$5*SIN($H$6*(C24-$H$7))+J24*$B$16</f>
        <v>58.133323838717466</v>
      </c>
      <c r="AG24">
        <f t="shared" ref="AG24:AG87" si="21">$H$3+$H$4*AK$27+$H$5*SIN($H$6*(D24-$H$7))+K24*$B$16</f>
        <v>82.919157897295946</v>
      </c>
      <c r="AH24" t="s">
        <v>58</v>
      </c>
      <c r="AI24" s="7">
        <f>MIN(AE23:AE124)</f>
        <v>29.1779822415232</v>
      </c>
      <c r="AJ24" s="7">
        <f>MIN(AF23:AF124)</f>
        <v>46.651107862888011</v>
      </c>
      <c r="AK24" s="7">
        <f>MIN(AG23:AG124)</f>
        <v>66.229533860130957</v>
      </c>
      <c r="AM24" s="14">
        <f>ABS(M13-AM25)/M13*100</f>
        <v>15.44536277485509</v>
      </c>
      <c r="AN24" s="14">
        <f>ABS(N13-AN25)/N13*100</f>
        <v>10.019763366990549</v>
      </c>
      <c r="AO24" s="14">
        <f>ABS(O13-AO25)/O13*100</f>
        <v>13.958567412235901</v>
      </c>
    </row>
    <row r="25" spans="1:41" x14ac:dyDescent="0.25">
      <c r="A25">
        <v>3</v>
      </c>
      <c r="B25">
        <v>3.3983886226996676</v>
      </c>
      <c r="C25">
        <v>-7.8837274486431852E-2</v>
      </c>
      <c r="D25">
        <f t="shared" si="8"/>
        <v>6.0912674476951647</v>
      </c>
      <c r="E25">
        <f t="shared" si="9"/>
        <v>5.834934336138649</v>
      </c>
      <c r="F25">
        <f t="shared" si="10"/>
        <v>-1.4367759988891811</v>
      </c>
      <c r="G25">
        <f t="shared" ref="G25:G87" si="22">$F$3+$F$4*B25+$F$5*SIN($F$6*(B25-$F$7))</f>
        <v>4.3981583372494679</v>
      </c>
      <c r="H25">
        <v>3</v>
      </c>
      <c r="I25">
        <v>-1.60264789883513</v>
      </c>
      <c r="J25">
        <v>-7.4232957558706403E-2</v>
      </c>
      <c r="K25">
        <v>-0.53400071919895709</v>
      </c>
      <c r="L25">
        <f t="shared" si="11"/>
        <v>0.88038559879736322</v>
      </c>
      <c r="M25">
        <f t="shared" si="12"/>
        <v>4.0132351294201642</v>
      </c>
      <c r="N25">
        <f t="shared" si="13"/>
        <v>9.1261826225367209</v>
      </c>
      <c r="O25">
        <f t="shared" si="14"/>
        <v>-0.81272351164833356</v>
      </c>
      <c r="P25">
        <f t="shared" si="15"/>
        <v>2.4254156582515165</v>
      </c>
      <c r="Q25">
        <f t="shared" si="16"/>
        <v>9.0544919921059535</v>
      </c>
      <c r="R25">
        <v>3</v>
      </c>
      <c r="S25">
        <f t="shared" si="17"/>
        <v>6.2813795025226167</v>
      </c>
      <c r="T25" s="8">
        <v>7.1831113605647756</v>
      </c>
      <c r="U25" s="9">
        <v>12</v>
      </c>
      <c r="V25">
        <f t="shared" si="7"/>
        <v>0.11764705882352941</v>
      </c>
      <c r="AC25">
        <f t="shared" si="18"/>
        <v>1.1510179115146322</v>
      </c>
      <c r="AD25">
        <f t="shared" ref="AD25:AD87" si="23">$H$3+$H$4*B25+$H$5*SIN($H$6*(B25-$H$7))</f>
        <v>6.9859522476532812</v>
      </c>
      <c r="AE25">
        <f t="shared" si="19"/>
        <v>32.624667521053112</v>
      </c>
      <c r="AF25">
        <f t="shared" si="20"/>
        <v>57.150577854721185</v>
      </c>
      <c r="AG25">
        <f t="shared" si="21"/>
        <v>74.009392617087201</v>
      </c>
      <c r="AH25" t="s">
        <v>59</v>
      </c>
      <c r="AI25">
        <f>MAX(AE23:AE124)</f>
        <v>46.813073704680193</v>
      </c>
      <c r="AJ25">
        <f>MAX(AF23:AF124)</f>
        <v>63.590314040841271</v>
      </c>
      <c r="AK25">
        <f>MAX(AG23:AG124)</f>
        <v>84.813043732912405</v>
      </c>
      <c r="AL25" t="s">
        <v>64</v>
      </c>
      <c r="AM25" s="7">
        <f>AVERAGE(AE23:AE124)</f>
        <v>37.466530909300197</v>
      </c>
      <c r="AN25" s="7">
        <f>AVERAGE(AF23:AF124)</f>
        <v>55.836555327539592</v>
      </c>
      <c r="AO25" s="7">
        <f>AVERAGE(AG23:AG124)</f>
        <v>75.740382075340861</v>
      </c>
    </row>
    <row r="26" spans="1:41" x14ac:dyDescent="0.25">
      <c r="A26">
        <v>4</v>
      </c>
      <c r="B26">
        <v>4.3007599108859527</v>
      </c>
      <c r="C26">
        <v>0.23945290195115376</v>
      </c>
      <c r="D26">
        <f t="shared" si="8"/>
        <v>8.3753033615513406</v>
      </c>
      <c r="E26">
        <f t="shared" si="9"/>
        <v>9.1538653784173629</v>
      </c>
      <c r="F26">
        <f t="shared" si="10"/>
        <v>-3.0817855741946616</v>
      </c>
      <c r="G26">
        <f t="shared" si="22"/>
        <v>6.0720798042227013</v>
      </c>
      <c r="H26">
        <v>4</v>
      </c>
      <c r="I26">
        <v>1.7165439203381538</v>
      </c>
      <c r="J26">
        <v>1.9819344743154943</v>
      </c>
      <c r="K26">
        <v>-0.97197244031121954</v>
      </c>
      <c r="L26">
        <f t="shared" si="11"/>
        <v>13.956509042367031</v>
      </c>
      <c r="M26">
        <f t="shared" si="12"/>
        <v>10.66985127850371</v>
      </c>
      <c r="N26">
        <f t="shared" si="13"/>
        <v>7.4552531092508083</v>
      </c>
      <c r="O26">
        <f t="shared" si="14"/>
        <v>11.653285485038392</v>
      </c>
      <c r="P26">
        <f t="shared" si="15"/>
        <v>9.4313945694028689</v>
      </c>
      <c r="Q26">
        <f t="shared" si="16"/>
        <v>10.457535008484513</v>
      </c>
      <c r="R26">
        <v>4</v>
      </c>
      <c r="S26">
        <f t="shared" si="17"/>
        <v>8.4578495644288676</v>
      </c>
      <c r="T26" s="8">
        <v>9.6601587084850795</v>
      </c>
      <c r="U26" s="9">
        <v>17</v>
      </c>
      <c r="V26">
        <f t="shared" si="7"/>
        <v>0.16666666666666666</v>
      </c>
      <c r="AC26">
        <f t="shared" si="18"/>
        <v>-0.69446496277770287</v>
      </c>
      <c r="AD26">
        <f t="shared" si="23"/>
        <v>8.4594004156396601</v>
      </c>
      <c r="AE26">
        <f t="shared" si="19"/>
        <v>43.761493782065138</v>
      </c>
      <c r="AF26">
        <f t="shared" si="20"/>
        <v>63.590314040841271</v>
      </c>
      <c r="AG26">
        <f t="shared" si="21"/>
        <v>71.435365766856876</v>
      </c>
      <c r="AI26" t="s">
        <v>39</v>
      </c>
      <c r="AJ26" t="s">
        <v>40</v>
      </c>
      <c r="AK26" t="s">
        <v>41</v>
      </c>
      <c r="AL26" t="s">
        <v>62</v>
      </c>
      <c r="AM26">
        <f>_xlfn.STDEV.S(AE22:AE123)</f>
        <v>3.6565183857848518</v>
      </c>
      <c r="AN26">
        <f>_xlfn.STDEV.S(AF22:AF123)</f>
        <v>3.7002878216541775</v>
      </c>
      <c r="AO26">
        <f>_xlfn.STDEV.S(AG22:AG123)</f>
        <v>3.270535995359217</v>
      </c>
    </row>
    <row r="27" spans="1:41" x14ac:dyDescent="0.25">
      <c r="A27">
        <v>5</v>
      </c>
      <c r="B27">
        <v>1.8239997558519243</v>
      </c>
      <c r="C27">
        <v>-0.14729266695212573</v>
      </c>
      <c r="D27">
        <f t="shared" si="8"/>
        <v>3.820239309943612</v>
      </c>
      <c r="E27">
        <f t="shared" si="9"/>
        <v>3.341328948376078</v>
      </c>
      <c r="F27">
        <f t="shared" si="10"/>
        <v>0.30492652673828635</v>
      </c>
      <c r="G27">
        <f t="shared" si="22"/>
        <v>3.6462554751143643</v>
      </c>
      <c r="H27">
        <v>5</v>
      </c>
      <c r="I27">
        <v>0.28832914722443093</v>
      </c>
      <c r="J27">
        <v>-0.12474743016355205</v>
      </c>
      <c r="K27">
        <v>-0.79389110396732576</v>
      </c>
      <c r="L27">
        <f t="shared" si="11"/>
        <v>4.757718540953749</v>
      </c>
      <c r="M27">
        <f t="shared" si="12"/>
        <v>3.8409236616948785</v>
      </c>
      <c r="N27">
        <f t="shared" si="13"/>
        <v>4.5703625944339823</v>
      </c>
      <c r="O27">
        <f t="shared" si="14"/>
        <v>4.5837347061245008</v>
      </c>
      <c r="P27">
        <f t="shared" si="15"/>
        <v>-0.51685353237952225</v>
      </c>
      <c r="Q27">
        <f t="shared" si="16"/>
        <v>4.6180185468934587</v>
      </c>
      <c r="R27">
        <v>5</v>
      </c>
      <c r="S27">
        <f t="shared" si="17"/>
        <v>10.634319626335119</v>
      </c>
      <c r="T27" s="8">
        <v>12.137206056405383</v>
      </c>
      <c r="U27" s="9">
        <v>23</v>
      </c>
      <c r="V27">
        <f t="shared" si="7"/>
        <v>0.22549019607843138</v>
      </c>
      <c r="AC27">
        <f t="shared" si="18"/>
        <v>0.1709754810129982</v>
      </c>
      <c r="AD27">
        <f t="shared" si="23"/>
        <v>3.5123044293890762</v>
      </c>
      <c r="AE27">
        <f t="shared" si="19"/>
        <v>37.26866725522973</v>
      </c>
      <c r="AF27">
        <f t="shared" si="20"/>
        <v>54.430687877300855</v>
      </c>
      <c r="AG27">
        <f t="shared" si="21"/>
        <v>74.454566116049577</v>
      </c>
      <c r="AI27" s="2">
        <f>I16</f>
        <v>28.06176946317942</v>
      </c>
      <c r="AJ27" s="2">
        <f>J16</f>
        <v>43.530686361278114</v>
      </c>
      <c r="AK27" s="2">
        <f>K16</f>
        <v>58.999603259376812</v>
      </c>
    </row>
    <row r="28" spans="1:41" x14ac:dyDescent="0.25">
      <c r="A28">
        <v>6</v>
      </c>
      <c r="B28">
        <v>5.29871517075106</v>
      </c>
      <c r="C28">
        <v>0.30615865398431197</v>
      </c>
      <c r="D28">
        <f t="shared" si="8"/>
        <v>10.315866366304437</v>
      </c>
      <c r="E28">
        <f t="shared" si="9"/>
        <v>11.311316816830347</v>
      </c>
      <c r="F28">
        <f t="shared" si="10"/>
        <v>-1.6971914291767725</v>
      </c>
      <c r="G28">
        <f t="shared" si="22"/>
        <v>9.6141253876535746</v>
      </c>
      <c r="H28">
        <v>6</v>
      </c>
      <c r="I28">
        <v>-1.0188000487687532</v>
      </c>
      <c r="J28">
        <v>2.1688902052119374</v>
      </c>
      <c r="K28">
        <v>-2.5335248210467398</v>
      </c>
      <c r="L28">
        <f t="shared" si="11"/>
        <v>7.0033192462264857</v>
      </c>
      <c r="M28">
        <f t="shared" si="12"/>
        <v>11.260118199740061</v>
      </c>
      <c r="N28">
        <f t="shared" si="13"/>
        <v>6.2380271048056706</v>
      </c>
      <c r="O28">
        <f t="shared" si="14"/>
        <v>6.3015782675756231</v>
      </c>
      <c r="P28">
        <f t="shared" si="15"/>
        <v>7.5490251103990644</v>
      </c>
      <c r="Q28">
        <f t="shared" si="16"/>
        <v>7.6389396754421561</v>
      </c>
      <c r="R28">
        <v>6</v>
      </c>
      <c r="S28">
        <f t="shared" si="17"/>
        <v>12.810789688241369</v>
      </c>
      <c r="T28" s="8">
        <v>14.614253404325687</v>
      </c>
      <c r="U28" s="9">
        <v>14</v>
      </c>
      <c r="V28">
        <f t="shared" si="7"/>
        <v>0.13725490196078433</v>
      </c>
      <c r="AC28">
        <f t="shared" si="18"/>
        <v>-1.1350758431324213</v>
      </c>
      <c r="AD28">
        <f t="shared" si="23"/>
        <v>10.176240973697926</v>
      </c>
      <c r="AE28">
        <f t="shared" si="19"/>
        <v>35.336313188996655</v>
      </c>
      <c r="AF28">
        <f t="shared" si="20"/>
        <v>61.797425045943882</v>
      </c>
      <c r="AG28">
        <f t="shared" si="21"/>
        <v>66.229533860130957</v>
      </c>
    </row>
    <row r="29" spans="1:41" x14ac:dyDescent="0.25">
      <c r="A29">
        <v>7</v>
      </c>
      <c r="B29">
        <v>10.532029175695058</v>
      </c>
      <c r="C29">
        <v>-0.69418888415384572</v>
      </c>
      <c r="D29">
        <f t="shared" si="8"/>
        <v>15.01691597698774</v>
      </c>
      <c r="E29">
        <f t="shared" si="9"/>
        <v>12.759816174359152</v>
      </c>
      <c r="F29">
        <f t="shared" si="10"/>
        <v>2.5465352891766564</v>
      </c>
      <c r="G29">
        <f t="shared" si="22"/>
        <v>15.306351463535808</v>
      </c>
      <c r="H29">
        <v>7</v>
      </c>
      <c r="I29">
        <v>-1.5950263332342729E-2</v>
      </c>
      <c r="J29">
        <v>0.28251292860659305</v>
      </c>
      <c r="K29">
        <v>-0.47243474909919314</v>
      </c>
      <c r="L29">
        <f t="shared" si="11"/>
        <v>14.965054967626884</v>
      </c>
      <c r="M29">
        <f t="shared" si="12"/>
        <v>4.8729696816056034</v>
      </c>
      <c r="N29">
        <f t="shared" si="13"/>
        <v>16.163102427585148</v>
      </c>
      <c r="O29">
        <f t="shared" si="14"/>
        <v>15.254490454174952</v>
      </c>
      <c r="P29">
        <f t="shared" si="15"/>
        <v>1.4009854076893242</v>
      </c>
      <c r="Q29">
        <f t="shared" si="16"/>
        <v>20.538914301799565</v>
      </c>
      <c r="R29">
        <v>7</v>
      </c>
      <c r="S29">
        <f t="shared" si="17"/>
        <v>14.98725975014762</v>
      </c>
      <c r="T29" s="8">
        <v>17.091300752245992</v>
      </c>
      <c r="U29" s="9">
        <v>15</v>
      </c>
      <c r="V29">
        <f t="shared" si="7"/>
        <v>0.14705882352941177</v>
      </c>
      <c r="AC29">
        <f t="shared" si="18"/>
        <v>0.60906474820691159</v>
      </c>
      <c r="AD29">
        <f t="shared" si="23"/>
        <v>13.368880922566063</v>
      </c>
      <c r="AE29">
        <f t="shared" si="19"/>
        <v>35.243674211946633</v>
      </c>
      <c r="AF29">
        <f t="shared" si="20"/>
        <v>56.451287640455298</v>
      </c>
      <c r="AG29">
        <f t="shared" si="21"/>
        <v>75.775702709109794</v>
      </c>
    </row>
    <row r="30" spans="1:41" x14ac:dyDescent="0.25">
      <c r="A30">
        <v>8</v>
      </c>
      <c r="B30">
        <v>2.4890591143528549</v>
      </c>
      <c r="C30">
        <v>-0.15154796528804582</v>
      </c>
      <c r="D30">
        <f t="shared" si="8"/>
        <v>4.3516516282264543</v>
      </c>
      <c r="E30">
        <f t="shared" si="9"/>
        <v>3.8589055034345665</v>
      </c>
      <c r="F30">
        <f t="shared" si="10"/>
        <v>-0.59464628827107768</v>
      </c>
      <c r="G30">
        <f t="shared" si="22"/>
        <v>3.2642592151634888</v>
      </c>
      <c r="H30">
        <v>8</v>
      </c>
      <c r="I30">
        <v>-1.2543273442133795</v>
      </c>
      <c r="J30">
        <v>-0.64517280407017097</v>
      </c>
      <c r="K30">
        <v>-1.7537695384817198</v>
      </c>
      <c r="L30">
        <f t="shared" si="11"/>
        <v>0.27330628781298838</v>
      </c>
      <c r="M30">
        <f t="shared" si="12"/>
        <v>2.1481124789994883</v>
      </c>
      <c r="N30">
        <f t="shared" si="13"/>
        <v>2.7971004423477517</v>
      </c>
      <c r="O30">
        <f t="shared" si="14"/>
        <v>-0.81408612524997714</v>
      </c>
      <c r="P30">
        <f t="shared" si="15"/>
        <v>-2.1844709370639697</v>
      </c>
      <c r="Q30">
        <f t="shared" si="16"/>
        <v>1.8862664988234821</v>
      </c>
      <c r="R30">
        <v>8</v>
      </c>
      <c r="S30">
        <f t="shared" si="17"/>
        <v>17.163729812053869</v>
      </c>
      <c r="T30" s="8">
        <v>19.568348100166297</v>
      </c>
      <c r="U30" s="9">
        <v>8</v>
      </c>
      <c r="V30">
        <f t="shared" si="7"/>
        <v>7.8431372549019607E-2</v>
      </c>
      <c r="AC30">
        <f t="shared" si="18"/>
        <v>-0.36531561224845488</v>
      </c>
      <c r="AD30">
        <f t="shared" si="23"/>
        <v>3.4935898911861116</v>
      </c>
      <c r="AE30">
        <f t="shared" si="19"/>
        <v>31.402254632200108</v>
      </c>
      <c r="AF30">
        <f t="shared" si="20"/>
        <v>52.660808471550403</v>
      </c>
      <c r="AG30">
        <f t="shared" si="21"/>
        <v>71.412812462820028</v>
      </c>
    </row>
    <row r="31" spans="1:41" x14ac:dyDescent="0.25">
      <c r="A31">
        <v>9</v>
      </c>
      <c r="B31">
        <v>1.7683339945677052</v>
      </c>
      <c r="C31">
        <v>3.2403022487415001E-2</v>
      </c>
      <c r="D31">
        <f t="shared" si="8"/>
        <v>3.8047243314327228</v>
      </c>
      <c r="E31">
        <f t="shared" si="9"/>
        <v>3.9100801752533298</v>
      </c>
      <c r="F31">
        <f t="shared" si="10"/>
        <v>1.2889711640722279E-2</v>
      </c>
      <c r="G31">
        <f t="shared" si="22"/>
        <v>3.9229698868940521</v>
      </c>
      <c r="H31">
        <v>9</v>
      </c>
      <c r="I31">
        <v>-1.2433156371116638</v>
      </c>
      <c r="J31">
        <v>0.70856913225725293</v>
      </c>
      <c r="K31">
        <v>-1.3349108485272154E-2</v>
      </c>
      <c r="L31">
        <f t="shared" si="11"/>
        <v>-0.23781732140631329</v>
      </c>
      <c r="M31">
        <f t="shared" si="12"/>
        <v>6.5600238256531282</v>
      </c>
      <c r="N31">
        <f t="shared" si="13"/>
        <v>7.0682045810860314</v>
      </c>
      <c r="O31">
        <f t="shared" si="14"/>
        <v>-0.11957176594498398</v>
      </c>
      <c r="P31">
        <f t="shared" si="15"/>
        <v>5.2522982768921223</v>
      </c>
      <c r="Q31">
        <f t="shared" si="16"/>
        <v>7.8277228884207375</v>
      </c>
      <c r="R31">
        <v>9</v>
      </c>
      <c r="S31">
        <f t="shared" si="17"/>
        <v>19.34019987396012</v>
      </c>
      <c r="T31" s="8">
        <v>22.045395448086602</v>
      </c>
      <c r="U31" s="9">
        <v>3</v>
      </c>
      <c r="V31">
        <f t="shared" si="7"/>
        <v>2.9411764705882353E-2</v>
      </c>
      <c r="AC31">
        <f t="shared" si="18"/>
        <v>-1.4514333217620887</v>
      </c>
      <c r="AD31">
        <f t="shared" si="23"/>
        <v>2.4586468534912411</v>
      </c>
      <c r="AE31">
        <f t="shared" si="19"/>
        <v>31.304616975018661</v>
      </c>
      <c r="AF31">
        <f t="shared" si="20"/>
        <v>57.939311048367472</v>
      </c>
      <c r="AG31">
        <f t="shared" si="21"/>
        <v>76.498158540554655</v>
      </c>
    </row>
    <row r="32" spans="1:41" x14ac:dyDescent="0.25">
      <c r="A32">
        <v>10</v>
      </c>
      <c r="B32">
        <v>6.1201513718070011</v>
      </c>
      <c r="C32">
        <v>-0.74644731284934096</v>
      </c>
      <c r="D32">
        <f t="shared" si="8"/>
        <v>10.865873039500434</v>
      </c>
      <c r="E32">
        <f t="shared" si="9"/>
        <v>8.4388591230236294</v>
      </c>
      <c r="F32">
        <f t="shared" si="10"/>
        <v>0.86840195610120752</v>
      </c>
      <c r="G32">
        <f t="shared" si="22"/>
        <v>9.3072610791248369</v>
      </c>
      <c r="H32">
        <v>10</v>
      </c>
      <c r="I32">
        <v>1.4247120816435199</v>
      </c>
      <c r="J32">
        <v>-1.2865575627074577</v>
      </c>
      <c r="K32">
        <v>0.34398567549942527</v>
      </c>
      <c r="L32">
        <f t="shared" si="11"/>
        <v>15.498210767293102</v>
      </c>
      <c r="M32">
        <f t="shared" si="12"/>
        <v>-0.27974267543559606</v>
      </c>
      <c r="N32">
        <f t="shared" si="13"/>
        <v>16.908086184479679</v>
      </c>
      <c r="O32">
        <f t="shared" si="14"/>
        <v>13.939598806917505</v>
      </c>
      <c r="P32">
        <f t="shared" si="15"/>
        <v>-3.7562163305087894</v>
      </c>
      <c r="Q32">
        <f t="shared" si="16"/>
        <v>16.068846787705795</v>
      </c>
      <c r="R32">
        <v>10</v>
      </c>
      <c r="S32">
        <f>S31+$F$12+0.00002</f>
        <v>21.516689935866371</v>
      </c>
      <c r="T32" s="8">
        <v>24.522462796006906</v>
      </c>
      <c r="U32" s="9">
        <v>1</v>
      </c>
      <c r="V32">
        <f t="shared" si="7"/>
        <v>9.8039215686274508E-3</v>
      </c>
      <c r="AC32">
        <f t="shared" si="18"/>
        <v>1.5620185416835852E-3</v>
      </c>
      <c r="AD32">
        <f t="shared" si="23"/>
        <v>8.440421141565313</v>
      </c>
      <c r="AE32">
        <f t="shared" si="19"/>
        <v>40.517904476451044</v>
      </c>
      <c r="AF32">
        <f t="shared" si="20"/>
        <v>53.419087851011909</v>
      </c>
      <c r="AG32">
        <f t="shared" si="21"/>
        <v>78.059739330749281</v>
      </c>
    </row>
    <row r="33" spans="1:33" ht="15.75" thickBot="1" x14ac:dyDescent="0.3">
      <c r="A33">
        <v>11</v>
      </c>
      <c r="B33">
        <v>5.5678884243293556</v>
      </c>
      <c r="C33">
        <v>-1.9070012058364227</v>
      </c>
      <c r="D33">
        <f t="shared" si="8"/>
        <v>10.605861727396436</v>
      </c>
      <c r="E33">
        <f t="shared" si="9"/>
        <v>4.4053993697307456</v>
      </c>
      <c r="F33">
        <f t="shared" si="10"/>
        <v>2.8770745005380309</v>
      </c>
      <c r="G33">
        <f t="shared" si="22"/>
        <v>7.2824738702687766</v>
      </c>
      <c r="H33">
        <v>11</v>
      </c>
      <c r="I33">
        <v>2.5883491616696119</v>
      </c>
      <c r="J33">
        <v>-1.8266564438818023</v>
      </c>
      <c r="K33">
        <v>2.4657492758706212</v>
      </c>
      <c r="L33">
        <f t="shared" si="11"/>
        <v>19.021672633183883</v>
      </c>
      <c r="M33">
        <f t="shared" si="12"/>
        <v>-4.1479402845307796</v>
      </c>
      <c r="N33">
        <f t="shared" si="13"/>
        <v>23.212892685389498</v>
      </c>
      <c r="O33">
        <f t="shared" si="14"/>
        <v>15.698284776056223</v>
      </c>
      <c r="P33">
        <f t="shared" si="15"/>
        <v>-5.7842184623136372</v>
      </c>
      <c r="Q33">
        <f t="shared" si="16"/>
        <v>21.655894393488303</v>
      </c>
      <c r="T33" s="10" t="s">
        <v>44</v>
      </c>
      <c r="U33" s="10">
        <v>0</v>
      </c>
      <c r="V33">
        <f t="shared" si="7"/>
        <v>0</v>
      </c>
      <c r="AC33">
        <f t="shared" si="18"/>
        <v>5.8559329882518609</v>
      </c>
      <c r="AD33">
        <f t="shared" si="23"/>
        <v>10.261332357982607</v>
      </c>
      <c r="AE33">
        <f t="shared" si="19"/>
        <v>46.813073704680193</v>
      </c>
      <c r="AF33">
        <f t="shared" si="20"/>
        <v>49.497147106970246</v>
      </c>
      <c r="AG33">
        <f t="shared" si="21"/>
        <v>84.369155419990079</v>
      </c>
    </row>
    <row r="34" spans="1:33" ht="15.75" thickBot="1" x14ac:dyDescent="0.3">
      <c r="A34">
        <v>12</v>
      </c>
      <c r="B34">
        <v>2.500411999877926</v>
      </c>
      <c r="C34">
        <v>-1.6536023395019583</v>
      </c>
      <c r="D34">
        <f t="shared" si="8"/>
        <v>4.3665371832262032</v>
      </c>
      <c r="E34">
        <f t="shared" si="9"/>
        <v>-1.0100189664238126</v>
      </c>
      <c r="F34">
        <f t="shared" si="10"/>
        <v>4.7490745253655753</v>
      </c>
      <c r="G34">
        <f t="shared" si="22"/>
        <v>3.7390555589417627</v>
      </c>
      <c r="H34">
        <v>12</v>
      </c>
      <c r="I34">
        <v>-1.4192437447491102</v>
      </c>
      <c r="J34">
        <v>1.1211704986635596</v>
      </c>
      <c r="K34">
        <v>-1.5466321201529354</v>
      </c>
      <c r="L34">
        <f t="shared" si="11"/>
        <v>-0.24802068319613557</v>
      </c>
      <c r="M34">
        <f t="shared" si="12"/>
        <v>6.0323244467409722</v>
      </c>
      <c r="N34">
        <f t="shared" si="13"/>
        <v>3.5065402536501242</v>
      </c>
      <c r="O34">
        <f t="shared" si="14"/>
        <v>-0.87550230748057611</v>
      </c>
      <c r="P34">
        <f t="shared" si="15"/>
        <v>2.2641601872644328</v>
      </c>
      <c r="Q34">
        <f t="shared" si="16"/>
        <v>3.449583791623704</v>
      </c>
      <c r="U34">
        <f>SUM(U23:U32)</f>
        <v>102</v>
      </c>
      <c r="AC34">
        <f t="shared" si="18"/>
        <v>4.3568232891247467</v>
      </c>
      <c r="AD34">
        <f t="shared" si="23"/>
        <v>3.3468043227009341</v>
      </c>
      <c r="AE34">
        <f t="shared" si="19"/>
        <v>30.705056053721755</v>
      </c>
      <c r="AF34">
        <f t="shared" si="20"/>
        <v>58.73560516284963</v>
      </c>
      <c r="AG34">
        <f t="shared" si="21"/>
        <v>71.654478752537685</v>
      </c>
    </row>
    <row r="35" spans="1:33" x14ac:dyDescent="0.25">
      <c r="A35">
        <v>13</v>
      </c>
      <c r="B35">
        <v>5.5246742149113439</v>
      </c>
      <c r="C35">
        <v>-0.13338649296201766</v>
      </c>
      <c r="D35">
        <f t="shared" si="8"/>
        <v>10.5667919281693</v>
      </c>
      <c r="E35">
        <f t="shared" si="9"/>
        <v>10.133096382460781</v>
      </c>
      <c r="F35">
        <f t="shared" si="10"/>
        <v>-0.1362991394417552</v>
      </c>
      <c r="G35">
        <f t="shared" si="22"/>
        <v>9.9967972430190262</v>
      </c>
      <c r="H35">
        <v>13</v>
      </c>
      <c r="I35">
        <v>-0.88621845861780457</v>
      </c>
      <c r="J35">
        <v>-2.6321504265069962</v>
      </c>
      <c r="K35">
        <v>0.11542397260200232</v>
      </c>
      <c r="L35">
        <f t="shared" si="11"/>
        <v>7.6853232764921344</v>
      </c>
      <c r="M35">
        <f t="shared" si="12"/>
        <v>-4.309599419126851</v>
      </c>
      <c r="N35">
        <f t="shared" si="13"/>
        <v>15.47685626086103</v>
      </c>
      <c r="O35">
        <f t="shared" si="14"/>
        <v>7.1153285913418607</v>
      </c>
      <c r="P35">
        <f t="shared" si="15"/>
        <v>-8.2047220079504619</v>
      </c>
      <c r="Q35">
        <f t="shared" si="16"/>
        <v>16.581583737744705</v>
      </c>
      <c r="T35" s="11" t="s">
        <v>43</v>
      </c>
      <c r="U35" s="11" t="s">
        <v>45</v>
      </c>
      <c r="AC35">
        <f t="shared" si="18"/>
        <v>8.5686179133606544E-2</v>
      </c>
      <c r="AD35">
        <f t="shared" si="23"/>
        <v>10.218782561594388</v>
      </c>
      <c r="AE35">
        <f t="shared" si="19"/>
        <v>35.527297805993413</v>
      </c>
      <c r="AF35">
        <f t="shared" si="20"/>
        <v>46.651107862888011</v>
      </c>
      <c r="AG35">
        <f t="shared" si="21"/>
        <v>75.104238831313694</v>
      </c>
    </row>
    <row r="36" spans="1:33" x14ac:dyDescent="0.25">
      <c r="A36">
        <v>14</v>
      </c>
      <c r="B36">
        <v>10.036164433729057</v>
      </c>
      <c r="C36">
        <v>-0.88485876403865404</v>
      </c>
      <c r="D36">
        <f t="shared" si="8"/>
        <v>13.755169166177271</v>
      </c>
      <c r="E36">
        <f t="shared" si="9"/>
        <v>10.878121453002999</v>
      </c>
      <c r="F36">
        <f t="shared" si="10"/>
        <v>1.9671896518240874</v>
      </c>
      <c r="G36">
        <f t="shared" si="22"/>
        <v>12.845311104827086</v>
      </c>
      <c r="H36">
        <v>14</v>
      </c>
      <c r="I36">
        <v>0.53188500714895781</v>
      </c>
      <c r="J36">
        <v>-1.1680049283313565</v>
      </c>
      <c r="K36">
        <v>2.738888724707067</v>
      </c>
      <c r="L36">
        <f t="shared" si="11"/>
        <v>15.48455085473649</v>
      </c>
      <c r="M36">
        <f t="shared" si="12"/>
        <v>-4.9629035135100086E-2</v>
      </c>
      <c r="N36">
        <f t="shared" si="13"/>
        <v>25.943930227587181</v>
      </c>
      <c r="O36">
        <f t="shared" si="14"/>
        <v>14.574692793386305</v>
      </c>
      <c r="P36">
        <f t="shared" si="15"/>
        <v>-1.9631399340982072</v>
      </c>
      <c r="Q36">
        <f t="shared" si="16"/>
        <v>29.326299201686748</v>
      </c>
      <c r="T36" s="8">
        <v>2.2290166647241683</v>
      </c>
      <c r="U36" s="9">
        <v>6</v>
      </c>
      <c r="V36">
        <f t="shared" ref="V36:V46" si="24">U36/$U$34</f>
        <v>5.8823529411764705E-2</v>
      </c>
      <c r="AC36">
        <f t="shared" si="18"/>
        <v>1.8908085845907188</v>
      </c>
      <c r="AD36">
        <f t="shared" si="23"/>
        <v>12.768930037593718</v>
      </c>
      <c r="AE36">
        <f t="shared" si="19"/>
        <v>37.045206518918448</v>
      </c>
      <c r="AF36">
        <f t="shared" si="20"/>
        <v>50.903926557997785</v>
      </c>
      <c r="AG36">
        <f t="shared" si="21"/>
        <v>84.813043732912405</v>
      </c>
    </row>
    <row r="37" spans="1:33" x14ac:dyDescent="0.25">
      <c r="A37">
        <v>15</v>
      </c>
      <c r="B37">
        <v>12.603747672963653</v>
      </c>
      <c r="C37">
        <v>0.56209273679996841</v>
      </c>
      <c r="D37">
        <f t="shared" si="8"/>
        <v>17.467531932166604</v>
      </c>
      <c r="E37">
        <f t="shared" si="9"/>
        <v>19.29513164494017</v>
      </c>
      <c r="F37">
        <f t="shared" si="10"/>
        <v>-0.60348681309592322</v>
      </c>
      <c r="G37">
        <f t="shared" si="22"/>
        <v>18.691644831844247</v>
      </c>
      <c r="H37">
        <v>15</v>
      </c>
      <c r="I37">
        <v>-1.4084389476920478</v>
      </c>
      <c r="J37">
        <v>1.2243208402651362</v>
      </c>
      <c r="K37">
        <v>-0.73697947300388478</v>
      </c>
      <c r="L37">
        <f t="shared" si="11"/>
        <v>12.888105001807386</v>
      </c>
      <c r="M37">
        <f t="shared" si="12"/>
        <v>8.0959954604977966</v>
      </c>
      <c r="N37">
        <f t="shared" si="13"/>
        <v>20.744224945213713</v>
      </c>
      <c r="O37">
        <f t="shared" si="14"/>
        <v>14.112217901485028</v>
      </c>
      <c r="P37">
        <f t="shared" si="15"/>
        <v>5.8165921942736203</v>
      </c>
      <c r="Q37">
        <f t="shared" si="16"/>
        <v>20.264854506205328</v>
      </c>
      <c r="T37" s="8">
        <v>4.7060640126444717</v>
      </c>
      <c r="U37" s="9">
        <v>7</v>
      </c>
      <c r="V37">
        <f t="shared" si="24"/>
        <v>6.8627450980392163E-2</v>
      </c>
      <c r="AC37">
        <f t="shared" si="18"/>
        <v>-1.2845747961407028E-2</v>
      </c>
      <c r="AD37">
        <f t="shared" si="23"/>
        <v>19.282285896978763</v>
      </c>
      <c r="AE37">
        <f t="shared" si="19"/>
        <v>34.038153978289898</v>
      </c>
      <c r="AF37">
        <f t="shared" si="20"/>
        <v>58.620680946327575</v>
      </c>
      <c r="AG37">
        <f t="shared" si="21"/>
        <v>74.893973077027866</v>
      </c>
    </row>
    <row r="38" spans="1:33" x14ac:dyDescent="0.25">
      <c r="A38">
        <v>16</v>
      </c>
      <c r="B38">
        <v>8.0336619159520239</v>
      </c>
      <c r="C38">
        <v>0.63288212004408706</v>
      </c>
      <c r="D38">
        <f t="shared" si="8"/>
        <v>10.430274702505244</v>
      </c>
      <c r="E38">
        <f t="shared" si="9"/>
        <v>12.488040450194879</v>
      </c>
      <c r="F38">
        <f t="shared" si="10"/>
        <v>0.73376983773242621</v>
      </c>
      <c r="G38">
        <f t="shared" si="22"/>
        <v>13.221810287927305</v>
      </c>
      <c r="H38">
        <v>16</v>
      </c>
      <c r="I38">
        <v>0.15038722267490812</v>
      </c>
      <c r="J38">
        <v>-2.0758852770086378</v>
      </c>
      <c r="K38">
        <v>-0.55119471653597429</v>
      </c>
      <c r="L38">
        <f t="shared" si="11"/>
        <v>10.919246765247422</v>
      </c>
      <c r="M38">
        <f t="shared" si="12"/>
        <v>-2.6649674463407775</v>
      </c>
      <c r="N38">
        <f t="shared" si="13"/>
        <v>12.972755816202747</v>
      </c>
      <c r="O38">
        <f t="shared" si="14"/>
        <v>13.710782350669483</v>
      </c>
      <c r="P38">
        <f t="shared" si="15"/>
        <v>-5.0122688033894391</v>
      </c>
      <c r="Q38">
        <f t="shared" si="16"/>
        <v>14.226026824362487</v>
      </c>
      <c r="T38" s="8">
        <v>7.1831113605647756</v>
      </c>
      <c r="U38" s="9">
        <v>9</v>
      </c>
      <c r="V38">
        <f t="shared" si="24"/>
        <v>8.8235294117647065E-2</v>
      </c>
      <c r="AC38">
        <f t="shared" si="18"/>
        <v>-0.39680712198096124</v>
      </c>
      <c r="AD38">
        <f t="shared" si="23"/>
        <v>12.091233328213917</v>
      </c>
      <c r="AE38">
        <f t="shared" si="19"/>
        <v>37.631882326501284</v>
      </c>
      <c r="AF38">
        <f t="shared" si="20"/>
        <v>49.965788283810895</v>
      </c>
      <c r="AG38">
        <f t="shared" si="21"/>
        <v>75.280997832836306</v>
      </c>
    </row>
    <row r="39" spans="1:33" x14ac:dyDescent="0.25">
      <c r="A39">
        <v>17</v>
      </c>
      <c r="B39">
        <v>8.0256050294503609</v>
      </c>
      <c r="C39">
        <v>1.0003350325860083</v>
      </c>
      <c r="D39">
        <f t="shared" si="8"/>
        <v>10.427882660690148</v>
      </c>
      <c r="E39">
        <f t="shared" si="9"/>
        <v>13.680392253039019</v>
      </c>
      <c r="F39">
        <f t="shared" si="10"/>
        <v>-0.74012130403930954</v>
      </c>
      <c r="G39">
        <f t="shared" si="22"/>
        <v>12.940270948999709</v>
      </c>
      <c r="H39">
        <v>17</v>
      </c>
      <c r="I39">
        <v>-1.5727027857792564</v>
      </c>
      <c r="J39">
        <v>1.3833096090820618</v>
      </c>
      <c r="K39">
        <v>0.34910272006527521</v>
      </c>
      <c r="L39">
        <f t="shared" si="11"/>
        <v>5.3143649590884943</v>
      </c>
      <c r="M39">
        <f t="shared" si="12"/>
        <v>8.4177300332470999</v>
      </c>
      <c r="N39">
        <f t="shared" si="13"/>
        <v>15.894009889906645</v>
      </c>
      <c r="O39">
        <f t="shared" si="14"/>
        <v>7.826753247398055</v>
      </c>
      <c r="P39">
        <f t="shared" si="15"/>
        <v>5.866612105414335</v>
      </c>
      <c r="Q39">
        <f t="shared" si="16"/>
        <v>17.026855712846608</v>
      </c>
      <c r="T39" s="8">
        <v>9.6601587084850795</v>
      </c>
      <c r="U39" s="9">
        <v>19</v>
      </c>
      <c r="V39">
        <f t="shared" si="24"/>
        <v>0.18627450980392157</v>
      </c>
      <c r="AC39">
        <f t="shared" si="18"/>
        <v>-1.2563754001750027</v>
      </c>
      <c r="AD39">
        <f t="shared" si="23"/>
        <v>12.424016852864016</v>
      </c>
      <c r="AE39">
        <f t="shared" si="19"/>
        <v>32.372253849635122</v>
      </c>
      <c r="AF39">
        <f t="shared" si="20"/>
        <v>60.310440911289483</v>
      </c>
      <c r="AG39">
        <f t="shared" si="21"/>
        <v>78.263370262719732</v>
      </c>
    </row>
    <row r="40" spans="1:33" x14ac:dyDescent="0.25">
      <c r="A40">
        <v>18</v>
      </c>
      <c r="B40">
        <v>8.1592761009552301</v>
      </c>
      <c r="C40">
        <v>0.22585481929127127</v>
      </c>
      <c r="D40">
        <f t="shared" si="8"/>
        <v>10.47898011615179</v>
      </c>
      <c r="E40">
        <f t="shared" si="9"/>
        <v>11.213329051552011</v>
      </c>
      <c r="F40">
        <f t="shared" si="10"/>
        <v>2.0771720590512768</v>
      </c>
      <c r="G40">
        <f t="shared" si="22"/>
        <v>13.290501110603287</v>
      </c>
      <c r="H40">
        <v>18</v>
      </c>
      <c r="I40">
        <v>0.69984480433049612</v>
      </c>
      <c r="J40">
        <v>0.10711119102779776</v>
      </c>
      <c r="K40">
        <v>-0.62467961470247246</v>
      </c>
      <c r="L40">
        <f t="shared" si="11"/>
        <v>12.754469692235137</v>
      </c>
      <c r="M40">
        <f t="shared" si="12"/>
        <v>4.5771805017564429</v>
      </c>
      <c r="N40">
        <f t="shared" si="13"/>
        <v>12.855174926044619</v>
      </c>
      <c r="O40">
        <f t="shared" si="14"/>
        <v>15.565990686686634</v>
      </c>
      <c r="P40">
        <f t="shared" si="15"/>
        <v>2.3421718469305786</v>
      </c>
      <c r="Q40">
        <f t="shared" si="16"/>
        <v>12.121939458932896</v>
      </c>
      <c r="T40" s="8">
        <v>12.137206056405383</v>
      </c>
      <c r="U40" s="9">
        <v>18</v>
      </c>
      <c r="V40">
        <f t="shared" si="24"/>
        <v>0.17647058823529413</v>
      </c>
      <c r="AC40">
        <f t="shared" si="18"/>
        <v>0.87591122470558602</v>
      </c>
      <c r="AD40">
        <f t="shared" si="23"/>
        <v>12.089240276257597</v>
      </c>
      <c r="AE40">
        <f t="shared" si="19"/>
        <v>39.25928530380174</v>
      </c>
      <c r="AF40">
        <f t="shared" si="20"/>
        <v>57.950215428482764</v>
      </c>
      <c r="AG40">
        <f t="shared" si="21"/>
        <v>73.180818402594554</v>
      </c>
    </row>
    <row r="41" spans="1:33" x14ac:dyDescent="0.25">
      <c r="A41">
        <v>19</v>
      </c>
      <c r="B41">
        <v>4.5662709433271278</v>
      </c>
      <c r="C41">
        <v>1.2287000572541729</v>
      </c>
      <c r="D41">
        <f t="shared" si="8"/>
        <v>9.0005700731383715</v>
      </c>
      <c r="E41">
        <f t="shared" si="9"/>
        <v>12.995590333508186</v>
      </c>
      <c r="F41">
        <f t="shared" si="10"/>
        <v>-6.2813966065163873</v>
      </c>
      <c r="G41">
        <f t="shared" si="22"/>
        <v>6.7141937269917991</v>
      </c>
      <c r="H41">
        <v>19</v>
      </c>
      <c r="I41">
        <v>0.80167183114099316</v>
      </c>
      <c r="J41">
        <v>1.1104793884442188</v>
      </c>
      <c r="K41">
        <v>-1.9835715647786856</v>
      </c>
      <c r="L41">
        <f t="shared" si="11"/>
        <v>11.607142107271123</v>
      </c>
      <c r="M41">
        <f t="shared" si="12"/>
        <v>7.4467247855103897</v>
      </c>
      <c r="N41">
        <f t="shared" si="13"/>
        <v>4.9586876074848378</v>
      </c>
      <c r="O41">
        <f t="shared" si="14"/>
        <v>9.3207657611245498</v>
      </c>
      <c r="P41">
        <f t="shared" si="15"/>
        <v>5.2607604002240347</v>
      </c>
      <c r="Q41">
        <f t="shared" si="16"/>
        <v>5.2507956914660925</v>
      </c>
      <c r="T41" s="8">
        <v>14.614253404325687</v>
      </c>
      <c r="U41" s="9">
        <v>19</v>
      </c>
      <c r="V41">
        <f t="shared" si="24"/>
        <v>0.18627450980392157</v>
      </c>
      <c r="AC41">
        <f t="shared" si="18"/>
        <v>-3.7566756984846101</v>
      </c>
      <c r="AD41">
        <f t="shared" si="23"/>
        <v>9.2389146350235762</v>
      </c>
      <c r="AE41">
        <f t="shared" si="19"/>
        <v>41.234266261584835</v>
      </c>
      <c r="AF41">
        <f t="shared" si="20"/>
        <v>60.055403863194989</v>
      </c>
      <c r="AG41">
        <f t="shared" si="21"/>
        <v>69.622191439768756</v>
      </c>
    </row>
    <row r="42" spans="1:33" x14ac:dyDescent="0.25">
      <c r="A42">
        <v>20</v>
      </c>
      <c r="B42">
        <v>3.5170445875423444</v>
      </c>
      <c r="C42">
        <v>0.40404756873613223</v>
      </c>
      <c r="D42">
        <f t="shared" si="8"/>
        <v>6.3810656293398011</v>
      </c>
      <c r="E42">
        <f t="shared" si="9"/>
        <v>7.694794080578979</v>
      </c>
      <c r="F42">
        <f t="shared" si="10"/>
        <v>-3.1559215386920689</v>
      </c>
      <c r="G42">
        <f t="shared" si="22"/>
        <v>4.53887254188691</v>
      </c>
      <c r="H42">
        <v>20</v>
      </c>
      <c r="I42">
        <v>1.2627720025193412</v>
      </c>
      <c r="J42">
        <v>-0.86422687672893517</v>
      </c>
      <c r="K42">
        <v>-0.81290409070788883</v>
      </c>
      <c r="L42">
        <f t="shared" si="11"/>
        <v>10.486868102863205</v>
      </c>
      <c r="M42">
        <f t="shared" si="12"/>
        <v>1.3667872509966679</v>
      </c>
      <c r="N42">
        <f t="shared" si="13"/>
        <v>8.2118505986742303</v>
      </c>
      <c r="O42">
        <f t="shared" si="14"/>
        <v>8.6446750154103142</v>
      </c>
      <c r="P42">
        <f t="shared" si="15"/>
        <v>-1.3719226187131208</v>
      </c>
      <c r="Q42">
        <f t="shared" si="16"/>
        <v>5.5503232228601878</v>
      </c>
      <c r="T42" s="8">
        <v>17.091300752245992</v>
      </c>
      <c r="U42" s="9">
        <v>13</v>
      </c>
      <c r="V42">
        <f t="shared" si="24"/>
        <v>0.12745098039215685</v>
      </c>
      <c r="AC42">
        <f t="shared" si="18"/>
        <v>-2.387367987485991</v>
      </c>
      <c r="AD42">
        <f t="shared" si="23"/>
        <v>5.307426093092988</v>
      </c>
      <c r="AE42">
        <f t="shared" si="19"/>
        <v>40.114407727271626</v>
      </c>
      <c r="AF42">
        <f t="shared" si="20"/>
        <v>54.468540646840907</v>
      </c>
      <c r="AG42">
        <f t="shared" si="21"/>
        <v>71.482416654931953</v>
      </c>
    </row>
    <row r="43" spans="1:33" x14ac:dyDescent="0.25">
      <c r="A43">
        <v>21</v>
      </c>
      <c r="B43">
        <v>4.3608203375347143</v>
      </c>
      <c r="C43">
        <v>1.5188970792223699</v>
      </c>
      <c r="D43">
        <f t="shared" si="8"/>
        <v>8.5215034158846308</v>
      </c>
      <c r="E43">
        <f t="shared" si="9"/>
        <v>13.460076153050746</v>
      </c>
      <c r="F43">
        <f t="shared" si="10"/>
        <v>-5.2414598391998339</v>
      </c>
      <c r="G43">
        <f t="shared" si="22"/>
        <v>8.2186163138509123</v>
      </c>
      <c r="H43">
        <v>21</v>
      </c>
      <c r="I43">
        <v>2.2127096599433571</v>
      </c>
      <c r="J43">
        <v>-1.469611561333295</v>
      </c>
      <c r="K43">
        <v>-0.23614802557858638</v>
      </c>
      <c r="L43">
        <f t="shared" si="11"/>
        <v>15.715952435073602</v>
      </c>
      <c r="M43">
        <f t="shared" si="12"/>
        <v>-0.9961660251278337</v>
      </c>
      <c r="N43">
        <f t="shared" si="13"/>
        <v>9.9798952185806211</v>
      </c>
      <c r="O43">
        <f t="shared" si="14"/>
        <v>15.413065333039883</v>
      </c>
      <c r="P43">
        <f t="shared" si="15"/>
        <v>0.11275712837424834</v>
      </c>
      <c r="Q43">
        <f t="shared" si="16"/>
        <v>11.805536010527815</v>
      </c>
      <c r="T43" s="8">
        <v>19.568348100166297</v>
      </c>
      <c r="U43" s="9">
        <v>6</v>
      </c>
      <c r="V43">
        <f t="shared" si="24"/>
        <v>5.8823529411764705E-2</v>
      </c>
      <c r="AC43">
        <f t="shared" si="18"/>
        <v>-4.9330930707726939</v>
      </c>
      <c r="AD43">
        <f t="shared" si="23"/>
        <v>8.5269830822780524</v>
      </c>
      <c r="AE43">
        <f t="shared" si="19"/>
        <v>45.367194645998559</v>
      </c>
      <c r="AF43">
        <f t="shared" si="20"/>
        <v>50.010677112680668</v>
      </c>
      <c r="AG43">
        <f t="shared" si="21"/>
        <v>74.999364106687466</v>
      </c>
    </row>
    <row r="44" spans="1:33" x14ac:dyDescent="0.25">
      <c r="A44">
        <v>22</v>
      </c>
      <c r="B44">
        <v>8.1032441175572991</v>
      </c>
      <c r="C44">
        <v>-1.2673694982368033</v>
      </c>
      <c r="D44">
        <f t="shared" si="8"/>
        <v>10.454568773803523</v>
      </c>
      <c r="E44">
        <f t="shared" si="9"/>
        <v>6.3338179095562905</v>
      </c>
      <c r="F44">
        <f t="shared" si="10"/>
        <v>4.177457038045179</v>
      </c>
      <c r="G44">
        <f t="shared" si="22"/>
        <v>10.51127494760147</v>
      </c>
      <c r="H44">
        <v>22</v>
      </c>
      <c r="I44">
        <v>0.23064444576448295</v>
      </c>
      <c r="J44">
        <v>-1.3650196706294082</v>
      </c>
      <c r="K44">
        <v>-1.3907174434280023</v>
      </c>
      <c r="L44">
        <f t="shared" si="11"/>
        <v>11.204490797759501</v>
      </c>
      <c r="M44">
        <f t="shared" si="12"/>
        <v>-1.2689138233389459</v>
      </c>
      <c r="N44">
        <f t="shared" si="13"/>
        <v>10.303799851135871</v>
      </c>
      <c r="O44">
        <f t="shared" si="14"/>
        <v>11.261196971557448</v>
      </c>
      <c r="P44">
        <f t="shared" si="15"/>
        <v>-4.7461389538421352</v>
      </c>
      <c r="Q44">
        <f t="shared" si="16"/>
        <v>11.428960630749058</v>
      </c>
      <c r="T44" s="8">
        <v>22.045395448086602</v>
      </c>
      <c r="U44" s="9">
        <v>4</v>
      </c>
      <c r="V44">
        <f t="shared" si="24"/>
        <v>3.9215686274509803E-2</v>
      </c>
      <c r="AC44">
        <f t="shared" si="18"/>
        <v>4.0057568234757435</v>
      </c>
      <c r="AD44">
        <f t="shared" si="23"/>
        <v>10.339574733032034</v>
      </c>
      <c r="AE44">
        <f t="shared" si="19"/>
        <v>36.05413846811328</v>
      </c>
      <c r="AF44">
        <f t="shared" si="20"/>
        <v>53.53931025139638</v>
      </c>
      <c r="AG44">
        <f t="shared" si="21"/>
        <v>71.734566290165532</v>
      </c>
    </row>
    <row r="45" spans="1:33" x14ac:dyDescent="0.25">
      <c r="A45">
        <v>23</v>
      </c>
      <c r="B45">
        <v>9.9717093417157496</v>
      </c>
      <c r="C45">
        <v>1.1724023352144286</v>
      </c>
      <c r="D45">
        <f t="shared" si="8"/>
        <v>13.589144828681237</v>
      </c>
      <c r="E45">
        <f t="shared" si="9"/>
        <v>17.401117534984795</v>
      </c>
      <c r="F45">
        <f t="shared" si="10"/>
        <v>-1.9957324519018922</v>
      </c>
      <c r="G45">
        <f t="shared" si="22"/>
        <v>15.405385083082903</v>
      </c>
      <c r="H45">
        <v>23</v>
      </c>
      <c r="I45">
        <v>-0.60655679590126965</v>
      </c>
      <c r="J45">
        <v>0.86522732090088539</v>
      </c>
      <c r="K45">
        <v>-5.9972080634906888E-2</v>
      </c>
      <c r="L45">
        <f t="shared" si="11"/>
        <v>11.616973773276705</v>
      </c>
      <c r="M45">
        <f t="shared" si="12"/>
        <v>6.6673789911793122</v>
      </c>
      <c r="N45">
        <f t="shared" si="13"/>
        <v>16.893179349125106</v>
      </c>
      <c r="O45">
        <f t="shared" si="14"/>
        <v>13.433214027678371</v>
      </c>
      <c r="P45">
        <f t="shared" si="15"/>
        <v>7.3367418746464619</v>
      </c>
      <c r="Q45">
        <f t="shared" si="16"/>
        <v>17.107205895964022</v>
      </c>
      <c r="T45" s="8">
        <v>24.522462796006906</v>
      </c>
      <c r="U45" s="9">
        <v>1</v>
      </c>
      <c r="V45">
        <f t="shared" si="24"/>
        <v>9.8039215686274508E-3</v>
      </c>
      <c r="AC45">
        <f t="shared" si="18"/>
        <v>-2.6062740461007117</v>
      </c>
      <c r="AD45">
        <f t="shared" si="23"/>
        <v>14.794843488884084</v>
      </c>
      <c r="AE45">
        <f t="shared" si="19"/>
        <v>35.450189328865626</v>
      </c>
      <c r="AF45">
        <f t="shared" si="20"/>
        <v>60.819524548414307</v>
      </c>
      <c r="AG45">
        <f t="shared" si="21"/>
        <v>76.903740333863908</v>
      </c>
    </row>
    <row r="46" spans="1:33" ht="15.75" thickBot="1" x14ac:dyDescent="0.3">
      <c r="A46">
        <v>24</v>
      </c>
      <c r="B46">
        <v>7.3297830133976252</v>
      </c>
      <c r="C46">
        <v>-0.37007680475653615</v>
      </c>
      <c r="D46">
        <f t="shared" si="8"/>
        <v>10.489453943120845</v>
      </c>
      <c r="E46">
        <f t="shared" si="9"/>
        <v>9.2861787221533518</v>
      </c>
      <c r="F46">
        <f t="shared" si="10"/>
        <v>2.2052169129310855</v>
      </c>
      <c r="G46">
        <f t="shared" si="22"/>
        <v>11.491395635084437</v>
      </c>
      <c r="H46">
        <v>24</v>
      </c>
      <c r="I46">
        <v>-0.27289161153021269</v>
      </c>
      <c r="J46">
        <v>-1.0921007742581423</v>
      </c>
      <c r="K46">
        <v>-1.2098780644009821</v>
      </c>
      <c r="L46">
        <f t="shared" si="11"/>
        <v>9.6021686284407917</v>
      </c>
      <c r="M46">
        <f t="shared" si="12"/>
        <v>0.62789763581171476</v>
      </c>
      <c r="N46">
        <f t="shared" si="13"/>
        <v>10.978375399915397</v>
      </c>
      <c r="O46">
        <f t="shared" si="14"/>
        <v>10.604110320404384</v>
      </c>
      <c r="P46">
        <f t="shared" si="15"/>
        <v>-3.8440530381017979</v>
      </c>
      <c r="Q46">
        <f t="shared" si="16"/>
        <v>9.6268172686205151</v>
      </c>
      <c r="T46" s="10" t="s">
        <v>44</v>
      </c>
      <c r="U46" s="10">
        <v>0</v>
      </c>
      <c r="V46">
        <f t="shared" si="24"/>
        <v>0</v>
      </c>
      <c r="AC46">
        <f t="shared" si="18"/>
        <v>0.8689361819188921</v>
      </c>
      <c r="AD46">
        <f t="shared" si="23"/>
        <v>10.155114904072244</v>
      </c>
      <c r="AE46">
        <f t="shared" si="19"/>
        <v>35.199936531964177</v>
      </c>
      <c r="AF46">
        <f t="shared" si="20"/>
        <v>51.881014086909339</v>
      </c>
      <c r="AG46">
        <f t="shared" si="21"/>
        <v>70.861608255127507</v>
      </c>
    </row>
    <row r="47" spans="1:33" ht="15.75" thickBot="1" x14ac:dyDescent="0.3">
      <c r="A47">
        <v>25</v>
      </c>
      <c r="B47">
        <v>5.6081728568376725</v>
      </c>
      <c r="C47">
        <v>-1.3685257727047428</v>
      </c>
      <c r="D47">
        <f t="shared" si="8"/>
        <v>10.639719109783249</v>
      </c>
      <c r="E47">
        <f t="shared" si="9"/>
        <v>6.1900666852430559</v>
      </c>
      <c r="F47">
        <f t="shared" si="10"/>
        <v>2.7736171682028088</v>
      </c>
      <c r="G47">
        <f t="shared" si="22"/>
        <v>8.9636838534458647</v>
      </c>
      <c r="H47">
        <v>25</v>
      </c>
      <c r="I47">
        <v>1.9684830476762727</v>
      </c>
      <c r="J47">
        <v>-0.65727817855076864</v>
      </c>
      <c r="K47">
        <v>0.27114538170280866</v>
      </c>
      <c r="L47">
        <f t="shared" si="11"/>
        <v>17.040084773666692</v>
      </c>
      <c r="M47">
        <f t="shared" si="12"/>
        <v>0.84478667229064186</v>
      </c>
      <c r="N47">
        <f t="shared" si="13"/>
        <v>16.157981912650325</v>
      </c>
      <c r="O47">
        <f t="shared" si="14"/>
        <v>15.36404951732931</v>
      </c>
      <c r="P47">
        <f t="shared" si="15"/>
        <v>-1.520471128317004</v>
      </c>
      <c r="Q47">
        <f t="shared" si="16"/>
        <v>15.771320719452241</v>
      </c>
      <c r="R47" s="1">
        <v>8</v>
      </c>
      <c r="S47" t="s">
        <v>47</v>
      </c>
      <c r="AC47">
        <f t="shared" si="18"/>
        <v>2.639378941213141</v>
      </c>
      <c r="AD47">
        <f t="shared" si="23"/>
        <v>8.8294456264561969</v>
      </c>
      <c r="AE47">
        <f t="shared" si="19"/>
        <v>43.315352917111923</v>
      </c>
      <c r="AF47">
        <f t="shared" si="20"/>
        <v>52.596885311047117</v>
      </c>
      <c r="AG47">
        <f t="shared" si="21"/>
        <v>78.172652504615002</v>
      </c>
    </row>
    <row r="48" spans="1:33" x14ac:dyDescent="0.25">
      <c r="A48">
        <v>26</v>
      </c>
      <c r="B48">
        <v>11.983367412335582</v>
      </c>
      <c r="C48">
        <v>-0.90945604824810289</v>
      </c>
      <c r="D48">
        <f t="shared" si="8"/>
        <v>17.360684798393102</v>
      </c>
      <c r="E48">
        <f t="shared" si="9"/>
        <v>14.403660976984225</v>
      </c>
      <c r="F48">
        <f t="shared" si="10"/>
        <v>0.89077017383670132</v>
      </c>
      <c r="G48">
        <f t="shared" si="22"/>
        <v>15.294431150820927</v>
      </c>
      <c r="H48">
        <v>26</v>
      </c>
      <c r="I48">
        <v>-1.2749205779982731</v>
      </c>
      <c r="J48">
        <v>-1.2506393431976903</v>
      </c>
      <c r="K48">
        <v>0.62319259086507373</v>
      </c>
      <c r="L48">
        <f t="shared" si="11"/>
        <v>13.215382200419938</v>
      </c>
      <c r="M48">
        <f t="shared" si="12"/>
        <v>-0.34898679301357483</v>
      </c>
      <c r="N48">
        <f t="shared" si="13"/>
        <v>24.979185536428098</v>
      </c>
      <c r="O48">
        <f t="shared" si="14"/>
        <v>11.149128552847763</v>
      </c>
      <c r="P48">
        <f t="shared" si="15"/>
        <v>-2.7884790811829951</v>
      </c>
      <c r="Q48">
        <f t="shared" si="16"/>
        <v>24.210731647454978</v>
      </c>
      <c r="T48" s="11" t="s">
        <v>43</v>
      </c>
      <c r="U48" s="11" t="s">
        <v>45</v>
      </c>
      <c r="AC48">
        <f t="shared" si="18"/>
        <v>0.78499345723752612</v>
      </c>
      <c r="AD48">
        <f t="shared" si="23"/>
        <v>15.188654434221752</v>
      </c>
      <c r="AE48">
        <f t="shared" si="19"/>
        <v>31.154634585641837</v>
      </c>
      <c r="AF48">
        <f t="shared" si="20"/>
        <v>50.68291868121652</v>
      </c>
      <c r="AG48">
        <f t="shared" si="21"/>
        <v>76.370275524320675</v>
      </c>
    </row>
    <row r="49" spans="1:33" x14ac:dyDescent="0.25">
      <c r="A49">
        <v>27</v>
      </c>
      <c r="B49">
        <v>6.4266792809839171</v>
      </c>
      <c r="C49">
        <v>-0.66613438320928253</v>
      </c>
      <c r="D49">
        <f t="shared" si="8"/>
        <v>10.846168397601671</v>
      </c>
      <c r="E49">
        <f t="shared" si="9"/>
        <v>8.6802855677455604</v>
      </c>
      <c r="F49">
        <f t="shared" si="10"/>
        <v>2.3933504658200402</v>
      </c>
      <c r="G49">
        <f t="shared" si="22"/>
        <v>11.073636033565601</v>
      </c>
      <c r="H49">
        <v>27</v>
      </c>
      <c r="I49">
        <v>-1.1862039173138328</v>
      </c>
      <c r="J49">
        <v>-1.3534599929698743</v>
      </c>
      <c r="K49">
        <v>6.51084519631695E-2</v>
      </c>
      <c r="L49">
        <f t="shared" si="11"/>
        <v>6.9893209476316276</v>
      </c>
      <c r="M49">
        <f t="shared" si="12"/>
        <v>-0.42061026470505603</v>
      </c>
      <c r="N49">
        <f t="shared" si="13"/>
        <v>15.958589713310111</v>
      </c>
      <c r="O49">
        <f t="shared" si="14"/>
        <v>7.216788583595557</v>
      </c>
      <c r="P49">
        <f t="shared" si="15"/>
        <v>-2.1981725854950263</v>
      </c>
      <c r="Q49">
        <f t="shared" si="16"/>
        <v>14.072703731532894</v>
      </c>
      <c r="R49">
        <v>1</v>
      </c>
      <c r="S49">
        <f>G13+G12</f>
        <v>-2.9112242032108098</v>
      </c>
      <c r="T49" s="8">
        <v>-2.9860337578240483</v>
      </c>
      <c r="U49" s="9">
        <v>4</v>
      </c>
      <c r="V49">
        <f t="shared" ref="V49:V58" si="25">U49/$U$34</f>
        <v>3.9215686274509803E-2</v>
      </c>
      <c r="AC49">
        <f t="shared" si="18"/>
        <v>2.6694950301960674E-2</v>
      </c>
      <c r="AD49">
        <f t="shared" si="23"/>
        <v>8.706980518047521</v>
      </c>
      <c r="AE49">
        <f t="shared" si="19"/>
        <v>31.911865607594354</v>
      </c>
      <c r="AF49">
        <f t="shared" si="20"/>
        <v>50.344793615067665</v>
      </c>
      <c r="AG49">
        <f t="shared" si="21"/>
        <v>76.451814209206489</v>
      </c>
    </row>
    <row r="50" spans="1:33" x14ac:dyDescent="0.25">
      <c r="A50">
        <v>28</v>
      </c>
      <c r="B50">
        <v>8.7986999114963211</v>
      </c>
      <c r="C50">
        <v>0.88984961621463299</v>
      </c>
      <c r="D50">
        <f t="shared" si="8"/>
        <v>11.088113802951529</v>
      </c>
      <c r="E50">
        <f t="shared" si="9"/>
        <v>13.981388874008493</v>
      </c>
      <c r="F50">
        <f t="shared" si="10"/>
        <v>-2.1341440194961425</v>
      </c>
      <c r="G50">
        <f t="shared" si="22"/>
        <v>11.847244854512351</v>
      </c>
      <c r="H50">
        <v>28</v>
      </c>
      <c r="I50">
        <v>2.8958311304450035E-2</v>
      </c>
      <c r="J50">
        <v>-1.1728593563020695</v>
      </c>
      <c r="K50">
        <v>0.53506028052652255</v>
      </c>
      <c r="L50">
        <f t="shared" si="11"/>
        <v>11.182269443039891</v>
      </c>
      <c r="M50">
        <f t="shared" si="12"/>
        <v>0.15465265087696878</v>
      </c>
      <c r="N50">
        <f t="shared" si="13"/>
        <v>17.980937403581343</v>
      </c>
      <c r="O50">
        <f t="shared" si="14"/>
        <v>11.941400494600712</v>
      </c>
      <c r="P50">
        <f t="shared" si="15"/>
        <v>-2.4890151218031389</v>
      </c>
      <c r="Q50">
        <f t="shared" si="16"/>
        <v>16.478161704310548</v>
      </c>
      <c r="R50">
        <v>2</v>
      </c>
      <c r="S50">
        <f t="shared" ref="S50:S57" si="26">S49+$G$12</f>
        <v>-0.79184335179657417</v>
      </c>
      <c r="T50" s="8">
        <v>-0.94146246102305131</v>
      </c>
      <c r="U50" s="9">
        <v>8</v>
      </c>
      <c r="V50">
        <f t="shared" si="25"/>
        <v>7.8431372549019607E-2</v>
      </c>
      <c r="AC50">
        <f t="shared" si="18"/>
        <v>-2.3395457072720998</v>
      </c>
      <c r="AD50">
        <f t="shared" si="23"/>
        <v>11.641843166736393</v>
      </c>
      <c r="AE50">
        <f t="shared" si="19"/>
        <v>35.830746353879313</v>
      </c>
      <c r="AF50">
        <f t="shared" si="20"/>
        <v>53.452666186829561</v>
      </c>
      <c r="AG50">
        <f t="shared" si="21"/>
        <v>77.933366158804532</v>
      </c>
    </row>
    <row r="51" spans="1:33" x14ac:dyDescent="0.25">
      <c r="A51">
        <v>29</v>
      </c>
      <c r="B51">
        <v>7.3484603411969349</v>
      </c>
      <c r="C51">
        <v>0.69623411036445759</v>
      </c>
      <c r="D51">
        <f t="shared" si="8"/>
        <v>10.482579330796991</v>
      </c>
      <c r="E51">
        <f t="shared" si="9"/>
        <v>12.746329023364295</v>
      </c>
      <c r="F51">
        <f t="shared" si="10"/>
        <v>-0.37139661462792439</v>
      </c>
      <c r="G51">
        <f t="shared" si="22"/>
        <v>12.37493240873637</v>
      </c>
      <c r="H51">
        <v>29</v>
      </c>
      <c r="I51">
        <v>1.3008661881031003</v>
      </c>
      <c r="J51">
        <v>-0.20526272237475496</v>
      </c>
      <c r="K51">
        <v>-1.0687881513149478</v>
      </c>
      <c r="L51">
        <f t="shared" si="11"/>
        <v>14.712242011138896</v>
      </c>
      <c r="M51">
        <f t="shared" si="12"/>
        <v>3.3888542420465262</v>
      </c>
      <c r="N51">
        <f t="shared" si="13"/>
        <v>11.420107867218025</v>
      </c>
      <c r="O51">
        <f t="shared" si="14"/>
        <v>16.604595089078273</v>
      </c>
      <c r="P51">
        <f t="shared" si="15"/>
        <v>2.8343988483650655</v>
      </c>
      <c r="Q51">
        <f t="shared" si="16"/>
        <v>10.436780688421003</v>
      </c>
      <c r="R51">
        <v>3</v>
      </c>
      <c r="S51">
        <f t="shared" si="26"/>
        <v>1.3275374996176614</v>
      </c>
      <c r="T51" s="8">
        <v>1.1031088357779457</v>
      </c>
      <c r="U51" s="9">
        <v>18</v>
      </c>
      <c r="V51">
        <f t="shared" si="25"/>
        <v>0.17647058823529413</v>
      </c>
      <c r="AC51">
        <f t="shared" si="18"/>
        <v>-3.1309631000002565</v>
      </c>
      <c r="AD51">
        <f t="shared" si="23"/>
        <v>9.6153659233640383</v>
      </c>
      <c r="AE51">
        <f t="shared" si="19"/>
        <v>39.753773459723106</v>
      </c>
      <c r="AF51">
        <f t="shared" si="20"/>
        <v>57.264534391532663</v>
      </c>
      <c r="AG51">
        <f t="shared" si="21"/>
        <v>71.588323506458309</v>
      </c>
    </row>
    <row r="52" spans="1:33" x14ac:dyDescent="0.25">
      <c r="A52">
        <v>30</v>
      </c>
      <c r="B52">
        <v>4.3751029999694815</v>
      </c>
      <c r="C52">
        <v>0.55244299801415764</v>
      </c>
      <c r="D52">
        <f t="shared" si="8"/>
        <v>8.5559064368087494</v>
      </c>
      <c r="E52">
        <f t="shared" si="9"/>
        <v>10.35213079338453</v>
      </c>
      <c r="F52">
        <f t="shared" si="10"/>
        <v>-1.7393805244523364</v>
      </c>
      <c r="G52">
        <f t="shared" si="22"/>
        <v>8.612750268932194</v>
      </c>
      <c r="H52">
        <v>30</v>
      </c>
      <c r="I52">
        <v>0.92541995400097221</v>
      </c>
      <c r="J52">
        <v>0.65055246523115784</v>
      </c>
      <c r="K52">
        <v>-1.5674550013500266</v>
      </c>
      <c r="L52">
        <f t="shared" si="11"/>
        <v>11.564835624820986</v>
      </c>
      <c r="M52">
        <f t="shared" si="12"/>
        <v>6.234488535243579</v>
      </c>
      <c r="N52">
        <f t="shared" si="13"/>
        <v>5.687116510026919</v>
      </c>
      <c r="O52">
        <f t="shared" si="14"/>
        <v>11.621679456944431</v>
      </c>
      <c r="P52">
        <f t="shared" si="15"/>
        <v>3.2786729755862911</v>
      </c>
      <c r="Q52">
        <f t="shared" si="16"/>
        <v>5.8499208332648243</v>
      </c>
      <c r="R52">
        <v>4</v>
      </c>
      <c r="S52">
        <f t="shared" si="26"/>
        <v>3.446918351031897</v>
      </c>
      <c r="T52" s="8">
        <v>3.1476801325789427</v>
      </c>
      <c r="U52" s="9">
        <v>18</v>
      </c>
      <c r="V52">
        <f t="shared" si="25"/>
        <v>0.17647058823529413</v>
      </c>
      <c r="AC52">
        <f t="shared" si="18"/>
        <v>-2.3152069699704985</v>
      </c>
      <c r="AD52">
        <f t="shared" si="23"/>
        <v>8.0369238234140319</v>
      </c>
      <c r="AE52">
        <f t="shared" si="19"/>
        <v>40.673750430945297</v>
      </c>
      <c r="AF52">
        <f t="shared" si="20"/>
        <v>56.817335851923431</v>
      </c>
      <c r="AG52">
        <f t="shared" si="21"/>
        <v>69.329760837576984</v>
      </c>
    </row>
    <row r="53" spans="1:33" x14ac:dyDescent="0.25">
      <c r="A53">
        <v>31</v>
      </c>
      <c r="B53">
        <v>12.247047334208197</v>
      </c>
      <c r="C53">
        <v>-2.0317747839726508</v>
      </c>
      <c r="D53">
        <f t="shared" si="8"/>
        <v>17.464338723882054</v>
      </c>
      <c r="E53">
        <f t="shared" si="9"/>
        <v>10.858185026275333</v>
      </c>
      <c r="F53">
        <f t="shared" si="10"/>
        <v>6.447823261196195</v>
      </c>
      <c r="G53">
        <f t="shared" si="22"/>
        <v>17.306008287471528</v>
      </c>
      <c r="H53">
        <v>31</v>
      </c>
      <c r="I53">
        <v>5.0395101425237954E-2</v>
      </c>
      <c r="J53">
        <v>-9.2950358521193266E-3</v>
      </c>
      <c r="K53">
        <v>-0.80304516814067028</v>
      </c>
      <c r="L53">
        <f t="shared" si="11"/>
        <v>17.628194377691607</v>
      </c>
      <c r="M53">
        <f t="shared" si="12"/>
        <v>1.4513188930489858</v>
      </c>
      <c r="N53">
        <f t="shared" si="13"/>
        <v>20.524041415608991</v>
      </c>
      <c r="O53">
        <f t="shared" si="14"/>
        <v>17.46986394128108</v>
      </c>
      <c r="P53">
        <f t="shared" si="15"/>
        <v>0.40726392968317188</v>
      </c>
      <c r="Q53">
        <f t="shared" si="16"/>
        <v>20.247475946477721</v>
      </c>
      <c r="R53">
        <v>5</v>
      </c>
      <c r="S53">
        <f t="shared" si="26"/>
        <v>5.5662992024461326</v>
      </c>
      <c r="T53" s="8">
        <v>5.1922514293799402</v>
      </c>
      <c r="U53" s="9">
        <v>20</v>
      </c>
      <c r="V53">
        <f t="shared" si="25"/>
        <v>0.19607843137254902</v>
      </c>
      <c r="AC53">
        <f t="shared" si="18"/>
        <v>4.8017993821796274</v>
      </c>
      <c r="AD53">
        <f t="shared" si="23"/>
        <v>15.65998440845496</v>
      </c>
      <c r="AE53">
        <f t="shared" si="19"/>
        <v>35.605305119119109</v>
      </c>
      <c r="AF53">
        <f t="shared" si="20"/>
        <v>57.057960404876461</v>
      </c>
      <c r="AG53">
        <f t="shared" si="21"/>
        <v>74.712328968546956</v>
      </c>
    </row>
    <row r="54" spans="1:33" x14ac:dyDescent="0.25">
      <c r="A54">
        <v>32</v>
      </c>
      <c r="B54">
        <v>6.8416089358195746</v>
      </c>
      <c r="C54">
        <v>3.5847733670379966E-2</v>
      </c>
      <c r="D54">
        <f t="shared" si="8"/>
        <v>10.702529952696228</v>
      </c>
      <c r="E54">
        <f t="shared" si="9"/>
        <v>10.819086000249079</v>
      </c>
      <c r="F54">
        <f t="shared" si="10"/>
        <v>-1.9841864522876218</v>
      </c>
      <c r="G54">
        <f t="shared" si="22"/>
        <v>8.8348995479614576</v>
      </c>
      <c r="H54">
        <v>32</v>
      </c>
      <c r="I54">
        <v>-0.10357325663790107</v>
      </c>
      <c r="J54">
        <v>-1.4420220395550132</v>
      </c>
      <c r="K54">
        <v>-1.6942794900387526</v>
      </c>
      <c r="L54">
        <f t="shared" si="11"/>
        <v>10.365769767606318</v>
      </c>
      <c r="M54">
        <f t="shared" si="12"/>
        <v>-0.43261864252419713</v>
      </c>
      <c r="N54">
        <f t="shared" si="13"/>
        <v>9.9147844990536562</v>
      </c>
      <c r="O54">
        <f t="shared" si="14"/>
        <v>8.498139362871548</v>
      </c>
      <c r="P54">
        <f t="shared" si="15"/>
        <v>-1.8867269457706275</v>
      </c>
      <c r="Q54">
        <f t="shared" si="16"/>
        <v>9.3449595230734381</v>
      </c>
      <c r="R54">
        <v>6</v>
      </c>
      <c r="S54">
        <f t="shared" si="26"/>
        <v>7.6856800538603682</v>
      </c>
      <c r="T54" s="8">
        <v>7.2368227261809377</v>
      </c>
      <c r="U54" s="9">
        <v>20</v>
      </c>
      <c r="V54">
        <f t="shared" si="25"/>
        <v>0.19607843137254902</v>
      </c>
      <c r="AC54">
        <f t="shared" si="18"/>
        <v>-1.198373442392981</v>
      </c>
      <c r="AD54">
        <f t="shared" si="23"/>
        <v>9.6207125578560984</v>
      </c>
      <c r="AE54">
        <f t="shared" si="19"/>
        <v>35.826680126663213</v>
      </c>
      <c r="AF54">
        <f t="shared" si="20"/>
        <v>50.812863867192931</v>
      </c>
      <c r="AG54">
        <f t="shared" si="21"/>
        <v>70.543820283237551</v>
      </c>
    </row>
    <row r="55" spans="1:33" x14ac:dyDescent="0.25">
      <c r="A55">
        <v>33</v>
      </c>
      <c r="B55">
        <v>1.2329172643208106</v>
      </c>
      <c r="C55">
        <v>-0.14814418136666063</v>
      </c>
      <c r="D55">
        <f t="shared" si="8"/>
        <v>3.8348190198453485</v>
      </c>
      <c r="E55">
        <f t="shared" si="9"/>
        <v>3.3531400270581933</v>
      </c>
      <c r="F55">
        <f t="shared" si="10"/>
        <v>-1.6054935714946856</v>
      </c>
      <c r="G55">
        <f t="shared" si="22"/>
        <v>1.7476464555635076</v>
      </c>
      <c r="H55">
        <v>33</v>
      </c>
      <c r="I55">
        <v>-2.1689174900529906E-2</v>
      </c>
      <c r="J55">
        <v>-1.062983301380882</v>
      </c>
      <c r="K55">
        <v>5.1238657761132345E-2</v>
      </c>
      <c r="L55">
        <f t="shared" si="11"/>
        <v>3.7642983971378352</v>
      </c>
      <c r="M55">
        <f t="shared" si="12"/>
        <v>0.79018834489200485</v>
      </c>
      <c r="N55">
        <f t="shared" si="13"/>
        <v>7.3558727629208871</v>
      </c>
      <c r="O55">
        <f t="shared" si="14"/>
        <v>1.6771258328559944</v>
      </c>
      <c r="P55">
        <f t="shared" si="15"/>
        <v>-3.5690635274677764</v>
      </c>
      <c r="Q55">
        <f t="shared" si="16"/>
        <v>6.2314862371830007</v>
      </c>
      <c r="R55">
        <v>7</v>
      </c>
      <c r="S55">
        <f t="shared" si="26"/>
        <v>9.8050609052746047</v>
      </c>
      <c r="T55" s="8">
        <v>9.2813940229819352</v>
      </c>
      <c r="U55" s="9">
        <v>10</v>
      </c>
      <c r="V55">
        <f t="shared" si="25"/>
        <v>9.8039215686274508E-2</v>
      </c>
      <c r="AC55">
        <f t="shared" si="18"/>
        <v>9.9870471882779199E-4</v>
      </c>
      <c r="AD55">
        <f t="shared" si="23"/>
        <v>3.354138731777021</v>
      </c>
      <c r="AE55">
        <f t="shared" si="19"/>
        <v>36.841843031340844</v>
      </c>
      <c r="AF55">
        <f t="shared" si="20"/>
        <v>51.363056827837639</v>
      </c>
      <c r="AG55">
        <f t="shared" si="21"/>
        <v>77.470748334082458</v>
      </c>
    </row>
    <row r="56" spans="1:33" x14ac:dyDescent="0.25">
      <c r="A56">
        <v>34</v>
      </c>
      <c r="B56">
        <v>3.1134678182317574</v>
      </c>
      <c r="C56">
        <v>1.1473707672848832</v>
      </c>
      <c r="D56">
        <f t="shared" si="8"/>
        <v>5.4414143097498764</v>
      </c>
      <c r="E56">
        <f t="shared" si="9"/>
        <v>9.1719988689324552</v>
      </c>
      <c r="F56">
        <f t="shared" si="10"/>
        <v>-2.1601680476370779</v>
      </c>
      <c r="G56">
        <f t="shared" si="22"/>
        <v>7.0118308212953773</v>
      </c>
      <c r="H56">
        <v>34</v>
      </c>
      <c r="I56">
        <v>1.798580342438072</v>
      </c>
      <c r="J56">
        <v>0.48737092583905905</v>
      </c>
      <c r="K56">
        <v>9.6038093033712357E-2</v>
      </c>
      <c r="L56">
        <f t="shared" si="11"/>
        <v>11.289354875489257</v>
      </c>
      <c r="M56">
        <f t="shared" si="12"/>
        <v>5.4474664924715164</v>
      </c>
      <c r="N56">
        <f t="shared" si="13"/>
        <v>10.795709015582187</v>
      </c>
      <c r="O56">
        <f t="shared" si="14"/>
        <v>12.859771387034758</v>
      </c>
      <c r="P56">
        <f t="shared" si="15"/>
        <v>5.1977740873144729</v>
      </c>
      <c r="Q56">
        <f t="shared" si="16"/>
        <v>8.1148303796145029</v>
      </c>
      <c r="R56">
        <v>8</v>
      </c>
      <c r="S56">
        <f t="shared" si="26"/>
        <v>11.924441756688839</v>
      </c>
      <c r="T56" s="8">
        <v>11.325965319782933</v>
      </c>
      <c r="U56" s="9">
        <v>3</v>
      </c>
      <c r="V56">
        <f t="shared" si="25"/>
        <v>2.9411764705882353E-2</v>
      </c>
      <c r="AC56">
        <f t="shared" si="18"/>
        <v>-1.7208891621958902</v>
      </c>
      <c r="AD56">
        <f t="shared" si="23"/>
        <v>7.451109706736565</v>
      </c>
      <c r="AE56">
        <f t="shared" si="19"/>
        <v>44.505033734766734</v>
      </c>
      <c r="AF56">
        <f t="shared" si="20"/>
        <v>59.295083411317883</v>
      </c>
      <c r="AG56">
        <f t="shared" si="21"/>
        <v>74.459100186470152</v>
      </c>
    </row>
    <row r="57" spans="1:33" x14ac:dyDescent="0.25">
      <c r="A57">
        <v>35</v>
      </c>
      <c r="B57">
        <v>1.5683767204809718</v>
      </c>
      <c r="C57">
        <v>-1.1069414540543221</v>
      </c>
      <c r="D57">
        <f t="shared" si="8"/>
        <v>3.7809358535835553</v>
      </c>
      <c r="E57">
        <f t="shared" si="9"/>
        <v>0.18180398256140062</v>
      </c>
      <c r="F57">
        <f t="shared" si="10"/>
        <v>1.8832233861016494</v>
      </c>
      <c r="G57">
        <f t="shared" si="22"/>
        <v>2.06502736866305</v>
      </c>
      <c r="H57">
        <v>35</v>
      </c>
      <c r="I57">
        <v>1.1746874406526331</v>
      </c>
      <c r="J57">
        <v>0.83818122220691293</v>
      </c>
      <c r="K57">
        <v>0.90818502940237522</v>
      </c>
      <c r="L57">
        <f t="shared" si="11"/>
        <v>7.6003383980065227</v>
      </c>
      <c r="M57">
        <f t="shared" si="12"/>
        <v>6.1632995721848438</v>
      </c>
      <c r="N57">
        <f t="shared" si="13"/>
        <v>10.00318801087964</v>
      </c>
      <c r="O57">
        <f t="shared" si="14"/>
        <v>5.8844299130860183</v>
      </c>
      <c r="P57">
        <f t="shared" si="15"/>
        <v>3.9709866908665976</v>
      </c>
      <c r="Q57">
        <f t="shared" si="16"/>
        <v>9.9456632230870561</v>
      </c>
      <c r="R57">
        <v>9</v>
      </c>
      <c r="S57">
        <f t="shared" si="26"/>
        <v>14.043822608103074</v>
      </c>
      <c r="T57" s="8">
        <v>13.37053661658393</v>
      </c>
      <c r="U57" s="9">
        <v>1</v>
      </c>
      <c r="V57">
        <f t="shared" si="25"/>
        <v>9.8039215686274508E-3</v>
      </c>
      <c r="AC57">
        <f t="shared" si="18"/>
        <v>2.5482177500233263</v>
      </c>
      <c r="AD57">
        <f t="shared" si="23"/>
        <v>2.7300217325847269</v>
      </c>
      <c r="AE57">
        <f t="shared" si="19"/>
        <v>39.688047801549295</v>
      </c>
      <c r="AF57">
        <f t="shared" si="20"/>
        <v>57.893998925229717</v>
      </c>
      <c r="AG57">
        <f t="shared" si="21"/>
        <v>78.502972304544357</v>
      </c>
    </row>
    <row r="58" spans="1:33" x14ac:dyDescent="0.25">
      <c r="A58">
        <v>36</v>
      </c>
      <c r="B58">
        <v>2.1345561082796718</v>
      </c>
      <c r="C58">
        <v>0.18670334611670114</v>
      </c>
      <c r="D58">
        <f t="shared" si="8"/>
        <v>3.9860307063530689</v>
      </c>
      <c r="E58">
        <f t="shared" si="9"/>
        <v>4.593081748640734</v>
      </c>
      <c r="F58">
        <f t="shared" si="10"/>
        <v>-1.6979882174197871</v>
      </c>
      <c r="G58">
        <f t="shared" si="22"/>
        <v>2.8950935312209469</v>
      </c>
      <c r="H58">
        <v>36</v>
      </c>
      <c r="I58">
        <v>-1.25298356579151</v>
      </c>
      <c r="J58">
        <v>0.499467205372639</v>
      </c>
      <c r="K58">
        <v>0.38873849916853942</v>
      </c>
      <c r="L58">
        <f t="shared" si="11"/>
        <v>-8.7945445673758726E-2</v>
      </c>
      <c r="M58">
        <f t="shared" si="12"/>
        <v>5.8611639433261216</v>
      </c>
      <c r="N58">
        <f t="shared" si="13"/>
        <v>8.8437265959107947</v>
      </c>
      <c r="O58">
        <f t="shared" si="14"/>
        <v>-1.1788826208058807</v>
      </c>
      <c r="P58">
        <f t="shared" si="15"/>
        <v>2.1096141635739656</v>
      </c>
      <c r="Q58">
        <f t="shared" si="16"/>
        <v>6.7379272812749926</v>
      </c>
      <c r="R58">
        <v>10</v>
      </c>
      <c r="S58">
        <f>S57+$G$12+0.00001</f>
        <v>16.163213459517308</v>
      </c>
      <c r="T58" s="8">
        <v>15.415117913384927</v>
      </c>
      <c r="U58" s="9">
        <v>0</v>
      </c>
      <c r="V58">
        <f t="shared" si="25"/>
        <v>0</v>
      </c>
      <c r="AC58">
        <f t="shared" si="18"/>
        <v>1.5954299128489398</v>
      </c>
      <c r="AD58">
        <f t="shared" si="23"/>
        <v>6.1885116614896738</v>
      </c>
      <c r="AE58">
        <f t="shared" si="19"/>
        <v>34.544967155303389</v>
      </c>
      <c r="AF58">
        <f t="shared" si="20"/>
        <v>59.555180012136944</v>
      </c>
      <c r="AG58">
        <f t="shared" si="21"/>
        <v>75.471819374202667</v>
      </c>
    </row>
    <row r="59" spans="1:33" ht="15.75" thickBot="1" x14ac:dyDescent="0.3">
      <c r="A59">
        <v>37</v>
      </c>
      <c r="B59">
        <v>5.9798883022553175</v>
      </c>
      <c r="C59">
        <v>-0.2459137249388732</v>
      </c>
      <c r="D59">
        <f t="shared" si="8"/>
        <v>10.83950730677746</v>
      </c>
      <c r="E59">
        <f t="shared" si="9"/>
        <v>10.039938439148946</v>
      </c>
      <c r="F59">
        <f t="shared" si="10"/>
        <v>0.58777598384181218</v>
      </c>
      <c r="G59">
        <f t="shared" si="22"/>
        <v>10.627714422990758</v>
      </c>
      <c r="H59">
        <v>37</v>
      </c>
      <c r="I59">
        <v>1.5213254300761037</v>
      </c>
      <c r="J59">
        <v>-1.1318479664623737</v>
      </c>
      <c r="K59">
        <v>-0.56030103223747574</v>
      </c>
      <c r="L59">
        <f t="shared" si="11"/>
        <v>15.785975633109278</v>
      </c>
      <c r="M59">
        <f t="shared" si="12"/>
        <v>0.54454166413209171</v>
      </c>
      <c r="N59">
        <f t="shared" si="13"/>
        <v>13.910577280043388</v>
      </c>
      <c r="O59">
        <f t="shared" si="14"/>
        <v>15.574182749322576</v>
      </c>
      <c r="P59">
        <f t="shared" si="15"/>
        <v>-3.3490678788188437</v>
      </c>
      <c r="Q59">
        <f t="shared" si="16"/>
        <v>12.00969171024161</v>
      </c>
      <c r="T59" s="10" t="s">
        <v>44</v>
      </c>
      <c r="U59" s="10">
        <v>0</v>
      </c>
      <c r="AC59">
        <f t="shared" si="18"/>
        <v>-0.3196300742103233</v>
      </c>
      <c r="AD59">
        <f t="shared" si="23"/>
        <v>9.7203083649386226</v>
      </c>
      <c r="AE59">
        <f t="shared" si="19"/>
        <v>42.287366987588932</v>
      </c>
      <c r="AF59">
        <f t="shared" si="20"/>
        <v>53.436316587118263</v>
      </c>
      <c r="AG59">
        <f t="shared" si="21"/>
        <v>74.138262220529171</v>
      </c>
    </row>
    <row r="60" spans="1:33" ht="15.75" thickBot="1" x14ac:dyDescent="0.3">
      <c r="A60">
        <v>38</v>
      </c>
      <c r="B60">
        <v>3.7975707266457106</v>
      </c>
      <c r="C60">
        <v>0.1323064680036623</v>
      </c>
      <c r="D60">
        <f t="shared" si="8"/>
        <v>7.0931621747550873</v>
      </c>
      <c r="E60">
        <f t="shared" si="9"/>
        <v>7.5233461054320436</v>
      </c>
      <c r="F60">
        <f t="shared" si="10"/>
        <v>0.32196092237839746</v>
      </c>
      <c r="G60">
        <f t="shared" si="22"/>
        <v>7.8453070278104411</v>
      </c>
      <c r="H60">
        <v>38</v>
      </c>
      <c r="I60">
        <v>-9.2811660579172894E-2</v>
      </c>
      <c r="J60">
        <v>1.212906681757886</v>
      </c>
      <c r="K60">
        <v>0.11388465281925164</v>
      </c>
      <c r="L60">
        <f t="shared" si="11"/>
        <v>6.7913924611270353</v>
      </c>
      <c r="M60">
        <f t="shared" si="12"/>
        <v>8.1901302008184587</v>
      </c>
      <c r="N60">
        <f t="shared" si="13"/>
        <v>10.958853111009573</v>
      </c>
      <c r="O60">
        <f t="shared" si="14"/>
        <v>7.5435373141823892</v>
      </c>
      <c r="P60">
        <f t="shared" si="15"/>
        <v>7.0989091705584642</v>
      </c>
      <c r="Q60">
        <f t="shared" si="16"/>
        <v>10.952114452573991</v>
      </c>
      <c r="AC60">
        <f t="shared" si="18"/>
        <v>-0.31000239369654636</v>
      </c>
      <c r="AD60">
        <f t="shared" si="23"/>
        <v>7.2133437117354973</v>
      </c>
      <c r="AE60">
        <f t="shared" si="19"/>
        <v>37.261863780311828</v>
      </c>
      <c r="AF60">
        <f t="shared" si="20"/>
        <v>60.03519189331962</v>
      </c>
      <c r="AG60">
        <f t="shared" si="21"/>
        <v>74.930032616249918</v>
      </c>
    </row>
    <row r="61" spans="1:33" x14ac:dyDescent="0.25">
      <c r="A61">
        <v>39</v>
      </c>
      <c r="B61">
        <v>6.3248695333719898</v>
      </c>
      <c r="C61">
        <v>-0.12575014807225671</v>
      </c>
      <c r="D61">
        <f t="shared" si="8"/>
        <v>10.863178600382739</v>
      </c>
      <c r="E61">
        <f t="shared" si="9"/>
        <v>10.4543120211658</v>
      </c>
      <c r="F61">
        <f t="shared" si="10"/>
        <v>0.5838710685631856</v>
      </c>
      <c r="G61">
        <f t="shared" si="22"/>
        <v>11.038183089728985</v>
      </c>
      <c r="H61">
        <v>39</v>
      </c>
      <c r="I61">
        <v>1.4768602341064252</v>
      </c>
      <c r="J61">
        <v>0.65727817855076864</v>
      </c>
      <c r="K61">
        <v>0.71260728873312473</v>
      </c>
      <c r="L61">
        <f t="shared" si="11"/>
        <v>15.665071887646715</v>
      </c>
      <c r="M61">
        <f t="shared" si="12"/>
        <v>6.3867666235704315</v>
      </c>
      <c r="N61">
        <f t="shared" si="13"/>
        <v>18.100808584062626</v>
      </c>
      <c r="O61">
        <f t="shared" si="14"/>
        <v>15.840076376992961</v>
      </c>
      <c r="P61">
        <f t="shared" si="15"/>
        <v>3.0256603280861882</v>
      </c>
      <c r="Q61">
        <f t="shared" si="16"/>
        <v>17.055571168899267</v>
      </c>
      <c r="T61" s="11" t="s">
        <v>43</v>
      </c>
      <c r="U61" s="11" t="s">
        <v>45</v>
      </c>
      <c r="AC61">
        <f t="shared" si="18"/>
        <v>-0.18992133110981868</v>
      </c>
      <c r="AD61">
        <f t="shared" si="23"/>
        <v>10.264390690055981</v>
      </c>
      <c r="AE61">
        <f t="shared" si="19"/>
        <v>42.255362792567041</v>
      </c>
      <c r="AF61">
        <f t="shared" si="20"/>
        <v>57.615737649654832</v>
      </c>
      <c r="AG61">
        <f t="shared" si="21"/>
        <v>79.178118176966748</v>
      </c>
    </row>
    <row r="62" spans="1:33" x14ac:dyDescent="0.25">
      <c r="A62">
        <v>40</v>
      </c>
      <c r="B62">
        <v>4.6790673543504138</v>
      </c>
      <c r="C62">
        <v>-0.12073996913386509</v>
      </c>
      <c r="D62">
        <f t="shared" si="8"/>
        <v>9.2468359197831997</v>
      </c>
      <c r="E62">
        <f t="shared" si="9"/>
        <v>8.8542595378758335</v>
      </c>
      <c r="F62">
        <f t="shared" si="10"/>
        <v>-2.1188521393978403</v>
      </c>
      <c r="G62">
        <f t="shared" si="22"/>
        <v>6.7354073984779932</v>
      </c>
      <c r="H62">
        <v>40</v>
      </c>
      <c r="I62">
        <v>0.60646470956271514</v>
      </c>
      <c r="J62">
        <v>-1.4359875422087498</v>
      </c>
      <c r="K62">
        <v>1.255671122635249</v>
      </c>
      <c r="L62">
        <f t="shared" si="11"/>
        <v>11.21870756380083</v>
      </c>
      <c r="M62">
        <f t="shared" si="12"/>
        <v>-0.4186687857635949</v>
      </c>
      <c r="N62">
        <f t="shared" si="13"/>
        <v>15.956559845930585</v>
      </c>
      <c r="O62">
        <f t="shared" si="14"/>
        <v>8.7072790424956246</v>
      </c>
      <c r="P62">
        <f t="shared" si="15"/>
        <v>-3.3735931264473873</v>
      </c>
      <c r="Q62">
        <f t="shared" si="16"/>
        <v>16.001805883372551</v>
      </c>
      <c r="T62" s="8">
        <v>-2.9860337578240483</v>
      </c>
      <c r="U62" s="9">
        <v>14</v>
      </c>
      <c r="V62">
        <f t="shared" ref="V62:V71" si="27">U62/$U$34</f>
        <v>0.13725490196078433</v>
      </c>
      <c r="AC62">
        <f t="shared" si="18"/>
        <v>-2.6657912030923558</v>
      </c>
      <c r="AD62">
        <f t="shared" si="23"/>
        <v>6.1884683347834777</v>
      </c>
      <c r="AE62">
        <f t="shared" si="19"/>
        <v>37.408030891643634</v>
      </c>
      <c r="AF62">
        <f t="shared" si="20"/>
        <v>51.004885734280712</v>
      </c>
      <c r="AG62">
        <f t="shared" si="21"/>
        <v>80.018083671693148</v>
      </c>
    </row>
    <row r="63" spans="1:33" x14ac:dyDescent="0.25">
      <c r="A63">
        <v>41</v>
      </c>
      <c r="B63">
        <v>4.1784417249061558</v>
      </c>
      <c r="C63">
        <v>0.41920088733604643</v>
      </c>
      <c r="D63">
        <f t="shared" si="8"/>
        <v>8.070941217322158</v>
      </c>
      <c r="E63">
        <f t="shared" si="9"/>
        <v>9.4339394756725863</v>
      </c>
      <c r="F63">
        <f t="shared" si="10"/>
        <v>-2.9482020691738473</v>
      </c>
      <c r="G63">
        <f t="shared" si="22"/>
        <v>6.485737406498739</v>
      </c>
      <c r="H63">
        <v>41</v>
      </c>
      <c r="I63">
        <v>0.12636746760108508</v>
      </c>
      <c r="J63">
        <v>0.34317395147809293</v>
      </c>
      <c r="K63">
        <v>0.15077375792316161</v>
      </c>
      <c r="L63">
        <f t="shared" si="11"/>
        <v>8.4818149617623995</v>
      </c>
      <c r="M63">
        <f t="shared" si="12"/>
        <v>5.2871762660371742</v>
      </c>
      <c r="N63">
        <f t="shared" si="13"/>
        <v>10.932702168228047</v>
      </c>
      <c r="O63">
        <f t="shared" si="14"/>
        <v>6.8966111509389805</v>
      </c>
      <c r="P63">
        <f t="shared" si="15"/>
        <v>1.7857600858871912</v>
      </c>
      <c r="Q63">
        <f t="shared" si="16"/>
        <v>11.893662207992662</v>
      </c>
      <c r="T63" s="8">
        <v>-0.94146246102305131</v>
      </c>
      <c r="U63" s="9">
        <v>15</v>
      </c>
      <c r="V63">
        <f t="shared" si="27"/>
        <v>0.14705882352941177</v>
      </c>
      <c r="AC63">
        <f t="shared" si="18"/>
        <v>-3.5146437842003673</v>
      </c>
      <c r="AD63">
        <f t="shared" si="23"/>
        <v>5.919295691472219</v>
      </c>
      <c r="AE63">
        <f t="shared" si="19"/>
        <v>36.2040558844499</v>
      </c>
      <c r="AF63">
        <f t="shared" si="20"/>
        <v>58.851652720258279</v>
      </c>
      <c r="AG63">
        <f t="shared" si="21"/>
        <v>74.882448566196061</v>
      </c>
    </row>
    <row r="64" spans="1:33" x14ac:dyDescent="0.25">
      <c r="A64">
        <v>42</v>
      </c>
      <c r="B64">
        <v>2.8856776635029147</v>
      </c>
      <c r="C64">
        <v>2.2136009647510946</v>
      </c>
      <c r="D64">
        <f t="shared" si="8"/>
        <v>4.9835199721134114</v>
      </c>
      <c r="E64">
        <f t="shared" si="9"/>
        <v>12.18086699781264</v>
      </c>
      <c r="F64">
        <f t="shared" si="10"/>
        <v>-5.4538873964228252</v>
      </c>
      <c r="G64">
        <f t="shared" si="22"/>
        <v>6.7269796013898144</v>
      </c>
      <c r="H64">
        <v>42</v>
      </c>
      <c r="I64">
        <v>0.76815240390715189</v>
      </c>
      <c r="J64">
        <v>-1.6629792298772372</v>
      </c>
      <c r="K64">
        <v>-0.76753622124670073</v>
      </c>
      <c r="L64">
        <f t="shared" si="11"/>
        <v>7.4811062614139825</v>
      </c>
      <c r="M64">
        <f t="shared" si="12"/>
        <v>-1.3561450657189971</v>
      </c>
      <c r="N64">
        <f t="shared" si="13"/>
        <v>7.3420273182167621</v>
      </c>
      <c r="O64">
        <f t="shared" si="14"/>
        <v>9.2245658906903856</v>
      </c>
      <c r="P64">
        <f t="shared" si="15"/>
        <v>1.032713222737236E-2</v>
      </c>
      <c r="Q64">
        <f t="shared" si="16"/>
        <v>4.7249104599412055</v>
      </c>
      <c r="T64" s="8">
        <v>1.1031088357779457</v>
      </c>
      <c r="U64" s="9">
        <v>20</v>
      </c>
      <c r="V64">
        <f t="shared" si="27"/>
        <v>0.19607843137254902</v>
      </c>
      <c r="AC64">
        <f t="shared" si="18"/>
        <v>-5.1135592547255335</v>
      </c>
      <c r="AD64">
        <f t="shared" si="23"/>
        <v>7.0673077430871061</v>
      </c>
      <c r="AE64">
        <f t="shared" si="19"/>
        <v>41.055803334621579</v>
      </c>
      <c r="AF64">
        <f t="shared" si="20"/>
        <v>50.493485964088613</v>
      </c>
      <c r="AG64">
        <f t="shared" si="21"/>
        <v>72.516184913471434</v>
      </c>
    </row>
    <row r="65" spans="1:33" x14ac:dyDescent="0.25">
      <c r="A65">
        <v>43</v>
      </c>
      <c r="B65">
        <v>6.4687948240607929</v>
      </c>
      <c r="C65">
        <v>0.96390522230649367</v>
      </c>
      <c r="D65">
        <f t="shared" si="8"/>
        <v>10.836516245005614</v>
      </c>
      <c r="E65">
        <f t="shared" si="9"/>
        <v>13.970577214121462</v>
      </c>
      <c r="F65">
        <f t="shared" si="10"/>
        <v>-4.642342203967976</v>
      </c>
      <c r="G65">
        <f t="shared" si="22"/>
        <v>9.3282350101534863</v>
      </c>
      <c r="H65">
        <v>43</v>
      </c>
      <c r="I65">
        <v>2.0514471543719992</v>
      </c>
      <c r="J65">
        <v>0.5343531483958941</v>
      </c>
      <c r="K65">
        <v>8.8355136540485546E-2</v>
      </c>
      <c r="L65">
        <f t="shared" si="11"/>
        <v>17.506633086303015</v>
      </c>
      <c r="M65">
        <f t="shared" si="12"/>
        <v>5.6729147525321029</v>
      </c>
      <c r="N65">
        <f t="shared" si="13"/>
        <v>16.013085638982449</v>
      </c>
      <c r="O65">
        <f t="shared" si="14"/>
        <v>15.998351851450888</v>
      </c>
      <c r="P65">
        <f t="shared" si="15"/>
        <v>4.8898769252362335</v>
      </c>
      <c r="Q65">
        <f t="shared" si="16"/>
        <v>14.169987970419852</v>
      </c>
      <c r="T65" s="8">
        <v>3.1476801325789427</v>
      </c>
      <c r="U65" s="9">
        <v>19</v>
      </c>
      <c r="V65">
        <f t="shared" si="27"/>
        <v>0.18627450980392157</v>
      </c>
      <c r="AC65">
        <f t="shared" si="18"/>
        <v>-3.5224641068917855</v>
      </c>
      <c r="AD65">
        <f t="shared" si="23"/>
        <v>10.448113107229677</v>
      </c>
      <c r="AE65">
        <f t="shared" si="19"/>
        <v>44.127283273263473</v>
      </c>
      <c r="AF65">
        <f t="shared" si="20"/>
        <v>59.05802679914963</v>
      </c>
      <c r="AG65">
        <f t="shared" si="21"/>
        <v>76.118276372321162</v>
      </c>
    </row>
    <row r="66" spans="1:33" x14ac:dyDescent="0.25">
      <c r="A66">
        <v>44</v>
      </c>
      <c r="B66">
        <v>4.6395153660695208</v>
      </c>
      <c r="C66">
        <v>-0.56792487157508731</v>
      </c>
      <c r="D66">
        <f t="shared" si="8"/>
        <v>9.1619968856606278</v>
      </c>
      <c r="E66">
        <f t="shared" si="9"/>
        <v>7.3154344517166265</v>
      </c>
      <c r="F66">
        <f t="shared" si="10"/>
        <v>-0.48900325733432126</v>
      </c>
      <c r="G66">
        <f t="shared" si="22"/>
        <v>6.8264311943823053</v>
      </c>
      <c r="H66">
        <v>44</v>
      </c>
      <c r="I66">
        <v>8.4977500591776334E-2</v>
      </c>
      <c r="J66">
        <v>-1.6288913684547879</v>
      </c>
      <c r="K66">
        <v>-7.5231127993902192E-2</v>
      </c>
      <c r="L66">
        <f t="shared" si="11"/>
        <v>9.4382944527807915</v>
      </c>
      <c r="M66">
        <f t="shared" si="12"/>
        <v>-1.2357779962659876</v>
      </c>
      <c r="N66">
        <f t="shared" si="13"/>
        <v>11.460060379747745</v>
      </c>
      <c r="O66">
        <f t="shared" si="14"/>
        <v>7.102728761502469</v>
      </c>
      <c r="P66">
        <f t="shared" si="15"/>
        <v>-3.7181005145252857</v>
      </c>
      <c r="Q66">
        <f t="shared" si="16"/>
        <v>13.610154122184948</v>
      </c>
      <c r="T66" s="8">
        <v>5.1922514293799402</v>
      </c>
      <c r="U66" s="9">
        <v>20</v>
      </c>
      <c r="V66">
        <f t="shared" si="27"/>
        <v>0.19607843137254902</v>
      </c>
      <c r="AC66">
        <f t="shared" si="18"/>
        <v>0.14473403100665916</v>
      </c>
      <c r="AD66">
        <f t="shared" si="23"/>
        <v>7.4601684827232857</v>
      </c>
      <c r="AE66">
        <f t="shared" si="19"/>
        <v>37.03362961656677</v>
      </c>
      <c r="AF66">
        <f t="shared" si="20"/>
        <v>51.993737908469811</v>
      </c>
      <c r="AG66">
        <f t="shared" si="21"/>
        <v>76.626661008143117</v>
      </c>
    </row>
    <row r="67" spans="1:33" x14ac:dyDescent="0.25">
      <c r="A67">
        <v>45</v>
      </c>
      <c r="B67">
        <v>1.2695394756920071</v>
      </c>
      <c r="C67">
        <v>-1.166340553027112</v>
      </c>
      <c r="D67">
        <f t="shared" si="8"/>
        <v>3.8243064026088689</v>
      </c>
      <c r="E67">
        <f t="shared" si="9"/>
        <v>3.2043097724561154E-2</v>
      </c>
      <c r="F67">
        <f t="shared" si="10"/>
        <v>4.248633776516872</v>
      </c>
      <c r="G67">
        <f t="shared" si="22"/>
        <v>4.2806768742414327</v>
      </c>
      <c r="H67">
        <v>45</v>
      </c>
      <c r="I67">
        <v>-0.64263304011547007</v>
      </c>
      <c r="J67">
        <v>-0.32521597859158646</v>
      </c>
      <c r="K67">
        <v>-0.73617684392957017</v>
      </c>
      <c r="L67">
        <f t="shared" si="11"/>
        <v>1.7348363158395439</v>
      </c>
      <c r="M67">
        <f t="shared" si="12"/>
        <v>2.2853573587133313</v>
      </c>
      <c r="N67">
        <f t="shared" si="13"/>
        <v>4.7685132532031336</v>
      </c>
      <c r="O67">
        <f t="shared" si="14"/>
        <v>2.1912067874721077</v>
      </c>
      <c r="P67">
        <f t="shared" si="15"/>
        <v>-2.1567070930904277</v>
      </c>
      <c r="Q67">
        <f t="shared" si="16"/>
        <v>4.5091104808764708</v>
      </c>
      <c r="T67" s="8">
        <v>7.2368227261809377</v>
      </c>
      <c r="U67" s="9">
        <v>8</v>
      </c>
      <c r="V67">
        <f t="shared" si="27"/>
        <v>7.8431372549019607E-2</v>
      </c>
      <c r="AC67">
        <f t="shared" si="18"/>
        <v>2.0280570987221886</v>
      </c>
      <c r="AD67">
        <f t="shared" si="23"/>
        <v>2.0601001964467498</v>
      </c>
      <c r="AE67">
        <f t="shared" si="19"/>
        <v>33.483047019096169</v>
      </c>
      <c r="AF67">
        <f t="shared" si="20"/>
        <v>54.000240458080128</v>
      </c>
      <c r="AG67">
        <f t="shared" si="21"/>
        <v>74.738480292397341</v>
      </c>
    </row>
    <row r="68" spans="1:33" x14ac:dyDescent="0.25">
      <c r="A68">
        <v>46</v>
      </c>
      <c r="B68">
        <v>2.2488174077578051</v>
      </c>
      <c r="C68">
        <v>-1.8579703464638442</v>
      </c>
      <c r="D68">
        <f t="shared" si="8"/>
        <v>4.0828624248167404</v>
      </c>
      <c r="E68">
        <f t="shared" si="9"/>
        <v>-1.9581800032897911</v>
      </c>
      <c r="F68">
        <f t="shared" si="10"/>
        <v>5.005079252146162</v>
      </c>
      <c r="G68">
        <f t="shared" si="22"/>
        <v>3.0468992488563713</v>
      </c>
      <c r="H68">
        <v>46</v>
      </c>
      <c r="I68">
        <v>0.35414814192336053</v>
      </c>
      <c r="J68">
        <v>-0.62877461459720507</v>
      </c>
      <c r="K68">
        <v>1.6381864043069072</v>
      </c>
      <c r="L68">
        <f t="shared" si="11"/>
        <v>5.2343468687240087</v>
      </c>
      <c r="M68">
        <f t="shared" si="12"/>
        <v>-0.13397680369647258</v>
      </c>
      <c r="N68">
        <f t="shared" si="13"/>
        <v>13.154778394445085</v>
      </c>
      <c r="O68">
        <f t="shared" si="14"/>
        <v>4.19838369276364</v>
      </c>
      <c r="P68">
        <f t="shared" si="15"/>
        <v>-4.2136286128702878</v>
      </c>
      <c r="Q68">
        <f t="shared" si="16"/>
        <v>10.633159580701024</v>
      </c>
      <c r="T68" s="8">
        <v>9.2813940229819352</v>
      </c>
      <c r="U68" s="9">
        <v>4</v>
      </c>
      <c r="V68">
        <f t="shared" si="27"/>
        <v>3.9215686274509803E-2</v>
      </c>
      <c r="AC68">
        <f t="shared" si="18"/>
        <v>5.098426555826725</v>
      </c>
      <c r="AD68">
        <f t="shared" si="23"/>
        <v>3.1402465525369339</v>
      </c>
      <c r="AE68">
        <f t="shared" si="19"/>
        <v>36.579241642184662</v>
      </c>
      <c r="AF68">
        <f t="shared" si="20"/>
        <v>52.647952882675135</v>
      </c>
      <c r="AG68">
        <f t="shared" si="21"/>
        <v>82.670683686523361</v>
      </c>
    </row>
    <row r="69" spans="1:33" x14ac:dyDescent="0.25">
      <c r="A69">
        <v>47</v>
      </c>
      <c r="B69">
        <v>7.8077028717917418</v>
      </c>
      <c r="C69">
        <v>8.0448216976947151E-2</v>
      </c>
      <c r="D69">
        <f t="shared" si="8"/>
        <v>10.394308577936368</v>
      </c>
      <c r="E69">
        <f t="shared" si="9"/>
        <v>10.655879540545223</v>
      </c>
      <c r="F69">
        <f t="shared" si="10"/>
        <v>2.3095793613081064</v>
      </c>
      <c r="G69">
        <f t="shared" si="22"/>
        <v>12.96545890185333</v>
      </c>
      <c r="H69">
        <v>47</v>
      </c>
      <c r="I69">
        <v>-0.32626417123537976</v>
      </c>
      <c r="J69">
        <v>0.44498392526293173</v>
      </c>
      <c r="K69">
        <v>0.19012873053725343</v>
      </c>
      <c r="L69">
        <f t="shared" si="11"/>
        <v>9.3334866412702766</v>
      </c>
      <c r="M69">
        <f t="shared" si="12"/>
        <v>5.6995668954706638</v>
      </c>
      <c r="N69">
        <f t="shared" si="13"/>
        <v>15.292740926070122</v>
      </c>
      <c r="O69">
        <f t="shared" si="14"/>
        <v>11.904636965187239</v>
      </c>
      <c r="P69">
        <f t="shared" si="15"/>
        <v>1.6245328479790069</v>
      </c>
      <c r="Q69">
        <f t="shared" si="16"/>
        <v>14.093677523343025</v>
      </c>
      <c r="T69" s="8">
        <v>11.325965319782933</v>
      </c>
      <c r="U69" s="9">
        <v>2</v>
      </c>
      <c r="V69">
        <f t="shared" si="27"/>
        <v>1.9607843137254902E-2</v>
      </c>
      <c r="AC69">
        <f t="shared" si="18"/>
        <v>0.41911701135715873</v>
      </c>
      <c r="AD69">
        <f t="shared" si="23"/>
        <v>11.074996551902382</v>
      </c>
      <c r="AE69">
        <f t="shared" si="19"/>
        <v>35.348486990081966</v>
      </c>
      <c r="AF69">
        <f t="shared" si="20"/>
        <v>56.09336177617601</v>
      </c>
      <c r="AG69">
        <f t="shared" si="21"/>
        <v>77.87813419307551</v>
      </c>
    </row>
    <row r="70" spans="1:33" x14ac:dyDescent="0.25">
      <c r="A70">
        <v>48</v>
      </c>
      <c r="B70">
        <v>4.3329874568926048</v>
      </c>
      <c r="C70">
        <v>-0.32795924198580906</v>
      </c>
      <c r="D70">
        <f t="shared" si="8"/>
        <v>8.4540509611437553</v>
      </c>
      <c r="E70">
        <f t="shared" si="9"/>
        <v>7.38771763709655</v>
      </c>
      <c r="F70">
        <f t="shared" si="10"/>
        <v>-1.2687069085428808</v>
      </c>
      <c r="G70">
        <f t="shared" si="22"/>
        <v>6.1190107285536692</v>
      </c>
      <c r="H70">
        <v>48</v>
      </c>
      <c r="I70">
        <v>-0.16425133253505919</v>
      </c>
      <c r="J70">
        <v>0.56039084483927581</v>
      </c>
      <c r="K70">
        <v>-1.2033842722303234</v>
      </c>
      <c r="L70">
        <f t="shared" si="11"/>
        <v>7.9200008507069493</v>
      </c>
      <c r="M70">
        <f t="shared" si="12"/>
        <v>6.0187746257821892</v>
      </c>
      <c r="N70">
        <f t="shared" si="13"/>
        <v>6.7699677850724651</v>
      </c>
      <c r="O70">
        <f t="shared" si="14"/>
        <v>5.5849606181168632</v>
      </c>
      <c r="P70">
        <f t="shared" si="15"/>
        <v>4.3194726373750063</v>
      </c>
      <c r="Q70">
        <f t="shared" si="16"/>
        <v>7.4190120278006013</v>
      </c>
      <c r="T70" s="8">
        <v>13.37053661658393</v>
      </c>
      <c r="U70" s="9">
        <v>0</v>
      </c>
      <c r="V70">
        <f t="shared" si="27"/>
        <v>0</v>
      </c>
      <c r="AC70">
        <f t="shared" si="18"/>
        <v>1.5876591699664644</v>
      </c>
      <c r="AD70">
        <f t="shared" si="23"/>
        <v>8.9753768070630144</v>
      </c>
      <c r="AE70">
        <f t="shared" si="19"/>
        <v>38.121903330925711</v>
      </c>
      <c r="AF70">
        <f t="shared" si="20"/>
        <v>58.998210720063113</v>
      </c>
      <c r="AG70">
        <f t="shared" si="21"/>
        <v>73.400160522887006</v>
      </c>
    </row>
    <row r="71" spans="1:33" x14ac:dyDescent="0.25">
      <c r="A71">
        <v>49</v>
      </c>
      <c r="B71">
        <v>9.0828882717368078</v>
      </c>
      <c r="C71">
        <v>-0.71112935984274372</v>
      </c>
      <c r="D71">
        <f t="shared" si="8"/>
        <v>11.555036477175792</v>
      </c>
      <c r="E71">
        <f t="shared" si="9"/>
        <v>9.2428560686679369</v>
      </c>
      <c r="F71">
        <f t="shared" si="10"/>
        <v>4.8500197110642329</v>
      </c>
      <c r="G71">
        <f t="shared" si="22"/>
        <v>14.09287577973217</v>
      </c>
      <c r="H71">
        <v>49</v>
      </c>
      <c r="I71">
        <v>-0.53364829000202008</v>
      </c>
      <c r="J71">
        <v>0.857799022924155</v>
      </c>
      <c r="K71">
        <v>1.7105685401475057</v>
      </c>
      <c r="L71">
        <f t="shared" si="11"/>
        <v>9.8199216150229383</v>
      </c>
      <c r="M71">
        <f t="shared" si="12"/>
        <v>6.7273912806283676</v>
      </c>
      <c r="N71">
        <f t="shared" si="13"/>
        <v>22.536815356585322</v>
      </c>
      <c r="O71">
        <f t="shared" si="14"/>
        <v>12.357760917579316</v>
      </c>
      <c r="P71">
        <f t="shared" si="15"/>
        <v>2.1460941318982845</v>
      </c>
      <c r="Q71">
        <f t="shared" si="16"/>
        <v>21.569868460782711</v>
      </c>
      <c r="T71" s="8">
        <v>15.415117913384927</v>
      </c>
      <c r="U71" s="9">
        <v>0</v>
      </c>
      <c r="V71">
        <f t="shared" si="27"/>
        <v>0</v>
      </c>
      <c r="AC71">
        <f t="shared" si="18"/>
        <v>2.3927074599836793</v>
      </c>
      <c r="AD71">
        <f t="shared" si="23"/>
        <v>11.635563528651616</v>
      </c>
      <c r="AE71">
        <f t="shared" si="19"/>
        <v>33.639726033817219</v>
      </c>
      <c r="AF71">
        <f t="shared" si="20"/>
        <v>59.026942590198814</v>
      </c>
      <c r="AG71">
        <f t="shared" si="21"/>
        <v>80.928910917640565</v>
      </c>
    </row>
    <row r="72" spans="1:33" ht="15.75" thickBot="1" x14ac:dyDescent="0.3">
      <c r="A72">
        <v>50</v>
      </c>
      <c r="B72">
        <v>12.059907834101383</v>
      </c>
      <c r="C72">
        <v>0.70101805249578319</v>
      </c>
      <c r="D72">
        <f t="shared" si="8"/>
        <v>17.400718968775184</v>
      </c>
      <c r="E72">
        <f t="shared" si="9"/>
        <v>19.680023267713871</v>
      </c>
      <c r="F72">
        <f t="shared" si="10"/>
        <v>-1.8479915842380699</v>
      </c>
      <c r="G72">
        <f t="shared" si="22"/>
        <v>17.832031683475801</v>
      </c>
      <c r="H72">
        <v>50</v>
      </c>
      <c r="I72">
        <v>-0.10603343980619684</v>
      </c>
      <c r="J72">
        <v>0.34853428587666713</v>
      </c>
      <c r="K72">
        <v>1.2280497685424052</v>
      </c>
      <c r="L72">
        <f t="shared" si="11"/>
        <v>17.055959694287065</v>
      </c>
      <c r="M72">
        <f t="shared" si="12"/>
        <v>5.1873140883898436</v>
      </c>
      <c r="N72">
        <f t="shared" si="13"/>
        <v>27.017920802622971</v>
      </c>
      <c r="O72">
        <f t="shared" si="14"/>
        <v>17.487272408987682</v>
      </c>
      <c r="P72">
        <f t="shared" si="15"/>
        <v>4.8828393459934851</v>
      </c>
      <c r="Q72">
        <f t="shared" si="16"/>
        <v>28.002475108252984</v>
      </c>
      <c r="T72" s="10" t="s">
        <v>44</v>
      </c>
      <c r="U72" s="10">
        <v>0</v>
      </c>
      <c r="AC72">
        <f t="shared" si="18"/>
        <v>-2.2204288184666297</v>
      </c>
      <c r="AD72">
        <f t="shared" si="23"/>
        <v>17.459594449247241</v>
      </c>
      <c r="AE72">
        <f t="shared" si="19"/>
        <v>37.130379177290457</v>
      </c>
      <c r="AF72">
        <f t="shared" si="20"/>
        <v>58.991188486485321</v>
      </c>
      <c r="AG72">
        <f t="shared" si="21"/>
        <v>79.877077319968492</v>
      </c>
    </row>
    <row r="73" spans="1:33" x14ac:dyDescent="0.25">
      <c r="A73">
        <v>51</v>
      </c>
      <c r="B73">
        <v>4.8347117526779995</v>
      </c>
      <c r="C73">
        <v>1.3808403309667483E-2</v>
      </c>
      <c r="D73">
        <f t="shared" si="8"/>
        <v>9.5633482556245752</v>
      </c>
      <c r="E73">
        <f t="shared" si="9"/>
        <v>9.6082451779123126</v>
      </c>
      <c r="F73">
        <f t="shared" si="10"/>
        <v>-0.42719925923060487</v>
      </c>
      <c r="G73">
        <f t="shared" si="22"/>
        <v>9.1810459186817077</v>
      </c>
      <c r="H73">
        <v>51</v>
      </c>
      <c r="I73">
        <v>0.66747134042088874</v>
      </c>
      <c r="J73">
        <v>1.0522762750042602</v>
      </c>
      <c r="K73">
        <v>-0.27654664336296264</v>
      </c>
      <c r="L73">
        <f t="shared" si="11"/>
        <v>11.733578095246074</v>
      </c>
      <c r="M73">
        <f t="shared" si="12"/>
        <v>7.6782438883043405</v>
      </c>
      <c r="N73">
        <f t="shared" si="13"/>
        <v>11.674982586565292</v>
      </c>
      <c r="O73">
        <f t="shared" si="14"/>
        <v>11.351275758303206</v>
      </c>
      <c r="P73">
        <f t="shared" si="15"/>
        <v>6.2855980102264981</v>
      </c>
      <c r="Q73">
        <f t="shared" si="16"/>
        <v>12.078620844439579</v>
      </c>
      <c r="AC73">
        <f t="shared" si="18"/>
        <v>-0.17934545253916845</v>
      </c>
      <c r="AD73">
        <f t="shared" si="23"/>
        <v>9.4288997253731441</v>
      </c>
      <c r="AE73">
        <f t="shared" si="19"/>
        <v>40.652136423213655</v>
      </c>
      <c r="AF73">
        <f t="shared" si="20"/>
        <v>59.845575334983714</v>
      </c>
      <c r="AG73">
        <f t="shared" si="21"/>
        <v>73.113680158104245</v>
      </c>
    </row>
    <row r="74" spans="1:33" x14ac:dyDescent="0.25">
      <c r="A74">
        <v>52</v>
      </c>
      <c r="B74">
        <v>11.238837855159154</v>
      </c>
      <c r="C74">
        <v>0.97627435025060549</v>
      </c>
      <c r="D74">
        <f t="shared" si="8"/>
        <v>16.51205516840238</v>
      </c>
      <c r="E74">
        <f t="shared" si="9"/>
        <v>19.686333370721801</v>
      </c>
      <c r="F74">
        <f t="shared" si="10"/>
        <v>-2.4054226472455333</v>
      </c>
      <c r="G74">
        <f t="shared" si="22"/>
        <v>17.280910723476268</v>
      </c>
      <c r="H74">
        <v>52</v>
      </c>
      <c r="I74">
        <v>-1.7165439203381538</v>
      </c>
      <c r="J74">
        <v>-0.50815174290619325</v>
      </c>
      <c r="K74">
        <v>-0.44456214709498454</v>
      </c>
      <c r="L74">
        <f t="shared" si="11"/>
        <v>10.930849487586688</v>
      </c>
      <c r="M74">
        <f t="shared" si="12"/>
        <v>2.2779843911427937</v>
      </c>
      <c r="N74">
        <f t="shared" si="13"/>
        <v>19.5833403771028</v>
      </c>
      <c r="O74">
        <f t="shared" si="14"/>
        <v>11.699705042660575</v>
      </c>
      <c r="P74">
        <f t="shared" si="15"/>
        <v>0.5237498634065112</v>
      </c>
      <c r="Q74">
        <f t="shared" si="16"/>
        <v>22.532504001446224</v>
      </c>
      <c r="AC74">
        <f t="shared" si="18"/>
        <v>-5.2307902480856292</v>
      </c>
      <c r="AD74">
        <f t="shared" si="23"/>
        <v>14.455543122636172</v>
      </c>
      <c r="AE74">
        <f t="shared" si="19"/>
        <v>29.9168970925069</v>
      </c>
      <c r="AF74">
        <f t="shared" si="20"/>
        <v>55.191209529483423</v>
      </c>
      <c r="AG74">
        <f t="shared" si="21"/>
        <v>75.496808165193656</v>
      </c>
    </row>
    <row r="75" spans="1:33" x14ac:dyDescent="0.25">
      <c r="A75">
        <v>53</v>
      </c>
      <c r="B75">
        <v>2.302285836359752</v>
      </c>
      <c r="C75">
        <v>-1.011499080050271</v>
      </c>
      <c r="D75">
        <f t="shared" si="8"/>
        <v>4.135022788212213</v>
      </c>
      <c r="E75">
        <f t="shared" si="9"/>
        <v>0.84621418574761931</v>
      </c>
      <c r="F75">
        <f t="shared" si="10"/>
        <v>4.8692516127205607</v>
      </c>
      <c r="G75">
        <f t="shared" si="22"/>
        <v>5.7154657984681805</v>
      </c>
      <c r="H75">
        <v>53</v>
      </c>
      <c r="I75">
        <v>1.4754914445802569</v>
      </c>
      <c r="J75">
        <v>-0.4871981218457222</v>
      </c>
      <c r="K75">
        <v>2.3065922505338676E-2</v>
      </c>
      <c r="L75">
        <f t="shared" si="11"/>
        <v>8.9324655654782958</v>
      </c>
      <c r="M75">
        <f t="shared" si="12"/>
        <v>1.9962114234585886</v>
      </c>
      <c r="N75">
        <f t="shared" si="13"/>
        <v>8.0361595163798558</v>
      </c>
      <c r="O75">
        <f t="shared" si="14"/>
        <v>10.512908575734262</v>
      </c>
      <c r="P75">
        <f t="shared" si="15"/>
        <v>0.14538906775630078</v>
      </c>
      <c r="Q75">
        <f t="shared" si="16"/>
        <v>8.1623075338549356</v>
      </c>
      <c r="AC75">
        <f t="shared" si="18"/>
        <v>2.9635164679828456</v>
      </c>
      <c r="AD75">
        <f t="shared" si="23"/>
        <v>3.8097306537304649</v>
      </c>
      <c r="AE75">
        <f t="shared" si="19"/>
        <v>40.827804377972228</v>
      </c>
      <c r="AF75">
        <f t="shared" si="20"/>
        <v>56.40717954119151</v>
      </c>
      <c r="AG75">
        <f t="shared" si="21"/>
        <v>76.316858797452042</v>
      </c>
    </row>
    <row r="76" spans="1:33" ht="15.75" thickBot="1" x14ac:dyDescent="0.3">
      <c r="A76">
        <v>54</v>
      </c>
      <c r="B76">
        <v>2.8959318826868499</v>
      </c>
      <c r="C76">
        <v>0.49271875468548387</v>
      </c>
      <c r="D76">
        <f t="shared" si="8"/>
        <v>5.0027586041098893</v>
      </c>
      <c r="E76">
        <f t="shared" si="9"/>
        <v>6.6047943458771732</v>
      </c>
      <c r="F76">
        <f t="shared" si="10"/>
        <v>-8.8686577323378479E-2</v>
      </c>
      <c r="G76">
        <f t="shared" si="22"/>
        <v>6.5161077685537947</v>
      </c>
      <c r="H76">
        <v>54</v>
      </c>
      <c r="I76">
        <v>0.3998172815045109</v>
      </c>
      <c r="J76">
        <v>-0.84035718828090467</v>
      </c>
      <c r="K76">
        <v>0.13593535186373629</v>
      </c>
      <c r="L76">
        <f t="shared" si="11"/>
        <v>6.3027326137359712</v>
      </c>
      <c r="M76">
        <f t="shared" si="12"/>
        <v>1.4112426358263894</v>
      </c>
      <c r="N76">
        <f t="shared" si="13"/>
        <v>10.31288140120134</v>
      </c>
      <c r="O76">
        <f t="shared" si="14"/>
        <v>7.8160817781798766</v>
      </c>
      <c r="P76">
        <f t="shared" si="15"/>
        <v>0.69924123264163285</v>
      </c>
      <c r="Q76">
        <f t="shared" si="16"/>
        <v>6.8607201328345448</v>
      </c>
      <c r="R76" s="1">
        <v>9</v>
      </c>
      <c r="S76" t="s">
        <v>48</v>
      </c>
      <c r="AC76">
        <f t="shared" si="18"/>
        <v>0.26971424048216885</v>
      </c>
      <c r="AD76">
        <f t="shared" si="23"/>
        <v>6.874508586359342</v>
      </c>
      <c r="AE76">
        <f t="shared" si="19"/>
        <v>39.652565654620602</v>
      </c>
      <c r="AF76">
        <f t="shared" si="20"/>
        <v>54.002704838014495</v>
      </c>
      <c r="AG76">
        <f t="shared" si="21"/>
        <v>76.272844649136459</v>
      </c>
    </row>
    <row r="77" spans="1:33" x14ac:dyDescent="0.25">
      <c r="A77">
        <v>55</v>
      </c>
      <c r="B77">
        <v>11.925870540482803</v>
      </c>
      <c r="C77">
        <v>0.96074472821783274</v>
      </c>
      <c r="D77">
        <f t="shared" si="8"/>
        <v>17.325013499229328</v>
      </c>
      <c r="E77">
        <f t="shared" si="9"/>
        <v>20.448798373831764</v>
      </c>
      <c r="F77">
        <f t="shared" si="10"/>
        <v>-2.2941797590387942</v>
      </c>
      <c r="G77">
        <f t="shared" si="22"/>
        <v>18.15461861479297</v>
      </c>
      <c r="H77">
        <v>55</v>
      </c>
      <c r="I77">
        <v>-0.80716972661321051</v>
      </c>
      <c r="J77">
        <v>0.10726466825872194</v>
      </c>
      <c r="K77">
        <v>0.81237203630735166</v>
      </c>
      <c r="L77">
        <f t="shared" si="11"/>
        <v>14.700565496367489</v>
      </c>
      <c r="M77">
        <f t="shared" si="12"/>
        <v>4.2856342647035408</v>
      </c>
      <c r="N77">
        <f t="shared" si="13"/>
        <v>25.528258100421322</v>
      </c>
      <c r="O77">
        <f t="shared" si="14"/>
        <v>15.53017061193113</v>
      </c>
      <c r="P77">
        <f t="shared" si="15"/>
        <v>3.7427007346258536</v>
      </c>
      <c r="Q77">
        <f t="shared" si="16"/>
        <v>27.204803306805132</v>
      </c>
      <c r="T77" s="11" t="s">
        <v>43</v>
      </c>
      <c r="U77" s="11" t="s">
        <v>45</v>
      </c>
      <c r="AC77">
        <f t="shared" si="18"/>
        <v>-3.6211152813398932</v>
      </c>
      <c r="AD77">
        <f t="shared" si="23"/>
        <v>16.827683092491871</v>
      </c>
      <c r="AE77">
        <f t="shared" si="19"/>
        <v>34.386436419201843</v>
      </c>
      <c r="AF77">
        <f t="shared" si="20"/>
        <v>57.776834595062816</v>
      </c>
      <c r="AG77">
        <f t="shared" si="21"/>
        <v>76.686358716000271</v>
      </c>
    </row>
    <row r="78" spans="1:33" x14ac:dyDescent="0.25">
      <c r="A78">
        <v>56</v>
      </c>
      <c r="B78">
        <v>5.9084749900814844</v>
      </c>
      <c r="C78">
        <v>-2.5278859538957477</v>
      </c>
      <c r="D78">
        <f t="shared" si="8"/>
        <v>10.816290476310876</v>
      </c>
      <c r="E78">
        <f t="shared" si="9"/>
        <v>2.5970708693008913</v>
      </c>
      <c r="F78">
        <f t="shared" si="10"/>
        <v>5.2351790195295411</v>
      </c>
      <c r="G78">
        <f t="shared" si="22"/>
        <v>7.8322498888304324</v>
      </c>
      <c r="H78">
        <v>56</v>
      </c>
      <c r="I78">
        <v>-0.36532924241328146</v>
      </c>
      <c r="J78">
        <v>-1.6112744560814463</v>
      </c>
      <c r="K78">
        <v>-0.55164036893984303</v>
      </c>
      <c r="L78">
        <f t="shared" si="11"/>
        <v>9.6284515757347542</v>
      </c>
      <c r="M78">
        <f t="shared" si="12"/>
        <v>-5.0306050546250454</v>
      </c>
      <c r="N78">
        <f t="shared" si="13"/>
        <v>13.887689648938947</v>
      </c>
      <c r="O78">
        <f t="shared" si="14"/>
        <v>6.6444109882543101</v>
      </c>
      <c r="P78">
        <f t="shared" si="15"/>
        <v>-7.2447916609290077</v>
      </c>
      <c r="Q78">
        <f t="shared" si="16"/>
        <v>13.262534041911337</v>
      </c>
      <c r="R78">
        <v>1</v>
      </c>
      <c r="S78">
        <f>H13+H12</f>
        <v>3.1557238240092138</v>
      </c>
      <c r="T78" s="8">
        <v>2.9939375155064392</v>
      </c>
      <c r="U78" s="9">
        <v>2</v>
      </c>
      <c r="V78">
        <f t="shared" ref="V78:V87" si="28">U78/$U$34</f>
        <v>1.9607843137254902E-2</v>
      </c>
      <c r="AC78">
        <f t="shared" si="18"/>
        <v>4.9861326794517193</v>
      </c>
      <c r="AD78">
        <f t="shared" si="23"/>
        <v>7.5832035487526106</v>
      </c>
      <c r="AE78">
        <f t="shared" si="19"/>
        <v>34.105280569557529</v>
      </c>
      <c r="AF78">
        <f t="shared" si="20"/>
        <v>51.441724810329383</v>
      </c>
      <c r="AG78">
        <f t="shared" si="21"/>
        <v>73.178965569058377</v>
      </c>
    </row>
    <row r="79" spans="1:33" x14ac:dyDescent="0.25">
      <c r="A79">
        <v>57</v>
      </c>
      <c r="B79">
        <v>10.239051484725486</v>
      </c>
      <c r="C79">
        <v>0.50562903197715059</v>
      </c>
      <c r="D79">
        <f t="shared" si="8"/>
        <v>14.278816419925855</v>
      </c>
      <c r="E79">
        <f t="shared" si="9"/>
        <v>15.922828898849367</v>
      </c>
      <c r="F79">
        <f t="shared" si="10"/>
        <v>-1.2016976911199855</v>
      </c>
      <c r="G79">
        <f t="shared" si="22"/>
        <v>14.721131207729382</v>
      </c>
      <c r="H79">
        <v>57</v>
      </c>
      <c r="I79">
        <v>0.22020913093001582</v>
      </c>
      <c r="J79">
        <v>-0.76271817306405865</v>
      </c>
      <c r="K79">
        <v>0.24031805878621526</v>
      </c>
      <c r="L79">
        <f t="shared" si="11"/>
        <v>14.994808849803196</v>
      </c>
      <c r="M79">
        <f t="shared" si="12"/>
        <v>1.6585417957417694</v>
      </c>
      <c r="N79">
        <f t="shared" si="13"/>
        <v>17.832914069836725</v>
      </c>
      <c r="O79">
        <f t="shared" si="14"/>
        <v>15.437123637606723</v>
      </c>
      <c r="P79">
        <f t="shared" si="15"/>
        <v>0.12024507391671335</v>
      </c>
      <c r="Q79">
        <f t="shared" si="16"/>
        <v>18.969397179468285</v>
      </c>
      <c r="R79">
        <v>2</v>
      </c>
      <c r="S79">
        <f t="shared" ref="S79:S87" si="29">S78+$H$12</f>
        <v>6.0635655326400508</v>
      </c>
      <c r="T79" s="8">
        <v>5.7399929156345015</v>
      </c>
      <c r="U79" s="9">
        <v>6</v>
      </c>
      <c r="V79">
        <f t="shared" si="28"/>
        <v>5.8823529411764705E-2</v>
      </c>
      <c r="AC79">
        <f t="shared" si="18"/>
        <v>-1.831891124203576</v>
      </c>
      <c r="AD79">
        <f t="shared" si="23"/>
        <v>14.090937774645791</v>
      </c>
      <c r="AE79">
        <f t="shared" si="19"/>
        <v>37.100048606085288</v>
      </c>
      <c r="AF79">
        <f t="shared" si="20"/>
        <v>53.697467490889821</v>
      </c>
      <c r="AG79">
        <f t="shared" si="21"/>
        <v>77.962130241740468</v>
      </c>
    </row>
    <row r="80" spans="1:33" x14ac:dyDescent="0.25">
      <c r="A80">
        <v>58</v>
      </c>
      <c r="B80">
        <v>3.9261146885586111</v>
      </c>
      <c r="C80">
        <v>-0.12744635569106322</v>
      </c>
      <c r="D80">
        <f t="shared" si="8"/>
        <v>7.4251619788835628</v>
      </c>
      <c r="E80">
        <f t="shared" si="9"/>
        <v>7.0107803158486348</v>
      </c>
      <c r="F80">
        <f t="shared" si="10"/>
        <v>0.81681374181590538</v>
      </c>
      <c r="G80">
        <f t="shared" si="22"/>
        <v>7.8275940576645402</v>
      </c>
      <c r="H80">
        <v>58</v>
      </c>
      <c r="I80">
        <v>0.19238768800278194</v>
      </c>
      <c r="J80">
        <v>-1.8250375433126464</v>
      </c>
      <c r="K80">
        <v>1.1318479664623737</v>
      </c>
      <c r="L80">
        <f t="shared" si="11"/>
        <v>8.0506952055478695</v>
      </c>
      <c r="M80">
        <f t="shared" si="12"/>
        <v>-1.684512370440002</v>
      </c>
      <c r="N80">
        <f t="shared" si="13"/>
        <v>14.136514947553399</v>
      </c>
      <c r="O80">
        <f t="shared" si="14"/>
        <v>8.453127284328847</v>
      </c>
      <c r="P80">
        <f t="shared" si="15"/>
        <v>-5.1756450471425266</v>
      </c>
      <c r="Q80">
        <f t="shared" si="16"/>
        <v>13.80019676958279</v>
      </c>
      <c r="R80">
        <v>3</v>
      </c>
      <c r="S80">
        <f t="shared" si="29"/>
        <v>8.9714072412708887</v>
      </c>
      <c r="T80" s="8">
        <v>8.486048315762563</v>
      </c>
      <c r="U80" s="9">
        <v>10</v>
      </c>
      <c r="V80">
        <f t="shared" si="28"/>
        <v>9.8039215686274508E-2</v>
      </c>
      <c r="AC80">
        <f t="shared" si="18"/>
        <v>-1.0890795767600157</v>
      </c>
      <c r="AD80">
        <f t="shared" si="23"/>
        <v>5.9217007390886192</v>
      </c>
      <c r="AE80">
        <f t="shared" si="19"/>
        <v>36.736737622844721</v>
      </c>
      <c r="AF80">
        <f t="shared" si="20"/>
        <v>49.481638749781283</v>
      </c>
      <c r="AG80">
        <f t="shared" si="21"/>
        <v>79.149152583000259</v>
      </c>
    </row>
    <row r="81" spans="1:33" x14ac:dyDescent="0.25">
      <c r="A81">
        <v>59</v>
      </c>
      <c r="B81">
        <v>4.2758568071535388</v>
      </c>
      <c r="C81">
        <v>1.1695192370098084</v>
      </c>
      <c r="D81">
        <f t="shared" si="8"/>
        <v>8.3140073922473086</v>
      </c>
      <c r="E81">
        <f t="shared" si="9"/>
        <v>12.116605934635034</v>
      </c>
      <c r="F81">
        <f t="shared" si="10"/>
        <v>-4.1855330573873148</v>
      </c>
      <c r="G81">
        <f t="shared" si="22"/>
        <v>7.9310728772477193</v>
      </c>
      <c r="H81">
        <v>59</v>
      </c>
      <c r="I81">
        <v>2.1002506400691345</v>
      </c>
      <c r="J81">
        <v>5.4915290093049407E-2</v>
      </c>
      <c r="K81">
        <v>0.16347598830179777</v>
      </c>
      <c r="L81">
        <f t="shared" si="11"/>
        <v>15.142804875728803</v>
      </c>
      <c r="M81">
        <f t="shared" si="12"/>
        <v>4.0336925686849892</v>
      </c>
      <c r="N81">
        <f t="shared" si="13"/>
        <v>11.101312929736844</v>
      </c>
      <c r="O81">
        <f t="shared" si="14"/>
        <v>14.759870360729215</v>
      </c>
      <c r="P81">
        <f t="shared" si="15"/>
        <v>4.7283267484942684</v>
      </c>
      <c r="Q81">
        <f t="shared" si="16"/>
        <v>11.348352039492802</v>
      </c>
      <c r="R81">
        <v>4</v>
      </c>
      <c r="S81">
        <f t="shared" si="29"/>
        <v>11.879248949901726</v>
      </c>
      <c r="T81" s="8">
        <v>11.232103715890625</v>
      </c>
      <c r="U81" s="9">
        <v>18</v>
      </c>
      <c r="V81">
        <f t="shared" si="28"/>
        <v>0.17647058823529413</v>
      </c>
      <c r="AC81">
        <f t="shared" si="18"/>
        <v>-4.635521836933993</v>
      </c>
      <c r="AD81">
        <f t="shared" si="23"/>
        <v>7.4810840977010411</v>
      </c>
      <c r="AE81">
        <f t="shared" si="19"/>
        <v>44.06191871553208</v>
      </c>
      <c r="AF81">
        <f t="shared" si="20"/>
        <v>58.185653246683067</v>
      </c>
      <c r="AG81">
        <f t="shared" si="21"/>
        <v>74.923944902697627</v>
      </c>
    </row>
    <row r="82" spans="1:33" x14ac:dyDescent="0.25">
      <c r="A82">
        <v>60</v>
      </c>
      <c r="B82">
        <v>12.650990325632497</v>
      </c>
      <c r="C82">
        <v>9.3348262453218922E-2</v>
      </c>
      <c r="D82">
        <f t="shared" si="8"/>
        <v>17.458286337637503</v>
      </c>
      <c r="E82">
        <f t="shared" si="9"/>
        <v>17.76180076947071</v>
      </c>
      <c r="F82">
        <f t="shared" si="10"/>
        <v>-0.62201317883687679</v>
      </c>
      <c r="G82">
        <f t="shared" si="22"/>
        <v>17.139787590633834</v>
      </c>
      <c r="H82">
        <v>60</v>
      </c>
      <c r="I82">
        <v>-1.2451391739887185</v>
      </c>
      <c r="J82">
        <v>2.6873385650105774</v>
      </c>
      <c r="K82">
        <v>0.53082771955814678</v>
      </c>
      <c r="L82">
        <f t="shared" si="11"/>
        <v>13.40981560005044</v>
      </c>
      <c r="M82">
        <f t="shared" si="12"/>
        <v>12.989086506191896</v>
      </c>
      <c r="N82">
        <f t="shared" si="13"/>
        <v>24.850793542538383</v>
      </c>
      <c r="O82">
        <f t="shared" si="14"/>
        <v>13.09131685304677</v>
      </c>
      <c r="P82">
        <f t="shared" si="15"/>
        <v>9.2564199438922525</v>
      </c>
      <c r="Q82">
        <f t="shared" si="16"/>
        <v>25.024656960585208</v>
      </c>
      <c r="R82">
        <v>5</v>
      </c>
      <c r="S82">
        <f t="shared" si="29"/>
        <v>14.787090658532563</v>
      </c>
      <c r="T82" s="8">
        <v>13.978159116018688</v>
      </c>
      <c r="U82" s="9">
        <v>14</v>
      </c>
      <c r="V82">
        <f t="shared" si="28"/>
        <v>0.13725490196078433</v>
      </c>
      <c r="AC82">
        <f t="shared" si="18"/>
        <v>0.15078112644016173</v>
      </c>
      <c r="AD82">
        <f t="shared" si="23"/>
        <v>17.912581895910872</v>
      </c>
      <c r="AE82">
        <f t="shared" si="19"/>
        <v>33.140313833414325</v>
      </c>
      <c r="AF82">
        <f t="shared" si="20"/>
        <v>63.527251156451577</v>
      </c>
      <c r="AG82">
        <f t="shared" si="21"/>
        <v>79.081200347007155</v>
      </c>
    </row>
    <row r="83" spans="1:33" x14ac:dyDescent="0.25">
      <c r="A83">
        <v>61</v>
      </c>
      <c r="B83">
        <v>8.2797631763664654</v>
      </c>
      <c r="C83">
        <v>-1.2523150871857069</v>
      </c>
      <c r="D83">
        <f t="shared" si="8"/>
        <v>10.546665012316414</v>
      </c>
      <c r="E83">
        <f t="shared" si="9"/>
        <v>6.474862365172279</v>
      </c>
      <c r="F83">
        <f t="shared" si="10"/>
        <v>6.7027175466197386</v>
      </c>
      <c r="G83">
        <f t="shared" si="22"/>
        <v>13.177579911792018</v>
      </c>
      <c r="H83">
        <v>61</v>
      </c>
      <c r="I83">
        <v>-0.84002977018826641</v>
      </c>
      <c r="J83">
        <v>-1.1096290108980611</v>
      </c>
      <c r="K83">
        <v>0.60068259699619375</v>
      </c>
      <c r="L83">
        <f t="shared" si="11"/>
        <v>7.8153751980100861</v>
      </c>
      <c r="M83">
        <f t="shared" si="12"/>
        <v>-0.41179561927267683</v>
      </c>
      <c r="N83">
        <f t="shared" si="13"/>
        <v>17.005723863929745</v>
      </c>
      <c r="O83">
        <f t="shared" si="14"/>
        <v>10.44629009748569</v>
      </c>
      <c r="P83">
        <f t="shared" si="15"/>
        <v>-2.7261726197353324</v>
      </c>
      <c r="Q83">
        <f t="shared" si="16"/>
        <v>18.202346567783259</v>
      </c>
      <c r="R83">
        <v>6</v>
      </c>
      <c r="S83">
        <f t="shared" si="29"/>
        <v>17.6949323671634</v>
      </c>
      <c r="T83" s="8">
        <v>16.724214516146752</v>
      </c>
      <c r="U83" s="9">
        <v>16</v>
      </c>
      <c r="V83">
        <f t="shared" si="28"/>
        <v>0.15686274509803921</v>
      </c>
      <c r="AC83">
        <f t="shared" si="18"/>
        <v>5.7926444049293631</v>
      </c>
      <c r="AD83">
        <f t="shared" si="23"/>
        <v>12.267506770101642</v>
      </c>
      <c r="AE83">
        <f t="shared" si="19"/>
        <v>34.280064044971084</v>
      </c>
      <c r="AF83">
        <f t="shared" si="20"/>
        <v>54.366786162269122</v>
      </c>
      <c r="AG83">
        <f t="shared" si="21"/>
        <v>76.113364490334433</v>
      </c>
    </row>
    <row r="84" spans="1:33" x14ac:dyDescent="0.25">
      <c r="A84">
        <v>62</v>
      </c>
      <c r="B84">
        <v>10.057771538438063</v>
      </c>
      <c r="C84">
        <v>-1.1786619324993808</v>
      </c>
      <c r="D84">
        <f t="shared" si="8"/>
        <v>13.810948063250899</v>
      </c>
      <c r="E84">
        <f t="shared" si="9"/>
        <v>9.9786227755117842</v>
      </c>
      <c r="F84">
        <f t="shared" si="10"/>
        <v>3.4516328583517151</v>
      </c>
      <c r="G84">
        <f t="shared" si="22"/>
        <v>13.430255633863499</v>
      </c>
      <c r="H84">
        <v>62</v>
      </c>
      <c r="I84">
        <v>-0.682362042425666</v>
      </c>
      <c r="J84">
        <v>1.1011729839083273</v>
      </c>
      <c r="K84">
        <v>0.62905428421800025</v>
      </c>
      <c r="L84">
        <f t="shared" si="11"/>
        <v>11.592302293436351</v>
      </c>
      <c r="M84">
        <f t="shared" si="12"/>
        <v>6.9027583586060475</v>
      </c>
      <c r="N84">
        <f t="shared" si="13"/>
        <v>19.071940139889183</v>
      </c>
      <c r="O84">
        <f t="shared" si="14"/>
        <v>11.211609864048953</v>
      </c>
      <c r="P84">
        <f t="shared" si="15"/>
        <v>2.161497416564381</v>
      </c>
      <c r="Q84">
        <f t="shared" si="16"/>
        <v>19.757817559847787</v>
      </c>
      <c r="R84">
        <v>7</v>
      </c>
      <c r="S84">
        <f t="shared" si="29"/>
        <v>20.602774075794237</v>
      </c>
      <c r="T84" s="8">
        <v>19.470269916274816</v>
      </c>
      <c r="U84" s="9">
        <v>16</v>
      </c>
      <c r="V84">
        <f t="shared" si="28"/>
        <v>0.15686274509803921</v>
      </c>
      <c r="AC84">
        <f t="shared" si="18"/>
        <v>2.915161026648196</v>
      </c>
      <c r="AD84">
        <f t="shared" si="23"/>
        <v>12.89378380215998</v>
      </c>
      <c r="AE84">
        <f t="shared" si="19"/>
        <v>33.195006097527916</v>
      </c>
      <c r="AF84">
        <f t="shared" si="20"/>
        <v>59.049543783345406</v>
      </c>
      <c r="AG84">
        <f t="shared" si="21"/>
        <v>79.402045020186804</v>
      </c>
    </row>
    <row r="85" spans="1:33" x14ac:dyDescent="0.25">
      <c r="A85">
        <v>63</v>
      </c>
      <c r="B85">
        <v>11.959929197058017</v>
      </c>
      <c r="C85">
        <v>-0.30279352358775213</v>
      </c>
      <c r="D85">
        <f t="shared" si="8"/>
        <v>17.346730019008188</v>
      </c>
      <c r="E85">
        <f t="shared" si="9"/>
        <v>16.36222102163325</v>
      </c>
      <c r="F85">
        <f t="shared" si="10"/>
        <v>0.23764036450370796</v>
      </c>
      <c r="G85">
        <f t="shared" si="22"/>
        <v>16.599861386136958</v>
      </c>
      <c r="H85">
        <v>63</v>
      </c>
      <c r="I85">
        <v>0.40164081838156562</v>
      </c>
      <c r="J85">
        <v>0.52098926062171813</v>
      </c>
      <c r="K85">
        <v>-0.13956423572381027</v>
      </c>
      <c r="L85">
        <f t="shared" si="11"/>
        <v>18.652633113382297</v>
      </c>
      <c r="M85">
        <f t="shared" si="12"/>
        <v>5.9002058375629822</v>
      </c>
      <c r="N85">
        <f t="shared" si="13"/>
        <v>22.473510883813699</v>
      </c>
      <c r="O85">
        <f t="shared" si="14"/>
        <v>17.905764480511067</v>
      </c>
      <c r="P85">
        <f t="shared" si="15"/>
        <v>3.7875890393763711</v>
      </c>
      <c r="Q85">
        <f t="shared" si="16"/>
        <v>22.478502522619806</v>
      </c>
      <c r="R85">
        <v>8</v>
      </c>
      <c r="S85">
        <f t="shared" si="29"/>
        <v>23.510615784425074</v>
      </c>
      <c r="T85" s="8">
        <v>22.21632531640288</v>
      </c>
      <c r="U85" s="9">
        <v>9</v>
      </c>
      <c r="V85">
        <f t="shared" si="28"/>
        <v>8.8235294117647065E-2</v>
      </c>
      <c r="AC85">
        <f t="shared" si="18"/>
        <v>-0.80329330351714034</v>
      </c>
      <c r="AD85">
        <f t="shared" si="23"/>
        <v>15.558927718116109</v>
      </c>
      <c r="AE85">
        <f t="shared" si="19"/>
        <v>37.005430690109122</v>
      </c>
      <c r="AF85">
        <f t="shared" si="20"/>
        <v>59.575664825736268</v>
      </c>
      <c r="AG85">
        <f t="shared" si="21"/>
        <v>73.61036673882208</v>
      </c>
    </row>
    <row r="86" spans="1:33" x14ac:dyDescent="0.25">
      <c r="A86">
        <v>64</v>
      </c>
      <c r="B86">
        <v>10.860530411694693</v>
      </c>
      <c r="C86">
        <v>0.87382431956939399</v>
      </c>
      <c r="D86">
        <f t="shared" si="8"/>
        <v>15.778093832461739</v>
      </c>
      <c r="E86">
        <f t="shared" si="9"/>
        <v>18.619263929324077</v>
      </c>
      <c r="F86">
        <f t="shared" si="10"/>
        <v>-4.0760290280646494</v>
      </c>
      <c r="G86">
        <f t="shared" si="22"/>
        <v>14.543234901259428</v>
      </c>
      <c r="H86">
        <v>64</v>
      </c>
      <c r="I86">
        <v>-0.77423010225174949</v>
      </c>
      <c r="J86">
        <v>-0.11072756933572236</v>
      </c>
      <c r="K86">
        <v>0.74271270023018587</v>
      </c>
      <c r="L86">
        <f t="shared" si="11"/>
        <v>13.260746391625663</v>
      </c>
      <c r="M86">
        <f t="shared" si="12"/>
        <v>3.6152914419733282</v>
      </c>
      <c r="N86">
        <f t="shared" si="13"/>
        <v>21.590599014072769</v>
      </c>
      <c r="O86">
        <f t="shared" si="14"/>
        <v>12.025887460423352</v>
      </c>
      <c r="P86">
        <f t="shared" si="15"/>
        <v>0.98730686026179815</v>
      </c>
      <c r="Q86">
        <f t="shared" si="16"/>
        <v>22.876417113428392</v>
      </c>
      <c r="R86">
        <v>9</v>
      </c>
      <c r="S86">
        <f t="shared" si="29"/>
        <v>26.418457493055911</v>
      </c>
      <c r="T86" s="8">
        <v>24.962380716530944</v>
      </c>
      <c r="U86" s="9">
        <v>7</v>
      </c>
      <c r="V86">
        <f t="shared" si="28"/>
        <v>6.8627450980392163E-2</v>
      </c>
      <c r="AC86">
        <f t="shared" si="18"/>
        <v>-2.0561406181477473</v>
      </c>
      <c r="AD86">
        <f t="shared" si="23"/>
        <v>16.56312331117633</v>
      </c>
      <c r="AE86">
        <f t="shared" si="19"/>
        <v>35.561532293793938</v>
      </c>
      <c r="AF86">
        <f t="shared" si="20"/>
        <v>56.264565820265439</v>
      </c>
      <c r="AG86">
        <f t="shared" si="21"/>
        <v>79.482916288405434</v>
      </c>
    </row>
    <row r="87" spans="1:33" x14ac:dyDescent="0.25">
      <c r="A87">
        <v>65</v>
      </c>
      <c r="B87">
        <v>11.393383587145603</v>
      </c>
      <c r="C87">
        <v>-2.2419590095523745</v>
      </c>
      <c r="D87">
        <f t="shared" si="8"/>
        <v>16.756807951007293</v>
      </c>
      <c r="E87">
        <f t="shared" si="9"/>
        <v>9.4672570038898769</v>
      </c>
      <c r="F87">
        <f t="shared" si="10"/>
        <v>5.9506767753685796</v>
      </c>
      <c r="G87">
        <f t="shared" si="22"/>
        <v>15.417933779258457</v>
      </c>
      <c r="H87">
        <v>65</v>
      </c>
      <c r="I87">
        <v>-1.1469273886177689</v>
      </c>
      <c r="J87">
        <v>9.4808001449564472E-2</v>
      </c>
      <c r="K87">
        <v>-0.69029965743538924</v>
      </c>
      <c r="L87">
        <f t="shared" si="11"/>
        <v>13.027665002206092</v>
      </c>
      <c r="M87">
        <f t="shared" si="12"/>
        <v>1.2533942697837945</v>
      </c>
      <c r="N87">
        <f t="shared" si="13"/>
        <v>19.398144429786232</v>
      </c>
      <c r="O87">
        <f t="shared" si="14"/>
        <v>11.688790830457254</v>
      </c>
      <c r="P87">
        <f t="shared" si="15"/>
        <v>-0.56746867779557864</v>
      </c>
      <c r="Q87">
        <f t="shared" si="16"/>
        <v>21.323703132043065</v>
      </c>
      <c r="R87">
        <v>10</v>
      </c>
      <c r="S87">
        <f t="shared" si="29"/>
        <v>29.326299201686748</v>
      </c>
      <c r="T87" s="8">
        <v>27.708436116659009</v>
      </c>
      <c r="U87" s="9">
        <v>4</v>
      </c>
      <c r="V87">
        <f t="shared" si="28"/>
        <v>3.9215686274509803E-2</v>
      </c>
      <c r="AC87">
        <f t="shared" si="18"/>
        <v>8.2395147579219667</v>
      </c>
      <c r="AD87">
        <f t="shared" si="23"/>
        <v>17.706771761811844</v>
      </c>
      <c r="AE87">
        <f t="shared" si="19"/>
        <v>34.826878649459132</v>
      </c>
      <c r="AF87">
        <f t="shared" si="20"/>
        <v>58.264022214614592</v>
      </c>
      <c r="AG87">
        <f t="shared" si="21"/>
        <v>74.648583910131137</v>
      </c>
    </row>
    <row r="88" spans="1:33" ht="15.75" thickBot="1" x14ac:dyDescent="0.3">
      <c r="A88">
        <v>66</v>
      </c>
      <c r="B88">
        <v>2.9193700979644155</v>
      </c>
      <c r="C88">
        <v>-1.5496743799303658</v>
      </c>
      <c r="D88">
        <f t="shared" ref="D88:D126" si="30">$B$11+$B$12*B88+$B$13*SIN($B$14*(B88-$B$15))</f>
        <v>5.0472422845685134</v>
      </c>
      <c r="E88">
        <f t="shared" ref="E88:E126" si="31">D88+$B$16*C88</f>
        <v>8.5996083135091439E-3</v>
      </c>
      <c r="F88">
        <f t="shared" ref="F88:F126" si="32">$F$3+$F$4*B88+$F$5*SIN($F$6*(B88-$F$7))-E88</f>
        <v>4.865323905448637</v>
      </c>
      <c r="G88">
        <f t="shared" ref="G88:G126" si="33">$F$3+$F$4*B88+$F$5*SIN($F$6*(B88-$F$7))</f>
        <v>4.8739235137621462</v>
      </c>
      <c r="H88">
        <v>66</v>
      </c>
      <c r="I88">
        <v>0.47149455895123538</v>
      </c>
      <c r="J88">
        <v>-1.8299124349141493</v>
      </c>
      <c r="K88">
        <v>-3.4010554372798651E-2</v>
      </c>
      <c r="L88">
        <f t="shared" ref="L88:L124" si="34">$B$11+$B$12*B88+$B$13*SIN($B$14*(B88-$B$15))+I88*$B$16</f>
        <v>6.5802692463102934</v>
      </c>
      <c r="M88">
        <f t="shared" ref="M88:M124" si="35">$B$11+$B$12*C88+$B$13*SIN($B$14*(C88-$B$15))+J88*$B$16</f>
        <v>-3.3354707092397442</v>
      </c>
      <c r="N88">
        <f t="shared" ref="N88:N124" si="36">$B$11+$B$12*D88+$B$13*SIN($B$14*(D88-$B$15))+K88*$B$16</f>
        <v>9.8353110654175726</v>
      </c>
      <c r="O88">
        <f t="shared" ref="O88:O124" si="37">$F$3+$F$4*B88+$F$5*SIN($F$6*(B88-$F$7))+I88*$B$16</f>
        <v>6.4069504755039262</v>
      </c>
      <c r="P88">
        <f t="shared" ref="P88:P124" si="38">$F$3+$F$4*C88+$F$5*SIN($F$6*(C88-$F$7))+J88*$B$16</f>
        <v>-6.3877607516401094</v>
      </c>
      <c r="Q88">
        <f t="shared" ref="Q88:Q124" si="39">$F$3+$F$4*D88+$F$5*SIN($F$6*(D88-$F$7))+K88*$B$16</f>
        <v>8.9531666758735398</v>
      </c>
      <c r="T88" s="10" t="s">
        <v>44</v>
      </c>
      <c r="U88" s="10">
        <v>0</v>
      </c>
      <c r="AC88">
        <f t="shared" ref="AC88:AC124" si="40">$H$3+$H$4*B88+$H$5*SIN($H$6*(B88-$H$7))-E88</f>
        <v>6.098400872767419</v>
      </c>
      <c r="AD88">
        <f t="shared" ref="AD88:AD124" si="41">$H$3+$H$4*B88+$H$5*SIN($H$6*(B88-$H$7))</f>
        <v>6.1070004810809282</v>
      </c>
      <c r="AE88">
        <f t="shared" ref="AE88:AE124" si="42">$H$3+$H$4*AI$27+$H$5*SIN($H$6*(B88-$H$7))+I88*$B$16</f>
        <v>39.088793373232228</v>
      </c>
      <c r="AF88">
        <f t="shared" ref="AF88:AF124" si="43">$H$3+$H$4*AJ$27+$H$5*SIN($H$6*(C88-$H$7))+J88*$B$16</f>
        <v>50.977530478948921</v>
      </c>
      <c r="AG88">
        <f t="shared" ref="AG88:AG124" si="44">$H$3+$H$4*AK$27+$H$5*SIN($H$6*(D88-$H$7))+K88*$B$16</f>
        <v>77.157095125800822</v>
      </c>
    </row>
    <row r="89" spans="1:33" ht="15.75" thickBot="1" x14ac:dyDescent="0.3">
      <c r="A89">
        <v>67</v>
      </c>
      <c r="B89">
        <v>4.4750816370128481</v>
      </c>
      <c r="C89">
        <v>-1.4215538612916134</v>
      </c>
      <c r="D89">
        <f t="shared" si="30"/>
        <v>8.7923576375084647</v>
      </c>
      <c r="E89">
        <f t="shared" si="31"/>
        <v>4.170288611355458</v>
      </c>
      <c r="F89">
        <f t="shared" si="32"/>
        <v>4.1812063344632655</v>
      </c>
      <c r="G89">
        <f t="shared" si="33"/>
        <v>8.3514949458187235</v>
      </c>
      <c r="H89">
        <v>67</v>
      </c>
      <c r="I89">
        <v>0.30015144147910178</v>
      </c>
      <c r="J89">
        <v>-0.85448846220970154</v>
      </c>
      <c r="K89">
        <v>0.5630772648146376</v>
      </c>
      <c r="L89">
        <f t="shared" si="34"/>
        <v>9.7682761155851399</v>
      </c>
      <c r="M89">
        <f t="shared" si="35"/>
        <v>0.10005304578765806</v>
      </c>
      <c r="N89">
        <f t="shared" si="36"/>
        <v>12.909824652258299</v>
      </c>
      <c r="O89">
        <f t="shared" si="37"/>
        <v>9.3274134238953987</v>
      </c>
      <c r="P89">
        <f t="shared" si="38"/>
        <v>-4.0603057414650898</v>
      </c>
      <c r="Q89">
        <f t="shared" si="39"/>
        <v>13.30925152746973</v>
      </c>
      <c r="AC89">
        <f t="shared" si="40"/>
        <v>1.9033889301969067</v>
      </c>
      <c r="AD89">
        <f t="shared" si="41"/>
        <v>6.0736775415523647</v>
      </c>
      <c r="AE89">
        <f t="shared" si="42"/>
        <v>36.552437564060497</v>
      </c>
      <c r="AF89">
        <f t="shared" si="43"/>
        <v>52.684078705504795</v>
      </c>
      <c r="AG89">
        <f t="shared" si="44"/>
        <v>76.468189823010917</v>
      </c>
    </row>
    <row r="90" spans="1:33" x14ac:dyDescent="0.25">
      <c r="A90">
        <v>68</v>
      </c>
      <c r="B90">
        <v>6.8745689260536516</v>
      </c>
      <c r="C90">
        <v>0.32699063012842089</v>
      </c>
      <c r="D90">
        <f t="shared" si="30"/>
        <v>10.687938004893693</v>
      </c>
      <c r="E90">
        <f t="shared" si="31"/>
        <v>11.751121964723119</v>
      </c>
      <c r="F90">
        <f t="shared" si="32"/>
        <v>-0.6428617284666327</v>
      </c>
      <c r="G90">
        <f t="shared" si="33"/>
        <v>11.108260236256486</v>
      </c>
      <c r="H90">
        <v>68</v>
      </c>
      <c r="I90">
        <v>-0.27464011509437114</v>
      </c>
      <c r="J90">
        <v>-0.80114432421396486</v>
      </c>
      <c r="K90">
        <v>-1.5622526916558854</v>
      </c>
      <c r="L90">
        <f t="shared" si="34"/>
        <v>9.7949675702993844</v>
      </c>
      <c r="M90">
        <f t="shared" si="35"/>
        <v>1.5971282674568834</v>
      </c>
      <c r="N90">
        <f t="shared" si="36"/>
        <v>10.310150569311027</v>
      </c>
      <c r="O90">
        <f t="shared" si="37"/>
        <v>10.215289801662177</v>
      </c>
      <c r="P90">
        <f t="shared" si="38"/>
        <v>-1.5143798988231407</v>
      </c>
      <c r="Q90">
        <f t="shared" si="39"/>
        <v>10.897637221016598</v>
      </c>
      <c r="T90" s="11" t="s">
        <v>43</v>
      </c>
      <c r="U90" s="11" t="s">
        <v>45</v>
      </c>
      <c r="AC90">
        <f t="shared" si="40"/>
        <v>-2.9229228091291795</v>
      </c>
      <c r="AD90">
        <f t="shared" si="41"/>
        <v>8.8281991555939392</v>
      </c>
      <c r="AE90">
        <f t="shared" si="42"/>
        <v>34.436729263329319</v>
      </c>
      <c r="AF90">
        <f t="shared" si="43"/>
        <v>52.062279490939012</v>
      </c>
      <c r="AG90">
        <f t="shared" si="44"/>
        <v>71.550699705789157</v>
      </c>
    </row>
    <row r="91" spans="1:33" x14ac:dyDescent="0.25">
      <c r="A91">
        <v>69</v>
      </c>
      <c r="B91">
        <v>10.066194647053438</v>
      </c>
      <c r="C91">
        <v>-0.21323785404092632</v>
      </c>
      <c r="D91">
        <f t="shared" si="30"/>
        <v>13.832702946619193</v>
      </c>
      <c r="E91">
        <f t="shared" si="31"/>
        <v>13.139377067661366</v>
      </c>
      <c r="F91">
        <f t="shared" si="32"/>
        <v>0.93148139472377167</v>
      </c>
      <c r="G91">
        <f t="shared" si="33"/>
        <v>14.070858462385138</v>
      </c>
      <c r="H91">
        <v>69</v>
      </c>
      <c r="I91">
        <v>-5.499146027432289E-2</v>
      </c>
      <c r="J91">
        <v>-0.88101842266041785</v>
      </c>
      <c r="K91">
        <v>-1.3214662430982571</v>
      </c>
      <c r="L91">
        <f t="shared" si="34"/>
        <v>13.653902598522688</v>
      </c>
      <c r="M91">
        <f t="shared" si="35"/>
        <v>1.3687254337870134</v>
      </c>
      <c r="N91">
        <f t="shared" si="36"/>
        <v>12.726004909590131</v>
      </c>
      <c r="O91">
        <f t="shared" si="37"/>
        <v>13.892058114288632</v>
      </c>
      <c r="P91">
        <f t="shared" si="38"/>
        <v>-0.21299889692520146</v>
      </c>
      <c r="Q91">
        <f t="shared" si="39"/>
        <v>13.741086984467643</v>
      </c>
      <c r="T91" s="8">
        <v>2.9939375155064392</v>
      </c>
      <c r="U91" s="9">
        <v>2</v>
      </c>
      <c r="V91">
        <f t="shared" ref="V91:V100" si="45">U91/$U$34</f>
        <v>1.9607843137254902E-2</v>
      </c>
      <c r="AC91">
        <f t="shared" si="40"/>
        <v>-6.1627878638304878E-2</v>
      </c>
      <c r="AD91">
        <f t="shared" si="41"/>
        <v>13.077749189023061</v>
      </c>
      <c r="AE91">
        <f t="shared" si="42"/>
        <v>35.408281063152941</v>
      </c>
      <c r="AF91">
        <f t="shared" si="43"/>
        <v>52.874367030627702</v>
      </c>
      <c r="AG91">
        <f t="shared" si="44"/>
        <v>72.790747905542645</v>
      </c>
    </row>
    <row r="92" spans="1:33" x14ac:dyDescent="0.25">
      <c r="A92">
        <v>70</v>
      </c>
      <c r="B92">
        <v>12.56053346354564</v>
      </c>
      <c r="C92">
        <v>1.2507825886132196E-2</v>
      </c>
      <c r="D92">
        <f t="shared" si="30"/>
        <v>17.474248759270179</v>
      </c>
      <c r="E92">
        <f t="shared" si="31"/>
        <v>17.514916957772542</v>
      </c>
      <c r="F92">
        <f t="shared" si="32"/>
        <v>-1.5138760417385235</v>
      </c>
      <c r="G92">
        <f t="shared" si="33"/>
        <v>16.001040916034018</v>
      </c>
      <c r="H92">
        <v>70</v>
      </c>
      <c r="I92">
        <v>1.611551851965487</v>
      </c>
      <c r="J92">
        <v>-0.99932549346704036</v>
      </c>
      <c r="K92">
        <v>-0.52309360398794524</v>
      </c>
      <c r="L92">
        <f t="shared" si="34"/>
        <v>22.714081101775552</v>
      </c>
      <c r="M92">
        <f t="shared" si="35"/>
        <v>1.0076583704918467</v>
      </c>
      <c r="N92">
        <f t="shared" si="36"/>
        <v>21.450919709430888</v>
      </c>
      <c r="O92">
        <f t="shared" si="37"/>
        <v>21.240873258539391</v>
      </c>
      <c r="P92">
        <f t="shared" si="38"/>
        <v>-0.44588734216985459</v>
      </c>
      <c r="Q92">
        <f t="shared" si="39"/>
        <v>20.656616949515652</v>
      </c>
      <c r="T92" s="8">
        <v>5.7399929156345015</v>
      </c>
      <c r="U92" s="9">
        <v>9</v>
      </c>
      <c r="V92">
        <f t="shared" si="45"/>
        <v>8.8235294117647065E-2</v>
      </c>
      <c r="AC92">
        <f t="shared" si="40"/>
        <v>1.1241884718302728</v>
      </c>
      <c r="AD92">
        <f t="shared" si="41"/>
        <v>18.639105429602814</v>
      </c>
      <c r="AE92">
        <f t="shared" si="42"/>
        <v>43.268286238944604</v>
      </c>
      <c r="AF92">
        <f t="shared" si="43"/>
        <v>53.231409529015842</v>
      </c>
      <c r="AG92">
        <f t="shared" si="44"/>
        <v>75.48405908604721</v>
      </c>
    </row>
    <row r="93" spans="1:33" x14ac:dyDescent="0.25">
      <c r="A93">
        <v>71</v>
      </c>
      <c r="B93">
        <v>1.1626026184881131</v>
      </c>
      <c r="C93">
        <v>-1.4413717508432455</v>
      </c>
      <c r="D93">
        <f t="shared" si="30"/>
        <v>3.8575074126824509</v>
      </c>
      <c r="E93">
        <f t="shared" si="31"/>
        <v>-0.82899790108127824</v>
      </c>
      <c r="F93">
        <f t="shared" si="32"/>
        <v>5.2899330630302099</v>
      </c>
      <c r="G93">
        <f t="shared" si="33"/>
        <v>4.4609351619489317</v>
      </c>
      <c r="H93">
        <v>71</v>
      </c>
      <c r="I93">
        <v>0.68545432441169396</v>
      </c>
      <c r="J93">
        <v>0.2993510861415416</v>
      </c>
      <c r="K93">
        <v>-0.56882413446146529</v>
      </c>
      <c r="L93">
        <f t="shared" si="34"/>
        <v>6.0862074907978911</v>
      </c>
      <c r="M93">
        <f t="shared" si="35"/>
        <v>3.8120926556281463</v>
      </c>
      <c r="N93">
        <f t="shared" si="36"/>
        <v>5.3983919290367606</v>
      </c>
      <c r="O93">
        <f t="shared" si="37"/>
        <v>6.6896352400643728</v>
      </c>
      <c r="P93">
        <f t="shared" si="38"/>
        <v>1.1728396455725421</v>
      </c>
      <c r="Q93">
        <f t="shared" si="39"/>
        <v>3.1198529246867786</v>
      </c>
      <c r="T93" s="8">
        <v>8.486048315762563</v>
      </c>
      <c r="U93" s="9">
        <v>8</v>
      </c>
      <c r="V93">
        <f t="shared" si="45"/>
        <v>7.8431372549019607E-2</v>
      </c>
      <c r="AC93">
        <f t="shared" si="40"/>
        <v>5.8049001059148004</v>
      </c>
      <c r="AD93">
        <f t="shared" si="41"/>
        <v>4.9759022048335222</v>
      </c>
      <c r="AE93">
        <f t="shared" si="42"/>
        <v>40.850778589897267</v>
      </c>
      <c r="AF93">
        <f t="shared" si="43"/>
        <v>57.255701431782036</v>
      </c>
      <c r="AG93">
        <f t="shared" si="44"/>
        <v>75.41332586153338</v>
      </c>
    </row>
    <row r="94" spans="1:33" x14ac:dyDescent="0.25">
      <c r="A94">
        <v>72</v>
      </c>
      <c r="B94">
        <v>4.2260505996887119</v>
      </c>
      <c r="C94">
        <v>0.7478638508473523</v>
      </c>
      <c r="D94">
        <f t="shared" si="30"/>
        <v>8.1903449572137514</v>
      </c>
      <c r="E94">
        <f t="shared" si="31"/>
        <v>10.621964634037214</v>
      </c>
      <c r="F94">
        <f t="shared" si="32"/>
        <v>-4.0918436963191409</v>
      </c>
      <c r="G94">
        <f t="shared" si="33"/>
        <v>6.5301209377180731</v>
      </c>
      <c r="H94">
        <v>72</v>
      </c>
      <c r="I94">
        <v>-0.7827225090295542</v>
      </c>
      <c r="J94">
        <v>2.1215419110376388</v>
      </c>
      <c r="K94">
        <v>-0.23205984689411707</v>
      </c>
      <c r="L94">
        <f t="shared" si="34"/>
        <v>5.6453851329189728</v>
      </c>
      <c r="M94">
        <f t="shared" si="35"/>
        <v>10.930769736026699</v>
      </c>
      <c r="N94">
        <f t="shared" si="36"/>
        <v>9.7399019959671911</v>
      </c>
      <c r="O94">
        <f t="shared" si="37"/>
        <v>3.985161113423294</v>
      </c>
      <c r="P94">
        <f t="shared" si="38"/>
        <v>8.7439594206495439</v>
      </c>
      <c r="Q94">
        <f t="shared" si="39"/>
        <v>10.429586612997726</v>
      </c>
      <c r="T94" s="8">
        <v>11.232103715890625</v>
      </c>
      <c r="U94" s="9">
        <v>14</v>
      </c>
      <c r="V94">
        <f t="shared" si="45"/>
        <v>0.13725490196078433</v>
      </c>
      <c r="AC94">
        <f t="shared" si="40"/>
        <v>-4.9872729810510688</v>
      </c>
      <c r="AD94">
        <f t="shared" si="41"/>
        <v>5.6346916529861453</v>
      </c>
      <c r="AE94">
        <f t="shared" si="42"/>
        <v>32.904067860520442</v>
      </c>
      <c r="AF94">
        <f t="shared" si="43"/>
        <v>63.111798544247556</v>
      </c>
      <c r="AG94">
        <f t="shared" si="44"/>
        <v>76.136168065316383</v>
      </c>
    </row>
    <row r="95" spans="1:33" x14ac:dyDescent="0.25">
      <c r="A95">
        <v>73</v>
      </c>
      <c r="B95">
        <v>7.0408337656788849</v>
      </c>
      <c r="C95">
        <v>-0.86767840912216343</v>
      </c>
      <c r="D95">
        <f t="shared" si="30"/>
        <v>10.61231778914086</v>
      </c>
      <c r="E95">
        <f t="shared" si="31"/>
        <v>7.7911306300265482</v>
      </c>
      <c r="F95">
        <f t="shared" si="32"/>
        <v>2.2903159195426168</v>
      </c>
      <c r="G95">
        <f t="shared" si="33"/>
        <v>10.081446549569165</v>
      </c>
      <c r="H95">
        <v>73</v>
      </c>
      <c r="I95">
        <v>-0.74917807069141418</v>
      </c>
      <c r="J95">
        <v>-0.86767840912216343</v>
      </c>
      <c r="K95">
        <v>-0.2124556885974016</v>
      </c>
      <c r="L95">
        <f t="shared" si="34"/>
        <v>8.1764250312895186</v>
      </c>
      <c r="M95">
        <f t="shared" si="35"/>
        <v>0.94773857294130615</v>
      </c>
      <c r="N95">
        <f t="shared" si="36"/>
        <v>14.520372266323282</v>
      </c>
      <c r="O95">
        <f t="shared" si="37"/>
        <v>7.6455537917178225</v>
      </c>
      <c r="P95">
        <f t="shared" si="38"/>
        <v>-1.9970802301011021</v>
      </c>
      <c r="Q95">
        <f t="shared" si="39"/>
        <v>12.838826170899493</v>
      </c>
      <c r="T95" s="8">
        <v>13.978159116018688</v>
      </c>
      <c r="U95" s="9">
        <v>13</v>
      </c>
      <c r="V95">
        <f t="shared" si="45"/>
        <v>0.12745098039215685</v>
      </c>
      <c r="AC95">
        <f t="shared" si="40"/>
        <v>3.8834901157078425</v>
      </c>
      <c r="AD95">
        <f t="shared" si="41"/>
        <v>11.674620745734391</v>
      </c>
      <c r="AE95">
        <f t="shared" si="42"/>
        <v>35.532260151861976</v>
      </c>
      <c r="AF95">
        <f t="shared" si="43"/>
        <v>52.232589911084972</v>
      </c>
      <c r="AG95">
        <f t="shared" si="44"/>
        <v>75.907745272706279</v>
      </c>
    </row>
    <row r="96" spans="1:33" x14ac:dyDescent="0.25">
      <c r="A96">
        <v>74</v>
      </c>
      <c r="B96">
        <v>8.725089266640218</v>
      </c>
      <c r="C96">
        <v>0.47637286115786992</v>
      </c>
      <c r="D96">
        <f t="shared" si="30"/>
        <v>10.986322927689306</v>
      </c>
      <c r="E96">
        <f t="shared" si="31"/>
        <v>12.53521130006312</v>
      </c>
      <c r="F96">
        <f t="shared" si="32"/>
        <v>1.5929129161880073</v>
      </c>
      <c r="G96">
        <f t="shared" si="33"/>
        <v>14.128124216251127</v>
      </c>
      <c r="H96">
        <v>74</v>
      </c>
      <c r="I96">
        <v>0.59930925999651663</v>
      </c>
      <c r="J96">
        <v>-0.42296278479625471</v>
      </c>
      <c r="K96">
        <v>1.7198908608406782</v>
      </c>
      <c r="L96">
        <f t="shared" si="34"/>
        <v>12.93492919801362</v>
      </c>
      <c r="M96">
        <f t="shared" si="35"/>
        <v>2.7747676820866607</v>
      </c>
      <c r="N96">
        <f t="shared" si="36"/>
        <v>21.633746710431122</v>
      </c>
      <c r="O96">
        <f t="shared" si="37"/>
        <v>16.076730486575443</v>
      </c>
      <c r="P96">
        <f t="shared" si="38"/>
        <v>2.2321470011776761</v>
      </c>
      <c r="Q96">
        <f t="shared" si="39"/>
        <v>21.180962230364294</v>
      </c>
      <c r="T96" s="8">
        <v>16.724214516146752</v>
      </c>
      <c r="U96" s="9">
        <v>15</v>
      </c>
      <c r="V96">
        <f t="shared" si="45"/>
        <v>0.14705882352941177</v>
      </c>
      <c r="AC96">
        <f t="shared" si="40"/>
        <v>1.7356724342573493</v>
      </c>
      <c r="AD96">
        <f t="shared" si="41"/>
        <v>14.270883734320469</v>
      </c>
      <c r="AE96">
        <f t="shared" si="42"/>
        <v>40.406311657533045</v>
      </c>
      <c r="AF96">
        <f t="shared" si="43"/>
        <v>55.993379491807303</v>
      </c>
      <c r="AG96">
        <f t="shared" si="44"/>
        <v>80.027555972920325</v>
      </c>
    </row>
    <row r="97" spans="1:33" x14ac:dyDescent="0.25">
      <c r="A97">
        <v>75</v>
      </c>
      <c r="B97">
        <v>8.8613238929410691</v>
      </c>
      <c r="C97">
        <v>0.21018763618485536</v>
      </c>
      <c r="D97">
        <f t="shared" si="30"/>
        <v>11.18106836587515</v>
      </c>
      <c r="E97">
        <f t="shared" si="31"/>
        <v>11.864476704696472</v>
      </c>
      <c r="F97">
        <f t="shared" si="32"/>
        <v>1.4283628546700573</v>
      </c>
      <c r="G97">
        <f t="shared" si="33"/>
        <v>13.292839559366529</v>
      </c>
      <c r="H97">
        <v>75</v>
      </c>
      <c r="I97">
        <v>-2.0654442778322846</v>
      </c>
      <c r="J97">
        <v>0.5315325779520208</v>
      </c>
      <c r="K97">
        <v>0.27011424208467361</v>
      </c>
      <c r="L97">
        <f t="shared" si="34"/>
        <v>4.4654409937687065</v>
      </c>
      <c r="M97">
        <f t="shared" si="35"/>
        <v>5.9606158213982461</v>
      </c>
      <c r="N97">
        <f t="shared" si="36"/>
        <v>17.290132096471091</v>
      </c>
      <c r="O97">
        <f t="shared" si="37"/>
        <v>6.5772121872600851</v>
      </c>
      <c r="P97">
        <f t="shared" si="38"/>
        <v>2.5253477954770438</v>
      </c>
      <c r="Q97">
        <f t="shared" si="39"/>
        <v>15.172648994916232</v>
      </c>
      <c r="T97" s="8">
        <v>19.470269916274816</v>
      </c>
      <c r="U97" s="9">
        <v>17</v>
      </c>
      <c r="V97">
        <f t="shared" si="45"/>
        <v>0.16666666666666666</v>
      </c>
      <c r="AC97">
        <f t="shared" si="40"/>
        <v>1.2717063856541699E-2</v>
      </c>
      <c r="AD97">
        <f t="shared" si="41"/>
        <v>11.877193768553013</v>
      </c>
      <c r="AE97">
        <f t="shared" si="42"/>
        <v>29.1779822415232</v>
      </c>
      <c r="AF97">
        <f t="shared" si="43"/>
        <v>59.658870774324811</v>
      </c>
      <c r="AG97">
        <f t="shared" si="44"/>
        <v>77.24416033709791</v>
      </c>
    </row>
    <row r="98" spans="1:33" x14ac:dyDescent="0.25">
      <c r="A98">
        <v>76</v>
      </c>
      <c r="B98">
        <v>12.171239356669819</v>
      </c>
      <c r="C98">
        <v>-0.24843757273629308</v>
      </c>
      <c r="D98">
        <f t="shared" si="30"/>
        <v>17.444246186410599</v>
      </c>
      <c r="E98">
        <f t="shared" si="31"/>
        <v>16.636471228918857</v>
      </c>
      <c r="F98">
        <f t="shared" si="32"/>
        <v>1.5179592966438982</v>
      </c>
      <c r="G98">
        <f t="shared" si="33"/>
        <v>18.154430525562756</v>
      </c>
      <c r="H98">
        <v>76</v>
      </c>
      <c r="I98">
        <v>1.0340863809688017</v>
      </c>
      <c r="J98">
        <v>-0.48504603000765201</v>
      </c>
      <c r="K98">
        <v>0.43000000005122274</v>
      </c>
      <c r="L98">
        <f t="shared" si="34"/>
        <v>20.806495596714214</v>
      </c>
      <c r="M98">
        <f t="shared" si="35"/>
        <v>2.6468415949181296</v>
      </c>
      <c r="N98">
        <f t="shared" si="36"/>
        <v>24.499033872158709</v>
      </c>
      <c r="O98">
        <f t="shared" si="37"/>
        <v>21.516679935866371</v>
      </c>
      <c r="P98">
        <f t="shared" si="38"/>
        <v>-1.4024373528503606</v>
      </c>
      <c r="Q98">
        <f t="shared" si="39"/>
        <v>25.797340065530843</v>
      </c>
      <c r="T98" s="8">
        <v>22.21632531640288</v>
      </c>
      <c r="U98" s="9">
        <v>11</v>
      </c>
      <c r="V98">
        <f t="shared" si="45"/>
        <v>0.10784313725490197</v>
      </c>
      <c r="AC98">
        <f t="shared" si="40"/>
        <v>0.3981971293071247</v>
      </c>
      <c r="AD98">
        <f t="shared" si="41"/>
        <v>17.034668358225982</v>
      </c>
      <c r="AE98">
        <f t="shared" si="42"/>
        <v>40.273205411989061</v>
      </c>
      <c r="AF98">
        <f t="shared" si="43"/>
        <v>55.634531544113251</v>
      </c>
      <c r="AG98">
        <f t="shared" si="44"/>
        <v>78.669598980065231</v>
      </c>
    </row>
    <row r="99" spans="1:33" x14ac:dyDescent="0.25">
      <c r="A99">
        <v>77</v>
      </c>
      <c r="B99">
        <v>11.237372966704307</v>
      </c>
      <c r="C99">
        <v>2.3953907657414675</v>
      </c>
      <c r="D99">
        <f t="shared" si="30"/>
        <v>16.509572030767007</v>
      </c>
      <c r="E99">
        <f t="shared" si="31"/>
        <v>24.29799409857873</v>
      </c>
      <c r="F99">
        <f t="shared" si="32"/>
        <v>-7.0496547643470109</v>
      </c>
      <c r="G99">
        <f t="shared" si="33"/>
        <v>17.248339334231719</v>
      </c>
      <c r="H99">
        <v>77</v>
      </c>
      <c r="I99">
        <v>1.2506393431976903</v>
      </c>
      <c r="J99">
        <v>-0.57062379710259847</v>
      </c>
      <c r="K99">
        <v>0.25348981580464169</v>
      </c>
      <c r="L99">
        <f t="shared" si="34"/>
        <v>20.575926129956908</v>
      </c>
      <c r="M99">
        <f t="shared" si="35"/>
        <v>2.3809906979436279</v>
      </c>
      <c r="N99">
        <f t="shared" si="36"/>
        <v>21.846648388318894</v>
      </c>
      <c r="O99">
        <f t="shared" si="37"/>
        <v>21.31469343342162</v>
      </c>
      <c r="P99">
        <f t="shared" si="38"/>
        <v>2.4342066995075067</v>
      </c>
      <c r="Q99">
        <f t="shared" si="39"/>
        <v>24.821011828364824</v>
      </c>
      <c r="T99" s="8">
        <v>24.962380716530944</v>
      </c>
      <c r="U99" s="9">
        <v>8</v>
      </c>
      <c r="V99">
        <f t="shared" si="45"/>
        <v>7.8431372549019607E-2</v>
      </c>
      <c r="AC99">
        <f t="shared" si="40"/>
        <v>-9.8125567247104009</v>
      </c>
      <c r="AD99">
        <f t="shared" si="41"/>
        <v>14.485437373868329</v>
      </c>
      <c r="AE99">
        <f t="shared" si="42"/>
        <v>39.596183444258756</v>
      </c>
      <c r="AF99">
        <f t="shared" si="43"/>
        <v>56.104041697672365</v>
      </c>
      <c r="AG99">
        <f t="shared" si="44"/>
        <v>77.834834790266342</v>
      </c>
    </row>
    <row r="100" spans="1:33" x14ac:dyDescent="0.25">
      <c r="A100">
        <v>78</v>
      </c>
      <c r="B100">
        <v>4.5999633777886295</v>
      </c>
      <c r="C100">
        <v>0.75863226811634377</v>
      </c>
      <c r="D100">
        <f t="shared" si="30"/>
        <v>9.0755026962751408</v>
      </c>
      <c r="E100">
        <f t="shared" si="31"/>
        <v>11.542135023181714</v>
      </c>
      <c r="F100">
        <f t="shared" si="32"/>
        <v>-2.6629685192908283</v>
      </c>
      <c r="G100">
        <f t="shared" si="33"/>
        <v>8.879166503890886</v>
      </c>
      <c r="H100">
        <v>78</v>
      </c>
      <c r="I100">
        <v>0.19613025870057754</v>
      </c>
      <c r="J100">
        <v>-0.74745912570506334</v>
      </c>
      <c r="K100">
        <v>1.6799913282738999</v>
      </c>
      <c r="L100">
        <f t="shared" si="34"/>
        <v>9.7132045931330282</v>
      </c>
      <c r="M100">
        <f t="shared" si="35"/>
        <v>1.5975166667490752</v>
      </c>
      <c r="N100">
        <f t="shared" si="36"/>
        <v>17.00384041428131</v>
      </c>
      <c r="O100">
        <f t="shared" si="37"/>
        <v>9.5168684007487734</v>
      </c>
      <c r="P100">
        <f t="shared" si="38"/>
        <v>-1.2012665140606553</v>
      </c>
      <c r="Q100">
        <f t="shared" si="39"/>
        <v>19.901234001187635</v>
      </c>
      <c r="T100" s="8">
        <v>27.708436116659009</v>
      </c>
      <c r="U100" s="9">
        <v>5</v>
      </c>
      <c r="V100">
        <f t="shared" si="45"/>
        <v>4.9019607843137254E-2</v>
      </c>
      <c r="AC100">
        <f t="shared" si="40"/>
        <v>-2.6021452719827067</v>
      </c>
      <c r="AD100">
        <f t="shared" si="41"/>
        <v>8.9399897511990076</v>
      </c>
      <c r="AE100">
        <f t="shared" si="42"/>
        <v>38.92432786866101</v>
      </c>
      <c r="AF100">
        <f t="shared" si="43"/>
        <v>53.32590066381325</v>
      </c>
      <c r="AG100">
        <f t="shared" si="44"/>
        <v>79.464232917965646</v>
      </c>
    </row>
    <row r="101" spans="1:33" ht="15.75" thickBot="1" x14ac:dyDescent="0.3">
      <c r="A101">
        <v>79</v>
      </c>
      <c r="B101">
        <v>6.1820429090243234</v>
      </c>
      <c r="C101">
        <v>-0.87989292296697386</v>
      </c>
      <c r="D101">
        <f t="shared" si="30"/>
        <v>10.869909148158888</v>
      </c>
      <c r="E101">
        <f t="shared" si="31"/>
        <v>8.0090074712560479</v>
      </c>
      <c r="F101">
        <f t="shared" si="32"/>
        <v>1.800120552114489</v>
      </c>
      <c r="G101">
        <f t="shared" si="33"/>
        <v>9.8091280233705369</v>
      </c>
      <c r="H101">
        <v>79</v>
      </c>
      <c r="I101">
        <v>2.0533298084046692</v>
      </c>
      <c r="J101">
        <v>-1.3031876733293757</v>
      </c>
      <c r="K101">
        <v>-0.73878709372365847</v>
      </c>
      <c r="L101">
        <f t="shared" si="34"/>
        <v>17.546147288921834</v>
      </c>
      <c r="M101">
        <f t="shared" si="35"/>
        <v>-0.48308342997593323</v>
      </c>
      <c r="N101">
        <f t="shared" si="36"/>
        <v>13.39624246533328</v>
      </c>
      <c r="O101">
        <f t="shared" si="37"/>
        <v>16.485366164133481</v>
      </c>
      <c r="P101">
        <f t="shared" si="38"/>
        <v>-2.6008210521700263</v>
      </c>
      <c r="Q101">
        <f t="shared" si="39"/>
        <v>12.880298380417164</v>
      </c>
      <c r="T101" s="10" t="s">
        <v>44</v>
      </c>
      <c r="U101" s="10">
        <v>0</v>
      </c>
      <c r="AC101">
        <f t="shared" si="40"/>
        <v>0.34546506636493035</v>
      </c>
      <c r="AD101">
        <f t="shared" si="41"/>
        <v>8.3544725376209783</v>
      </c>
      <c r="AE101">
        <f t="shared" si="42"/>
        <v>42.398440743756112</v>
      </c>
      <c r="AF101">
        <f t="shared" si="43"/>
        <v>50.535786259645256</v>
      </c>
      <c r="AG101">
        <f t="shared" si="44"/>
        <v>74.647650053514326</v>
      </c>
    </row>
    <row r="102" spans="1:33" x14ac:dyDescent="0.25">
      <c r="A102">
        <v>80</v>
      </c>
      <c r="B102">
        <v>10.362102114932707</v>
      </c>
      <c r="C102">
        <v>1.1183078640897293</v>
      </c>
      <c r="D102">
        <f t="shared" si="30"/>
        <v>14.593145736445633</v>
      </c>
      <c r="E102">
        <f t="shared" si="31"/>
        <v>18.229234583347321</v>
      </c>
      <c r="F102">
        <f t="shared" si="32"/>
        <v>-4.0447513342935881</v>
      </c>
      <c r="G102">
        <f t="shared" si="33"/>
        <v>14.184483249053732</v>
      </c>
      <c r="H102">
        <v>80</v>
      </c>
      <c r="I102">
        <v>0.44354919737088494</v>
      </c>
      <c r="J102">
        <v>-0.130301032186253</v>
      </c>
      <c r="K102">
        <v>-0.17565980670042336</v>
      </c>
      <c r="L102">
        <f t="shared" si="34"/>
        <v>16.035310583354967</v>
      </c>
      <c r="M102">
        <f t="shared" si="35"/>
        <v>3.4496461349655712</v>
      </c>
      <c r="N102">
        <f t="shared" si="36"/>
        <v>16.656095570276793</v>
      </c>
      <c r="O102">
        <f t="shared" si="37"/>
        <v>15.626648095963068</v>
      </c>
      <c r="P102">
        <f t="shared" si="38"/>
        <v>1.1747001029546746</v>
      </c>
      <c r="Q102">
        <f t="shared" si="39"/>
        <v>19.350598385292383</v>
      </c>
      <c r="AC102">
        <f t="shared" si="40"/>
        <v>-2.7417695304115046</v>
      </c>
      <c r="AD102">
        <f t="shared" si="41"/>
        <v>15.487465052935816</v>
      </c>
      <c r="AE102">
        <f t="shared" si="42"/>
        <v>39.0688333782226</v>
      </c>
      <c r="AF102">
        <f t="shared" si="43"/>
        <v>56.261127896683803</v>
      </c>
      <c r="AG102">
        <f t="shared" si="44"/>
        <v>75.419906082697864</v>
      </c>
    </row>
    <row r="103" spans="1:33" x14ac:dyDescent="0.25">
      <c r="A103">
        <v>81</v>
      </c>
      <c r="B103">
        <v>7.2239448225348681</v>
      </c>
      <c r="C103">
        <v>1.3986073099658825</v>
      </c>
      <c r="D103">
        <f t="shared" si="30"/>
        <v>10.531463159898951</v>
      </c>
      <c r="E103">
        <f t="shared" si="31"/>
        <v>15.07892330416033</v>
      </c>
      <c r="F103">
        <f t="shared" si="32"/>
        <v>-3.170285372940203</v>
      </c>
      <c r="G103">
        <f t="shared" si="33"/>
        <v>11.908637931220127</v>
      </c>
      <c r="H103">
        <v>81</v>
      </c>
      <c r="I103">
        <v>-0.83525037553044967</v>
      </c>
      <c r="J103">
        <v>-0.62393496591539588</v>
      </c>
      <c r="K103">
        <v>0.98319787866785191</v>
      </c>
      <c r="L103">
        <f t="shared" si="34"/>
        <v>7.8157131662165042</v>
      </c>
      <c r="M103">
        <f t="shared" si="35"/>
        <v>1.7668533280985219</v>
      </c>
      <c r="N103">
        <f t="shared" si="36"/>
        <v>18.212320659984151</v>
      </c>
      <c r="O103">
        <f t="shared" si="37"/>
        <v>9.1928879375376802</v>
      </c>
      <c r="P103">
        <f t="shared" si="38"/>
        <v>2.8109673667290869</v>
      </c>
      <c r="Q103">
        <f t="shared" si="39"/>
        <v>18.457287222458767</v>
      </c>
      <c r="AC103">
        <f t="shared" si="40"/>
        <v>-2.7881972642661825</v>
      </c>
      <c r="AD103">
        <f t="shared" si="41"/>
        <v>12.290726039894148</v>
      </c>
      <c r="AE103">
        <f t="shared" si="42"/>
        <v>35.639468145927665</v>
      </c>
      <c r="AF103">
        <f t="shared" si="43"/>
        <v>55.851194855687247</v>
      </c>
      <c r="AG103">
        <f t="shared" si="44"/>
        <v>77.188442248192388</v>
      </c>
    </row>
    <row r="104" spans="1:33" x14ac:dyDescent="0.25">
      <c r="A104">
        <v>82</v>
      </c>
      <c r="B104">
        <v>5.8886989959410387</v>
      </c>
      <c r="C104">
        <v>-7.6150854511070065E-2</v>
      </c>
      <c r="D104">
        <f t="shared" si="30"/>
        <v>10.808637701267132</v>
      </c>
      <c r="E104">
        <f t="shared" si="31"/>
        <v>10.561039270047017</v>
      </c>
      <c r="F104">
        <f t="shared" si="32"/>
        <v>-1.3426919231599648</v>
      </c>
      <c r="G104">
        <f t="shared" si="33"/>
        <v>9.218347346887052</v>
      </c>
      <c r="H104">
        <v>82</v>
      </c>
      <c r="I104">
        <v>0.3194145392626524</v>
      </c>
      <c r="J104">
        <v>1.154044184659142</v>
      </c>
      <c r="K104">
        <v>-0.17511638361611404</v>
      </c>
      <c r="L104">
        <f t="shared" si="34"/>
        <v>11.847188605759371</v>
      </c>
      <c r="M104">
        <f t="shared" si="35"/>
        <v>8.0070830612066448</v>
      </c>
      <c r="N104">
        <f t="shared" si="36"/>
        <v>15.094981236983257</v>
      </c>
      <c r="O104">
        <f t="shared" si="37"/>
        <v>10.25689825137929</v>
      </c>
      <c r="P104">
        <f t="shared" si="38"/>
        <v>6.2770059329184278</v>
      </c>
      <c r="Q104">
        <f t="shared" si="39"/>
        <v>15.100225342543967</v>
      </c>
      <c r="AC104">
        <f t="shared" si="40"/>
        <v>-2.7414779052537845</v>
      </c>
      <c r="AD104">
        <f t="shared" si="41"/>
        <v>7.8195613647932323</v>
      </c>
      <c r="AE104">
        <f t="shared" si="42"/>
        <v>36.592764517606909</v>
      </c>
      <c r="AF104">
        <f t="shared" si="43"/>
        <v>61.231995230644259</v>
      </c>
      <c r="AG104">
        <f t="shared" si="44"/>
        <v>74.11579279237678</v>
      </c>
    </row>
    <row r="105" spans="1:33" x14ac:dyDescent="0.25">
      <c r="A105">
        <v>83</v>
      </c>
      <c r="B105">
        <v>7.7795037690359212</v>
      </c>
      <c r="C105">
        <v>-0.47868752517388202</v>
      </c>
      <c r="D105">
        <f t="shared" si="30"/>
        <v>10.394075181448219</v>
      </c>
      <c r="E105">
        <f t="shared" si="31"/>
        <v>8.8376608635962377</v>
      </c>
      <c r="F105">
        <f t="shared" si="32"/>
        <v>2.5704741929173682</v>
      </c>
      <c r="G105">
        <f t="shared" si="33"/>
        <v>11.408135056513606</v>
      </c>
      <c r="H105">
        <v>83</v>
      </c>
      <c r="I105">
        <v>1.2713076102954801</v>
      </c>
      <c r="J105">
        <v>-0.12960640560777392</v>
      </c>
      <c r="K105">
        <v>-0.27829628379549831</v>
      </c>
      <c r="L105">
        <f t="shared" si="34"/>
        <v>14.527630503031588</v>
      </c>
      <c r="M105">
        <f t="shared" si="35"/>
        <v>3.6994955009445518</v>
      </c>
      <c r="N105">
        <f t="shared" si="36"/>
        <v>13.769105977819105</v>
      </c>
      <c r="O105">
        <f t="shared" si="37"/>
        <v>15.541690378096975</v>
      </c>
      <c r="P105">
        <f t="shared" si="38"/>
        <v>-0.60920324134730963</v>
      </c>
      <c r="Q105">
        <f t="shared" si="39"/>
        <v>12.560351178010464</v>
      </c>
      <c r="AC105">
        <f t="shared" si="40"/>
        <v>3.4024522268855879</v>
      </c>
      <c r="AD105">
        <f t="shared" si="41"/>
        <v>12.240113090481826</v>
      </c>
      <c r="AE105">
        <f t="shared" si="42"/>
        <v>41.743252956807353</v>
      </c>
      <c r="AF105">
        <f t="shared" si="43"/>
        <v>56.276139121906652</v>
      </c>
      <c r="AG105">
        <f t="shared" si="44"/>
        <v>76.351662146000422</v>
      </c>
    </row>
    <row r="106" spans="1:33" x14ac:dyDescent="0.25">
      <c r="A106">
        <v>84</v>
      </c>
      <c r="B106">
        <v>9.549455244605852</v>
      </c>
      <c r="C106">
        <v>1.7627371562412009</v>
      </c>
      <c r="D106">
        <f t="shared" si="30"/>
        <v>12.541435838538225</v>
      </c>
      <c r="E106">
        <f t="shared" si="31"/>
        <v>18.272835142472257</v>
      </c>
      <c r="F106">
        <f t="shared" si="32"/>
        <v>-4.2063950967354948</v>
      </c>
      <c r="G106">
        <f t="shared" si="33"/>
        <v>14.066440045736762</v>
      </c>
      <c r="H106">
        <v>84</v>
      </c>
      <c r="I106">
        <v>1.4640045264968649</v>
      </c>
      <c r="J106">
        <v>-0.53470671446120832</v>
      </c>
      <c r="K106">
        <v>6.2348135543288663E-2</v>
      </c>
      <c r="L106">
        <f t="shared" si="34"/>
        <v>17.30152981761599</v>
      </c>
      <c r="M106">
        <f t="shared" si="35"/>
        <v>2.064832270302754</v>
      </c>
      <c r="N106">
        <f t="shared" si="36"/>
        <v>17.679380130820824</v>
      </c>
      <c r="O106">
        <f t="shared" si="37"/>
        <v>18.826534024814528</v>
      </c>
      <c r="P106">
        <f t="shared" si="38"/>
        <v>2.6236560267829012</v>
      </c>
      <c r="Q106">
        <f t="shared" si="39"/>
        <v>16.841132524223919</v>
      </c>
      <c r="AC106">
        <f t="shared" si="40"/>
        <v>-6.1082819598141871</v>
      </c>
      <c r="AD106">
        <f t="shared" si="41"/>
        <v>12.16455318265807</v>
      </c>
      <c r="AE106">
        <f t="shared" si="42"/>
        <v>40.080330445312285</v>
      </c>
      <c r="AF106">
        <f t="shared" si="43"/>
        <v>53.036990558840188</v>
      </c>
      <c r="AG106">
        <f t="shared" si="44"/>
        <v>76.180618720320439</v>
      </c>
    </row>
    <row r="107" spans="1:33" x14ac:dyDescent="0.25">
      <c r="A107">
        <v>85</v>
      </c>
      <c r="B107">
        <v>8.6254768517105624</v>
      </c>
      <c r="C107">
        <v>1.5213254300761037</v>
      </c>
      <c r="D107">
        <f t="shared" si="30"/>
        <v>10.861643335152451</v>
      </c>
      <c r="E107">
        <f t="shared" si="31"/>
        <v>15.808111661484268</v>
      </c>
      <c r="F107">
        <f t="shared" si="32"/>
        <v>-2.3261733314306241</v>
      </c>
      <c r="G107">
        <f t="shared" si="33"/>
        <v>13.481938330053644</v>
      </c>
      <c r="H107">
        <v>85</v>
      </c>
      <c r="I107">
        <v>1.4038050721865147E-2</v>
      </c>
      <c r="J107">
        <v>-1.4418037608265877</v>
      </c>
      <c r="K107">
        <v>0.86167347035370767</v>
      </c>
      <c r="L107">
        <f t="shared" si="34"/>
        <v>10.907286937689005</v>
      </c>
      <c r="M107">
        <f t="shared" si="35"/>
        <v>-0.90587206288659727</v>
      </c>
      <c r="N107">
        <f t="shared" si="36"/>
        <v>18.582164968299573</v>
      </c>
      <c r="O107">
        <f t="shared" si="37"/>
        <v>13.527581932590198</v>
      </c>
      <c r="P107">
        <f t="shared" si="38"/>
        <v>0.1212750890620482</v>
      </c>
      <c r="Q107">
        <f t="shared" si="39"/>
        <v>17.425175462470399</v>
      </c>
      <c r="AC107">
        <f t="shared" si="40"/>
        <v>-3.9672889654388594</v>
      </c>
      <c r="AD107">
        <f t="shared" si="41"/>
        <v>11.840822696045409</v>
      </c>
      <c r="AE107">
        <f t="shared" si="42"/>
        <v>36.197885746429272</v>
      </c>
      <c r="AF107">
        <f t="shared" si="43"/>
        <v>50.060584229651127</v>
      </c>
      <c r="AG107">
        <f t="shared" si="44"/>
        <v>79.614514206633274</v>
      </c>
    </row>
    <row r="108" spans="1:33" x14ac:dyDescent="0.25">
      <c r="A108">
        <v>86</v>
      </c>
      <c r="B108">
        <v>8.1006805627613137</v>
      </c>
      <c r="C108">
        <v>-0.26638758754415903</v>
      </c>
      <c r="D108">
        <f t="shared" si="30"/>
        <v>10.453556535892833</v>
      </c>
      <c r="E108">
        <f t="shared" si="31"/>
        <v>9.5874185365765321</v>
      </c>
      <c r="F108">
        <f t="shared" si="32"/>
        <v>0.83822237083159301</v>
      </c>
      <c r="G108">
        <f t="shared" si="33"/>
        <v>10.425640907408125</v>
      </c>
      <c r="H108">
        <v>86</v>
      </c>
      <c r="I108">
        <v>1.1860493032145314</v>
      </c>
      <c r="J108">
        <v>0.23787833924870938</v>
      </c>
      <c r="K108">
        <v>1.1997622095805127</v>
      </c>
      <c r="L108">
        <f t="shared" si="34"/>
        <v>14.309901270447831</v>
      </c>
      <c r="M108">
        <f t="shared" si="35"/>
        <v>4.9919725133413202</v>
      </c>
      <c r="N108">
        <f t="shared" si="36"/>
        <v>18.724015444273498</v>
      </c>
      <c r="O108">
        <f t="shared" si="37"/>
        <v>14.281985641963125</v>
      </c>
      <c r="P108">
        <f t="shared" si="38"/>
        <v>0.54736556884511245</v>
      </c>
      <c r="Q108">
        <f t="shared" si="39"/>
        <v>19.903477750966506</v>
      </c>
      <c r="AC108">
        <f t="shared" si="40"/>
        <v>0.73840063068399076</v>
      </c>
      <c r="AD108">
        <f t="shared" si="41"/>
        <v>10.325819167260523</v>
      </c>
      <c r="AE108">
        <f t="shared" si="42"/>
        <v>39.150012173840473</v>
      </c>
      <c r="AF108">
        <f t="shared" si="43"/>
        <v>58.531653679559987</v>
      </c>
      <c r="AG108">
        <f t="shared" si="44"/>
        <v>80.198436696383766</v>
      </c>
    </row>
    <row r="109" spans="1:33" x14ac:dyDescent="0.25">
      <c r="A109">
        <v>87</v>
      </c>
      <c r="B109">
        <v>7.9805597094637903</v>
      </c>
      <c r="C109">
        <v>-1.9070012058364227</v>
      </c>
      <c r="D109">
        <f t="shared" si="30"/>
        <v>10.416080856733954</v>
      </c>
      <c r="E109">
        <f t="shared" si="31"/>
        <v>4.2156184990682641</v>
      </c>
      <c r="F109">
        <f t="shared" si="32"/>
        <v>5.9764379063803945</v>
      </c>
      <c r="G109">
        <f t="shared" si="33"/>
        <v>10.192056405448659</v>
      </c>
      <c r="H109">
        <v>87</v>
      </c>
      <c r="I109">
        <v>-5.2616542234318331E-2</v>
      </c>
      <c r="J109">
        <v>0.15015530152595602</v>
      </c>
      <c r="K109">
        <v>-0.15387058738269843</v>
      </c>
      <c r="L109">
        <f t="shared" si="34"/>
        <v>10.245002365270009</v>
      </c>
      <c r="M109">
        <f t="shared" si="35"/>
        <v>2.27950547590132</v>
      </c>
      <c r="N109">
        <f t="shared" si="36"/>
        <v>14.229032199081924</v>
      </c>
      <c r="O109">
        <f t="shared" si="37"/>
        <v>10.020977913984714</v>
      </c>
      <c r="P109">
        <f t="shared" si="38"/>
        <v>0.64322729811846258</v>
      </c>
      <c r="Q109">
        <f t="shared" si="39"/>
        <v>14.541243230070682</v>
      </c>
      <c r="AC109">
        <f t="shared" si="40"/>
        <v>9.3171623122315808</v>
      </c>
      <c r="AD109">
        <f t="shared" si="41"/>
        <v>13.532780811299846</v>
      </c>
      <c r="AE109">
        <f t="shared" si="42"/>
        <v>38.479800874017343</v>
      </c>
      <c r="AF109">
        <f t="shared" si="43"/>
        <v>55.924592867402346</v>
      </c>
      <c r="AG109">
        <f t="shared" si="44"/>
        <v>76.815213797460999</v>
      </c>
    </row>
    <row r="110" spans="1:33" x14ac:dyDescent="0.25">
      <c r="A110">
        <v>88</v>
      </c>
      <c r="B110">
        <v>6.1758171330912202</v>
      </c>
      <c r="C110">
        <v>-1.2157852324889973</v>
      </c>
      <c r="D110">
        <f t="shared" si="30"/>
        <v>10.869702580204025</v>
      </c>
      <c r="E110">
        <f t="shared" si="31"/>
        <v>6.9166738427379393</v>
      </c>
      <c r="F110">
        <f t="shared" si="32"/>
        <v>2.3780361369382792</v>
      </c>
      <c r="G110">
        <f t="shared" si="33"/>
        <v>9.2947099796762185</v>
      </c>
      <c r="H110">
        <v>88</v>
      </c>
      <c r="I110">
        <v>0.86500449469895102</v>
      </c>
      <c r="J110">
        <v>-1.3913199836679269</v>
      </c>
      <c r="K110">
        <v>-0.15673435882490594</v>
      </c>
      <c r="L110">
        <f t="shared" si="34"/>
        <v>13.682195719787565</v>
      </c>
      <c r="M110">
        <f t="shared" si="35"/>
        <v>-1.2641051476146279</v>
      </c>
      <c r="N110">
        <f t="shared" si="36"/>
        <v>15.288295390569608</v>
      </c>
      <c r="O110">
        <f t="shared" si="37"/>
        <v>12.107203119259758</v>
      </c>
      <c r="P110">
        <f t="shared" si="38"/>
        <v>-3.7836101331016936</v>
      </c>
      <c r="Q110">
        <f t="shared" si="39"/>
        <v>14.755584624901779</v>
      </c>
      <c r="AC110">
        <f t="shared" si="40"/>
        <v>1.2657696117061032</v>
      </c>
      <c r="AD110">
        <f t="shared" si="41"/>
        <v>8.1824434544440425</v>
      </c>
      <c r="AE110">
        <f t="shared" si="42"/>
        <v>38.370454021584706</v>
      </c>
      <c r="AF110">
        <f t="shared" si="43"/>
        <v>52.498181559639477</v>
      </c>
      <c r="AG110">
        <f t="shared" si="44"/>
        <v>76.534951378314133</v>
      </c>
    </row>
    <row r="111" spans="1:33" x14ac:dyDescent="0.25">
      <c r="A111">
        <v>89</v>
      </c>
      <c r="B111">
        <v>9.8277840510269474</v>
      </c>
      <c r="C111">
        <v>-0.34699041862040758</v>
      </c>
      <c r="D111">
        <f t="shared" si="30"/>
        <v>13.22217078786033</v>
      </c>
      <c r="E111">
        <f t="shared" si="31"/>
        <v>12.093959110520128</v>
      </c>
      <c r="F111">
        <f t="shared" si="32"/>
        <v>0.97826317723510137</v>
      </c>
      <c r="G111">
        <f t="shared" si="33"/>
        <v>13.072222287755229</v>
      </c>
      <c r="H111">
        <v>89</v>
      </c>
      <c r="I111">
        <v>-0.33199853533005808</v>
      </c>
      <c r="J111">
        <v>-0.15983346202119719</v>
      </c>
      <c r="K111">
        <v>0.16254489310085773</v>
      </c>
      <c r="L111">
        <f t="shared" si="34"/>
        <v>12.142704023595083</v>
      </c>
      <c r="M111">
        <f t="shared" si="35"/>
        <v>3.6692262572061654</v>
      </c>
      <c r="N111">
        <f t="shared" si="36"/>
        <v>17.771451315817092</v>
      </c>
      <c r="O111">
        <f t="shared" si="37"/>
        <v>11.992755523489983</v>
      </c>
      <c r="P111">
        <f t="shared" si="38"/>
        <v>0.7111669688600375</v>
      </c>
      <c r="Q111">
        <f t="shared" si="39"/>
        <v>18.488119267959494</v>
      </c>
      <c r="AC111">
        <f t="shared" si="40"/>
        <v>0.81040878727872645</v>
      </c>
      <c r="AD111">
        <f t="shared" si="41"/>
        <v>12.904367897798855</v>
      </c>
      <c r="AE111">
        <f t="shared" si="42"/>
        <v>34.63244351943036</v>
      </c>
      <c r="AF111">
        <f t="shared" si="43"/>
        <v>55.869272423302448</v>
      </c>
      <c r="AG111">
        <f t="shared" si="44"/>
        <v>74.722858210660405</v>
      </c>
    </row>
    <row r="112" spans="1:33" x14ac:dyDescent="0.25">
      <c r="A112">
        <v>90</v>
      </c>
      <c r="B112">
        <v>10.926816614276559</v>
      </c>
      <c r="C112">
        <v>-0.72917373472591862</v>
      </c>
      <c r="D112">
        <f t="shared" si="30"/>
        <v>15.91920575681166</v>
      </c>
      <c r="E112">
        <f t="shared" si="31"/>
        <v>13.548355502218595</v>
      </c>
      <c r="F112">
        <f t="shared" si="32"/>
        <v>1.9717505872092644</v>
      </c>
      <c r="G112">
        <f t="shared" si="33"/>
        <v>15.520106089427859</v>
      </c>
      <c r="H112">
        <v>90</v>
      </c>
      <c r="I112">
        <v>1.5960540622472763</v>
      </c>
      <c r="J112">
        <v>0.73447267823212314</v>
      </c>
      <c r="K112">
        <v>-1.1200245353393257</v>
      </c>
      <c r="L112">
        <f t="shared" si="34"/>
        <v>21.108648271832557</v>
      </c>
      <c r="M112">
        <f t="shared" si="35"/>
        <v>6.3087987782278887</v>
      </c>
      <c r="N112">
        <f t="shared" si="36"/>
        <v>15.874015256226565</v>
      </c>
      <c r="O112">
        <f t="shared" si="37"/>
        <v>20.709548604448756</v>
      </c>
      <c r="P112">
        <f t="shared" si="38"/>
        <v>1.7143859148665925</v>
      </c>
      <c r="Q112">
        <f t="shared" si="39"/>
        <v>18.986078758113592</v>
      </c>
      <c r="AC112">
        <f t="shared" si="40"/>
        <v>3.0954966171630893</v>
      </c>
      <c r="AD112">
        <f t="shared" si="41"/>
        <v>16.643852119381684</v>
      </c>
      <c r="AE112">
        <f t="shared" si="42"/>
        <v>43.266138554593084</v>
      </c>
      <c r="AF112">
        <f t="shared" si="43"/>
        <v>59.391543059547807</v>
      </c>
      <c r="AG112">
        <f t="shared" si="44"/>
        <v>71.267396196128999</v>
      </c>
    </row>
    <row r="113" spans="1:33" x14ac:dyDescent="0.25">
      <c r="A113">
        <v>91</v>
      </c>
      <c r="B113">
        <v>5.1654103213599054</v>
      </c>
      <c r="C113">
        <v>1.0026087693404406</v>
      </c>
      <c r="D113">
        <f t="shared" si="30"/>
        <v>10.131378147324952</v>
      </c>
      <c r="E113">
        <f t="shared" si="31"/>
        <v>13.391280613424478</v>
      </c>
      <c r="F113">
        <f t="shared" si="32"/>
        <v>-3.9944737004082178</v>
      </c>
      <c r="G113">
        <f t="shared" si="33"/>
        <v>9.3968069130162597</v>
      </c>
      <c r="H113">
        <v>91</v>
      </c>
      <c r="I113">
        <v>1.0619078238960356</v>
      </c>
      <c r="J113">
        <v>0.83059603639412671</v>
      </c>
      <c r="K113">
        <v>-6.6870597947854549E-2</v>
      </c>
      <c r="L113">
        <f t="shared" si="34"/>
        <v>13.584086760841602</v>
      </c>
      <c r="M113">
        <f t="shared" si="35"/>
        <v>6.6196728846143209</v>
      </c>
      <c r="N113">
        <f t="shared" si="36"/>
        <v>13.783714326651532</v>
      </c>
      <c r="O113">
        <f t="shared" si="37"/>
        <v>12.84951552653291</v>
      </c>
      <c r="P113">
        <f t="shared" si="38"/>
        <v>4.1184156903359641</v>
      </c>
      <c r="Q113">
        <f t="shared" si="39"/>
        <v>13.812755158319833</v>
      </c>
      <c r="AC113">
        <f t="shared" si="40"/>
        <v>-6.5979468610028382</v>
      </c>
      <c r="AD113">
        <f t="shared" si="41"/>
        <v>6.7933337524216393</v>
      </c>
      <c r="AE113">
        <f t="shared" si="42"/>
        <v>38.885402868098403</v>
      </c>
      <c r="AF113">
        <f t="shared" si="43"/>
        <v>58.419948317832919</v>
      </c>
      <c r="AG113">
        <f t="shared" si="44"/>
        <v>76.561503803378585</v>
      </c>
    </row>
    <row r="114" spans="1:33" x14ac:dyDescent="0.25">
      <c r="A114">
        <v>92</v>
      </c>
      <c r="B114">
        <v>6.750053407391583</v>
      </c>
      <c r="C114">
        <v>0.24378437046834733</v>
      </c>
      <c r="D114">
        <f t="shared" si="30"/>
        <v>10.741520383108028</v>
      </c>
      <c r="E114">
        <f t="shared" si="31"/>
        <v>11.534165824469051</v>
      </c>
      <c r="F114">
        <f t="shared" si="32"/>
        <v>-1.3603220930535436</v>
      </c>
      <c r="G114">
        <f t="shared" si="33"/>
        <v>10.173843731415507</v>
      </c>
      <c r="H114">
        <v>92</v>
      </c>
      <c r="I114">
        <v>1.375979081785772</v>
      </c>
      <c r="J114">
        <v>0.71784370447858237</v>
      </c>
      <c r="K114">
        <v>-0.18289028957951814</v>
      </c>
      <c r="L114">
        <f t="shared" si="34"/>
        <v>15.215406647802874</v>
      </c>
      <c r="M114">
        <f t="shared" si="35"/>
        <v>6.5587209040678465</v>
      </c>
      <c r="N114">
        <f t="shared" si="36"/>
        <v>14.918632352849333</v>
      </c>
      <c r="O114">
        <f t="shared" si="37"/>
        <v>14.647729996110353</v>
      </c>
      <c r="P114">
        <f t="shared" si="38"/>
        <v>5.5315869039617569</v>
      </c>
      <c r="Q114">
        <f t="shared" si="39"/>
        <v>13.510216585261745</v>
      </c>
      <c r="AC114">
        <f t="shared" si="40"/>
        <v>0.39567626683873236</v>
      </c>
      <c r="AD114">
        <f t="shared" si="41"/>
        <v>11.929842091307783</v>
      </c>
      <c r="AE114">
        <f t="shared" si="42"/>
        <v>43.06097614203113</v>
      </c>
      <c r="AF114">
        <f t="shared" si="43"/>
        <v>59.310860237679535</v>
      </c>
      <c r="AG114">
        <f t="shared" si="44"/>
        <v>73.893127080676805</v>
      </c>
    </row>
    <row r="115" spans="1:33" x14ac:dyDescent="0.25">
      <c r="A115">
        <v>93</v>
      </c>
      <c r="B115">
        <v>4.3677785576952424</v>
      </c>
      <c r="C115">
        <v>-0.22467816052085254</v>
      </c>
      <c r="D115">
        <f t="shared" si="30"/>
        <v>8.5382821248664253</v>
      </c>
      <c r="E115">
        <f t="shared" si="31"/>
        <v>7.807759001632169</v>
      </c>
      <c r="F115">
        <f t="shared" si="32"/>
        <v>0.70989229896789041</v>
      </c>
      <c r="G115">
        <f t="shared" si="33"/>
        <v>8.5176513006000594</v>
      </c>
      <c r="H115">
        <v>93</v>
      </c>
      <c r="I115">
        <v>-1.1939710020669736</v>
      </c>
      <c r="J115">
        <v>0.24268160814244766</v>
      </c>
      <c r="K115">
        <v>-0.65348558564437553</v>
      </c>
      <c r="L115">
        <f t="shared" si="34"/>
        <v>4.6561806181641394</v>
      </c>
      <c r="M115">
        <f t="shared" si="35"/>
        <v>5.0194831158243387</v>
      </c>
      <c r="N115">
        <f t="shared" si="36"/>
        <v>8.6402174250859005</v>
      </c>
      <c r="O115">
        <f t="shared" si="37"/>
        <v>4.6355497938977734</v>
      </c>
      <c r="P115">
        <f t="shared" si="38"/>
        <v>2.7885814282909696</v>
      </c>
      <c r="Q115">
        <f t="shared" si="39"/>
        <v>9.2100238969870638</v>
      </c>
      <c r="AC115">
        <f t="shared" si="40"/>
        <v>0.49681979351206174</v>
      </c>
      <c r="AD115">
        <f t="shared" si="41"/>
        <v>8.3045787951442307</v>
      </c>
      <c r="AE115">
        <f t="shared" si="42"/>
        <v>34.059536310531492</v>
      </c>
      <c r="AF115">
        <f t="shared" si="43"/>
        <v>57.013679356532904</v>
      </c>
      <c r="AG115">
        <f t="shared" si="44"/>
        <v>72.926988841945771</v>
      </c>
    </row>
    <row r="116" spans="1:33" x14ac:dyDescent="0.25">
      <c r="A116">
        <v>94</v>
      </c>
      <c r="B116">
        <v>12.573351237525559</v>
      </c>
      <c r="C116">
        <v>0.73157025326509029</v>
      </c>
      <c r="D116">
        <f t="shared" si="30"/>
        <v>17.472436285464653</v>
      </c>
      <c r="E116">
        <f t="shared" si="31"/>
        <v>19.851078628990912</v>
      </c>
      <c r="F116">
        <f t="shared" si="32"/>
        <v>-3.414541168940211</v>
      </c>
      <c r="G116">
        <f t="shared" si="33"/>
        <v>16.436537460050701</v>
      </c>
      <c r="H116">
        <v>94</v>
      </c>
      <c r="I116">
        <v>-0.63774905356694944</v>
      </c>
      <c r="J116">
        <v>1.4302213457995094</v>
      </c>
      <c r="K116">
        <v>-3.4316371966269799E-2</v>
      </c>
      <c r="L116">
        <f t="shared" si="34"/>
        <v>15.398846091511739</v>
      </c>
      <c r="M116">
        <f t="shared" si="35"/>
        <v>8.6904371095939297</v>
      </c>
      <c r="N116">
        <f t="shared" si="36"/>
        <v>23.037107231428458</v>
      </c>
      <c r="O116">
        <f t="shared" si="37"/>
        <v>14.362947266097787</v>
      </c>
      <c r="P116">
        <f t="shared" si="38"/>
        <v>7.7698895319108718</v>
      </c>
      <c r="Q116">
        <f t="shared" si="39"/>
        <v>22.311030379570333</v>
      </c>
      <c r="AC116">
        <f t="shared" si="40"/>
        <v>-0.82583726943128255</v>
      </c>
      <c r="AD116">
        <f t="shared" si="41"/>
        <v>19.025241359559629</v>
      </c>
      <c r="AE116">
        <f t="shared" si="42"/>
        <v>36.324966827944721</v>
      </c>
      <c r="AF116">
        <f t="shared" si="43"/>
        <v>61.560734463824765</v>
      </c>
      <c r="AG116">
        <f t="shared" si="44"/>
        <v>77.106343556454974</v>
      </c>
    </row>
    <row r="117" spans="1:33" x14ac:dyDescent="0.25">
      <c r="A117">
        <v>95</v>
      </c>
      <c r="B117">
        <v>2.258705404828028</v>
      </c>
      <c r="C117">
        <v>0.49660911827231757</v>
      </c>
      <c r="D117">
        <f t="shared" si="30"/>
        <v>4.0921781218007887</v>
      </c>
      <c r="E117">
        <f t="shared" si="31"/>
        <v>5.7068630705554462</v>
      </c>
      <c r="F117">
        <f t="shared" si="32"/>
        <v>-2.7546551917591304</v>
      </c>
      <c r="G117">
        <f t="shared" si="33"/>
        <v>2.9522078787963157</v>
      </c>
      <c r="H117">
        <v>95</v>
      </c>
      <c r="I117">
        <v>1.3732233128394</v>
      </c>
      <c r="J117">
        <v>-1.3656062947120517E-2</v>
      </c>
      <c r="K117">
        <v>-2.3387474357150495</v>
      </c>
      <c r="L117">
        <f t="shared" si="34"/>
        <v>8.5571042235098389</v>
      </c>
      <c r="M117">
        <f t="shared" si="35"/>
        <v>4.0976546854842413</v>
      </c>
      <c r="N117">
        <f t="shared" si="36"/>
        <v>0.24788211537837679</v>
      </c>
      <c r="O117">
        <f t="shared" si="37"/>
        <v>7.4171339805053655</v>
      </c>
      <c r="P117">
        <f t="shared" si="38"/>
        <v>3.1848252281229166</v>
      </c>
      <c r="Q117">
        <f t="shared" si="39"/>
        <v>-2.3001545676094475</v>
      </c>
      <c r="AC117">
        <f t="shared" si="40"/>
        <v>-2.672374769464771</v>
      </c>
      <c r="AD117">
        <f t="shared" si="41"/>
        <v>3.0344883010906751</v>
      </c>
      <c r="AE117">
        <f t="shared" si="42"/>
        <v>39.774556885069984</v>
      </c>
      <c r="AF117">
        <f t="shared" si="43"/>
        <v>56.524614892123083</v>
      </c>
      <c r="AG117">
        <f t="shared" si="44"/>
        <v>69.740764979452948</v>
      </c>
    </row>
    <row r="118" spans="1:33" x14ac:dyDescent="0.25">
      <c r="A118">
        <v>96</v>
      </c>
      <c r="B118">
        <v>3.8623920407727286</v>
      </c>
      <c r="C118">
        <v>-0.65121412262669764</v>
      </c>
      <c r="D118">
        <f t="shared" si="30"/>
        <v>7.2604989543649614</v>
      </c>
      <c r="E118">
        <f t="shared" si="31"/>
        <v>5.143128162060659</v>
      </c>
      <c r="F118">
        <f t="shared" si="32"/>
        <v>-0.14476798502511024</v>
      </c>
      <c r="G118">
        <f t="shared" si="33"/>
        <v>4.9983601770355488</v>
      </c>
      <c r="H118">
        <v>96</v>
      </c>
      <c r="I118">
        <v>0.38816097003291361</v>
      </c>
      <c r="J118">
        <v>0.93912376541993581</v>
      </c>
      <c r="K118">
        <v>6.1198761613923125E-2</v>
      </c>
      <c r="L118">
        <f t="shared" si="34"/>
        <v>8.5225733967083013</v>
      </c>
      <c r="M118">
        <f t="shared" si="35"/>
        <v>7.0466976782996849</v>
      </c>
      <c r="N118">
        <f t="shared" si="36"/>
        <v>10.71540538999122</v>
      </c>
      <c r="O118">
        <f t="shared" si="37"/>
        <v>6.2604346193788896</v>
      </c>
      <c r="P118">
        <f t="shared" si="38"/>
        <v>4.9937539812632794</v>
      </c>
      <c r="Q118">
        <f t="shared" si="39"/>
        <v>11.313942938994918</v>
      </c>
      <c r="AC118">
        <f t="shared" si="40"/>
        <v>3.0700987620413489</v>
      </c>
      <c r="AD118">
        <f t="shared" si="41"/>
        <v>8.2132269241020079</v>
      </c>
      <c r="AE118">
        <f t="shared" si="42"/>
        <v>39.744510965900652</v>
      </c>
      <c r="AF118">
        <f t="shared" si="43"/>
        <v>57.693590911019172</v>
      </c>
      <c r="AG118">
        <f t="shared" si="44"/>
        <v>77.462252506104974</v>
      </c>
    </row>
    <row r="119" spans="1:33" x14ac:dyDescent="0.25">
      <c r="A119">
        <v>97</v>
      </c>
      <c r="B119">
        <v>4.3769341105380413</v>
      </c>
      <c r="C119">
        <v>-1.1955307854805142</v>
      </c>
      <c r="D119">
        <f t="shared" si="30"/>
        <v>8.560306445514362</v>
      </c>
      <c r="E119">
        <f t="shared" si="31"/>
        <v>4.673133427419125</v>
      </c>
      <c r="F119">
        <f t="shared" si="32"/>
        <v>3.9258471945490845</v>
      </c>
      <c r="G119">
        <f t="shared" si="33"/>
        <v>8.5989806219682094</v>
      </c>
      <c r="H119">
        <v>97</v>
      </c>
      <c r="I119">
        <v>0.51303231884958223</v>
      </c>
      <c r="J119">
        <v>-1.4682609617011622</v>
      </c>
      <c r="K119">
        <v>0.55208602134371176</v>
      </c>
      <c r="L119">
        <f t="shared" si="34"/>
        <v>10.228390121370012</v>
      </c>
      <c r="M119">
        <f t="shared" si="35"/>
        <v>-1.4798125862185367</v>
      </c>
      <c r="N119">
        <f t="shared" si="36"/>
        <v>12.583352624576452</v>
      </c>
      <c r="O119">
        <f t="shared" si="37"/>
        <v>10.267064297823859</v>
      </c>
      <c r="P119">
        <f t="shared" si="38"/>
        <v>-5.5849118812545751</v>
      </c>
      <c r="Q119">
        <f t="shared" si="39"/>
        <v>12.855297681208505</v>
      </c>
      <c r="AC119">
        <f t="shared" si="40"/>
        <v>3.2926143980144049</v>
      </c>
      <c r="AD119">
        <f t="shared" si="41"/>
        <v>7.9657478254335299</v>
      </c>
      <c r="AE119">
        <f t="shared" si="42"/>
        <v>39.259438520165574</v>
      </c>
      <c r="AF119">
        <f t="shared" si="43"/>
        <v>51.388194302825575</v>
      </c>
      <c r="AG119">
        <f t="shared" si="44"/>
        <v>76.100767264142291</v>
      </c>
    </row>
    <row r="120" spans="1:33" x14ac:dyDescent="0.25">
      <c r="A120">
        <v>98</v>
      </c>
      <c r="B120">
        <v>12.935178685872982</v>
      </c>
      <c r="C120">
        <v>0.43478848965605721</v>
      </c>
      <c r="D120">
        <f t="shared" si="30"/>
        <v>17.368571766874574</v>
      </c>
      <c r="E120">
        <f t="shared" si="31"/>
        <v>18.782251871222631</v>
      </c>
      <c r="F120">
        <f t="shared" si="32"/>
        <v>-0.50219732700274022</v>
      </c>
      <c r="G120">
        <f t="shared" si="33"/>
        <v>18.28005454421989</v>
      </c>
      <c r="H120">
        <v>98</v>
      </c>
      <c r="I120">
        <v>0.53638359531760216</v>
      </c>
      <c r="J120">
        <v>1.2148257155786268</v>
      </c>
      <c r="K120">
        <v>0.36010078474646434</v>
      </c>
      <c r="L120">
        <f t="shared" si="34"/>
        <v>19.112580256149467</v>
      </c>
      <c r="M120">
        <f t="shared" si="35"/>
        <v>8.115619417716097</v>
      </c>
      <c r="N120">
        <f t="shared" si="36"/>
        <v>24.138135718921873</v>
      </c>
      <c r="O120">
        <f t="shared" si="37"/>
        <v>20.024063033494784</v>
      </c>
      <c r="P120">
        <f t="shared" si="38"/>
        <v>4.8065677399080471</v>
      </c>
      <c r="Q120">
        <f t="shared" si="39"/>
        <v>23.266582671350925</v>
      </c>
      <c r="AC120">
        <f t="shared" si="40"/>
        <v>-2.0837517954410885</v>
      </c>
      <c r="AD120">
        <f t="shared" si="41"/>
        <v>16.698500075781542</v>
      </c>
      <c r="AE120">
        <f t="shared" si="42"/>
        <v>37.363241060410836</v>
      </c>
      <c r="AF120">
        <f t="shared" si="43"/>
        <v>61.932557378651708</v>
      </c>
      <c r="AG120">
        <f t="shared" si="44"/>
        <v>75.751953610668707</v>
      </c>
    </row>
    <row r="121" spans="1:33" x14ac:dyDescent="0.25">
      <c r="A121">
        <v>99</v>
      </c>
      <c r="B121">
        <v>4.7160557878353222</v>
      </c>
      <c r="C121">
        <v>0.5369145128497621</v>
      </c>
      <c r="D121">
        <f t="shared" si="30"/>
        <v>9.3246179096825799</v>
      </c>
      <c r="E121">
        <f t="shared" si="31"/>
        <v>11.070352634978251</v>
      </c>
      <c r="F121">
        <f t="shared" si="32"/>
        <v>-2.0276677949429196</v>
      </c>
      <c r="G121">
        <f t="shared" si="33"/>
        <v>9.0426848400353315</v>
      </c>
      <c r="H121">
        <v>99</v>
      </c>
      <c r="I121">
        <v>0.13215185390436091</v>
      </c>
      <c r="J121">
        <v>0.15301793609978631</v>
      </c>
      <c r="K121">
        <v>-1.7788806871976703</v>
      </c>
      <c r="L121">
        <f t="shared" si="34"/>
        <v>9.7542991249444917</v>
      </c>
      <c r="M121">
        <f t="shared" si="35"/>
        <v>4.6232519895145483</v>
      </c>
      <c r="N121">
        <f t="shared" si="36"/>
        <v>6.25249479141352</v>
      </c>
      <c r="O121">
        <f t="shared" si="37"/>
        <v>9.4723660552972433</v>
      </c>
      <c r="P121">
        <f t="shared" si="38"/>
        <v>1.2628885769398177</v>
      </c>
      <c r="Q121">
        <f t="shared" si="39"/>
        <v>7.6634369124541415</v>
      </c>
      <c r="AC121">
        <f t="shared" si="40"/>
        <v>-4.7441217721553235</v>
      </c>
      <c r="AD121">
        <f t="shared" si="41"/>
        <v>6.3262308628229276</v>
      </c>
      <c r="AE121">
        <f t="shared" si="42"/>
        <v>35.957336897946249</v>
      </c>
      <c r="AF121">
        <f t="shared" si="43"/>
        <v>55.50642430313129</v>
      </c>
      <c r="AG121">
        <f t="shared" si="44"/>
        <v>68.271487160263447</v>
      </c>
    </row>
    <row r="122" spans="1:33" x14ac:dyDescent="0.25">
      <c r="A122">
        <v>100</v>
      </c>
      <c r="B122">
        <v>7.7304300057985174</v>
      </c>
      <c r="C122">
        <v>0.80801783042261377</v>
      </c>
      <c r="D122">
        <f t="shared" si="30"/>
        <v>10.395724071972003</v>
      </c>
      <c r="E122">
        <f t="shared" si="31"/>
        <v>13.022929616742836</v>
      </c>
      <c r="F122">
        <f t="shared" si="32"/>
        <v>-2.2766972577704774</v>
      </c>
      <c r="G122">
        <f t="shared" si="33"/>
        <v>10.746232358972359</v>
      </c>
      <c r="H122">
        <v>100</v>
      </c>
      <c r="I122">
        <v>-0.25159351935144514</v>
      </c>
      <c r="J122">
        <v>8.9892182586481795E-2</v>
      </c>
      <c r="K122">
        <v>-1.0674352779460605</v>
      </c>
      <c r="L122">
        <f t="shared" si="34"/>
        <v>9.5776878057143495</v>
      </c>
      <c r="M122">
        <f t="shared" si="35"/>
        <v>4.2974965786319839</v>
      </c>
      <c r="N122">
        <f t="shared" si="36"/>
        <v>11.207439616291628</v>
      </c>
      <c r="O122">
        <f t="shared" si="37"/>
        <v>9.928196092714705</v>
      </c>
      <c r="P122">
        <f t="shared" si="38"/>
        <v>3.7666760260735646</v>
      </c>
      <c r="Q122">
        <f t="shared" si="39"/>
        <v>10.071566630599005</v>
      </c>
      <c r="AC122">
        <f t="shared" si="40"/>
        <v>0.19911050716589074</v>
      </c>
      <c r="AD122">
        <f t="shared" si="41"/>
        <v>13.222040123908727</v>
      </c>
      <c r="AE122">
        <f t="shared" si="42"/>
        <v>37.834971139615718</v>
      </c>
      <c r="AF122">
        <f t="shared" si="43"/>
        <v>54.933734065274919</v>
      </c>
      <c r="AG122">
        <f t="shared" si="44"/>
        <v>73.808797620530214</v>
      </c>
    </row>
    <row r="123" spans="1:33" x14ac:dyDescent="0.25">
      <c r="A123">
        <v>101</v>
      </c>
      <c r="B123">
        <v>1.4522843104342784</v>
      </c>
      <c r="C123">
        <v>0.3297350303910207</v>
      </c>
      <c r="D123">
        <f t="shared" si="30"/>
        <v>3.7878231676159464</v>
      </c>
      <c r="E123">
        <f t="shared" si="31"/>
        <v>4.8599303260624147</v>
      </c>
      <c r="F123">
        <f t="shared" si="32"/>
        <v>-2.9293003729173344</v>
      </c>
      <c r="G123">
        <f t="shared" si="33"/>
        <v>1.9306299531450803</v>
      </c>
      <c r="H123">
        <v>101</v>
      </c>
      <c r="I123">
        <v>0.60977754401392303</v>
      </c>
      <c r="J123">
        <v>1.3671615306520835</v>
      </c>
      <c r="K123">
        <v>7.8759967436781153E-2</v>
      </c>
      <c r="L123">
        <f t="shared" si="34"/>
        <v>5.7704662286882833</v>
      </c>
      <c r="M123">
        <f t="shared" si="35"/>
        <v>8.6463682702163158</v>
      </c>
      <c r="N123">
        <f t="shared" si="36"/>
        <v>7.3241209101294942</v>
      </c>
      <c r="O123">
        <f t="shared" si="37"/>
        <v>3.9132730142174177</v>
      </c>
      <c r="P123">
        <f t="shared" si="38"/>
        <v>5.7292985547439326</v>
      </c>
      <c r="Q123">
        <f t="shared" si="39"/>
        <v>7.714835960441766</v>
      </c>
      <c r="AC123">
        <f t="shared" si="40"/>
        <v>-0.25203534658745586</v>
      </c>
      <c r="AD123">
        <f t="shared" si="41"/>
        <v>4.6078949794749589</v>
      </c>
      <c r="AE123">
        <f t="shared" si="42"/>
        <v>39.874372965831611</v>
      </c>
      <c r="AF123">
        <f t="shared" si="43"/>
        <v>59.138095078576953</v>
      </c>
      <c r="AG123">
        <f t="shared" si="44"/>
        <v>76.105574869085146</v>
      </c>
    </row>
    <row r="124" spans="1:33" x14ac:dyDescent="0.25">
      <c r="A124">
        <v>102</v>
      </c>
      <c r="B124">
        <v>12.476302377391889</v>
      </c>
      <c r="C124">
        <v>-0.58781324696610682</v>
      </c>
      <c r="D124">
        <f t="shared" si="30"/>
        <v>17.482175627898272</v>
      </c>
      <c r="E124">
        <f t="shared" si="31"/>
        <v>15.570947727257277</v>
      </c>
      <c r="F124">
        <f t="shared" si="32"/>
        <v>2.0498191860302093</v>
      </c>
      <c r="G124">
        <f t="shared" si="33"/>
        <v>17.620766913287486</v>
      </c>
      <c r="H124">
        <v>102</v>
      </c>
      <c r="I124">
        <v>0.38816097003291361</v>
      </c>
      <c r="J124">
        <v>-0.2293882062076591</v>
      </c>
      <c r="K124">
        <v>-0.87517037172801793</v>
      </c>
      <c r="L124">
        <f t="shared" si="34"/>
        <v>18.744250070241613</v>
      </c>
      <c r="M124">
        <f t="shared" si="35"/>
        <v>3.2994970866446414</v>
      </c>
      <c r="N124">
        <f t="shared" si="36"/>
        <v>20.319379185205403</v>
      </c>
      <c r="O124">
        <f t="shared" si="37"/>
        <v>18.882841355630827</v>
      </c>
      <c r="P124">
        <f t="shared" si="38"/>
        <v>-0.7459588173243985</v>
      </c>
      <c r="Q124">
        <f t="shared" si="39"/>
        <v>19.391461099875862</v>
      </c>
      <c r="AC124">
        <f t="shared" si="40"/>
        <v>0.22888454141029513</v>
      </c>
      <c r="AD124">
        <f t="shared" si="41"/>
        <v>15.799832268667572</v>
      </c>
      <c r="AE124">
        <f t="shared" si="42"/>
        <v>36.556613607408281</v>
      </c>
      <c r="AF124">
        <f t="shared" si="43"/>
        <v>55.74084983516623</v>
      </c>
      <c r="AG124">
        <f t="shared" si="44"/>
        <v>74.156815264070801</v>
      </c>
    </row>
    <row r="125" spans="1:33" x14ac:dyDescent="0.25">
      <c r="A125">
        <v>103</v>
      </c>
      <c r="B125">
        <v>7.3770256660664693</v>
      </c>
      <c r="C125">
        <v>1.8130322132492438</v>
      </c>
      <c r="D125">
        <f t="shared" si="30"/>
        <v>10.47242847926656</v>
      </c>
      <c r="E125">
        <f t="shared" si="31"/>
        <v>16.367358150565114</v>
      </c>
      <c r="F125">
        <f t="shared" si="32"/>
        <v>-5.2703491721581486</v>
      </c>
      <c r="G125">
        <f t="shared" si="33"/>
        <v>11.097008978406965</v>
      </c>
    </row>
    <row r="126" spans="1:33" x14ac:dyDescent="0.25">
      <c r="A126">
        <v>104</v>
      </c>
      <c r="B126">
        <v>3.137272255623035</v>
      </c>
      <c r="C126">
        <v>-1.2193163456686307</v>
      </c>
      <c r="D126">
        <f t="shared" si="30"/>
        <v>5.4927184888119394</v>
      </c>
      <c r="E126">
        <f t="shared" si="31"/>
        <v>1.5282086184110839</v>
      </c>
      <c r="F126">
        <f t="shared" si="32"/>
        <v>4.5159873995400197</v>
      </c>
      <c r="G126">
        <f t="shared" si="33"/>
        <v>6.0441960179511032</v>
      </c>
    </row>
  </sheetData>
  <sortState xmlns:xlrd2="http://schemas.microsoft.com/office/spreadsheetml/2017/richdata2" ref="T91:T100">
    <sortCondition ref="T9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Эксп. апрокс. МНК-МНМ</vt:lpstr>
      <vt:lpstr>Син. апрокс. МНК-МНМ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 ouda</dc:creator>
  <cp:lastModifiedBy>Sos ouda</cp:lastModifiedBy>
  <dcterms:created xsi:type="dcterms:W3CDTF">2015-06-05T18:19:34Z</dcterms:created>
  <dcterms:modified xsi:type="dcterms:W3CDTF">2025-10-21T17:25:20Z</dcterms:modified>
</cp:coreProperties>
</file>