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sran\Documents\Вилисов\Задание6\"/>
    </mc:Choice>
  </mc:AlternateContent>
  <xr:revisionPtr revIDLastSave="0" documentId="13_ncr:1_{D5A251F7-8D3A-49C7-8C52-E891E9C9C5A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f1 c пост.шг" sheetId="1" r:id="rId1"/>
    <sheet name="f1 числ.пр." sheetId="2" r:id="rId2"/>
    <sheet name="f2 числ.пр." sheetId="3" r:id="rId3"/>
    <sheet name="f1 с дробл.шг" sheetId="4" r:id="rId4"/>
    <sheet name="f1 наиск.спск" sheetId="5" r:id="rId5"/>
  </sheets>
  <definedNames>
    <definedName name="solver_adj" localSheetId="0" hidden="1">'f1 c пост.шг'!$F$5:$F$6</definedName>
    <definedName name="solver_adj" localSheetId="1" hidden="1">'f1 числ.пр.'!$F$5:$F$6</definedName>
    <definedName name="solver_adj" localSheetId="2" hidden="1">'f2 числ.пр.'!$F$5:$F$6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3</definedName>
    <definedName name="solver_eng" localSheetId="1" hidden="1">3</definedName>
    <definedName name="solver_eng" localSheetId="2" hidden="1">3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'f1 c пост.шг'!$F$5:$F$6</definedName>
    <definedName name="solver_lhs1" localSheetId="1" hidden="1">'f1 числ.пр.'!$F$5:$F$6</definedName>
    <definedName name="solver_lhs1" localSheetId="2" hidden="1">'f2 числ.пр.'!$F$5:$F$6</definedName>
    <definedName name="solver_lhs2" localSheetId="0" hidden="1">'f1 c пост.шг'!$F$5:$F$6</definedName>
    <definedName name="solver_lhs2" localSheetId="1" hidden="1">'f1 числ.пр.'!$F$5:$F$6</definedName>
    <definedName name="solver_lhs2" localSheetId="2" hidden="1">'f2 числ.пр.'!$F$5:$F$6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'f1 c пост.шг'!$F$4</definedName>
    <definedName name="solver_opt" localSheetId="1" hidden="1">'f1 числ.пр.'!$F$4</definedName>
    <definedName name="solver_opt" localSheetId="2" hidden="1">'f2 числ.пр.'!$F$4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el1" localSheetId="0" hidden="1">1</definedName>
    <definedName name="solver_rel1" localSheetId="1" hidden="1">1</definedName>
    <definedName name="solver_rel1" localSheetId="2" hidden="1">1</definedName>
    <definedName name="solver_rel2" localSheetId="0" hidden="1">3</definedName>
    <definedName name="solver_rel2" localSheetId="1" hidden="1">3</definedName>
    <definedName name="solver_rel2" localSheetId="2" hidden="1">3</definedName>
    <definedName name="solver_rhs1" localSheetId="0" hidden="1">100</definedName>
    <definedName name="solver_rhs1" localSheetId="1" hidden="1">100</definedName>
    <definedName name="solver_rhs1" localSheetId="2" hidden="1">100</definedName>
    <definedName name="solver_rhs2" localSheetId="0" hidden="1">-100</definedName>
    <definedName name="solver_rhs2" localSheetId="1" hidden="1">-100</definedName>
    <definedName name="solver_rhs2" localSheetId="2" hidden="1">-100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03" i="5" l="1"/>
  <c r="AL103" i="5"/>
  <c r="AK103" i="5"/>
  <c r="AM102" i="5"/>
  <c r="AL102" i="5"/>
  <c r="AK102" i="5"/>
  <c r="AM101" i="5"/>
  <c r="AL101" i="5"/>
  <c r="AK101" i="5"/>
  <c r="AM100" i="5"/>
  <c r="AL100" i="5"/>
  <c r="AK100" i="5"/>
  <c r="AM99" i="5"/>
  <c r="AL99" i="5"/>
  <c r="AK99" i="5"/>
  <c r="AM98" i="5"/>
  <c r="AL98" i="5"/>
  <c r="AK98" i="5"/>
  <c r="AM97" i="5"/>
  <c r="AL97" i="5"/>
  <c r="AK97" i="5"/>
  <c r="AM96" i="5"/>
  <c r="AL96" i="5"/>
  <c r="AK96" i="5"/>
  <c r="AM95" i="5"/>
  <c r="AL95" i="5"/>
  <c r="AK95" i="5"/>
  <c r="AM94" i="5"/>
  <c r="AL94" i="5"/>
  <c r="AK94" i="5"/>
  <c r="AM93" i="5"/>
  <c r="AL93" i="5"/>
  <c r="AK93" i="5"/>
  <c r="AM92" i="5"/>
  <c r="AL92" i="5"/>
  <c r="AK92" i="5"/>
  <c r="AM91" i="5"/>
  <c r="AL91" i="5"/>
  <c r="AK91" i="5"/>
  <c r="AM90" i="5"/>
  <c r="AL90" i="5"/>
  <c r="AK90" i="5"/>
  <c r="AM89" i="5"/>
  <c r="AL89" i="5"/>
  <c r="AK89" i="5"/>
  <c r="AM88" i="5"/>
  <c r="AL88" i="5"/>
  <c r="AK88" i="5"/>
  <c r="AM87" i="5"/>
  <c r="AL87" i="5"/>
  <c r="AK87" i="5"/>
  <c r="AM86" i="5"/>
  <c r="AL86" i="5"/>
  <c r="AK86" i="5"/>
  <c r="AM85" i="5"/>
  <c r="AL85" i="5"/>
  <c r="AK85" i="5"/>
  <c r="AM84" i="5"/>
  <c r="AL84" i="5"/>
  <c r="AK84" i="5"/>
  <c r="AM83" i="5"/>
  <c r="AL83" i="5"/>
  <c r="AK83" i="5"/>
  <c r="AM82" i="5"/>
  <c r="AL82" i="5"/>
  <c r="AK82" i="5"/>
  <c r="AM81" i="5"/>
  <c r="AL81" i="5"/>
  <c r="AK81" i="5"/>
  <c r="AM80" i="5"/>
  <c r="AL80" i="5"/>
  <c r="AK80" i="5"/>
  <c r="AM79" i="5"/>
  <c r="AL79" i="5"/>
  <c r="AK79" i="5"/>
  <c r="AM78" i="5"/>
  <c r="AL78" i="5"/>
  <c r="AK78" i="5"/>
  <c r="AM77" i="5"/>
  <c r="AL77" i="5"/>
  <c r="AK77" i="5"/>
  <c r="AM76" i="5"/>
  <c r="AL76" i="5"/>
  <c r="AK76" i="5"/>
  <c r="AM75" i="5"/>
  <c r="AL75" i="5"/>
  <c r="AK75" i="5"/>
  <c r="AM74" i="5"/>
  <c r="AL74" i="5"/>
  <c r="AK74" i="5"/>
  <c r="AM73" i="5"/>
  <c r="AL73" i="5"/>
  <c r="AK73" i="5"/>
  <c r="AM72" i="5"/>
  <c r="AL72" i="5"/>
  <c r="AK72" i="5"/>
  <c r="AM71" i="5"/>
  <c r="AL71" i="5"/>
  <c r="AK71" i="5"/>
  <c r="AM70" i="5"/>
  <c r="AL70" i="5"/>
  <c r="AK70" i="5"/>
  <c r="AM69" i="5"/>
  <c r="AL69" i="5"/>
  <c r="AK69" i="5"/>
  <c r="AM68" i="5"/>
  <c r="AL68" i="5"/>
  <c r="AK68" i="5"/>
  <c r="AM67" i="5"/>
  <c r="AL67" i="5"/>
  <c r="AK67" i="5"/>
  <c r="AM66" i="5"/>
  <c r="AL66" i="5"/>
  <c r="AK66" i="5"/>
  <c r="AM65" i="5"/>
  <c r="AL65" i="5"/>
  <c r="AK65" i="5"/>
  <c r="AM64" i="5"/>
  <c r="AL64" i="5"/>
  <c r="AK64" i="5"/>
  <c r="AM63" i="5"/>
  <c r="AL63" i="5"/>
  <c r="AK63" i="5"/>
  <c r="AM62" i="5"/>
  <c r="AL62" i="5"/>
  <c r="AK62" i="5"/>
  <c r="AM61" i="5"/>
  <c r="AL61" i="5"/>
  <c r="AK61" i="5"/>
  <c r="AM60" i="5"/>
  <c r="AL60" i="5"/>
  <c r="AK60" i="5"/>
  <c r="AM59" i="5"/>
  <c r="AL59" i="5"/>
  <c r="AK59" i="5"/>
  <c r="AM58" i="5"/>
  <c r="AL58" i="5"/>
  <c r="AK58" i="5"/>
  <c r="AM57" i="5"/>
  <c r="AL57" i="5"/>
  <c r="AK57" i="5"/>
  <c r="AM56" i="5"/>
  <c r="AL56" i="5"/>
  <c r="AK56" i="5"/>
  <c r="AM55" i="5"/>
  <c r="AL55" i="5"/>
  <c r="AK55" i="5"/>
  <c r="AM54" i="5"/>
  <c r="AL54" i="5"/>
  <c r="AK54" i="5"/>
  <c r="AM53" i="5"/>
  <c r="AL53" i="5"/>
  <c r="AK53" i="5"/>
  <c r="AM52" i="5"/>
  <c r="AL52" i="5"/>
  <c r="AK52" i="5"/>
  <c r="AM51" i="5"/>
  <c r="AL51" i="5"/>
  <c r="AK51" i="5"/>
  <c r="AM50" i="5"/>
  <c r="AL50" i="5"/>
  <c r="AK50" i="5"/>
  <c r="AM49" i="5"/>
  <c r="AL49" i="5"/>
  <c r="AK49" i="5"/>
  <c r="AM48" i="5"/>
  <c r="AL48" i="5"/>
  <c r="AK48" i="5"/>
  <c r="AM47" i="5"/>
  <c r="AL47" i="5"/>
  <c r="AK47" i="5"/>
  <c r="AM46" i="5"/>
  <c r="AL46" i="5"/>
  <c r="AK46" i="5"/>
  <c r="AM45" i="5"/>
  <c r="AL45" i="5"/>
  <c r="AK45" i="5"/>
  <c r="AM44" i="5"/>
  <c r="AL44" i="5"/>
  <c r="AK44" i="5"/>
  <c r="AM43" i="5"/>
  <c r="AL43" i="5"/>
  <c r="AK43" i="5"/>
  <c r="AM42" i="5"/>
  <c r="AL42" i="5"/>
  <c r="AK42" i="5"/>
  <c r="AM41" i="5"/>
  <c r="AL41" i="5"/>
  <c r="AK41" i="5"/>
  <c r="AM40" i="5"/>
  <c r="AL40" i="5"/>
  <c r="AK40" i="5"/>
  <c r="AM39" i="5"/>
  <c r="AL39" i="5"/>
  <c r="AK39" i="5"/>
  <c r="AM38" i="5"/>
  <c r="AL38" i="5"/>
  <c r="AK38" i="5"/>
  <c r="AM37" i="5"/>
  <c r="AL37" i="5"/>
  <c r="AK37" i="5"/>
  <c r="AM36" i="5"/>
  <c r="AL36" i="5"/>
  <c r="AK36" i="5"/>
  <c r="AM35" i="5"/>
  <c r="AL35" i="5"/>
  <c r="AK35" i="5"/>
  <c r="AM34" i="5"/>
  <c r="AL34" i="5"/>
  <c r="AK34" i="5"/>
  <c r="AM33" i="5"/>
  <c r="AL33" i="5"/>
  <c r="AK33" i="5"/>
  <c r="AM32" i="5"/>
  <c r="AL32" i="5"/>
  <c r="AK32" i="5"/>
  <c r="AM31" i="5"/>
  <c r="AL31" i="5"/>
  <c r="AK31" i="5"/>
  <c r="AM30" i="5"/>
  <c r="AL30" i="5"/>
  <c r="AK30" i="5"/>
  <c r="AM29" i="5"/>
  <c r="AL29" i="5"/>
  <c r="AK29" i="5"/>
  <c r="AM28" i="5"/>
  <c r="AL28" i="5"/>
  <c r="AK28" i="5"/>
  <c r="AM27" i="5"/>
  <c r="AL27" i="5"/>
  <c r="AK27" i="5"/>
  <c r="AM26" i="5"/>
  <c r="AL26" i="5"/>
  <c r="AK26" i="5"/>
  <c r="AM25" i="5"/>
  <c r="AL25" i="5"/>
  <c r="AK25" i="5"/>
  <c r="AM24" i="5"/>
  <c r="AL24" i="5"/>
  <c r="AK24" i="5"/>
  <c r="AM23" i="5"/>
  <c r="AL23" i="5"/>
  <c r="AK23" i="5"/>
  <c r="AM22" i="5"/>
  <c r="AL22" i="5"/>
  <c r="AK22" i="5"/>
  <c r="AM21" i="5"/>
  <c r="AL21" i="5"/>
  <c r="AK21" i="5"/>
  <c r="AM20" i="5"/>
  <c r="AL20" i="5"/>
  <c r="AK20" i="5"/>
  <c r="AM19" i="5"/>
  <c r="AL19" i="5"/>
  <c r="AK19" i="5"/>
  <c r="AM18" i="5"/>
  <c r="AL18" i="5"/>
  <c r="AK18" i="5"/>
  <c r="AM17" i="5"/>
  <c r="AL17" i="5"/>
  <c r="AK17" i="5"/>
  <c r="AM16" i="5"/>
  <c r="AL16" i="5"/>
  <c r="AK16" i="5"/>
  <c r="AM15" i="5"/>
  <c r="AL15" i="5"/>
  <c r="AK15" i="5"/>
  <c r="AM14" i="5"/>
  <c r="AL14" i="5"/>
  <c r="AK14" i="5"/>
  <c r="AM13" i="5"/>
  <c r="AL13" i="5"/>
  <c r="AK13" i="5"/>
  <c r="AM12" i="5"/>
  <c r="AL12" i="5"/>
  <c r="AK12" i="5"/>
  <c r="AM11" i="5"/>
  <c r="AL11" i="5"/>
  <c r="AK11" i="5"/>
  <c r="AM10" i="5"/>
  <c r="AL10" i="5"/>
  <c r="AK10" i="5"/>
  <c r="AM9" i="5"/>
  <c r="AL9" i="5"/>
  <c r="AK9" i="5"/>
  <c r="AM8" i="5"/>
  <c r="AL8" i="5"/>
  <c r="AK8" i="5"/>
  <c r="AM7" i="5"/>
  <c r="AL7" i="5"/>
  <c r="AK7" i="5"/>
  <c r="AM6" i="5"/>
  <c r="AL6" i="5"/>
  <c r="AK6" i="5"/>
  <c r="AM5" i="5"/>
  <c r="AL5" i="5"/>
  <c r="AK5" i="5"/>
  <c r="AM4" i="5"/>
  <c r="AL4" i="5"/>
  <c r="AK4" i="5"/>
  <c r="AI103" i="4"/>
  <c r="AH103" i="4"/>
  <c r="AG103" i="4"/>
  <c r="AI102" i="4"/>
  <c r="AH102" i="4"/>
  <c r="AG102" i="4"/>
  <c r="AI101" i="4"/>
  <c r="AH101" i="4"/>
  <c r="AG101" i="4"/>
  <c r="AI100" i="4"/>
  <c r="AH100" i="4"/>
  <c r="AG100" i="4"/>
  <c r="AI99" i="4"/>
  <c r="AH99" i="4"/>
  <c r="AG99" i="4"/>
  <c r="AI98" i="4"/>
  <c r="AH98" i="4"/>
  <c r="AG98" i="4"/>
  <c r="AI97" i="4"/>
  <c r="AH97" i="4"/>
  <c r="AG97" i="4"/>
  <c r="AI96" i="4"/>
  <c r="AH96" i="4"/>
  <c r="AG96" i="4"/>
  <c r="AI95" i="4"/>
  <c r="AH95" i="4"/>
  <c r="AG95" i="4"/>
  <c r="AI94" i="4"/>
  <c r="AH94" i="4"/>
  <c r="AG94" i="4"/>
  <c r="AI93" i="4"/>
  <c r="AH93" i="4"/>
  <c r="AG93" i="4"/>
  <c r="AI92" i="4"/>
  <c r="AH92" i="4"/>
  <c r="AG92" i="4"/>
  <c r="AI91" i="4"/>
  <c r="AH91" i="4"/>
  <c r="AG91" i="4"/>
  <c r="AI90" i="4"/>
  <c r="AH90" i="4"/>
  <c r="AG90" i="4"/>
  <c r="AI89" i="4"/>
  <c r="AH89" i="4"/>
  <c r="AG89" i="4"/>
  <c r="AI88" i="4"/>
  <c r="AH88" i="4"/>
  <c r="AG88" i="4"/>
  <c r="AI87" i="4"/>
  <c r="AH87" i="4"/>
  <c r="AG87" i="4"/>
  <c r="AI86" i="4"/>
  <c r="AH86" i="4"/>
  <c r="AG86" i="4"/>
  <c r="AI85" i="4"/>
  <c r="AH85" i="4"/>
  <c r="AG85" i="4"/>
  <c r="AI84" i="4"/>
  <c r="AH84" i="4"/>
  <c r="AG84" i="4"/>
  <c r="AI83" i="4"/>
  <c r="AH83" i="4"/>
  <c r="AG83" i="4"/>
  <c r="AI82" i="4"/>
  <c r="AH82" i="4"/>
  <c r="AG82" i="4"/>
  <c r="AI81" i="4"/>
  <c r="AH81" i="4"/>
  <c r="AG81" i="4"/>
  <c r="AI80" i="4"/>
  <c r="AH80" i="4"/>
  <c r="AG80" i="4"/>
  <c r="AI79" i="4"/>
  <c r="AH79" i="4"/>
  <c r="AG79" i="4"/>
  <c r="AI78" i="4"/>
  <c r="AH78" i="4"/>
  <c r="AG78" i="4"/>
  <c r="AI77" i="4"/>
  <c r="AH77" i="4"/>
  <c r="AG77" i="4"/>
  <c r="AI76" i="4"/>
  <c r="AH76" i="4"/>
  <c r="AG76" i="4"/>
  <c r="AI75" i="4"/>
  <c r="AH75" i="4"/>
  <c r="AG75" i="4"/>
  <c r="AI74" i="4"/>
  <c r="AH74" i="4"/>
  <c r="AG74" i="4"/>
  <c r="AI73" i="4"/>
  <c r="AH73" i="4"/>
  <c r="AG73" i="4"/>
  <c r="AI72" i="4"/>
  <c r="AH72" i="4"/>
  <c r="AG72" i="4"/>
  <c r="AI71" i="4"/>
  <c r="AH71" i="4"/>
  <c r="AG71" i="4"/>
  <c r="AI70" i="4"/>
  <c r="AH70" i="4"/>
  <c r="AG70" i="4"/>
  <c r="AI69" i="4"/>
  <c r="AH69" i="4"/>
  <c r="AG69" i="4"/>
  <c r="AI68" i="4"/>
  <c r="AH68" i="4"/>
  <c r="AG68" i="4"/>
  <c r="AI67" i="4"/>
  <c r="AH67" i="4"/>
  <c r="AG67" i="4"/>
  <c r="AI66" i="4"/>
  <c r="AH66" i="4"/>
  <c r="AG66" i="4"/>
  <c r="AI65" i="4"/>
  <c r="AH65" i="4"/>
  <c r="AG65" i="4"/>
  <c r="AI64" i="4"/>
  <c r="AH64" i="4"/>
  <c r="AG64" i="4"/>
  <c r="AI63" i="4"/>
  <c r="AH63" i="4"/>
  <c r="AG63" i="4"/>
  <c r="AI62" i="4"/>
  <c r="AH62" i="4"/>
  <c r="AG62" i="4"/>
  <c r="AI61" i="4"/>
  <c r="AH61" i="4"/>
  <c r="AG61" i="4"/>
  <c r="AI60" i="4"/>
  <c r="AH60" i="4"/>
  <c r="AG60" i="4"/>
  <c r="AI59" i="4"/>
  <c r="AH59" i="4"/>
  <c r="AG59" i="4"/>
  <c r="AI58" i="4"/>
  <c r="AH58" i="4"/>
  <c r="AG58" i="4"/>
  <c r="AI57" i="4"/>
  <c r="AH57" i="4"/>
  <c r="AG57" i="4"/>
  <c r="AI56" i="4"/>
  <c r="AH56" i="4"/>
  <c r="AG56" i="4"/>
  <c r="AI55" i="4"/>
  <c r="AH55" i="4"/>
  <c r="AG55" i="4"/>
  <c r="AI54" i="4"/>
  <c r="AH54" i="4"/>
  <c r="AG54" i="4"/>
  <c r="AI53" i="4"/>
  <c r="AH53" i="4"/>
  <c r="AG53" i="4"/>
  <c r="AI52" i="4"/>
  <c r="AH52" i="4"/>
  <c r="AG52" i="4"/>
  <c r="AI51" i="4"/>
  <c r="AH51" i="4"/>
  <c r="AG51" i="4"/>
  <c r="AI50" i="4"/>
  <c r="AH50" i="4"/>
  <c r="AG50" i="4"/>
  <c r="AI49" i="4"/>
  <c r="AH49" i="4"/>
  <c r="AG49" i="4"/>
  <c r="AI48" i="4"/>
  <c r="AH48" i="4"/>
  <c r="AG48" i="4"/>
  <c r="AI47" i="4"/>
  <c r="AH47" i="4"/>
  <c r="AG47" i="4"/>
  <c r="AI46" i="4"/>
  <c r="AH46" i="4"/>
  <c r="AG46" i="4"/>
  <c r="AI45" i="4"/>
  <c r="AH45" i="4"/>
  <c r="AG45" i="4"/>
  <c r="AI44" i="4"/>
  <c r="AH44" i="4"/>
  <c r="AG44" i="4"/>
  <c r="AI43" i="4"/>
  <c r="AH43" i="4"/>
  <c r="AG43" i="4"/>
  <c r="AI42" i="4"/>
  <c r="AH42" i="4"/>
  <c r="AG42" i="4"/>
  <c r="AI41" i="4"/>
  <c r="AH41" i="4"/>
  <c r="AG41" i="4"/>
  <c r="AI40" i="4"/>
  <c r="AH40" i="4"/>
  <c r="AG40" i="4"/>
  <c r="AI39" i="4"/>
  <c r="AH39" i="4"/>
  <c r="AG39" i="4"/>
  <c r="AI38" i="4"/>
  <c r="AH38" i="4"/>
  <c r="AG38" i="4"/>
  <c r="AI37" i="4"/>
  <c r="AH37" i="4"/>
  <c r="AG37" i="4"/>
  <c r="AI36" i="4"/>
  <c r="AH36" i="4"/>
  <c r="AG36" i="4"/>
  <c r="AI35" i="4"/>
  <c r="AH35" i="4"/>
  <c r="AG35" i="4"/>
  <c r="AI34" i="4"/>
  <c r="AH34" i="4"/>
  <c r="AG34" i="4"/>
  <c r="AI33" i="4"/>
  <c r="AH33" i="4"/>
  <c r="AG33" i="4"/>
  <c r="AI32" i="4"/>
  <c r="AH32" i="4"/>
  <c r="AG32" i="4"/>
  <c r="AI31" i="4"/>
  <c r="AH31" i="4"/>
  <c r="AG31" i="4"/>
  <c r="AI30" i="4"/>
  <c r="AH30" i="4"/>
  <c r="AG30" i="4"/>
  <c r="AI29" i="4"/>
  <c r="AH29" i="4"/>
  <c r="AG29" i="4"/>
  <c r="AI28" i="4"/>
  <c r="AH28" i="4"/>
  <c r="AG28" i="4"/>
  <c r="AI27" i="4"/>
  <c r="AH27" i="4"/>
  <c r="AG27" i="4"/>
  <c r="AI26" i="4"/>
  <c r="AH26" i="4"/>
  <c r="AG26" i="4"/>
  <c r="AI25" i="4"/>
  <c r="AH25" i="4"/>
  <c r="AG25" i="4"/>
  <c r="AI24" i="4"/>
  <c r="AH24" i="4"/>
  <c r="AG24" i="4"/>
  <c r="AI23" i="4"/>
  <c r="AH23" i="4"/>
  <c r="AG23" i="4"/>
  <c r="AI22" i="4"/>
  <c r="AH22" i="4"/>
  <c r="AG22" i="4"/>
  <c r="AI21" i="4"/>
  <c r="AH21" i="4"/>
  <c r="AG21" i="4"/>
  <c r="AI20" i="4"/>
  <c r="AH20" i="4"/>
  <c r="AG20" i="4"/>
  <c r="AI19" i="4"/>
  <c r="AH19" i="4"/>
  <c r="AG19" i="4"/>
  <c r="AI18" i="4"/>
  <c r="AH18" i="4"/>
  <c r="AG18" i="4"/>
  <c r="AI17" i="4"/>
  <c r="AH17" i="4"/>
  <c r="AG17" i="4"/>
  <c r="AI16" i="4"/>
  <c r="AH16" i="4"/>
  <c r="AG16" i="4"/>
  <c r="AI15" i="4"/>
  <c r="AH15" i="4"/>
  <c r="AG15" i="4"/>
  <c r="AI14" i="4"/>
  <c r="AH14" i="4"/>
  <c r="AG14" i="4"/>
  <c r="AI13" i="4"/>
  <c r="AH13" i="4"/>
  <c r="AG13" i="4"/>
  <c r="AI12" i="4"/>
  <c r="AH12" i="4"/>
  <c r="AG12" i="4"/>
  <c r="AI11" i="4"/>
  <c r="AH11" i="4"/>
  <c r="AG11" i="4"/>
  <c r="AI10" i="4"/>
  <c r="AH10" i="4"/>
  <c r="AG10" i="4"/>
  <c r="AI9" i="4"/>
  <c r="AH9" i="4"/>
  <c r="AG9" i="4"/>
  <c r="AI8" i="4"/>
  <c r="AH8" i="4"/>
  <c r="AG8" i="4"/>
  <c r="AI7" i="4"/>
  <c r="AH7" i="4"/>
  <c r="AG7" i="4"/>
  <c r="AI6" i="4"/>
  <c r="AH6" i="4"/>
  <c r="AG6" i="4"/>
  <c r="AI5" i="4"/>
  <c r="AH5" i="4"/>
  <c r="AG5" i="4"/>
  <c r="AI4" i="4"/>
  <c r="AH4" i="4"/>
  <c r="AG4" i="4"/>
  <c r="AI103" i="3"/>
  <c r="AH103" i="3"/>
  <c r="AG103" i="3"/>
  <c r="AI102" i="3"/>
  <c r="AH102" i="3"/>
  <c r="AG102" i="3"/>
  <c r="AI101" i="3"/>
  <c r="AH101" i="3"/>
  <c r="AG101" i="3"/>
  <c r="AI100" i="3"/>
  <c r="AH100" i="3"/>
  <c r="AG100" i="3"/>
  <c r="AI99" i="3"/>
  <c r="AH99" i="3"/>
  <c r="AG99" i="3"/>
  <c r="AI98" i="3"/>
  <c r="AH98" i="3"/>
  <c r="AG98" i="3"/>
  <c r="AI97" i="3"/>
  <c r="AH97" i="3"/>
  <c r="AG97" i="3"/>
  <c r="AI96" i="3"/>
  <c r="AH96" i="3"/>
  <c r="AG96" i="3"/>
  <c r="AI95" i="3"/>
  <c r="AH95" i="3"/>
  <c r="AG95" i="3"/>
  <c r="AI94" i="3"/>
  <c r="AH94" i="3"/>
  <c r="AG94" i="3"/>
  <c r="AI93" i="3"/>
  <c r="AH93" i="3"/>
  <c r="AG93" i="3"/>
  <c r="AI92" i="3"/>
  <c r="AH92" i="3"/>
  <c r="AG92" i="3"/>
  <c r="AI91" i="3"/>
  <c r="AH91" i="3"/>
  <c r="AG91" i="3"/>
  <c r="AI90" i="3"/>
  <c r="AH90" i="3"/>
  <c r="AG90" i="3"/>
  <c r="AI89" i="3"/>
  <c r="AH89" i="3"/>
  <c r="AG89" i="3"/>
  <c r="AI88" i="3"/>
  <c r="AH88" i="3"/>
  <c r="AG88" i="3"/>
  <c r="AI87" i="3"/>
  <c r="AH87" i="3"/>
  <c r="AG87" i="3"/>
  <c r="AI86" i="3"/>
  <c r="AH86" i="3"/>
  <c r="AG86" i="3"/>
  <c r="AI85" i="3"/>
  <c r="AH85" i="3"/>
  <c r="AG85" i="3"/>
  <c r="AI84" i="3"/>
  <c r="AH84" i="3"/>
  <c r="AG84" i="3"/>
  <c r="AI83" i="3"/>
  <c r="AH83" i="3"/>
  <c r="AG83" i="3"/>
  <c r="AI82" i="3"/>
  <c r="AH82" i="3"/>
  <c r="AG82" i="3"/>
  <c r="AI81" i="3"/>
  <c r="AH81" i="3"/>
  <c r="AG81" i="3"/>
  <c r="AI80" i="3"/>
  <c r="AH80" i="3"/>
  <c r="AG80" i="3"/>
  <c r="AI79" i="3"/>
  <c r="AH79" i="3"/>
  <c r="AG79" i="3"/>
  <c r="AI78" i="3"/>
  <c r="AH78" i="3"/>
  <c r="AG78" i="3"/>
  <c r="AI77" i="3"/>
  <c r="AH77" i="3"/>
  <c r="AG77" i="3"/>
  <c r="AI76" i="3"/>
  <c r="AH76" i="3"/>
  <c r="AG76" i="3"/>
  <c r="AI75" i="3"/>
  <c r="AH75" i="3"/>
  <c r="AG75" i="3"/>
  <c r="AI74" i="3"/>
  <c r="AH74" i="3"/>
  <c r="AG74" i="3"/>
  <c r="AI73" i="3"/>
  <c r="AH73" i="3"/>
  <c r="AG73" i="3"/>
  <c r="AI72" i="3"/>
  <c r="AH72" i="3"/>
  <c r="AG72" i="3"/>
  <c r="AI71" i="3"/>
  <c r="AH71" i="3"/>
  <c r="AG71" i="3"/>
  <c r="AI70" i="3"/>
  <c r="AH70" i="3"/>
  <c r="AG70" i="3"/>
  <c r="AI69" i="3"/>
  <c r="AH69" i="3"/>
  <c r="AG69" i="3"/>
  <c r="AI68" i="3"/>
  <c r="AH68" i="3"/>
  <c r="AG68" i="3"/>
  <c r="AI67" i="3"/>
  <c r="AH67" i="3"/>
  <c r="AG67" i="3"/>
  <c r="AI66" i="3"/>
  <c r="AH66" i="3"/>
  <c r="AG66" i="3"/>
  <c r="AI65" i="3"/>
  <c r="AH65" i="3"/>
  <c r="AG65" i="3"/>
  <c r="AI64" i="3"/>
  <c r="AH64" i="3"/>
  <c r="AG64" i="3"/>
  <c r="AI63" i="3"/>
  <c r="AH63" i="3"/>
  <c r="AG63" i="3"/>
  <c r="AI62" i="3"/>
  <c r="AH62" i="3"/>
  <c r="AG62" i="3"/>
  <c r="AI61" i="3"/>
  <c r="AH61" i="3"/>
  <c r="AG61" i="3"/>
  <c r="AI60" i="3"/>
  <c r="AH60" i="3"/>
  <c r="AG60" i="3"/>
  <c r="AI59" i="3"/>
  <c r="AH59" i="3"/>
  <c r="AG59" i="3"/>
  <c r="AI58" i="3"/>
  <c r="AH58" i="3"/>
  <c r="AG58" i="3"/>
  <c r="AI57" i="3"/>
  <c r="AH57" i="3"/>
  <c r="AG57" i="3"/>
  <c r="AI56" i="3"/>
  <c r="AH56" i="3"/>
  <c r="AG56" i="3"/>
  <c r="AI55" i="3"/>
  <c r="AH55" i="3"/>
  <c r="AG55" i="3"/>
  <c r="AI54" i="3"/>
  <c r="AH54" i="3"/>
  <c r="AG54" i="3"/>
  <c r="AI53" i="3"/>
  <c r="AH53" i="3"/>
  <c r="AG53" i="3"/>
  <c r="AI52" i="3"/>
  <c r="AH52" i="3"/>
  <c r="AG52" i="3"/>
  <c r="AI51" i="3"/>
  <c r="AH51" i="3"/>
  <c r="AG51" i="3"/>
  <c r="AI50" i="3"/>
  <c r="AH50" i="3"/>
  <c r="AG50" i="3"/>
  <c r="AI49" i="3"/>
  <c r="AH49" i="3"/>
  <c r="AG49" i="3"/>
  <c r="AI48" i="3"/>
  <c r="AH48" i="3"/>
  <c r="AG48" i="3"/>
  <c r="AI47" i="3"/>
  <c r="AH47" i="3"/>
  <c r="AG47" i="3"/>
  <c r="AI46" i="3"/>
  <c r="AH46" i="3"/>
  <c r="AG46" i="3"/>
  <c r="AI45" i="3"/>
  <c r="AH45" i="3"/>
  <c r="AG45" i="3"/>
  <c r="AI44" i="3"/>
  <c r="AH44" i="3"/>
  <c r="AG44" i="3"/>
  <c r="AI43" i="3"/>
  <c r="AH43" i="3"/>
  <c r="AG43" i="3"/>
  <c r="AI42" i="3"/>
  <c r="AH42" i="3"/>
  <c r="AG42" i="3"/>
  <c r="AI41" i="3"/>
  <c r="AH41" i="3"/>
  <c r="AG41" i="3"/>
  <c r="AI40" i="3"/>
  <c r="AH40" i="3"/>
  <c r="AG40" i="3"/>
  <c r="AI39" i="3"/>
  <c r="AH39" i="3"/>
  <c r="AG39" i="3"/>
  <c r="AI38" i="3"/>
  <c r="AH38" i="3"/>
  <c r="AG38" i="3"/>
  <c r="AI37" i="3"/>
  <c r="AH37" i="3"/>
  <c r="AG37" i="3"/>
  <c r="AI36" i="3"/>
  <c r="AH36" i="3"/>
  <c r="AG36" i="3"/>
  <c r="AI35" i="3"/>
  <c r="AH35" i="3"/>
  <c r="AG35" i="3"/>
  <c r="AI34" i="3"/>
  <c r="AH34" i="3"/>
  <c r="AG34" i="3"/>
  <c r="AI33" i="3"/>
  <c r="AH33" i="3"/>
  <c r="AG33" i="3"/>
  <c r="AI32" i="3"/>
  <c r="AH32" i="3"/>
  <c r="AG32" i="3"/>
  <c r="AI31" i="3"/>
  <c r="AH31" i="3"/>
  <c r="AG31" i="3"/>
  <c r="AI30" i="3"/>
  <c r="AH30" i="3"/>
  <c r="AG30" i="3"/>
  <c r="AI29" i="3"/>
  <c r="AH29" i="3"/>
  <c r="AG29" i="3"/>
  <c r="AI28" i="3"/>
  <c r="AH28" i="3"/>
  <c r="AG28" i="3"/>
  <c r="AI27" i="3"/>
  <c r="AH27" i="3"/>
  <c r="AG27" i="3"/>
  <c r="AI26" i="3"/>
  <c r="AH26" i="3"/>
  <c r="AG26" i="3"/>
  <c r="AI25" i="3"/>
  <c r="AH25" i="3"/>
  <c r="AG25" i="3"/>
  <c r="AI24" i="3"/>
  <c r="AH24" i="3"/>
  <c r="AG24" i="3"/>
  <c r="AI23" i="3"/>
  <c r="AH23" i="3"/>
  <c r="AG23" i="3"/>
  <c r="AI22" i="3"/>
  <c r="AH22" i="3"/>
  <c r="AG22" i="3"/>
  <c r="AI21" i="3"/>
  <c r="AH21" i="3"/>
  <c r="AG21" i="3"/>
  <c r="AI20" i="3"/>
  <c r="AH20" i="3"/>
  <c r="AG20" i="3"/>
  <c r="AI19" i="3"/>
  <c r="AH19" i="3"/>
  <c r="AG19" i="3"/>
  <c r="AI18" i="3"/>
  <c r="AH18" i="3"/>
  <c r="AG18" i="3"/>
  <c r="AI17" i="3"/>
  <c r="AH17" i="3"/>
  <c r="AG17" i="3"/>
  <c r="AI16" i="3"/>
  <c r="AH16" i="3"/>
  <c r="AG16" i="3"/>
  <c r="AI15" i="3"/>
  <c r="AH15" i="3"/>
  <c r="AG15" i="3"/>
  <c r="AI14" i="3"/>
  <c r="AH14" i="3"/>
  <c r="AG14" i="3"/>
  <c r="AI13" i="3"/>
  <c r="AH13" i="3"/>
  <c r="AG13" i="3"/>
  <c r="AI12" i="3"/>
  <c r="AH12" i="3"/>
  <c r="AG12" i="3"/>
  <c r="AI11" i="3"/>
  <c r="AH11" i="3"/>
  <c r="AG11" i="3"/>
  <c r="AI10" i="3"/>
  <c r="AH10" i="3"/>
  <c r="AG10" i="3"/>
  <c r="AI9" i="3"/>
  <c r="AH9" i="3"/>
  <c r="AG9" i="3"/>
  <c r="AI8" i="3"/>
  <c r="AH8" i="3"/>
  <c r="AG8" i="3"/>
  <c r="AI7" i="3"/>
  <c r="AH7" i="3"/>
  <c r="AG7" i="3"/>
  <c r="AI6" i="3"/>
  <c r="AH6" i="3"/>
  <c r="AG6" i="3"/>
  <c r="AI5" i="3"/>
  <c r="AH5" i="3"/>
  <c r="AG5" i="3"/>
  <c r="AI4" i="3"/>
  <c r="AH4" i="3"/>
  <c r="AG4" i="3"/>
  <c r="AI103" i="2"/>
  <c r="AH103" i="2"/>
  <c r="AG103" i="2"/>
  <c r="AI102" i="2"/>
  <c r="AH102" i="2"/>
  <c r="AG102" i="2"/>
  <c r="AI101" i="2"/>
  <c r="AH101" i="2"/>
  <c r="AG101" i="2"/>
  <c r="AI100" i="2"/>
  <c r="AH100" i="2"/>
  <c r="AG100" i="2"/>
  <c r="AI99" i="2"/>
  <c r="AH99" i="2"/>
  <c r="AG99" i="2"/>
  <c r="AI98" i="2"/>
  <c r="AH98" i="2"/>
  <c r="AG98" i="2"/>
  <c r="AI97" i="2"/>
  <c r="AH97" i="2"/>
  <c r="AG97" i="2"/>
  <c r="AI96" i="2"/>
  <c r="AH96" i="2"/>
  <c r="AG96" i="2"/>
  <c r="AI95" i="2"/>
  <c r="AH95" i="2"/>
  <c r="AG95" i="2"/>
  <c r="AI94" i="2"/>
  <c r="AH94" i="2"/>
  <c r="AG94" i="2"/>
  <c r="AI93" i="2"/>
  <c r="AH93" i="2"/>
  <c r="AG93" i="2"/>
  <c r="AI92" i="2"/>
  <c r="AH92" i="2"/>
  <c r="AG92" i="2"/>
  <c r="AI91" i="2"/>
  <c r="AH91" i="2"/>
  <c r="AG91" i="2"/>
  <c r="AI90" i="2"/>
  <c r="AH90" i="2"/>
  <c r="AG90" i="2"/>
  <c r="AI89" i="2"/>
  <c r="AH89" i="2"/>
  <c r="AG89" i="2"/>
  <c r="AI88" i="2"/>
  <c r="AH88" i="2"/>
  <c r="AG88" i="2"/>
  <c r="AI87" i="2"/>
  <c r="AH87" i="2"/>
  <c r="AG87" i="2"/>
  <c r="AI86" i="2"/>
  <c r="AH86" i="2"/>
  <c r="AG86" i="2"/>
  <c r="AI85" i="2"/>
  <c r="AH85" i="2"/>
  <c r="AG85" i="2"/>
  <c r="AI84" i="2"/>
  <c r="AH84" i="2"/>
  <c r="AG84" i="2"/>
  <c r="AI83" i="2"/>
  <c r="AH83" i="2"/>
  <c r="AG83" i="2"/>
  <c r="AI82" i="2"/>
  <c r="AH82" i="2"/>
  <c r="AG82" i="2"/>
  <c r="AI81" i="2"/>
  <c r="AH81" i="2"/>
  <c r="AG81" i="2"/>
  <c r="AI80" i="2"/>
  <c r="AH80" i="2"/>
  <c r="AG80" i="2"/>
  <c r="AI79" i="2"/>
  <c r="AH79" i="2"/>
  <c r="AG79" i="2"/>
  <c r="AI78" i="2"/>
  <c r="AH78" i="2"/>
  <c r="AG78" i="2"/>
  <c r="AI77" i="2"/>
  <c r="AH77" i="2"/>
  <c r="AG77" i="2"/>
  <c r="AI76" i="2"/>
  <c r="AH76" i="2"/>
  <c r="AG76" i="2"/>
  <c r="AI75" i="2"/>
  <c r="AH75" i="2"/>
  <c r="AG75" i="2"/>
  <c r="AI74" i="2"/>
  <c r="AH74" i="2"/>
  <c r="AG74" i="2"/>
  <c r="AI73" i="2"/>
  <c r="AH73" i="2"/>
  <c r="AG73" i="2"/>
  <c r="AI72" i="2"/>
  <c r="AH72" i="2"/>
  <c r="AG72" i="2"/>
  <c r="AI71" i="2"/>
  <c r="AH71" i="2"/>
  <c r="AG71" i="2"/>
  <c r="AI70" i="2"/>
  <c r="AH70" i="2"/>
  <c r="AG70" i="2"/>
  <c r="AI69" i="2"/>
  <c r="AH69" i="2"/>
  <c r="AG69" i="2"/>
  <c r="AI68" i="2"/>
  <c r="AH68" i="2"/>
  <c r="AG68" i="2"/>
  <c r="AI67" i="2"/>
  <c r="AH67" i="2"/>
  <c r="AG67" i="2"/>
  <c r="AI66" i="2"/>
  <c r="AH66" i="2"/>
  <c r="AG66" i="2"/>
  <c r="AI65" i="2"/>
  <c r="AH65" i="2"/>
  <c r="AG65" i="2"/>
  <c r="AI64" i="2"/>
  <c r="AH64" i="2"/>
  <c r="AG64" i="2"/>
  <c r="AI63" i="2"/>
  <c r="AH63" i="2"/>
  <c r="AG63" i="2"/>
  <c r="AI62" i="2"/>
  <c r="AH62" i="2"/>
  <c r="AG62" i="2"/>
  <c r="AI61" i="2"/>
  <c r="AH61" i="2"/>
  <c r="AG61" i="2"/>
  <c r="AI60" i="2"/>
  <c r="AH60" i="2"/>
  <c r="AG60" i="2"/>
  <c r="AI59" i="2"/>
  <c r="AH59" i="2"/>
  <c r="AG59" i="2"/>
  <c r="AI58" i="2"/>
  <c r="AH58" i="2"/>
  <c r="AG58" i="2"/>
  <c r="AI57" i="2"/>
  <c r="AH57" i="2"/>
  <c r="AG57" i="2"/>
  <c r="AI56" i="2"/>
  <c r="AH56" i="2"/>
  <c r="AG56" i="2"/>
  <c r="AI55" i="2"/>
  <c r="AH55" i="2"/>
  <c r="AG55" i="2"/>
  <c r="AI54" i="2"/>
  <c r="AH54" i="2"/>
  <c r="AG54" i="2"/>
  <c r="AI53" i="2"/>
  <c r="AH53" i="2"/>
  <c r="AG53" i="2"/>
  <c r="AI52" i="2"/>
  <c r="AH52" i="2"/>
  <c r="AG52" i="2"/>
  <c r="AI51" i="2"/>
  <c r="AH51" i="2"/>
  <c r="AG51" i="2"/>
  <c r="AI50" i="2"/>
  <c r="AH50" i="2"/>
  <c r="AG50" i="2"/>
  <c r="AI49" i="2"/>
  <c r="AH49" i="2"/>
  <c r="AG49" i="2"/>
  <c r="AI48" i="2"/>
  <c r="AH48" i="2"/>
  <c r="AG48" i="2"/>
  <c r="AI47" i="2"/>
  <c r="AH47" i="2"/>
  <c r="AG47" i="2"/>
  <c r="AI46" i="2"/>
  <c r="AH46" i="2"/>
  <c r="AG46" i="2"/>
  <c r="AI45" i="2"/>
  <c r="AH45" i="2"/>
  <c r="AG45" i="2"/>
  <c r="AI44" i="2"/>
  <c r="AH44" i="2"/>
  <c r="AG44" i="2"/>
  <c r="AI43" i="2"/>
  <c r="AH43" i="2"/>
  <c r="AG43" i="2"/>
  <c r="AI42" i="2"/>
  <c r="AH42" i="2"/>
  <c r="AG42" i="2"/>
  <c r="AI41" i="2"/>
  <c r="AH41" i="2"/>
  <c r="AG41" i="2"/>
  <c r="AI40" i="2"/>
  <c r="AH40" i="2"/>
  <c r="AG40" i="2"/>
  <c r="AI39" i="2"/>
  <c r="AH39" i="2"/>
  <c r="AG39" i="2"/>
  <c r="AI38" i="2"/>
  <c r="AH38" i="2"/>
  <c r="AG38" i="2"/>
  <c r="AI37" i="2"/>
  <c r="AH37" i="2"/>
  <c r="AG37" i="2"/>
  <c r="AI36" i="2"/>
  <c r="AH36" i="2"/>
  <c r="AG36" i="2"/>
  <c r="AI35" i="2"/>
  <c r="AH35" i="2"/>
  <c r="AG35" i="2"/>
  <c r="AI34" i="2"/>
  <c r="AH34" i="2"/>
  <c r="AG34" i="2"/>
  <c r="AI33" i="2"/>
  <c r="AH33" i="2"/>
  <c r="AG33" i="2"/>
  <c r="AI32" i="2"/>
  <c r="AH32" i="2"/>
  <c r="AG32" i="2"/>
  <c r="AI31" i="2"/>
  <c r="AH31" i="2"/>
  <c r="AG31" i="2"/>
  <c r="AI30" i="2"/>
  <c r="AH30" i="2"/>
  <c r="AG30" i="2"/>
  <c r="AI29" i="2"/>
  <c r="AH29" i="2"/>
  <c r="AG29" i="2"/>
  <c r="AI28" i="2"/>
  <c r="AH28" i="2"/>
  <c r="AG28" i="2"/>
  <c r="AI27" i="2"/>
  <c r="AH27" i="2"/>
  <c r="AG27" i="2"/>
  <c r="AI26" i="2"/>
  <c r="AH26" i="2"/>
  <c r="AG26" i="2"/>
  <c r="AI25" i="2"/>
  <c r="AH25" i="2"/>
  <c r="AG25" i="2"/>
  <c r="AI24" i="2"/>
  <c r="AH24" i="2"/>
  <c r="AG24" i="2"/>
  <c r="AI23" i="2"/>
  <c r="AH23" i="2"/>
  <c r="AG23" i="2"/>
  <c r="AI22" i="2"/>
  <c r="AH22" i="2"/>
  <c r="AG22" i="2"/>
  <c r="AI21" i="2"/>
  <c r="AH21" i="2"/>
  <c r="AG21" i="2"/>
  <c r="AI20" i="2"/>
  <c r="AH20" i="2"/>
  <c r="AG20" i="2"/>
  <c r="AI19" i="2"/>
  <c r="AH19" i="2"/>
  <c r="AG19" i="2"/>
  <c r="AI18" i="2"/>
  <c r="AH18" i="2"/>
  <c r="AG18" i="2"/>
  <c r="AI17" i="2"/>
  <c r="AH17" i="2"/>
  <c r="AG17" i="2"/>
  <c r="AI16" i="2"/>
  <c r="AH16" i="2"/>
  <c r="AG16" i="2"/>
  <c r="AI15" i="2"/>
  <c r="AH15" i="2"/>
  <c r="AG15" i="2"/>
  <c r="AI14" i="2"/>
  <c r="AH14" i="2"/>
  <c r="AG14" i="2"/>
  <c r="AI13" i="2"/>
  <c r="AH13" i="2"/>
  <c r="AG13" i="2"/>
  <c r="AI12" i="2"/>
  <c r="AH12" i="2"/>
  <c r="AG12" i="2"/>
  <c r="AI11" i="2"/>
  <c r="AH11" i="2"/>
  <c r="AG11" i="2"/>
  <c r="AI10" i="2"/>
  <c r="AH10" i="2"/>
  <c r="AG10" i="2"/>
  <c r="AI9" i="2"/>
  <c r="AH9" i="2"/>
  <c r="AG9" i="2"/>
  <c r="AI8" i="2"/>
  <c r="AH8" i="2"/>
  <c r="AG8" i="2"/>
  <c r="AI7" i="2"/>
  <c r="AH7" i="2"/>
  <c r="AG7" i="2"/>
  <c r="AI6" i="2"/>
  <c r="AH6" i="2"/>
  <c r="AG6" i="2"/>
  <c r="AI5" i="2"/>
  <c r="AH5" i="2"/>
  <c r="AG5" i="2"/>
  <c r="AI4" i="2"/>
  <c r="AH4" i="2"/>
  <c r="AG4" i="2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I4" i="1"/>
  <c r="AH4" i="1"/>
  <c r="AG102" i="1"/>
  <c r="AG103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4" i="1"/>
  <c r="X7" i="4"/>
  <c r="AB9" i="5"/>
  <c r="AB6" i="5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6" i="3"/>
  <c r="AC6" i="3"/>
  <c r="AB6" i="3"/>
  <c r="AA6" i="3"/>
  <c r="Z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6" i="3"/>
  <c r="L4" i="3" l="1"/>
  <c r="AG27" i="5"/>
  <c r="AF27" i="5"/>
  <c r="AE27" i="5"/>
  <c r="AD27" i="5"/>
  <c r="AC27" i="5"/>
  <c r="AB27" i="5"/>
  <c r="AG26" i="5"/>
  <c r="AF26" i="5"/>
  <c r="AE26" i="5"/>
  <c r="AD26" i="5"/>
  <c r="AC26" i="5"/>
  <c r="AB26" i="5"/>
  <c r="AG25" i="5"/>
  <c r="AF25" i="5"/>
  <c r="AE25" i="5"/>
  <c r="AD25" i="5"/>
  <c r="AC25" i="5"/>
  <c r="AB25" i="5"/>
  <c r="AG24" i="5"/>
  <c r="AF24" i="5"/>
  <c r="AE24" i="5"/>
  <c r="AD24" i="5"/>
  <c r="AC24" i="5"/>
  <c r="AB24" i="5"/>
  <c r="AG23" i="5"/>
  <c r="AF23" i="5"/>
  <c r="AE23" i="5"/>
  <c r="AD23" i="5"/>
  <c r="AC23" i="5"/>
  <c r="AB23" i="5"/>
  <c r="AG22" i="5"/>
  <c r="AF22" i="5"/>
  <c r="AE22" i="5"/>
  <c r="AD22" i="5"/>
  <c r="AC22" i="5"/>
  <c r="AB22" i="5"/>
  <c r="AG21" i="5"/>
  <c r="AF21" i="5"/>
  <c r="AE21" i="5"/>
  <c r="AD21" i="5"/>
  <c r="AC21" i="5"/>
  <c r="AB21" i="5"/>
  <c r="AG20" i="5"/>
  <c r="AF20" i="5"/>
  <c r="AE20" i="5"/>
  <c r="AD20" i="5"/>
  <c r="AC20" i="5"/>
  <c r="AB20" i="5"/>
  <c r="AG19" i="5"/>
  <c r="AF19" i="5"/>
  <c r="AE19" i="5"/>
  <c r="AD19" i="5"/>
  <c r="AC19" i="5"/>
  <c r="AB19" i="5"/>
  <c r="AG18" i="5"/>
  <c r="AF18" i="5"/>
  <c r="AE18" i="5"/>
  <c r="AD18" i="5"/>
  <c r="AC18" i="5"/>
  <c r="AB18" i="5"/>
  <c r="AG17" i="5"/>
  <c r="AF17" i="5"/>
  <c r="AE17" i="5"/>
  <c r="AD17" i="5"/>
  <c r="AC17" i="5"/>
  <c r="AB17" i="5"/>
  <c r="AG16" i="5"/>
  <c r="AF16" i="5"/>
  <c r="AE16" i="5"/>
  <c r="AD16" i="5"/>
  <c r="AC16" i="5"/>
  <c r="AB16" i="5"/>
  <c r="AG15" i="5"/>
  <c r="AF15" i="5"/>
  <c r="AE15" i="5"/>
  <c r="AD15" i="5"/>
  <c r="AC15" i="5"/>
  <c r="AB15" i="5"/>
  <c r="AG14" i="5"/>
  <c r="AF14" i="5"/>
  <c r="AE14" i="5"/>
  <c r="AD14" i="5"/>
  <c r="AC14" i="5"/>
  <c r="AB14" i="5"/>
  <c r="AG13" i="5"/>
  <c r="AF13" i="5"/>
  <c r="AE13" i="5"/>
  <c r="AD13" i="5"/>
  <c r="AC13" i="5"/>
  <c r="AB13" i="5"/>
  <c r="AG12" i="5"/>
  <c r="AF12" i="5"/>
  <c r="AE12" i="5"/>
  <c r="AD12" i="5"/>
  <c r="AC12" i="5"/>
  <c r="AB12" i="5"/>
  <c r="AG11" i="5"/>
  <c r="AF11" i="5"/>
  <c r="AE11" i="5"/>
  <c r="AD11" i="5"/>
  <c r="AC11" i="5"/>
  <c r="AB11" i="5"/>
  <c r="AG10" i="5"/>
  <c r="AF10" i="5"/>
  <c r="AE10" i="5"/>
  <c r="AD10" i="5"/>
  <c r="AC10" i="5"/>
  <c r="AB10" i="5"/>
  <c r="AG9" i="5"/>
  <c r="AF9" i="5"/>
  <c r="AE9" i="5"/>
  <c r="AD9" i="5"/>
  <c r="AC9" i="5"/>
  <c r="AG8" i="5"/>
  <c r="AF8" i="5"/>
  <c r="AE8" i="5"/>
  <c r="AD8" i="5"/>
  <c r="AC8" i="5"/>
  <c r="AB8" i="5"/>
  <c r="AG7" i="5"/>
  <c r="AF7" i="5"/>
  <c r="AE7" i="5"/>
  <c r="AD7" i="5"/>
  <c r="AC7" i="5"/>
  <c r="AB7" i="5"/>
  <c r="AG6" i="5"/>
  <c r="AF6" i="5"/>
  <c r="AE6" i="5"/>
  <c r="AD6" i="5"/>
  <c r="AC6" i="5"/>
  <c r="M4" i="5"/>
  <c r="L4" i="5"/>
  <c r="F4" i="5"/>
  <c r="O5" i="1"/>
  <c r="O4" i="1"/>
  <c r="N4" i="1"/>
  <c r="AC27" i="4"/>
  <c r="AB27" i="4"/>
  <c r="AA27" i="4"/>
  <c r="Z27" i="4"/>
  <c r="Y27" i="4"/>
  <c r="X27" i="4"/>
  <c r="AC26" i="4"/>
  <c r="AB26" i="4"/>
  <c r="AA26" i="4"/>
  <c r="Z26" i="4"/>
  <c r="Y26" i="4"/>
  <c r="X26" i="4"/>
  <c r="AC25" i="4"/>
  <c r="AB25" i="4"/>
  <c r="AA25" i="4"/>
  <c r="Z25" i="4"/>
  <c r="Y25" i="4"/>
  <c r="X25" i="4"/>
  <c r="AC24" i="4"/>
  <c r="AB24" i="4"/>
  <c r="AA24" i="4"/>
  <c r="Z24" i="4"/>
  <c r="Y24" i="4"/>
  <c r="X24" i="4"/>
  <c r="AC23" i="4"/>
  <c r="AB23" i="4"/>
  <c r="AA23" i="4"/>
  <c r="Z23" i="4"/>
  <c r="Y23" i="4"/>
  <c r="X23" i="4"/>
  <c r="AC22" i="4"/>
  <c r="AB22" i="4"/>
  <c r="AA22" i="4"/>
  <c r="Z22" i="4"/>
  <c r="Y22" i="4"/>
  <c r="X22" i="4"/>
  <c r="AC21" i="4"/>
  <c r="AB21" i="4"/>
  <c r="AA21" i="4"/>
  <c r="Z21" i="4"/>
  <c r="Y21" i="4"/>
  <c r="X21" i="4"/>
  <c r="AC20" i="4"/>
  <c r="AB20" i="4"/>
  <c r="AA20" i="4"/>
  <c r="Z20" i="4"/>
  <c r="Y20" i="4"/>
  <c r="X20" i="4"/>
  <c r="AC19" i="4"/>
  <c r="AB19" i="4"/>
  <c r="AA19" i="4"/>
  <c r="Z19" i="4"/>
  <c r="Y19" i="4"/>
  <c r="X19" i="4"/>
  <c r="AC18" i="4"/>
  <c r="AB18" i="4"/>
  <c r="AA18" i="4"/>
  <c r="Z18" i="4"/>
  <c r="Y18" i="4"/>
  <c r="X18" i="4"/>
  <c r="AC17" i="4"/>
  <c r="AB17" i="4"/>
  <c r="AA17" i="4"/>
  <c r="Z17" i="4"/>
  <c r="Y17" i="4"/>
  <c r="X17" i="4"/>
  <c r="AC16" i="4"/>
  <c r="AB16" i="4"/>
  <c r="AA16" i="4"/>
  <c r="Z16" i="4"/>
  <c r="Y16" i="4"/>
  <c r="X16" i="4"/>
  <c r="AC15" i="4"/>
  <c r="AB15" i="4"/>
  <c r="AA15" i="4"/>
  <c r="Z15" i="4"/>
  <c r="Y15" i="4"/>
  <c r="X15" i="4"/>
  <c r="AC14" i="4"/>
  <c r="AB14" i="4"/>
  <c r="AA14" i="4"/>
  <c r="Z14" i="4"/>
  <c r="Y14" i="4"/>
  <c r="X14" i="4"/>
  <c r="AC13" i="4"/>
  <c r="AB13" i="4"/>
  <c r="AA13" i="4"/>
  <c r="Z13" i="4"/>
  <c r="Y13" i="4"/>
  <c r="X13" i="4"/>
  <c r="AC12" i="4"/>
  <c r="AB12" i="4"/>
  <c r="AA12" i="4"/>
  <c r="Z12" i="4"/>
  <c r="Y12" i="4"/>
  <c r="X12" i="4"/>
  <c r="AC11" i="4"/>
  <c r="AB11" i="4"/>
  <c r="AA11" i="4"/>
  <c r="Z11" i="4"/>
  <c r="Y11" i="4"/>
  <c r="X11" i="4"/>
  <c r="AC10" i="4"/>
  <c r="AB10" i="4"/>
  <c r="AA10" i="4"/>
  <c r="Z10" i="4"/>
  <c r="Y10" i="4"/>
  <c r="X10" i="4"/>
  <c r="AC9" i="4"/>
  <c r="AB9" i="4"/>
  <c r="AA9" i="4"/>
  <c r="Z9" i="4"/>
  <c r="Y9" i="4"/>
  <c r="X9" i="4"/>
  <c r="AC8" i="4"/>
  <c r="AB8" i="4"/>
  <c r="AA8" i="4"/>
  <c r="Z8" i="4"/>
  <c r="Y8" i="4"/>
  <c r="X8" i="4"/>
  <c r="AC7" i="4"/>
  <c r="AB7" i="4"/>
  <c r="AA7" i="4"/>
  <c r="Z7" i="4"/>
  <c r="Y7" i="4"/>
  <c r="AC6" i="4"/>
  <c r="AB6" i="4"/>
  <c r="AA6" i="4"/>
  <c r="Z6" i="4"/>
  <c r="Y6" i="4"/>
  <c r="X6" i="4"/>
  <c r="M4" i="4"/>
  <c r="O4" i="4" s="1"/>
  <c r="L4" i="4"/>
  <c r="F4" i="4"/>
  <c r="F4" i="3"/>
  <c r="F4" i="2"/>
  <c r="T4" i="2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M4" i="3"/>
  <c r="Q4" i="3" s="1"/>
  <c r="O5" i="2"/>
  <c r="N5" i="2"/>
  <c r="O4" i="2"/>
  <c r="N4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AC27" i="2"/>
  <c r="AB27" i="2"/>
  <c r="AA27" i="2"/>
  <c r="Z27" i="2"/>
  <c r="Y27" i="2"/>
  <c r="X27" i="2"/>
  <c r="P27" i="2"/>
  <c r="AC26" i="2"/>
  <c r="AB26" i="2"/>
  <c r="AA26" i="2"/>
  <c r="Z26" i="2"/>
  <c r="Y26" i="2"/>
  <c r="X26" i="2"/>
  <c r="P26" i="2"/>
  <c r="AC25" i="2"/>
  <c r="AB25" i="2"/>
  <c r="AA25" i="2"/>
  <c r="Z25" i="2"/>
  <c r="Y25" i="2"/>
  <c r="X25" i="2"/>
  <c r="P25" i="2"/>
  <c r="AC24" i="2"/>
  <c r="AB24" i="2"/>
  <c r="AA24" i="2"/>
  <c r="Z24" i="2"/>
  <c r="Y24" i="2"/>
  <c r="X24" i="2"/>
  <c r="P24" i="2"/>
  <c r="AC23" i="2"/>
  <c r="AB23" i="2"/>
  <c r="AA23" i="2"/>
  <c r="Z23" i="2"/>
  <c r="Y23" i="2"/>
  <c r="X23" i="2"/>
  <c r="P23" i="2"/>
  <c r="AC22" i="2"/>
  <c r="AB22" i="2"/>
  <c r="AA22" i="2"/>
  <c r="Z22" i="2"/>
  <c r="Y22" i="2"/>
  <c r="X22" i="2"/>
  <c r="P22" i="2"/>
  <c r="AC21" i="2"/>
  <c r="AB21" i="2"/>
  <c r="AA21" i="2"/>
  <c r="Z21" i="2"/>
  <c r="Y21" i="2"/>
  <c r="X21" i="2"/>
  <c r="P21" i="2"/>
  <c r="AC20" i="2"/>
  <c r="AB20" i="2"/>
  <c r="AA20" i="2"/>
  <c r="Z20" i="2"/>
  <c r="Y20" i="2"/>
  <c r="X20" i="2"/>
  <c r="P20" i="2"/>
  <c r="AC19" i="2"/>
  <c r="AB19" i="2"/>
  <c r="AA19" i="2"/>
  <c r="Z19" i="2"/>
  <c r="Y19" i="2"/>
  <c r="X19" i="2"/>
  <c r="P19" i="2"/>
  <c r="AC18" i="2"/>
  <c r="AB18" i="2"/>
  <c r="AA18" i="2"/>
  <c r="Z18" i="2"/>
  <c r="Y18" i="2"/>
  <c r="X18" i="2"/>
  <c r="P18" i="2"/>
  <c r="AC17" i="2"/>
  <c r="AB17" i="2"/>
  <c r="AA17" i="2"/>
  <c r="Z17" i="2"/>
  <c r="Y17" i="2"/>
  <c r="X17" i="2"/>
  <c r="P17" i="2"/>
  <c r="AC16" i="2"/>
  <c r="AB16" i="2"/>
  <c r="AA16" i="2"/>
  <c r="Z16" i="2"/>
  <c r="Y16" i="2"/>
  <c r="X16" i="2"/>
  <c r="P16" i="2"/>
  <c r="AC15" i="2"/>
  <c r="AB15" i="2"/>
  <c r="AA15" i="2"/>
  <c r="Z15" i="2"/>
  <c r="Y15" i="2"/>
  <c r="X15" i="2"/>
  <c r="P15" i="2"/>
  <c r="AC14" i="2"/>
  <c r="AB14" i="2"/>
  <c r="AA14" i="2"/>
  <c r="Z14" i="2"/>
  <c r="Y14" i="2"/>
  <c r="X14" i="2"/>
  <c r="P14" i="2"/>
  <c r="AC13" i="2"/>
  <c r="AB13" i="2"/>
  <c r="AA13" i="2"/>
  <c r="Z13" i="2"/>
  <c r="Y13" i="2"/>
  <c r="X13" i="2"/>
  <c r="P13" i="2"/>
  <c r="AC12" i="2"/>
  <c r="AB12" i="2"/>
  <c r="AA12" i="2"/>
  <c r="Z12" i="2"/>
  <c r="Y12" i="2"/>
  <c r="X12" i="2"/>
  <c r="P12" i="2"/>
  <c r="AC11" i="2"/>
  <c r="AB11" i="2"/>
  <c r="AA11" i="2"/>
  <c r="Z11" i="2"/>
  <c r="Y11" i="2"/>
  <c r="X11" i="2"/>
  <c r="P11" i="2"/>
  <c r="AC10" i="2"/>
  <c r="AB10" i="2"/>
  <c r="AA10" i="2"/>
  <c r="Z10" i="2"/>
  <c r="Y10" i="2"/>
  <c r="X10" i="2"/>
  <c r="P10" i="2"/>
  <c r="AC9" i="2"/>
  <c r="AB9" i="2"/>
  <c r="AA9" i="2"/>
  <c r="Z9" i="2"/>
  <c r="Y9" i="2"/>
  <c r="X9" i="2"/>
  <c r="P9" i="2"/>
  <c r="AC8" i="2"/>
  <c r="AB8" i="2"/>
  <c r="AA8" i="2"/>
  <c r="Z8" i="2"/>
  <c r="Y8" i="2"/>
  <c r="X8" i="2"/>
  <c r="P8" i="2"/>
  <c r="AC7" i="2"/>
  <c r="AB7" i="2"/>
  <c r="AA7" i="2"/>
  <c r="Z7" i="2"/>
  <c r="Y7" i="2"/>
  <c r="X7" i="2"/>
  <c r="P7" i="2"/>
  <c r="AC6" i="2"/>
  <c r="AB6" i="2"/>
  <c r="AA6" i="2"/>
  <c r="Z6" i="2"/>
  <c r="Y6" i="2"/>
  <c r="X6" i="2"/>
  <c r="P6" i="2"/>
  <c r="P5" i="2"/>
  <c r="U4" i="2"/>
  <c r="P4" i="2"/>
  <c r="M4" i="2"/>
  <c r="L4" i="2"/>
  <c r="Q4" i="2" s="1"/>
  <c r="M4" i="1"/>
  <c r="X21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2" i="1"/>
  <c r="X23" i="1"/>
  <c r="X24" i="1"/>
  <c r="X25" i="1"/>
  <c r="X26" i="1"/>
  <c r="X27" i="1"/>
  <c r="AC6" i="1"/>
  <c r="AA6" i="1"/>
  <c r="Y6" i="1"/>
  <c r="AB6" i="1"/>
  <c r="Z6" i="1"/>
  <c r="X6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L5" i="1"/>
  <c r="N5" i="1" s="1"/>
  <c r="P4" i="1"/>
  <c r="L4" i="1"/>
  <c r="F4" i="1"/>
  <c r="O4" i="5" l="1"/>
  <c r="Q4" i="5"/>
  <c r="Y4" i="5"/>
  <c r="P4" i="5"/>
  <c r="Q4" i="4"/>
  <c r="T4" i="4" s="1"/>
  <c r="U4" i="4"/>
  <c r="N4" i="4"/>
  <c r="N4" i="5"/>
  <c r="U4" i="5"/>
  <c r="L6" i="1"/>
  <c r="N6" i="1" s="1"/>
  <c r="N4" i="3"/>
  <c r="L5" i="3" s="1"/>
  <c r="O4" i="3"/>
  <c r="M5" i="3" s="1"/>
  <c r="U4" i="3"/>
  <c r="M5" i="1"/>
  <c r="Q4" i="1"/>
  <c r="T4" i="1" s="1"/>
  <c r="U4" i="1"/>
  <c r="M5" i="2"/>
  <c r="L5" i="2"/>
  <c r="L7" i="1"/>
  <c r="N7" i="1" s="1"/>
  <c r="O5" i="3" l="1"/>
  <c r="N5" i="3"/>
  <c r="R4" i="5"/>
  <c r="S4" i="5" s="1"/>
  <c r="T4" i="5" s="1"/>
  <c r="X4" i="5"/>
  <c r="P4" i="4"/>
  <c r="M5" i="4" s="1"/>
  <c r="M5" i="5"/>
  <c r="Q5" i="5" s="1"/>
  <c r="L5" i="5"/>
  <c r="L8" i="1"/>
  <c r="N8" i="1" s="1"/>
  <c r="Q5" i="3"/>
  <c r="M6" i="3"/>
  <c r="L6" i="3"/>
  <c r="U5" i="3"/>
  <c r="S5" i="3"/>
  <c r="Q5" i="1"/>
  <c r="M6" i="1"/>
  <c r="O6" i="1" s="1"/>
  <c r="U5" i="1"/>
  <c r="S5" i="1"/>
  <c r="U5" i="2"/>
  <c r="Q5" i="2"/>
  <c r="L6" i="2"/>
  <c r="S5" i="2"/>
  <c r="M6" i="2"/>
  <c r="O6" i="2" s="1"/>
  <c r="L9" i="1"/>
  <c r="N9" i="1" s="1"/>
  <c r="O6" i="3" l="1"/>
  <c r="P5" i="5"/>
  <c r="L5" i="4"/>
  <c r="N5" i="4"/>
  <c r="O5" i="4"/>
  <c r="W5" i="5"/>
  <c r="U5" i="5"/>
  <c r="Y5" i="5"/>
  <c r="N5" i="5"/>
  <c r="O5" i="5"/>
  <c r="S6" i="1"/>
  <c r="Q6" i="3"/>
  <c r="N6" i="3"/>
  <c r="L7" i="3" s="1"/>
  <c r="S6" i="3"/>
  <c r="R5" i="3"/>
  <c r="M7" i="3"/>
  <c r="U6" i="3"/>
  <c r="U6" i="1"/>
  <c r="M7" i="1"/>
  <c r="O7" i="1" s="1"/>
  <c r="Q6" i="1"/>
  <c r="R5" i="1"/>
  <c r="T5" i="1"/>
  <c r="N6" i="2"/>
  <c r="M7" i="2"/>
  <c r="S6" i="2"/>
  <c r="U6" i="2"/>
  <c r="Q6" i="2"/>
  <c r="L7" i="2"/>
  <c r="T5" i="2"/>
  <c r="R5" i="2"/>
  <c r="L10" i="1"/>
  <c r="N10" i="1" s="1"/>
  <c r="O7" i="3" l="1"/>
  <c r="S5" i="4"/>
  <c r="U5" i="4"/>
  <c r="Q5" i="4"/>
  <c r="P5" i="4"/>
  <c r="L6" i="4" s="1"/>
  <c r="N6" i="4" s="1"/>
  <c r="X5" i="5"/>
  <c r="V5" i="5"/>
  <c r="R5" i="5"/>
  <c r="S5" i="5" s="1"/>
  <c r="T5" i="5" s="1"/>
  <c r="Q7" i="3"/>
  <c r="N7" i="3"/>
  <c r="L8" i="3" s="1"/>
  <c r="U7" i="3"/>
  <c r="M8" i="3"/>
  <c r="S7" i="3"/>
  <c r="R6" i="3"/>
  <c r="T6" i="1"/>
  <c r="R6" i="1"/>
  <c r="Q7" i="1"/>
  <c r="U7" i="1"/>
  <c r="S7" i="1"/>
  <c r="M8" i="1"/>
  <c r="O8" i="1" s="1"/>
  <c r="N7" i="2"/>
  <c r="O7" i="2"/>
  <c r="U7" i="2"/>
  <c r="Q7" i="2"/>
  <c r="L8" i="2"/>
  <c r="S7" i="2"/>
  <c r="M8" i="2"/>
  <c r="T6" i="2"/>
  <c r="R6" i="2"/>
  <c r="L11" i="1"/>
  <c r="N11" i="1" s="1"/>
  <c r="M6" i="4" l="1"/>
  <c r="O6" i="4" s="1"/>
  <c r="R5" i="4"/>
  <c r="T5" i="4"/>
  <c r="L6" i="5"/>
  <c r="M6" i="5"/>
  <c r="Q6" i="5" s="1"/>
  <c r="S6" i="4"/>
  <c r="Q6" i="4"/>
  <c r="P6" i="4" s="1"/>
  <c r="L7" i="4" s="1"/>
  <c r="U6" i="4"/>
  <c r="N8" i="3"/>
  <c r="L9" i="3" s="1"/>
  <c r="O8" i="3"/>
  <c r="M9" i="3" s="1"/>
  <c r="Q8" i="3"/>
  <c r="U8" i="3"/>
  <c r="R7" i="3"/>
  <c r="S8" i="3"/>
  <c r="U8" i="1"/>
  <c r="S8" i="1"/>
  <c r="M9" i="1"/>
  <c r="O9" i="1" s="1"/>
  <c r="Q8" i="1"/>
  <c r="T7" i="1"/>
  <c r="R7" i="1"/>
  <c r="N8" i="2"/>
  <c r="O8" i="2"/>
  <c r="M9" i="2"/>
  <c r="Q8" i="2"/>
  <c r="U8" i="2"/>
  <c r="L9" i="2"/>
  <c r="S8" i="2"/>
  <c r="T7" i="2"/>
  <c r="R7" i="2"/>
  <c r="L12" i="1"/>
  <c r="N12" i="1" s="1"/>
  <c r="O9" i="3" l="1"/>
  <c r="M10" i="3" s="1"/>
  <c r="P6" i="5"/>
  <c r="O6" i="5"/>
  <c r="Y6" i="5"/>
  <c r="U6" i="5"/>
  <c r="N6" i="5"/>
  <c r="W6" i="5"/>
  <c r="R6" i="4"/>
  <c r="T6" i="4"/>
  <c r="Q9" i="3"/>
  <c r="N9" i="3"/>
  <c r="L10" i="3" s="1"/>
  <c r="U9" i="3"/>
  <c r="S9" i="3"/>
  <c r="R8" i="3"/>
  <c r="T8" i="1"/>
  <c r="R8" i="1"/>
  <c r="M10" i="1"/>
  <c r="O10" i="1" s="1"/>
  <c r="Q9" i="1"/>
  <c r="U9" i="1"/>
  <c r="S9" i="1"/>
  <c r="N9" i="2"/>
  <c r="O9" i="2"/>
  <c r="U9" i="2"/>
  <c r="Q9" i="2"/>
  <c r="L10" i="2"/>
  <c r="S9" i="2"/>
  <c r="M10" i="2"/>
  <c r="T8" i="2"/>
  <c r="R8" i="2"/>
  <c r="L13" i="1"/>
  <c r="N13" i="1" s="1"/>
  <c r="X6" i="5" l="1"/>
  <c r="V6" i="5"/>
  <c r="R6" i="5"/>
  <c r="S6" i="5" s="1"/>
  <c r="T6" i="5" s="1"/>
  <c r="M7" i="4"/>
  <c r="O7" i="4" s="1"/>
  <c r="N7" i="4"/>
  <c r="Q7" i="4"/>
  <c r="P7" i="4" s="1"/>
  <c r="L8" i="4" s="1"/>
  <c r="S7" i="4"/>
  <c r="U7" i="4"/>
  <c r="O10" i="3"/>
  <c r="M11" i="3" s="1"/>
  <c r="N10" i="3"/>
  <c r="L11" i="3" s="1"/>
  <c r="Q10" i="3"/>
  <c r="U10" i="3"/>
  <c r="S10" i="3"/>
  <c r="R9" i="3"/>
  <c r="T9" i="1"/>
  <c r="R9" i="1"/>
  <c r="S10" i="1"/>
  <c r="M11" i="1"/>
  <c r="O11" i="1" s="1"/>
  <c r="U10" i="1"/>
  <c r="Q10" i="1"/>
  <c r="N10" i="2"/>
  <c r="O10" i="2"/>
  <c r="M11" i="2" s="1"/>
  <c r="U10" i="2"/>
  <c r="Q10" i="2"/>
  <c r="L11" i="2"/>
  <c r="S10" i="2"/>
  <c r="T9" i="2"/>
  <c r="R9" i="2"/>
  <c r="L14" i="1"/>
  <c r="N14" i="1" s="1"/>
  <c r="M7" i="5" l="1"/>
  <c r="Q7" i="5" s="1"/>
  <c r="L7" i="5"/>
  <c r="M8" i="4"/>
  <c r="T7" i="4"/>
  <c r="R7" i="4"/>
  <c r="O11" i="3"/>
  <c r="Q11" i="3"/>
  <c r="N11" i="3"/>
  <c r="L12" i="3" s="1"/>
  <c r="U11" i="3"/>
  <c r="S11" i="3"/>
  <c r="M12" i="3"/>
  <c r="R10" i="3"/>
  <c r="T10" i="1"/>
  <c r="R10" i="1"/>
  <c r="M12" i="1"/>
  <c r="O12" i="1" s="1"/>
  <c r="U11" i="1"/>
  <c r="Q11" i="1"/>
  <c r="S11" i="1"/>
  <c r="N11" i="2"/>
  <c r="O11" i="2"/>
  <c r="Q11" i="2"/>
  <c r="U11" i="2"/>
  <c r="L12" i="2"/>
  <c r="S11" i="2"/>
  <c r="T10" i="2"/>
  <c r="R10" i="2"/>
  <c r="M12" i="2"/>
  <c r="L15" i="1"/>
  <c r="N15" i="1" s="1"/>
  <c r="P7" i="5" l="1"/>
  <c r="U7" i="5"/>
  <c r="N7" i="5"/>
  <c r="Y7" i="5"/>
  <c r="W7" i="5"/>
  <c r="O7" i="5"/>
  <c r="N8" i="4"/>
  <c r="O8" i="4"/>
  <c r="O12" i="3"/>
  <c r="M13" i="3" s="1"/>
  <c r="Q12" i="3"/>
  <c r="N12" i="3"/>
  <c r="L13" i="3" s="1"/>
  <c r="U12" i="3"/>
  <c r="S12" i="3"/>
  <c r="R11" i="3"/>
  <c r="T11" i="1"/>
  <c r="R11" i="1"/>
  <c r="U12" i="1"/>
  <c r="Q12" i="1"/>
  <c r="M13" i="1"/>
  <c r="O13" i="1" s="1"/>
  <c r="S12" i="1"/>
  <c r="N12" i="2"/>
  <c r="O12" i="2"/>
  <c r="M13" i="2"/>
  <c r="U12" i="2"/>
  <c r="Q12" i="2"/>
  <c r="L13" i="2"/>
  <c r="S12" i="2"/>
  <c r="T11" i="2"/>
  <c r="R11" i="2"/>
  <c r="L16" i="1"/>
  <c r="N16" i="1" s="1"/>
  <c r="O13" i="3" l="1"/>
  <c r="M14" i="3" s="1"/>
  <c r="V7" i="5"/>
  <c r="R7" i="5"/>
  <c r="S7" i="5" s="1"/>
  <c r="T7" i="5" s="1"/>
  <c r="X7" i="5"/>
  <c r="U8" i="4"/>
  <c r="S8" i="4"/>
  <c r="Q8" i="4"/>
  <c r="P8" i="4" s="1"/>
  <c r="L9" i="4" s="1"/>
  <c r="N13" i="3"/>
  <c r="Q13" i="3"/>
  <c r="U13" i="3"/>
  <c r="L14" i="3"/>
  <c r="S13" i="3"/>
  <c r="R12" i="3"/>
  <c r="T12" i="1"/>
  <c r="R12" i="1"/>
  <c r="Q13" i="1"/>
  <c r="U13" i="1"/>
  <c r="S13" i="1"/>
  <c r="M14" i="1"/>
  <c r="O14" i="1" s="1"/>
  <c r="N13" i="2"/>
  <c r="O13" i="2"/>
  <c r="U13" i="2"/>
  <c r="Q13" i="2"/>
  <c r="L14" i="2"/>
  <c r="S13" i="2"/>
  <c r="M14" i="2"/>
  <c r="T12" i="2"/>
  <c r="R12" i="2"/>
  <c r="L17" i="1"/>
  <c r="N17" i="1" s="1"/>
  <c r="L8" i="5" l="1"/>
  <c r="M8" i="5"/>
  <c r="Q8" i="5" s="1"/>
  <c r="M9" i="4"/>
  <c r="R8" i="4"/>
  <c r="T8" i="4"/>
  <c r="O14" i="3"/>
  <c r="N14" i="3"/>
  <c r="Q14" i="3"/>
  <c r="U14" i="3"/>
  <c r="L15" i="3"/>
  <c r="S14" i="3"/>
  <c r="M15" i="3"/>
  <c r="R13" i="3"/>
  <c r="U14" i="1"/>
  <c r="S14" i="1"/>
  <c r="Q14" i="1"/>
  <c r="M15" i="1"/>
  <c r="O15" i="1" s="1"/>
  <c r="T13" i="1"/>
  <c r="R13" i="1"/>
  <c r="N14" i="2"/>
  <c r="O14" i="2"/>
  <c r="Q14" i="2"/>
  <c r="L15" i="2"/>
  <c r="U14" i="2"/>
  <c r="S14" i="2"/>
  <c r="M15" i="2"/>
  <c r="T13" i="2"/>
  <c r="R13" i="2"/>
  <c r="L18" i="1"/>
  <c r="N18" i="1" s="1"/>
  <c r="P8" i="5" l="1"/>
  <c r="O8" i="5"/>
  <c r="Y8" i="5"/>
  <c r="N8" i="5"/>
  <c r="U8" i="5"/>
  <c r="W8" i="5"/>
  <c r="O9" i="4"/>
  <c r="N9" i="4"/>
  <c r="O15" i="3"/>
  <c r="M16" i="3" s="1"/>
  <c r="N15" i="3"/>
  <c r="L16" i="3" s="1"/>
  <c r="Q15" i="3"/>
  <c r="U15" i="3"/>
  <c r="S15" i="3"/>
  <c r="R14" i="3"/>
  <c r="U15" i="1"/>
  <c r="S15" i="1"/>
  <c r="Q15" i="1"/>
  <c r="M16" i="1"/>
  <c r="O16" i="1" s="1"/>
  <c r="T14" i="1"/>
  <c r="R14" i="1"/>
  <c r="N15" i="2"/>
  <c r="O15" i="2"/>
  <c r="M16" i="2"/>
  <c r="U15" i="2"/>
  <c r="L16" i="2"/>
  <c r="Q15" i="2"/>
  <c r="S15" i="2"/>
  <c r="T14" i="2"/>
  <c r="R14" i="2"/>
  <c r="L19" i="1"/>
  <c r="N19" i="1" s="1"/>
  <c r="V8" i="5" l="1"/>
  <c r="X8" i="5"/>
  <c r="R8" i="5"/>
  <c r="S8" i="5" s="1"/>
  <c r="T8" i="5" s="1"/>
  <c r="S9" i="4"/>
  <c r="Q9" i="4"/>
  <c r="P9" i="4" s="1"/>
  <c r="L10" i="4" s="1"/>
  <c r="U9" i="4"/>
  <c r="O16" i="3"/>
  <c r="N16" i="3"/>
  <c r="Q16" i="3"/>
  <c r="U16" i="3"/>
  <c r="M17" i="3"/>
  <c r="L17" i="3"/>
  <c r="O17" i="3" s="1"/>
  <c r="S16" i="3"/>
  <c r="R15" i="3"/>
  <c r="Q16" i="1"/>
  <c r="S16" i="1"/>
  <c r="M17" i="1"/>
  <c r="O17" i="1" s="1"/>
  <c r="U16" i="1"/>
  <c r="T15" i="1"/>
  <c r="R15" i="1"/>
  <c r="N16" i="2"/>
  <c r="O16" i="2"/>
  <c r="U16" i="2"/>
  <c r="Q16" i="2"/>
  <c r="L17" i="2"/>
  <c r="S16" i="2"/>
  <c r="T15" i="2"/>
  <c r="R15" i="2"/>
  <c r="M17" i="2"/>
  <c r="L20" i="1"/>
  <c r="N20" i="1" s="1"/>
  <c r="M9" i="5" l="1"/>
  <c r="Q9" i="5" s="1"/>
  <c r="L9" i="5"/>
  <c r="M10" i="4"/>
  <c r="T9" i="4"/>
  <c r="R9" i="4"/>
  <c r="Q17" i="3"/>
  <c r="N17" i="3"/>
  <c r="L18" i="3" s="1"/>
  <c r="U17" i="3"/>
  <c r="S17" i="3"/>
  <c r="M18" i="3"/>
  <c r="R16" i="3"/>
  <c r="M18" i="1"/>
  <c r="O18" i="1" s="1"/>
  <c r="Q17" i="1"/>
  <c r="U17" i="1"/>
  <c r="S17" i="1"/>
  <c r="T16" i="1"/>
  <c r="R16" i="1"/>
  <c r="N17" i="2"/>
  <c r="O17" i="2"/>
  <c r="M18" i="2" s="1"/>
  <c r="Q17" i="2"/>
  <c r="L18" i="2"/>
  <c r="U17" i="2"/>
  <c r="S17" i="2"/>
  <c r="T16" i="2"/>
  <c r="R16" i="2"/>
  <c r="L21" i="1"/>
  <c r="N21" i="1" s="1"/>
  <c r="P9" i="5" l="1"/>
  <c r="U9" i="5"/>
  <c r="N9" i="5"/>
  <c r="Y9" i="5"/>
  <c r="W9" i="5"/>
  <c r="O9" i="5"/>
  <c r="O10" i="4"/>
  <c r="N10" i="4"/>
  <c r="O18" i="3"/>
  <c r="M19" i="3" s="1"/>
  <c r="Q18" i="3"/>
  <c r="N18" i="3"/>
  <c r="L19" i="3" s="1"/>
  <c r="U18" i="3"/>
  <c r="S18" i="3"/>
  <c r="R17" i="3"/>
  <c r="T17" i="1"/>
  <c r="R17" i="1"/>
  <c r="Q18" i="1"/>
  <c r="U18" i="1"/>
  <c r="M19" i="1"/>
  <c r="O19" i="1" s="1"/>
  <c r="S18" i="1"/>
  <c r="N18" i="2"/>
  <c r="O18" i="2"/>
  <c r="U18" i="2"/>
  <c r="Q18" i="2"/>
  <c r="L19" i="2"/>
  <c r="S18" i="2"/>
  <c r="M19" i="2"/>
  <c r="T17" i="2"/>
  <c r="R17" i="2"/>
  <c r="L22" i="1"/>
  <c r="N22" i="1" s="1"/>
  <c r="O19" i="3" l="1"/>
  <c r="X9" i="5"/>
  <c r="V9" i="5"/>
  <c r="R9" i="5"/>
  <c r="S9" i="5" s="1"/>
  <c r="T9" i="5" s="1"/>
  <c r="U10" i="4"/>
  <c r="Q10" i="4"/>
  <c r="P10" i="4" s="1"/>
  <c r="L11" i="4" s="1"/>
  <c r="S10" i="4"/>
  <c r="Q19" i="3"/>
  <c r="N19" i="3"/>
  <c r="L20" i="3" s="1"/>
  <c r="U19" i="3"/>
  <c r="M20" i="3"/>
  <c r="S19" i="3"/>
  <c r="R18" i="3"/>
  <c r="T18" i="1"/>
  <c r="R18" i="1"/>
  <c r="M20" i="1"/>
  <c r="O20" i="1" s="1"/>
  <c r="Q19" i="1"/>
  <c r="U19" i="1"/>
  <c r="S19" i="1"/>
  <c r="N19" i="2"/>
  <c r="O19" i="2"/>
  <c r="M20" i="2" s="1"/>
  <c r="U19" i="2"/>
  <c r="Q19" i="2"/>
  <c r="L20" i="2"/>
  <c r="S19" i="2"/>
  <c r="T18" i="2"/>
  <c r="R18" i="2"/>
  <c r="L23" i="1"/>
  <c r="N23" i="1" s="1"/>
  <c r="O20" i="3" l="1"/>
  <c r="L10" i="5"/>
  <c r="M10" i="5"/>
  <c r="Q10" i="5" s="1"/>
  <c r="M11" i="4"/>
  <c r="T10" i="4"/>
  <c r="R10" i="4"/>
  <c r="N20" i="3"/>
  <c r="Q20" i="3"/>
  <c r="U20" i="3"/>
  <c r="L21" i="3"/>
  <c r="S20" i="3"/>
  <c r="M21" i="3"/>
  <c r="R19" i="3"/>
  <c r="T19" i="1"/>
  <c r="R19" i="1"/>
  <c r="M21" i="1"/>
  <c r="O21" i="1" s="1"/>
  <c r="U20" i="1"/>
  <c r="Q20" i="1"/>
  <c r="S20" i="1"/>
  <c r="N20" i="2"/>
  <c r="O20" i="2"/>
  <c r="Q20" i="2"/>
  <c r="L21" i="2"/>
  <c r="U20" i="2"/>
  <c r="S20" i="2"/>
  <c r="M21" i="2"/>
  <c r="T19" i="2"/>
  <c r="R19" i="2"/>
  <c r="L24" i="1"/>
  <c r="N24" i="1" s="1"/>
  <c r="P10" i="5" l="1"/>
  <c r="O10" i="5"/>
  <c r="Y10" i="5"/>
  <c r="U10" i="5"/>
  <c r="N10" i="5"/>
  <c r="W10" i="5"/>
  <c r="O11" i="4"/>
  <c r="N11" i="4"/>
  <c r="O21" i="3"/>
  <c r="M22" i="3" s="1"/>
  <c r="N21" i="3"/>
  <c r="L22" i="3" s="1"/>
  <c r="S21" i="3"/>
  <c r="Q21" i="3"/>
  <c r="R20" i="3"/>
  <c r="U21" i="3"/>
  <c r="M22" i="1"/>
  <c r="O22" i="1" s="1"/>
  <c r="S21" i="1"/>
  <c r="U21" i="1"/>
  <c r="Q21" i="1"/>
  <c r="T20" i="1"/>
  <c r="R20" i="1"/>
  <c r="N21" i="2"/>
  <c r="O21" i="2"/>
  <c r="M22" i="2"/>
  <c r="L22" i="2"/>
  <c r="U21" i="2"/>
  <c r="Q21" i="2"/>
  <c r="S21" i="2"/>
  <c r="T20" i="2"/>
  <c r="R20" i="2"/>
  <c r="L25" i="1"/>
  <c r="N25" i="1" s="1"/>
  <c r="O22" i="3" l="1"/>
  <c r="X10" i="5"/>
  <c r="V10" i="5"/>
  <c r="R10" i="5"/>
  <c r="S10" i="5" s="1"/>
  <c r="T10" i="5" s="1"/>
  <c r="U11" i="4"/>
  <c r="Q11" i="4"/>
  <c r="P11" i="4" s="1"/>
  <c r="L12" i="4" s="1"/>
  <c r="S11" i="4"/>
  <c r="Q22" i="3"/>
  <c r="N22" i="3"/>
  <c r="L23" i="3" s="1"/>
  <c r="U22" i="3"/>
  <c r="S22" i="3"/>
  <c r="M23" i="3"/>
  <c r="R21" i="3"/>
  <c r="T21" i="1"/>
  <c r="R21" i="1"/>
  <c r="S22" i="1"/>
  <c r="U22" i="1"/>
  <c r="Q22" i="1"/>
  <c r="M23" i="1"/>
  <c r="O23" i="1" s="1"/>
  <c r="N22" i="2"/>
  <c r="O22" i="2"/>
  <c r="U22" i="2"/>
  <c r="Q22" i="2"/>
  <c r="L23" i="2"/>
  <c r="S22" i="2"/>
  <c r="T21" i="2"/>
  <c r="R21" i="2"/>
  <c r="M23" i="2"/>
  <c r="L26" i="1"/>
  <c r="N26" i="1" s="1"/>
  <c r="M11" i="5" l="1"/>
  <c r="Q11" i="5" s="1"/>
  <c r="L11" i="5"/>
  <c r="M12" i="4"/>
  <c r="T11" i="4"/>
  <c r="R11" i="4"/>
  <c r="O23" i="3"/>
  <c r="Q23" i="3"/>
  <c r="N23" i="3"/>
  <c r="U23" i="3"/>
  <c r="M24" i="3"/>
  <c r="L24" i="3"/>
  <c r="O24" i="3" s="1"/>
  <c r="S23" i="3"/>
  <c r="R22" i="3"/>
  <c r="T22" i="1"/>
  <c r="R22" i="1"/>
  <c r="S23" i="1"/>
  <c r="Q23" i="1"/>
  <c r="U23" i="1"/>
  <c r="M24" i="1"/>
  <c r="O24" i="1" s="1"/>
  <c r="N23" i="2"/>
  <c r="O23" i="2"/>
  <c r="Q23" i="2"/>
  <c r="L24" i="2"/>
  <c r="U23" i="2"/>
  <c r="S23" i="2"/>
  <c r="M24" i="2"/>
  <c r="T22" i="2"/>
  <c r="R22" i="2"/>
  <c r="L27" i="1"/>
  <c r="N27" i="1" s="1"/>
  <c r="P11" i="5" l="1"/>
  <c r="Y11" i="5"/>
  <c r="U11" i="5"/>
  <c r="N11" i="5"/>
  <c r="W11" i="5"/>
  <c r="O11" i="5"/>
  <c r="O12" i="4"/>
  <c r="N12" i="4"/>
  <c r="Q24" i="3"/>
  <c r="N24" i="3"/>
  <c r="L25" i="3" s="1"/>
  <c r="U24" i="3"/>
  <c r="S24" i="3"/>
  <c r="M25" i="3"/>
  <c r="R23" i="3"/>
  <c r="T23" i="1"/>
  <c r="R23" i="1"/>
  <c r="M25" i="1"/>
  <c r="O25" i="1" s="1"/>
  <c r="U24" i="1"/>
  <c r="Q24" i="1"/>
  <c r="N24" i="2"/>
  <c r="O24" i="2"/>
  <c r="M25" i="2" s="1"/>
  <c r="L25" i="2"/>
  <c r="U24" i="2"/>
  <c r="Q24" i="2"/>
  <c r="S24" i="2"/>
  <c r="T23" i="2"/>
  <c r="R23" i="2"/>
  <c r="L28" i="1"/>
  <c r="N28" i="1" s="1"/>
  <c r="V11" i="5" l="1"/>
  <c r="X11" i="5"/>
  <c r="R11" i="5"/>
  <c r="S11" i="5" s="1"/>
  <c r="T11" i="5" s="1"/>
  <c r="U12" i="4"/>
  <c r="Q12" i="4"/>
  <c r="P12" i="4" s="1"/>
  <c r="L13" i="4" s="1"/>
  <c r="S12" i="4"/>
  <c r="N25" i="3"/>
  <c r="O25" i="3"/>
  <c r="M26" i="3" s="1"/>
  <c r="Q25" i="3"/>
  <c r="U25" i="3"/>
  <c r="L26" i="3"/>
  <c r="S25" i="3"/>
  <c r="R24" i="3"/>
  <c r="S24" i="1"/>
  <c r="T24" i="1"/>
  <c r="R24" i="1"/>
  <c r="Q25" i="1"/>
  <c r="U25" i="1"/>
  <c r="M26" i="1"/>
  <c r="O26" i="1" s="1"/>
  <c r="S25" i="1"/>
  <c r="N25" i="2"/>
  <c r="O25" i="2"/>
  <c r="U25" i="2"/>
  <c r="Q25" i="2"/>
  <c r="L26" i="2"/>
  <c r="S25" i="2"/>
  <c r="T24" i="2"/>
  <c r="R24" i="2"/>
  <c r="M26" i="2"/>
  <c r="L29" i="1"/>
  <c r="N29" i="1" s="1"/>
  <c r="L12" i="5" l="1"/>
  <c r="M12" i="5"/>
  <c r="Q12" i="5" s="1"/>
  <c r="M13" i="4"/>
  <c r="R12" i="4"/>
  <c r="T12" i="4"/>
  <c r="O26" i="3"/>
  <c r="Q26" i="3"/>
  <c r="N26" i="3"/>
  <c r="L27" i="3" s="1"/>
  <c r="U26" i="3"/>
  <c r="S26" i="3"/>
  <c r="M27" i="3"/>
  <c r="R25" i="3"/>
  <c r="U26" i="1"/>
  <c r="S26" i="1"/>
  <c r="Q26" i="1"/>
  <c r="M27" i="1"/>
  <c r="O27" i="1" s="1"/>
  <c r="T25" i="1"/>
  <c r="R25" i="1"/>
  <c r="N26" i="2"/>
  <c r="O26" i="2"/>
  <c r="M27" i="2"/>
  <c r="Q26" i="2"/>
  <c r="L27" i="2"/>
  <c r="U26" i="2"/>
  <c r="S26" i="2"/>
  <c r="T25" i="2"/>
  <c r="R25" i="2"/>
  <c r="L30" i="1"/>
  <c r="N30" i="1" s="1"/>
  <c r="P12" i="5" l="1"/>
  <c r="O12" i="5"/>
  <c r="U12" i="5"/>
  <c r="N12" i="5"/>
  <c r="Y12" i="5"/>
  <c r="W12" i="5"/>
  <c r="O13" i="4"/>
  <c r="N13" i="4"/>
  <c r="O27" i="3"/>
  <c r="M28" i="3" s="1"/>
  <c r="Q27" i="3"/>
  <c r="N27" i="3"/>
  <c r="L28" i="3" s="1"/>
  <c r="U27" i="3"/>
  <c r="S27" i="3"/>
  <c r="R26" i="3"/>
  <c r="T26" i="1"/>
  <c r="R26" i="1"/>
  <c r="Q27" i="1"/>
  <c r="M28" i="1"/>
  <c r="O28" i="1" s="1"/>
  <c r="S27" i="1"/>
  <c r="U27" i="1"/>
  <c r="N27" i="2"/>
  <c r="O27" i="2"/>
  <c r="L28" i="2"/>
  <c r="U27" i="2"/>
  <c r="Q27" i="2"/>
  <c r="S27" i="2"/>
  <c r="M28" i="2"/>
  <c r="T26" i="2"/>
  <c r="R26" i="2"/>
  <c r="L31" i="1"/>
  <c r="N31" i="1" s="1"/>
  <c r="O28" i="3" l="1"/>
  <c r="V12" i="5"/>
  <c r="R12" i="5"/>
  <c r="S12" i="5" s="1"/>
  <c r="T12" i="5" s="1"/>
  <c r="X12" i="5"/>
  <c r="Q13" i="4"/>
  <c r="P13" i="4" s="1"/>
  <c r="L14" i="4" s="1"/>
  <c r="U13" i="4"/>
  <c r="S13" i="4"/>
  <c r="N28" i="3"/>
  <c r="L29" i="3" s="1"/>
  <c r="Q28" i="3"/>
  <c r="U28" i="3"/>
  <c r="S28" i="3"/>
  <c r="M29" i="3"/>
  <c r="R27" i="3"/>
  <c r="U28" i="1"/>
  <c r="S28" i="1"/>
  <c r="M29" i="1"/>
  <c r="O29" i="1" s="1"/>
  <c r="Q28" i="1"/>
  <c r="T27" i="1"/>
  <c r="R27" i="1"/>
  <c r="N28" i="2"/>
  <c r="O28" i="2"/>
  <c r="U28" i="2"/>
  <c r="Q28" i="2"/>
  <c r="L29" i="2"/>
  <c r="S28" i="2"/>
  <c r="M29" i="2"/>
  <c r="T27" i="2"/>
  <c r="R27" i="2"/>
  <c r="L32" i="1"/>
  <c r="N32" i="1" s="1"/>
  <c r="M13" i="5" l="1"/>
  <c r="Q13" i="5" s="1"/>
  <c r="L13" i="5"/>
  <c r="M14" i="4"/>
  <c r="R13" i="4"/>
  <c r="T13" i="4"/>
  <c r="O29" i="3"/>
  <c r="Q29" i="3"/>
  <c r="N29" i="3"/>
  <c r="L30" i="3" s="1"/>
  <c r="U29" i="3"/>
  <c r="S29" i="3"/>
  <c r="M30" i="3"/>
  <c r="R28" i="3"/>
  <c r="T28" i="1"/>
  <c r="R28" i="1"/>
  <c r="U29" i="1"/>
  <c r="M30" i="1"/>
  <c r="O30" i="1" s="1"/>
  <c r="Q29" i="1"/>
  <c r="S29" i="1"/>
  <c r="N29" i="2"/>
  <c r="O29" i="2"/>
  <c r="M30" i="2" s="1"/>
  <c r="L30" i="2"/>
  <c r="U29" i="2"/>
  <c r="Q29" i="2"/>
  <c r="S29" i="2"/>
  <c r="T28" i="2"/>
  <c r="R28" i="2"/>
  <c r="L33" i="1"/>
  <c r="N33" i="1" s="1"/>
  <c r="P13" i="5" l="1"/>
  <c r="U13" i="5"/>
  <c r="N13" i="5"/>
  <c r="Y13" i="5"/>
  <c r="W13" i="5"/>
  <c r="O13" i="5"/>
  <c r="O14" i="4"/>
  <c r="N14" i="4"/>
  <c r="O30" i="3"/>
  <c r="Q30" i="3"/>
  <c r="N30" i="3"/>
  <c r="L31" i="3" s="1"/>
  <c r="O31" i="3" s="1"/>
  <c r="M31" i="3"/>
  <c r="U30" i="3"/>
  <c r="R29" i="3"/>
  <c r="S30" i="3"/>
  <c r="T29" i="1"/>
  <c r="R29" i="1"/>
  <c r="S30" i="1"/>
  <c r="U30" i="1"/>
  <c r="Q30" i="1"/>
  <c r="M31" i="1"/>
  <c r="O31" i="1" s="1"/>
  <c r="N30" i="2"/>
  <c r="O30" i="2"/>
  <c r="M31" i="2"/>
  <c r="S30" i="2"/>
  <c r="T29" i="2"/>
  <c r="R29" i="2"/>
  <c r="L31" i="2"/>
  <c r="U30" i="2"/>
  <c r="Q30" i="2"/>
  <c r="L34" i="1"/>
  <c r="N34" i="1" s="1"/>
  <c r="V13" i="5" l="1"/>
  <c r="R13" i="5"/>
  <c r="S13" i="5" s="1"/>
  <c r="T13" i="5" s="1"/>
  <c r="X13" i="5"/>
  <c r="U14" i="4"/>
  <c r="S14" i="4"/>
  <c r="Q14" i="4"/>
  <c r="P14" i="4" s="1"/>
  <c r="L15" i="4" s="1"/>
  <c r="Q31" i="3"/>
  <c r="N31" i="3"/>
  <c r="L32" i="3" s="1"/>
  <c r="U31" i="3"/>
  <c r="S31" i="3"/>
  <c r="M32" i="3"/>
  <c r="R30" i="3"/>
  <c r="S31" i="1"/>
  <c r="Q31" i="1"/>
  <c r="M32" i="1"/>
  <c r="O32" i="1" s="1"/>
  <c r="U31" i="1"/>
  <c r="T30" i="1"/>
  <c r="R30" i="1"/>
  <c r="N31" i="2"/>
  <c r="O31" i="2"/>
  <c r="Q31" i="2"/>
  <c r="L32" i="2"/>
  <c r="U31" i="2"/>
  <c r="S31" i="2"/>
  <c r="T30" i="2"/>
  <c r="R30" i="2"/>
  <c r="M32" i="2"/>
  <c r="L35" i="1"/>
  <c r="N35" i="1" s="1"/>
  <c r="O32" i="3" l="1"/>
  <c r="L14" i="5"/>
  <c r="M14" i="5"/>
  <c r="Q14" i="5" s="1"/>
  <c r="M15" i="4"/>
  <c r="R14" i="4"/>
  <c r="T14" i="4"/>
  <c r="N32" i="3"/>
  <c r="Q32" i="3"/>
  <c r="U32" i="3"/>
  <c r="L33" i="3"/>
  <c r="S32" i="3"/>
  <c r="M33" i="3"/>
  <c r="R31" i="3"/>
  <c r="M33" i="1"/>
  <c r="O33" i="1" s="1"/>
  <c r="U32" i="1"/>
  <c r="Q32" i="1"/>
  <c r="S32" i="1"/>
  <c r="T31" i="1"/>
  <c r="R31" i="1"/>
  <c r="N32" i="2"/>
  <c r="O32" i="2"/>
  <c r="M33" i="2"/>
  <c r="Q32" i="2"/>
  <c r="L33" i="2"/>
  <c r="U32" i="2"/>
  <c r="R31" i="2"/>
  <c r="T31" i="2"/>
  <c r="S32" i="2"/>
  <c r="L36" i="1"/>
  <c r="N36" i="1" s="1"/>
  <c r="P14" i="5" l="1"/>
  <c r="O14" i="5"/>
  <c r="Y14" i="5"/>
  <c r="N14" i="5"/>
  <c r="U14" i="5"/>
  <c r="W14" i="5"/>
  <c r="O15" i="4"/>
  <c r="N15" i="4"/>
  <c r="O33" i="3"/>
  <c r="M34" i="3" s="1"/>
  <c r="Q33" i="3"/>
  <c r="N33" i="3"/>
  <c r="L34" i="3" s="1"/>
  <c r="O34" i="3" s="1"/>
  <c r="U33" i="3"/>
  <c r="S33" i="3"/>
  <c r="R32" i="3"/>
  <c r="T32" i="1"/>
  <c r="R32" i="1"/>
  <c r="M34" i="1"/>
  <c r="O34" i="1" s="1"/>
  <c r="Q33" i="1"/>
  <c r="S33" i="1"/>
  <c r="U33" i="1"/>
  <c r="N33" i="2"/>
  <c r="O33" i="2"/>
  <c r="U33" i="2"/>
  <c r="Q33" i="2"/>
  <c r="L34" i="2"/>
  <c r="S33" i="2"/>
  <c r="T32" i="2"/>
  <c r="R32" i="2"/>
  <c r="M34" i="2"/>
  <c r="L37" i="1"/>
  <c r="N37" i="1" s="1"/>
  <c r="V14" i="5" l="1"/>
  <c r="R14" i="5"/>
  <c r="S14" i="5" s="1"/>
  <c r="T14" i="5" s="1"/>
  <c r="X14" i="5"/>
  <c r="Q15" i="4"/>
  <c r="P15" i="4" s="1"/>
  <c r="L16" i="4" s="1"/>
  <c r="U15" i="4"/>
  <c r="S15" i="4"/>
  <c r="Q34" i="3"/>
  <c r="N34" i="3"/>
  <c r="U34" i="3"/>
  <c r="M35" i="3"/>
  <c r="L35" i="3"/>
  <c r="O35" i="3" s="1"/>
  <c r="S34" i="3"/>
  <c r="R33" i="3"/>
  <c r="T33" i="1"/>
  <c r="R33" i="1"/>
  <c r="M35" i="1"/>
  <c r="O35" i="1" s="1"/>
  <c r="Q34" i="1"/>
  <c r="U34" i="1"/>
  <c r="S34" i="1"/>
  <c r="N34" i="2"/>
  <c r="O34" i="2"/>
  <c r="M35" i="2" s="1"/>
  <c r="U34" i="2"/>
  <c r="Q34" i="2"/>
  <c r="L35" i="2"/>
  <c r="S34" i="2"/>
  <c r="T33" i="2"/>
  <c r="R33" i="2"/>
  <c r="L38" i="1"/>
  <c r="N38" i="1" s="1"/>
  <c r="M15" i="5" l="1"/>
  <c r="Q15" i="5" s="1"/>
  <c r="L15" i="5"/>
  <c r="M16" i="4"/>
  <c r="T15" i="4"/>
  <c r="R15" i="4"/>
  <c r="Q35" i="3"/>
  <c r="N35" i="3"/>
  <c r="L36" i="3" s="1"/>
  <c r="U35" i="3"/>
  <c r="S35" i="3"/>
  <c r="M36" i="3"/>
  <c r="R34" i="3"/>
  <c r="T34" i="1"/>
  <c r="R34" i="1"/>
  <c r="U35" i="1"/>
  <c r="Q35" i="1"/>
  <c r="S35" i="1"/>
  <c r="M36" i="1"/>
  <c r="O36" i="1" s="1"/>
  <c r="N35" i="2"/>
  <c r="O35" i="2"/>
  <c r="L36" i="2"/>
  <c r="U35" i="2"/>
  <c r="Q35" i="2"/>
  <c r="S35" i="2"/>
  <c r="M36" i="2"/>
  <c r="T34" i="2"/>
  <c r="R34" i="2"/>
  <c r="L39" i="1"/>
  <c r="N39" i="1" s="1"/>
  <c r="O36" i="3" l="1"/>
  <c r="M37" i="3" s="1"/>
  <c r="P15" i="5"/>
  <c r="U15" i="5"/>
  <c r="N15" i="5"/>
  <c r="Y15" i="5"/>
  <c r="W15" i="5"/>
  <c r="O15" i="5"/>
  <c r="O16" i="4"/>
  <c r="N16" i="4"/>
  <c r="N36" i="3"/>
  <c r="L37" i="3" s="1"/>
  <c r="Q36" i="3"/>
  <c r="U36" i="3"/>
  <c r="S36" i="3"/>
  <c r="R35" i="3"/>
  <c r="T35" i="1"/>
  <c r="R35" i="1"/>
  <c r="S36" i="1"/>
  <c r="M37" i="1"/>
  <c r="O37" i="1" s="1"/>
  <c r="Q36" i="1"/>
  <c r="U36" i="1"/>
  <c r="N36" i="2"/>
  <c r="O36" i="2"/>
  <c r="M37" i="2" s="1"/>
  <c r="S37" i="2" s="1"/>
  <c r="L37" i="2"/>
  <c r="U36" i="2"/>
  <c r="Q36" i="2"/>
  <c r="T35" i="2"/>
  <c r="R35" i="2"/>
  <c r="S36" i="2"/>
  <c r="L40" i="1"/>
  <c r="N40" i="1" s="1"/>
  <c r="X15" i="5" l="1"/>
  <c r="V15" i="5"/>
  <c r="R15" i="5"/>
  <c r="S15" i="5" s="1"/>
  <c r="T15" i="5" s="1"/>
  <c r="Q16" i="4"/>
  <c r="P16" i="4" s="1"/>
  <c r="L17" i="4" s="1"/>
  <c r="U16" i="4"/>
  <c r="S16" i="4"/>
  <c r="O37" i="3"/>
  <c r="M38" i="3" s="1"/>
  <c r="N37" i="3"/>
  <c r="L38" i="3" s="1"/>
  <c r="Q37" i="3"/>
  <c r="U37" i="3"/>
  <c r="S37" i="3"/>
  <c r="R36" i="3"/>
  <c r="T36" i="1"/>
  <c r="R36" i="1"/>
  <c r="M38" i="1"/>
  <c r="O38" i="1" s="1"/>
  <c r="U37" i="1"/>
  <c r="Q37" i="1"/>
  <c r="S37" i="1"/>
  <c r="N37" i="2"/>
  <c r="O37" i="2"/>
  <c r="T36" i="2"/>
  <c r="R36" i="2"/>
  <c r="Q37" i="2"/>
  <c r="L38" i="2"/>
  <c r="U37" i="2"/>
  <c r="M38" i="2"/>
  <c r="L41" i="1"/>
  <c r="N41" i="1" s="1"/>
  <c r="L16" i="5" l="1"/>
  <c r="M16" i="5"/>
  <c r="Q16" i="5" s="1"/>
  <c r="M17" i="4"/>
  <c r="T16" i="4"/>
  <c r="R16" i="4"/>
  <c r="O38" i="3"/>
  <c r="N38" i="3"/>
  <c r="Q38" i="3"/>
  <c r="U38" i="3"/>
  <c r="L39" i="3"/>
  <c r="S38" i="3"/>
  <c r="M39" i="3"/>
  <c r="R37" i="3"/>
  <c r="T37" i="1"/>
  <c r="R37" i="1"/>
  <c r="U38" i="1"/>
  <c r="M39" i="1"/>
  <c r="O39" i="1" s="1"/>
  <c r="S38" i="1"/>
  <c r="Q38" i="1"/>
  <c r="N38" i="2"/>
  <c r="O38" i="2"/>
  <c r="M39" i="2" s="1"/>
  <c r="Q38" i="2"/>
  <c r="L39" i="2"/>
  <c r="U38" i="2"/>
  <c r="R37" i="2"/>
  <c r="T37" i="2"/>
  <c r="S38" i="2"/>
  <c r="L42" i="1"/>
  <c r="N42" i="1" s="1"/>
  <c r="P16" i="5" l="1"/>
  <c r="O16" i="5"/>
  <c r="Y16" i="5"/>
  <c r="U16" i="5"/>
  <c r="N16" i="5"/>
  <c r="W16" i="5"/>
  <c r="O17" i="4"/>
  <c r="N17" i="4"/>
  <c r="O39" i="3"/>
  <c r="M40" i="3" s="1"/>
  <c r="N39" i="3"/>
  <c r="L40" i="3" s="1"/>
  <c r="Q39" i="3"/>
  <c r="U39" i="3"/>
  <c r="S39" i="3"/>
  <c r="R38" i="3"/>
  <c r="T38" i="1"/>
  <c r="R38" i="1"/>
  <c r="U39" i="1"/>
  <c r="Q39" i="1"/>
  <c r="S39" i="1"/>
  <c r="M40" i="1"/>
  <c r="O40" i="1" s="1"/>
  <c r="N39" i="2"/>
  <c r="O39" i="2"/>
  <c r="U39" i="2"/>
  <c r="Q39" i="2"/>
  <c r="L40" i="2"/>
  <c r="T38" i="2"/>
  <c r="R38" i="2"/>
  <c r="S39" i="2"/>
  <c r="M40" i="2"/>
  <c r="L43" i="1"/>
  <c r="N43" i="1" s="1"/>
  <c r="X16" i="5" l="1"/>
  <c r="V16" i="5"/>
  <c r="R16" i="5"/>
  <c r="S16" i="5" s="1"/>
  <c r="T16" i="5" s="1"/>
  <c r="U17" i="4"/>
  <c r="Q17" i="4"/>
  <c r="P17" i="4" s="1"/>
  <c r="L18" i="4" s="1"/>
  <c r="S17" i="4"/>
  <c r="O40" i="3"/>
  <c r="M41" i="3" s="1"/>
  <c r="Q40" i="3"/>
  <c r="N40" i="3"/>
  <c r="L41" i="3" s="1"/>
  <c r="U40" i="3"/>
  <c r="S40" i="3"/>
  <c r="R39" i="3"/>
  <c r="U40" i="1"/>
  <c r="Q40" i="1"/>
  <c r="S40" i="1"/>
  <c r="M41" i="1"/>
  <c r="O41" i="1" s="1"/>
  <c r="T39" i="1"/>
  <c r="R39" i="1"/>
  <c r="N40" i="2"/>
  <c r="O40" i="2"/>
  <c r="U40" i="2"/>
  <c r="Q40" i="2"/>
  <c r="L41" i="2"/>
  <c r="S40" i="2"/>
  <c r="T39" i="2"/>
  <c r="R39" i="2"/>
  <c r="M41" i="2"/>
  <c r="L44" i="1"/>
  <c r="N44" i="1" s="1"/>
  <c r="M17" i="5" l="1"/>
  <c r="Q17" i="5" s="1"/>
  <c r="L17" i="5"/>
  <c r="M18" i="4"/>
  <c r="T17" i="4"/>
  <c r="R17" i="4"/>
  <c r="O41" i="3"/>
  <c r="Q41" i="3"/>
  <c r="N41" i="3"/>
  <c r="L42" i="3" s="1"/>
  <c r="U41" i="3"/>
  <c r="S41" i="3"/>
  <c r="M42" i="3"/>
  <c r="R40" i="3"/>
  <c r="U41" i="1"/>
  <c r="Q41" i="1"/>
  <c r="M42" i="1"/>
  <c r="O42" i="1" s="1"/>
  <c r="T40" i="1"/>
  <c r="R40" i="1"/>
  <c r="N41" i="2"/>
  <c r="O41" i="2"/>
  <c r="M42" i="2" s="1"/>
  <c r="L42" i="2"/>
  <c r="U41" i="2"/>
  <c r="Q41" i="2"/>
  <c r="S41" i="2"/>
  <c r="T40" i="2"/>
  <c r="R40" i="2"/>
  <c r="L45" i="1"/>
  <c r="N45" i="1" s="1"/>
  <c r="O42" i="3" l="1"/>
  <c r="P17" i="5"/>
  <c r="Y17" i="5"/>
  <c r="U17" i="5"/>
  <c r="N17" i="5"/>
  <c r="W17" i="5"/>
  <c r="O17" i="5"/>
  <c r="O18" i="4"/>
  <c r="N18" i="4"/>
  <c r="Q42" i="3"/>
  <c r="N42" i="3"/>
  <c r="L43" i="3" s="1"/>
  <c r="O43" i="3" s="1"/>
  <c r="M43" i="3"/>
  <c r="U42" i="3"/>
  <c r="R41" i="3"/>
  <c r="S42" i="3"/>
  <c r="S41" i="1"/>
  <c r="Q42" i="1"/>
  <c r="M43" i="1"/>
  <c r="O43" i="1" s="1"/>
  <c r="U42" i="1"/>
  <c r="S42" i="1"/>
  <c r="T41" i="1"/>
  <c r="R41" i="1"/>
  <c r="N42" i="2"/>
  <c r="O42" i="2"/>
  <c r="M43" i="2"/>
  <c r="S42" i="2"/>
  <c r="T41" i="2"/>
  <c r="R41" i="2"/>
  <c r="L43" i="2"/>
  <c r="U42" i="2"/>
  <c r="S43" i="2"/>
  <c r="Q42" i="2"/>
  <c r="L46" i="1"/>
  <c r="N46" i="1" s="1"/>
  <c r="V17" i="5" l="1"/>
  <c r="R17" i="5"/>
  <c r="S17" i="5" s="1"/>
  <c r="T17" i="5" s="1"/>
  <c r="X17" i="5"/>
  <c r="Q18" i="4"/>
  <c r="P18" i="4" s="1"/>
  <c r="L19" i="4" s="1"/>
  <c r="U18" i="4"/>
  <c r="S18" i="4"/>
  <c r="N43" i="3"/>
  <c r="L44" i="3" s="1"/>
  <c r="Q43" i="3"/>
  <c r="U43" i="3"/>
  <c r="S43" i="3"/>
  <c r="M44" i="3"/>
  <c r="R42" i="3"/>
  <c r="Q43" i="1"/>
  <c r="U43" i="1"/>
  <c r="S43" i="1"/>
  <c r="M44" i="1"/>
  <c r="O44" i="1" s="1"/>
  <c r="T42" i="1"/>
  <c r="R42" i="1"/>
  <c r="N43" i="2"/>
  <c r="O43" i="2"/>
  <c r="Q43" i="2"/>
  <c r="L44" i="2"/>
  <c r="U43" i="2"/>
  <c r="T42" i="2"/>
  <c r="R42" i="2"/>
  <c r="M44" i="2"/>
  <c r="L47" i="1"/>
  <c r="N47" i="1" s="1"/>
  <c r="L18" i="5" l="1"/>
  <c r="M18" i="5"/>
  <c r="Q18" i="5" s="1"/>
  <c r="M19" i="4"/>
  <c r="R18" i="4"/>
  <c r="T18" i="4"/>
  <c r="O44" i="3"/>
  <c r="N44" i="3"/>
  <c r="Q44" i="3"/>
  <c r="U44" i="3"/>
  <c r="L45" i="3"/>
  <c r="S44" i="3"/>
  <c r="M45" i="3"/>
  <c r="R43" i="3"/>
  <c r="M45" i="1"/>
  <c r="O45" i="1" s="1"/>
  <c r="T43" i="1"/>
  <c r="R43" i="1"/>
  <c r="N44" i="2"/>
  <c r="O44" i="2"/>
  <c r="M45" i="2"/>
  <c r="R43" i="2"/>
  <c r="T43" i="2"/>
  <c r="Q44" i="2"/>
  <c r="L45" i="2"/>
  <c r="U44" i="2"/>
  <c r="S44" i="2"/>
  <c r="L48" i="1"/>
  <c r="N48" i="1" s="1"/>
  <c r="P18" i="5" l="1"/>
  <c r="O18" i="5"/>
  <c r="U18" i="5"/>
  <c r="N18" i="5"/>
  <c r="Y18" i="5"/>
  <c r="W18" i="5"/>
  <c r="O19" i="4"/>
  <c r="N19" i="4"/>
  <c r="O45" i="3"/>
  <c r="M46" i="3" s="1"/>
  <c r="Q45" i="3"/>
  <c r="N45" i="3"/>
  <c r="L46" i="3" s="1"/>
  <c r="U45" i="3"/>
  <c r="S45" i="3"/>
  <c r="R44" i="3"/>
  <c r="U44" i="1"/>
  <c r="Q44" i="1"/>
  <c r="S44" i="1"/>
  <c r="U45" i="1"/>
  <c r="Q45" i="1"/>
  <c r="S45" i="1"/>
  <c r="M46" i="1"/>
  <c r="O46" i="1" s="1"/>
  <c r="T44" i="1"/>
  <c r="R44" i="1"/>
  <c r="N45" i="2"/>
  <c r="O45" i="2"/>
  <c r="U45" i="2"/>
  <c r="Q45" i="2"/>
  <c r="L46" i="2"/>
  <c r="T44" i="2"/>
  <c r="R44" i="2"/>
  <c r="S45" i="2"/>
  <c r="M46" i="2"/>
  <c r="L49" i="1"/>
  <c r="N49" i="1" s="1"/>
  <c r="V18" i="5" l="1"/>
  <c r="X18" i="5"/>
  <c r="R18" i="5"/>
  <c r="S18" i="5" s="1"/>
  <c r="T18" i="5" s="1"/>
  <c r="U19" i="4"/>
  <c r="Q19" i="4"/>
  <c r="P19" i="4" s="1"/>
  <c r="L20" i="4" s="1"/>
  <c r="S19" i="4"/>
  <c r="O46" i="3"/>
  <c r="Q46" i="3"/>
  <c r="N46" i="3"/>
  <c r="L47" i="3" s="1"/>
  <c r="O47" i="3" s="1"/>
  <c r="U46" i="3"/>
  <c r="M47" i="3"/>
  <c r="S46" i="3"/>
  <c r="R45" i="3"/>
  <c r="M47" i="1"/>
  <c r="O47" i="1" s="1"/>
  <c r="Q46" i="1"/>
  <c r="S46" i="1"/>
  <c r="U46" i="1"/>
  <c r="T45" i="1"/>
  <c r="R45" i="1"/>
  <c r="N46" i="2"/>
  <c r="O46" i="2"/>
  <c r="U46" i="2"/>
  <c r="Q46" i="2"/>
  <c r="L47" i="2"/>
  <c r="S46" i="2"/>
  <c r="M47" i="2"/>
  <c r="T45" i="2"/>
  <c r="R45" i="2"/>
  <c r="L50" i="1"/>
  <c r="N50" i="1" s="1"/>
  <c r="M19" i="5" l="1"/>
  <c r="Q19" i="5" s="1"/>
  <c r="L19" i="5"/>
  <c r="M20" i="4"/>
  <c r="R19" i="4"/>
  <c r="T19" i="4"/>
  <c r="Q47" i="3"/>
  <c r="N47" i="3"/>
  <c r="L48" i="3" s="1"/>
  <c r="U47" i="3"/>
  <c r="S47" i="3"/>
  <c r="M48" i="3"/>
  <c r="R46" i="3"/>
  <c r="T46" i="1"/>
  <c r="R46" i="1"/>
  <c r="M48" i="1"/>
  <c r="O48" i="1" s="1"/>
  <c r="U47" i="1"/>
  <c r="S47" i="1"/>
  <c r="Q47" i="1"/>
  <c r="N47" i="2"/>
  <c r="O47" i="2"/>
  <c r="M48" i="2"/>
  <c r="L48" i="2"/>
  <c r="U47" i="2"/>
  <c r="Q47" i="2"/>
  <c r="S48" i="2"/>
  <c r="S47" i="2"/>
  <c r="T46" i="2"/>
  <c r="R46" i="2"/>
  <c r="L51" i="1"/>
  <c r="N51" i="1" s="1"/>
  <c r="O48" i="3" l="1"/>
  <c r="P19" i="5"/>
  <c r="Y19" i="5"/>
  <c r="U19" i="5"/>
  <c r="N19" i="5"/>
  <c r="W19" i="5"/>
  <c r="O19" i="5"/>
  <c r="O20" i="4"/>
  <c r="N20" i="4"/>
  <c r="N48" i="3"/>
  <c r="L49" i="3" s="1"/>
  <c r="Q48" i="3"/>
  <c r="U48" i="3"/>
  <c r="S48" i="3"/>
  <c r="M49" i="3"/>
  <c r="R47" i="3"/>
  <c r="T47" i="1"/>
  <c r="R47" i="1"/>
  <c r="Q48" i="1"/>
  <c r="M49" i="1"/>
  <c r="O49" i="1" s="1"/>
  <c r="S48" i="1"/>
  <c r="U48" i="1"/>
  <c r="N48" i="2"/>
  <c r="O48" i="2"/>
  <c r="T47" i="2"/>
  <c r="R47" i="2"/>
  <c r="Q48" i="2"/>
  <c r="L49" i="2"/>
  <c r="U48" i="2"/>
  <c r="M49" i="2"/>
  <c r="L52" i="1"/>
  <c r="N52" i="1" s="1"/>
  <c r="X19" i="5" l="1"/>
  <c r="V19" i="5"/>
  <c r="R19" i="5"/>
  <c r="S19" i="5" s="1"/>
  <c r="T19" i="5" s="1"/>
  <c r="U20" i="4"/>
  <c r="Q20" i="4"/>
  <c r="P20" i="4" s="1"/>
  <c r="L21" i="4" s="1"/>
  <c r="S20" i="4"/>
  <c r="O49" i="3"/>
  <c r="M50" i="3" s="1"/>
  <c r="N49" i="3"/>
  <c r="L50" i="3" s="1"/>
  <c r="Q49" i="3"/>
  <c r="U49" i="3"/>
  <c r="S49" i="3"/>
  <c r="R48" i="3"/>
  <c r="T48" i="1"/>
  <c r="R48" i="1"/>
  <c r="U49" i="1"/>
  <c r="Q49" i="1"/>
  <c r="M50" i="1"/>
  <c r="O50" i="1" s="1"/>
  <c r="S49" i="1"/>
  <c r="N49" i="2"/>
  <c r="O49" i="2"/>
  <c r="Q49" i="2"/>
  <c r="L50" i="2"/>
  <c r="U49" i="2"/>
  <c r="M50" i="2"/>
  <c r="T48" i="2"/>
  <c r="R48" i="2"/>
  <c r="S49" i="2"/>
  <c r="L53" i="1"/>
  <c r="N53" i="1" s="1"/>
  <c r="L20" i="5" l="1"/>
  <c r="M20" i="5"/>
  <c r="Q20" i="5" s="1"/>
  <c r="M21" i="4"/>
  <c r="T20" i="4"/>
  <c r="R20" i="4"/>
  <c r="O50" i="3"/>
  <c r="N50" i="3"/>
  <c r="Q50" i="3"/>
  <c r="U50" i="3"/>
  <c r="L51" i="3"/>
  <c r="S50" i="3"/>
  <c r="M51" i="3"/>
  <c r="R49" i="3"/>
  <c r="U50" i="1"/>
  <c r="Q50" i="1"/>
  <c r="M51" i="1"/>
  <c r="O51" i="1" s="1"/>
  <c r="T49" i="1"/>
  <c r="R49" i="1"/>
  <c r="N50" i="2"/>
  <c r="O50" i="2"/>
  <c r="M51" i="2" s="1"/>
  <c r="U50" i="2"/>
  <c r="Q50" i="2"/>
  <c r="L51" i="2"/>
  <c r="R49" i="2"/>
  <c r="T49" i="2"/>
  <c r="S50" i="2"/>
  <c r="L54" i="1"/>
  <c r="N54" i="1" s="1"/>
  <c r="P20" i="5" l="1"/>
  <c r="O20" i="5"/>
  <c r="Y20" i="5"/>
  <c r="U20" i="5"/>
  <c r="N20" i="5"/>
  <c r="W20" i="5"/>
  <c r="O21" i="4"/>
  <c r="N21" i="4"/>
  <c r="O51" i="3"/>
  <c r="M52" i="3" s="1"/>
  <c r="N51" i="3"/>
  <c r="L52" i="3" s="1"/>
  <c r="Q51" i="3"/>
  <c r="U51" i="3"/>
  <c r="S51" i="3"/>
  <c r="R50" i="3"/>
  <c r="S50" i="1"/>
  <c r="S51" i="1"/>
  <c r="U51" i="1"/>
  <c r="M52" i="1"/>
  <c r="O52" i="1" s="1"/>
  <c r="Q51" i="1"/>
  <c r="T50" i="1"/>
  <c r="R50" i="1"/>
  <c r="N51" i="2"/>
  <c r="O51" i="2"/>
  <c r="U51" i="2"/>
  <c r="Q51" i="2"/>
  <c r="L52" i="2"/>
  <c r="S51" i="2"/>
  <c r="M52" i="2"/>
  <c r="T50" i="2"/>
  <c r="R50" i="2"/>
  <c r="L55" i="1"/>
  <c r="N55" i="1" s="1"/>
  <c r="V20" i="5" l="1"/>
  <c r="R20" i="5"/>
  <c r="S20" i="5" s="1"/>
  <c r="T20" i="5" s="1"/>
  <c r="X20" i="5"/>
  <c r="Q21" i="4"/>
  <c r="P21" i="4" s="1"/>
  <c r="L22" i="4" s="1"/>
  <c r="U21" i="4"/>
  <c r="S21" i="4"/>
  <c r="O52" i="3"/>
  <c r="M53" i="3" s="1"/>
  <c r="Q52" i="3"/>
  <c r="N52" i="3"/>
  <c r="L53" i="3" s="1"/>
  <c r="U52" i="3"/>
  <c r="S52" i="3"/>
  <c r="R51" i="3"/>
  <c r="T51" i="1"/>
  <c r="R51" i="1"/>
  <c r="M53" i="1"/>
  <c r="O53" i="1" s="1"/>
  <c r="S52" i="1"/>
  <c r="Q52" i="1"/>
  <c r="U52" i="1"/>
  <c r="N52" i="2"/>
  <c r="O52" i="2"/>
  <c r="M53" i="2"/>
  <c r="U52" i="2"/>
  <c r="Q52" i="2"/>
  <c r="L53" i="2"/>
  <c r="S52" i="2"/>
  <c r="T51" i="2"/>
  <c r="R51" i="2"/>
  <c r="L56" i="1"/>
  <c r="N56" i="1" s="1"/>
  <c r="M21" i="5" l="1"/>
  <c r="Q21" i="5" s="1"/>
  <c r="L21" i="5"/>
  <c r="M22" i="4"/>
  <c r="T21" i="4"/>
  <c r="R21" i="4"/>
  <c r="O53" i="3"/>
  <c r="Q53" i="3"/>
  <c r="N53" i="3"/>
  <c r="L54" i="3" s="1"/>
  <c r="U53" i="3"/>
  <c r="S53" i="3"/>
  <c r="M54" i="3"/>
  <c r="R52" i="3"/>
  <c r="T52" i="1"/>
  <c r="R52" i="1"/>
  <c r="Q53" i="1"/>
  <c r="M54" i="1"/>
  <c r="O54" i="1" s="1"/>
  <c r="S53" i="1"/>
  <c r="U53" i="1"/>
  <c r="N53" i="2"/>
  <c r="O53" i="2"/>
  <c r="L54" i="2"/>
  <c r="U53" i="2"/>
  <c r="Q53" i="2"/>
  <c r="S53" i="2"/>
  <c r="M54" i="2"/>
  <c r="T52" i="2"/>
  <c r="R52" i="2"/>
  <c r="L57" i="1"/>
  <c r="N57" i="1" s="1"/>
  <c r="O54" i="3" l="1"/>
  <c r="M55" i="3" s="1"/>
  <c r="P21" i="5"/>
  <c r="U21" i="5"/>
  <c r="N21" i="5"/>
  <c r="Y21" i="5"/>
  <c r="W21" i="5"/>
  <c r="O21" i="5"/>
  <c r="O22" i="4"/>
  <c r="N22" i="4"/>
  <c r="N54" i="3"/>
  <c r="L55" i="3" s="1"/>
  <c r="Q54" i="3"/>
  <c r="U54" i="3"/>
  <c r="R53" i="3"/>
  <c r="S54" i="3"/>
  <c r="M55" i="1"/>
  <c r="O55" i="1" s="1"/>
  <c r="Q54" i="1"/>
  <c r="U54" i="1"/>
  <c r="S54" i="1"/>
  <c r="T53" i="1"/>
  <c r="R53" i="1"/>
  <c r="N54" i="2"/>
  <c r="O54" i="2"/>
  <c r="M55" i="2" s="1"/>
  <c r="S54" i="2"/>
  <c r="T53" i="2"/>
  <c r="R53" i="2"/>
  <c r="Q54" i="2"/>
  <c r="L55" i="2"/>
  <c r="U54" i="2"/>
  <c r="L58" i="1"/>
  <c r="N58" i="1" s="1"/>
  <c r="V21" i="5" l="1"/>
  <c r="X21" i="5"/>
  <c r="R21" i="5"/>
  <c r="S21" i="5" s="1"/>
  <c r="T21" i="5" s="1"/>
  <c r="U22" i="4"/>
  <c r="Q22" i="4"/>
  <c r="P22" i="4" s="1"/>
  <c r="L23" i="4" s="1"/>
  <c r="S22" i="4"/>
  <c r="O55" i="3"/>
  <c r="Q55" i="3"/>
  <c r="N55" i="3"/>
  <c r="L56" i="3" s="1"/>
  <c r="U55" i="3"/>
  <c r="S55" i="3"/>
  <c r="M56" i="3"/>
  <c r="R54" i="3"/>
  <c r="T54" i="1"/>
  <c r="R54" i="1"/>
  <c r="M56" i="1"/>
  <c r="O56" i="1" s="1"/>
  <c r="Q55" i="1"/>
  <c r="U55" i="1"/>
  <c r="S55" i="1"/>
  <c r="N55" i="2"/>
  <c r="O55" i="2"/>
  <c r="Q55" i="2"/>
  <c r="L56" i="2"/>
  <c r="U55" i="2"/>
  <c r="T54" i="2"/>
  <c r="R54" i="2"/>
  <c r="S55" i="2"/>
  <c r="M56" i="2"/>
  <c r="L59" i="1"/>
  <c r="N59" i="1" s="1"/>
  <c r="O56" i="3" l="1"/>
  <c r="L22" i="5"/>
  <c r="M22" i="5"/>
  <c r="Q22" i="5" s="1"/>
  <c r="M23" i="4"/>
  <c r="T22" i="4"/>
  <c r="R22" i="4"/>
  <c r="N56" i="3"/>
  <c r="Q56" i="3"/>
  <c r="U56" i="3"/>
  <c r="L57" i="3"/>
  <c r="S56" i="3"/>
  <c r="M57" i="3"/>
  <c r="R55" i="3"/>
  <c r="T55" i="1"/>
  <c r="R55" i="1"/>
  <c r="S56" i="1"/>
  <c r="Q56" i="1"/>
  <c r="U56" i="1"/>
  <c r="M57" i="1"/>
  <c r="O57" i="1" s="1"/>
  <c r="N56" i="2"/>
  <c r="O56" i="2"/>
  <c r="M57" i="2"/>
  <c r="U56" i="2"/>
  <c r="Q56" i="2"/>
  <c r="L57" i="2"/>
  <c r="R55" i="2"/>
  <c r="T55" i="2"/>
  <c r="S56" i="2"/>
  <c r="L60" i="1"/>
  <c r="N60" i="1" s="1"/>
  <c r="P22" i="5" l="1"/>
  <c r="O22" i="5"/>
  <c r="Y22" i="5"/>
  <c r="U22" i="5"/>
  <c r="N22" i="5"/>
  <c r="W22" i="5"/>
  <c r="O23" i="4"/>
  <c r="N23" i="4"/>
  <c r="O57" i="3"/>
  <c r="M58" i="3" s="1"/>
  <c r="N57" i="3"/>
  <c r="L58" i="3" s="1"/>
  <c r="O58" i="3" s="1"/>
  <c r="S57" i="3"/>
  <c r="Q57" i="3"/>
  <c r="U57" i="3"/>
  <c r="R56" i="3"/>
  <c r="Q57" i="1"/>
  <c r="U57" i="1"/>
  <c r="S57" i="1"/>
  <c r="M58" i="1"/>
  <c r="O58" i="1" s="1"/>
  <c r="T56" i="1"/>
  <c r="R56" i="1"/>
  <c r="N57" i="2"/>
  <c r="O57" i="2"/>
  <c r="U57" i="2"/>
  <c r="Q57" i="2"/>
  <c r="L58" i="2"/>
  <c r="T56" i="2"/>
  <c r="R56" i="2"/>
  <c r="S57" i="2"/>
  <c r="M58" i="2"/>
  <c r="L61" i="1"/>
  <c r="N61" i="1" s="1"/>
  <c r="X22" i="5" l="1"/>
  <c r="V22" i="5"/>
  <c r="R22" i="5"/>
  <c r="S22" i="5" s="1"/>
  <c r="T22" i="5" s="1"/>
  <c r="U23" i="4"/>
  <c r="Q23" i="4"/>
  <c r="P23" i="4" s="1"/>
  <c r="L24" i="4" s="1"/>
  <c r="S23" i="4"/>
  <c r="Q58" i="3"/>
  <c r="N58" i="3"/>
  <c r="L59" i="3" s="1"/>
  <c r="U58" i="3"/>
  <c r="S58" i="3"/>
  <c r="M59" i="3"/>
  <c r="R57" i="3"/>
  <c r="U58" i="1"/>
  <c r="Q58" i="1"/>
  <c r="M59" i="1"/>
  <c r="O59" i="1" s="1"/>
  <c r="T57" i="1"/>
  <c r="R57" i="1"/>
  <c r="S58" i="1"/>
  <c r="N58" i="2"/>
  <c r="O58" i="2"/>
  <c r="M59" i="2" s="1"/>
  <c r="U58" i="2"/>
  <c r="Q58" i="2"/>
  <c r="L59" i="2"/>
  <c r="S58" i="2"/>
  <c r="T57" i="2"/>
  <c r="R57" i="2"/>
  <c r="L62" i="1"/>
  <c r="N62" i="1" s="1"/>
  <c r="O59" i="3" l="1"/>
  <c r="M23" i="5"/>
  <c r="Q23" i="5" s="1"/>
  <c r="L23" i="5"/>
  <c r="M24" i="4"/>
  <c r="T23" i="4"/>
  <c r="R23" i="4"/>
  <c r="N59" i="3"/>
  <c r="L60" i="3" s="1"/>
  <c r="Q59" i="3"/>
  <c r="U59" i="3"/>
  <c r="S59" i="3"/>
  <c r="M60" i="3"/>
  <c r="R58" i="3"/>
  <c r="M60" i="1"/>
  <c r="O60" i="1" s="1"/>
  <c r="S59" i="1"/>
  <c r="U59" i="1"/>
  <c r="Q59" i="1"/>
  <c r="T58" i="1"/>
  <c r="R58" i="1"/>
  <c r="N59" i="2"/>
  <c r="O59" i="2"/>
  <c r="L60" i="2"/>
  <c r="U59" i="2"/>
  <c r="Q59" i="2"/>
  <c r="S59" i="2"/>
  <c r="M60" i="2"/>
  <c r="T58" i="2"/>
  <c r="R58" i="2"/>
  <c r="L63" i="1"/>
  <c r="N63" i="1" s="1"/>
  <c r="P23" i="5" l="1"/>
  <c r="Y23" i="5"/>
  <c r="U23" i="5"/>
  <c r="N23" i="5"/>
  <c r="W23" i="5"/>
  <c r="O23" i="5"/>
  <c r="O24" i="4"/>
  <c r="N24" i="4"/>
  <c r="O60" i="3"/>
  <c r="M61" i="3" s="1"/>
  <c r="Q60" i="3"/>
  <c r="N60" i="3"/>
  <c r="L61" i="3" s="1"/>
  <c r="O61" i="3" s="1"/>
  <c r="S60" i="3"/>
  <c r="R59" i="3"/>
  <c r="U60" i="3"/>
  <c r="T59" i="1"/>
  <c r="R59" i="1"/>
  <c r="Q60" i="1"/>
  <c r="S60" i="1"/>
  <c r="M61" i="1"/>
  <c r="O61" i="1" s="1"/>
  <c r="U60" i="1"/>
  <c r="N60" i="2"/>
  <c r="O60" i="2"/>
  <c r="M61" i="2"/>
  <c r="S60" i="2"/>
  <c r="T59" i="2"/>
  <c r="R59" i="2"/>
  <c r="Q60" i="2"/>
  <c r="L61" i="2"/>
  <c r="U60" i="2"/>
  <c r="L64" i="1"/>
  <c r="N64" i="1" s="1"/>
  <c r="V23" i="5" l="1"/>
  <c r="R23" i="5"/>
  <c r="S23" i="5" s="1"/>
  <c r="T23" i="5" s="1"/>
  <c r="X23" i="5"/>
  <c r="Q24" i="4"/>
  <c r="P24" i="4" s="1"/>
  <c r="L25" i="4" s="1"/>
  <c r="U24" i="4"/>
  <c r="S24" i="4"/>
  <c r="Q61" i="3"/>
  <c r="N61" i="3"/>
  <c r="L62" i="3" s="1"/>
  <c r="U61" i="3"/>
  <c r="S61" i="3"/>
  <c r="M62" i="3"/>
  <c r="R60" i="3"/>
  <c r="U61" i="1"/>
  <c r="M62" i="1"/>
  <c r="O62" i="1" s="1"/>
  <c r="S61" i="1"/>
  <c r="Q61" i="1"/>
  <c r="T60" i="1"/>
  <c r="R60" i="1"/>
  <c r="N61" i="2"/>
  <c r="O61" i="2"/>
  <c r="M62" i="2" s="1"/>
  <c r="Q61" i="2"/>
  <c r="L62" i="2"/>
  <c r="U61" i="2"/>
  <c r="T60" i="2"/>
  <c r="R60" i="2"/>
  <c r="S61" i="2"/>
  <c r="L65" i="1"/>
  <c r="N65" i="1" s="1"/>
  <c r="O62" i="3" l="1"/>
  <c r="L24" i="5"/>
  <c r="M24" i="5"/>
  <c r="Q24" i="5" s="1"/>
  <c r="M25" i="4"/>
  <c r="R24" i="4"/>
  <c r="T24" i="4"/>
  <c r="N62" i="3"/>
  <c r="Q62" i="3"/>
  <c r="U62" i="3"/>
  <c r="L63" i="3"/>
  <c r="S62" i="3"/>
  <c r="M63" i="3"/>
  <c r="R61" i="3"/>
  <c r="T61" i="1"/>
  <c r="R61" i="1"/>
  <c r="Q62" i="1"/>
  <c r="M63" i="1"/>
  <c r="O63" i="1" s="1"/>
  <c r="S62" i="1"/>
  <c r="U62" i="1"/>
  <c r="N62" i="2"/>
  <c r="O62" i="2"/>
  <c r="R61" i="2"/>
  <c r="T61" i="2"/>
  <c r="U62" i="2"/>
  <c r="Q62" i="2"/>
  <c r="L63" i="2"/>
  <c r="S62" i="2"/>
  <c r="M63" i="2"/>
  <c r="L66" i="1"/>
  <c r="N66" i="1" s="1"/>
  <c r="P24" i="5" l="1"/>
  <c r="O24" i="5"/>
  <c r="U24" i="5"/>
  <c r="N24" i="5"/>
  <c r="Y24" i="5"/>
  <c r="W24" i="5"/>
  <c r="O25" i="4"/>
  <c r="N25" i="4"/>
  <c r="O63" i="3"/>
  <c r="M64" i="3" s="1"/>
  <c r="Q63" i="3"/>
  <c r="N63" i="3"/>
  <c r="L64" i="3" s="1"/>
  <c r="U63" i="3"/>
  <c r="S63" i="3"/>
  <c r="R62" i="3"/>
  <c r="M64" i="1"/>
  <c r="O64" i="1" s="1"/>
  <c r="S63" i="1"/>
  <c r="Q63" i="1"/>
  <c r="U63" i="1"/>
  <c r="T62" i="1"/>
  <c r="R62" i="1"/>
  <c r="N63" i="2"/>
  <c r="O63" i="2"/>
  <c r="M64" i="2"/>
  <c r="U63" i="2"/>
  <c r="Q63" i="2"/>
  <c r="L64" i="2"/>
  <c r="T62" i="2"/>
  <c r="R62" i="2"/>
  <c r="S63" i="2"/>
  <c r="L67" i="1"/>
  <c r="N67" i="1" s="1"/>
  <c r="V24" i="5" l="1"/>
  <c r="X24" i="5"/>
  <c r="R24" i="5"/>
  <c r="S24" i="5" s="1"/>
  <c r="T24" i="5" s="1"/>
  <c r="U25" i="4"/>
  <c r="Q25" i="4"/>
  <c r="P25" i="4" s="1"/>
  <c r="L26" i="4" s="1"/>
  <c r="S25" i="4"/>
  <c r="O64" i="3"/>
  <c r="M65" i="3" s="1"/>
  <c r="Q64" i="3"/>
  <c r="N64" i="3"/>
  <c r="L65" i="3" s="1"/>
  <c r="U64" i="3"/>
  <c r="S64" i="3"/>
  <c r="R63" i="3"/>
  <c r="T63" i="1"/>
  <c r="R63" i="1"/>
  <c r="U64" i="1"/>
  <c r="M65" i="1"/>
  <c r="O65" i="1" s="1"/>
  <c r="S64" i="1"/>
  <c r="Q64" i="1"/>
  <c r="N64" i="2"/>
  <c r="O64" i="2"/>
  <c r="U64" i="2"/>
  <c r="Q64" i="2"/>
  <c r="L65" i="2"/>
  <c r="S64" i="2"/>
  <c r="M65" i="2"/>
  <c r="T63" i="2"/>
  <c r="R63" i="2"/>
  <c r="L68" i="1"/>
  <c r="N68" i="1" s="1"/>
  <c r="M25" i="5" l="1"/>
  <c r="Q25" i="5" s="1"/>
  <c r="L25" i="5"/>
  <c r="M26" i="4"/>
  <c r="T25" i="4"/>
  <c r="R25" i="4"/>
  <c r="O65" i="3"/>
  <c r="Q65" i="3"/>
  <c r="N65" i="3"/>
  <c r="L66" i="3" s="1"/>
  <c r="U65" i="3"/>
  <c r="S65" i="3"/>
  <c r="M66" i="3"/>
  <c r="R64" i="3"/>
  <c r="T64" i="1"/>
  <c r="R64" i="1"/>
  <c r="U65" i="1"/>
  <c r="Q65" i="1"/>
  <c r="M66" i="1"/>
  <c r="O66" i="1" s="1"/>
  <c r="S65" i="1"/>
  <c r="N65" i="2"/>
  <c r="O65" i="2"/>
  <c r="M66" i="2"/>
  <c r="L66" i="2"/>
  <c r="U65" i="2"/>
  <c r="Q65" i="2"/>
  <c r="S65" i="2"/>
  <c r="T64" i="2"/>
  <c r="R64" i="2"/>
  <c r="L69" i="1"/>
  <c r="N69" i="1" s="1"/>
  <c r="O66" i="3" l="1"/>
  <c r="P25" i="5"/>
  <c r="Y25" i="5"/>
  <c r="U25" i="5"/>
  <c r="N25" i="5"/>
  <c r="W25" i="5"/>
  <c r="O25" i="5"/>
  <c r="N26" i="4"/>
  <c r="O26" i="4"/>
  <c r="S66" i="3"/>
  <c r="N66" i="3"/>
  <c r="L67" i="3" s="1"/>
  <c r="Q66" i="3"/>
  <c r="R65" i="3"/>
  <c r="U66" i="3"/>
  <c r="M67" i="3"/>
  <c r="S66" i="1"/>
  <c r="M67" i="1"/>
  <c r="O67" i="1" s="1"/>
  <c r="U66" i="1"/>
  <c r="Q66" i="1"/>
  <c r="T65" i="1"/>
  <c r="R65" i="1"/>
  <c r="N66" i="2"/>
  <c r="O66" i="2"/>
  <c r="S66" i="2"/>
  <c r="T65" i="2"/>
  <c r="R65" i="2"/>
  <c r="Q66" i="2"/>
  <c r="L67" i="2"/>
  <c r="U66" i="2"/>
  <c r="M67" i="2"/>
  <c r="L70" i="1"/>
  <c r="N70" i="1" s="1"/>
  <c r="X25" i="5" l="1"/>
  <c r="V25" i="5"/>
  <c r="R25" i="5"/>
  <c r="S25" i="5" s="1"/>
  <c r="T25" i="5" s="1"/>
  <c r="Q26" i="4"/>
  <c r="P26" i="4" s="1"/>
  <c r="L27" i="4" s="1"/>
  <c r="U26" i="4"/>
  <c r="S26" i="4"/>
  <c r="O67" i="3"/>
  <c r="Q67" i="3"/>
  <c r="N67" i="3"/>
  <c r="L68" i="3" s="1"/>
  <c r="U67" i="3"/>
  <c r="S67" i="3"/>
  <c r="M68" i="3"/>
  <c r="R66" i="3"/>
  <c r="U67" i="1"/>
  <c r="Q67" i="1"/>
  <c r="M68" i="1"/>
  <c r="O68" i="1" s="1"/>
  <c r="S67" i="1"/>
  <c r="T66" i="1"/>
  <c r="R66" i="1"/>
  <c r="N67" i="2"/>
  <c r="O67" i="2"/>
  <c r="M68" i="2" s="1"/>
  <c r="Q67" i="2"/>
  <c r="L68" i="2"/>
  <c r="U67" i="2"/>
  <c r="T66" i="2"/>
  <c r="R66" i="2"/>
  <c r="S67" i="2"/>
  <c r="L71" i="1"/>
  <c r="N71" i="1" s="1"/>
  <c r="O68" i="3" l="1"/>
  <c r="L26" i="5"/>
  <c r="M26" i="5"/>
  <c r="Q26" i="5" s="1"/>
  <c r="M27" i="4"/>
  <c r="R26" i="4"/>
  <c r="T26" i="4"/>
  <c r="N68" i="3"/>
  <c r="Q68" i="3"/>
  <c r="U68" i="3"/>
  <c r="L69" i="3"/>
  <c r="S68" i="3"/>
  <c r="M69" i="3"/>
  <c r="R67" i="3"/>
  <c r="M69" i="1"/>
  <c r="O69" i="1" s="1"/>
  <c r="U68" i="1"/>
  <c r="Q68" i="1"/>
  <c r="S68" i="1"/>
  <c r="T67" i="1"/>
  <c r="R67" i="1"/>
  <c r="O68" i="2"/>
  <c r="S68" i="2"/>
  <c r="N68" i="2"/>
  <c r="U68" i="2"/>
  <c r="Q68" i="2"/>
  <c r="L69" i="2"/>
  <c r="R67" i="2"/>
  <c r="T67" i="2"/>
  <c r="M69" i="2"/>
  <c r="L72" i="1"/>
  <c r="N72" i="1" s="1"/>
  <c r="P26" i="5" l="1"/>
  <c r="O26" i="5"/>
  <c r="Y26" i="5"/>
  <c r="U26" i="5"/>
  <c r="N26" i="5"/>
  <c r="W26" i="5"/>
  <c r="O27" i="4"/>
  <c r="N27" i="4"/>
  <c r="O69" i="3"/>
  <c r="M70" i="3" s="1"/>
  <c r="Q69" i="3"/>
  <c r="N69" i="3"/>
  <c r="L70" i="3" s="1"/>
  <c r="U69" i="3"/>
  <c r="S69" i="3"/>
  <c r="R68" i="3"/>
  <c r="T68" i="1"/>
  <c r="R68" i="1"/>
  <c r="S69" i="1"/>
  <c r="U69" i="1"/>
  <c r="Q69" i="1"/>
  <c r="M70" i="1"/>
  <c r="O70" i="1" s="1"/>
  <c r="N69" i="2"/>
  <c r="O69" i="2"/>
  <c r="M70" i="2"/>
  <c r="U69" i="2"/>
  <c r="Q69" i="2"/>
  <c r="L70" i="2"/>
  <c r="T68" i="2"/>
  <c r="R68" i="2"/>
  <c r="S69" i="2"/>
  <c r="L73" i="1"/>
  <c r="N73" i="1" s="1"/>
  <c r="O70" i="3" l="1"/>
  <c r="X26" i="5"/>
  <c r="V26" i="5"/>
  <c r="R26" i="5"/>
  <c r="S26" i="5" s="1"/>
  <c r="T26" i="5" s="1"/>
  <c r="U27" i="4"/>
  <c r="Q27" i="4"/>
  <c r="P27" i="4" s="1"/>
  <c r="L28" i="4" s="1"/>
  <c r="S27" i="4"/>
  <c r="Q70" i="3"/>
  <c r="N70" i="3"/>
  <c r="L71" i="3" s="1"/>
  <c r="U70" i="3"/>
  <c r="S70" i="3"/>
  <c r="M71" i="3"/>
  <c r="R69" i="3"/>
  <c r="M71" i="1"/>
  <c r="O71" i="1" s="1"/>
  <c r="S70" i="1"/>
  <c r="U70" i="1"/>
  <c r="Q70" i="1"/>
  <c r="T69" i="1"/>
  <c r="R69" i="1"/>
  <c r="N70" i="2"/>
  <c r="O70" i="2"/>
  <c r="U70" i="2"/>
  <c r="Q70" i="2"/>
  <c r="L71" i="2"/>
  <c r="S70" i="2"/>
  <c r="M71" i="2"/>
  <c r="T69" i="2"/>
  <c r="R69" i="2"/>
  <c r="L74" i="1"/>
  <c r="N74" i="1" s="1"/>
  <c r="O71" i="3" l="1"/>
  <c r="M27" i="5"/>
  <c r="Q27" i="5" s="1"/>
  <c r="L27" i="5"/>
  <c r="M28" i="4"/>
  <c r="R27" i="4"/>
  <c r="T27" i="4"/>
  <c r="Q71" i="3"/>
  <c r="N71" i="3"/>
  <c r="L72" i="3" s="1"/>
  <c r="U71" i="3"/>
  <c r="S71" i="3"/>
  <c r="M72" i="3"/>
  <c r="R70" i="3"/>
  <c r="T70" i="1"/>
  <c r="R70" i="1"/>
  <c r="Q71" i="1"/>
  <c r="M72" i="1"/>
  <c r="O72" i="1" s="1"/>
  <c r="U71" i="1"/>
  <c r="N71" i="2"/>
  <c r="O71" i="2"/>
  <c r="M72" i="2"/>
  <c r="L72" i="2"/>
  <c r="U71" i="2"/>
  <c r="S72" i="2"/>
  <c r="Q71" i="2"/>
  <c r="S71" i="2"/>
  <c r="T70" i="2"/>
  <c r="R70" i="2"/>
  <c r="L75" i="1"/>
  <c r="N75" i="1" s="1"/>
  <c r="O72" i="3" l="1"/>
  <c r="P27" i="5"/>
  <c r="U27" i="5"/>
  <c r="N27" i="5"/>
  <c r="Y27" i="5"/>
  <c r="W27" i="5"/>
  <c r="O27" i="5"/>
  <c r="O28" i="4"/>
  <c r="N28" i="4"/>
  <c r="Q72" i="3"/>
  <c r="N72" i="3"/>
  <c r="L73" i="3" s="1"/>
  <c r="M73" i="3"/>
  <c r="U72" i="3"/>
  <c r="R71" i="3"/>
  <c r="S72" i="3"/>
  <c r="S71" i="1"/>
  <c r="U72" i="1"/>
  <c r="Q72" i="1"/>
  <c r="S72" i="1"/>
  <c r="M73" i="1"/>
  <c r="O73" i="1" s="1"/>
  <c r="T71" i="1"/>
  <c r="R71" i="1"/>
  <c r="N72" i="2"/>
  <c r="O72" i="2"/>
  <c r="T71" i="2"/>
  <c r="R71" i="2"/>
  <c r="Q72" i="2"/>
  <c r="L73" i="2"/>
  <c r="U72" i="2"/>
  <c r="M73" i="2"/>
  <c r="L76" i="1"/>
  <c r="N76" i="1" s="1"/>
  <c r="O73" i="3" l="1"/>
  <c r="R27" i="5"/>
  <c r="S27" i="5" s="1"/>
  <c r="T27" i="5" s="1"/>
  <c r="V27" i="5"/>
  <c r="X27" i="5"/>
  <c r="U28" i="4"/>
  <c r="Q28" i="4"/>
  <c r="P28" i="4" s="1"/>
  <c r="L29" i="4" s="1"/>
  <c r="S28" i="4"/>
  <c r="Q73" i="3"/>
  <c r="N73" i="3"/>
  <c r="L74" i="3" s="1"/>
  <c r="U73" i="3"/>
  <c r="S73" i="3"/>
  <c r="M74" i="3"/>
  <c r="R72" i="3"/>
  <c r="Q73" i="1"/>
  <c r="U73" i="1"/>
  <c r="S73" i="1"/>
  <c r="M74" i="1"/>
  <c r="O74" i="1" s="1"/>
  <c r="T72" i="1"/>
  <c r="R72" i="1"/>
  <c r="N73" i="2"/>
  <c r="O73" i="2"/>
  <c r="M74" i="2" s="1"/>
  <c r="Q73" i="2"/>
  <c r="L74" i="2"/>
  <c r="U73" i="2"/>
  <c r="T72" i="2"/>
  <c r="R72" i="2"/>
  <c r="S73" i="2"/>
  <c r="L77" i="1"/>
  <c r="N77" i="1" s="1"/>
  <c r="O74" i="3" l="1"/>
  <c r="L28" i="5"/>
  <c r="M28" i="5"/>
  <c r="Q28" i="5" s="1"/>
  <c r="M29" i="4"/>
  <c r="R28" i="4"/>
  <c r="T28" i="4"/>
  <c r="N74" i="3"/>
  <c r="Q74" i="3"/>
  <c r="U74" i="3"/>
  <c r="M75" i="3"/>
  <c r="L75" i="3"/>
  <c r="O75" i="3" s="1"/>
  <c r="S74" i="3"/>
  <c r="R73" i="3"/>
  <c r="U74" i="1"/>
  <c r="Q74" i="1"/>
  <c r="T73" i="1"/>
  <c r="R73" i="1"/>
  <c r="N74" i="2"/>
  <c r="O74" i="2"/>
  <c r="U74" i="2"/>
  <c r="Q74" i="2"/>
  <c r="L75" i="2"/>
  <c r="S74" i="2"/>
  <c r="R73" i="2"/>
  <c r="T73" i="2"/>
  <c r="M75" i="2"/>
  <c r="L78" i="1"/>
  <c r="N78" i="1" s="1"/>
  <c r="P28" i="5" l="1"/>
  <c r="O28" i="5"/>
  <c r="Y28" i="5"/>
  <c r="U28" i="5"/>
  <c r="N28" i="5"/>
  <c r="W28" i="5"/>
  <c r="O29" i="4"/>
  <c r="N29" i="4"/>
  <c r="N75" i="3"/>
  <c r="L76" i="3" s="1"/>
  <c r="Q75" i="3"/>
  <c r="U75" i="3"/>
  <c r="S75" i="3"/>
  <c r="M76" i="3"/>
  <c r="R74" i="3"/>
  <c r="M75" i="1"/>
  <c r="O75" i="1" s="1"/>
  <c r="S74" i="1"/>
  <c r="T74" i="1"/>
  <c r="R74" i="1"/>
  <c r="N75" i="2"/>
  <c r="O75" i="2"/>
  <c r="U75" i="2"/>
  <c r="Q75" i="2"/>
  <c r="L76" i="2"/>
  <c r="S75" i="2"/>
  <c r="M76" i="2"/>
  <c r="T74" i="2"/>
  <c r="R74" i="2"/>
  <c r="L79" i="1"/>
  <c r="N79" i="1" s="1"/>
  <c r="X28" i="5" l="1"/>
  <c r="V28" i="5"/>
  <c r="R28" i="5"/>
  <c r="S28" i="5" s="1"/>
  <c r="T28" i="5" s="1"/>
  <c r="Q29" i="4"/>
  <c r="P29" i="4" s="1"/>
  <c r="L30" i="4" s="1"/>
  <c r="U29" i="4"/>
  <c r="S29" i="4"/>
  <c r="O76" i="3"/>
  <c r="M77" i="3" s="1"/>
  <c r="Q76" i="3"/>
  <c r="N76" i="3"/>
  <c r="L77" i="3" s="1"/>
  <c r="U76" i="3"/>
  <c r="S76" i="3"/>
  <c r="R75" i="3"/>
  <c r="M76" i="1"/>
  <c r="O76" i="1" s="1"/>
  <c r="S75" i="1"/>
  <c r="Q75" i="1"/>
  <c r="U75" i="1"/>
  <c r="T75" i="1"/>
  <c r="R75" i="1"/>
  <c r="N76" i="2"/>
  <c r="O76" i="2"/>
  <c r="M77" i="2" s="1"/>
  <c r="U76" i="2"/>
  <c r="Q76" i="2"/>
  <c r="L77" i="2"/>
  <c r="S76" i="2"/>
  <c r="T75" i="2"/>
  <c r="R75" i="2"/>
  <c r="L80" i="1"/>
  <c r="N80" i="1" s="1"/>
  <c r="M29" i="5" l="1"/>
  <c r="Q29" i="5" s="1"/>
  <c r="L29" i="5"/>
  <c r="M30" i="4"/>
  <c r="T29" i="4"/>
  <c r="R29" i="4"/>
  <c r="O77" i="3"/>
  <c r="Q77" i="3"/>
  <c r="N77" i="3"/>
  <c r="L78" i="3" s="1"/>
  <c r="U77" i="3"/>
  <c r="S77" i="3"/>
  <c r="M78" i="3"/>
  <c r="R76" i="3"/>
  <c r="M77" i="1"/>
  <c r="O77" i="1" s="1"/>
  <c r="Q76" i="1"/>
  <c r="T76" i="1" s="1"/>
  <c r="S76" i="1"/>
  <c r="U76" i="1"/>
  <c r="N77" i="2"/>
  <c r="O77" i="2"/>
  <c r="L78" i="2"/>
  <c r="U77" i="2"/>
  <c r="Q77" i="2"/>
  <c r="S77" i="2"/>
  <c r="M78" i="2"/>
  <c r="T76" i="2"/>
  <c r="R76" i="2"/>
  <c r="L81" i="1"/>
  <c r="N81" i="1" s="1"/>
  <c r="O78" i="3" l="1"/>
  <c r="P29" i="5"/>
  <c r="N29" i="5"/>
  <c r="Y29" i="5"/>
  <c r="U29" i="5"/>
  <c r="W29" i="5"/>
  <c r="O29" i="5"/>
  <c r="N30" i="4"/>
  <c r="O30" i="4"/>
  <c r="R76" i="1"/>
  <c r="N78" i="3"/>
  <c r="L79" i="3" s="1"/>
  <c r="Q78" i="3"/>
  <c r="U78" i="3"/>
  <c r="R77" i="3"/>
  <c r="S78" i="3"/>
  <c r="M79" i="3"/>
  <c r="S77" i="1"/>
  <c r="U77" i="1"/>
  <c r="M78" i="1"/>
  <c r="O78" i="1" s="1"/>
  <c r="Q77" i="1"/>
  <c r="T77" i="1" s="1"/>
  <c r="N78" i="2"/>
  <c r="O78" i="2"/>
  <c r="M79" i="2"/>
  <c r="S78" i="2"/>
  <c r="T77" i="2"/>
  <c r="R77" i="2"/>
  <c r="Q78" i="2"/>
  <c r="L79" i="2"/>
  <c r="U78" i="2"/>
  <c r="L82" i="1"/>
  <c r="N82" i="1" s="1"/>
  <c r="R29" i="5" l="1"/>
  <c r="S29" i="5" s="1"/>
  <c r="T29" i="5" s="1"/>
  <c r="X29" i="5"/>
  <c r="V29" i="5"/>
  <c r="U30" i="4"/>
  <c r="Q30" i="4"/>
  <c r="P30" i="4" s="1"/>
  <c r="L31" i="4" s="1"/>
  <c r="S30" i="4"/>
  <c r="R77" i="1"/>
  <c r="O79" i="3"/>
  <c r="M80" i="3" s="1"/>
  <c r="N79" i="3"/>
  <c r="Q79" i="3"/>
  <c r="L80" i="3"/>
  <c r="U79" i="3"/>
  <c r="S79" i="3"/>
  <c r="R78" i="3"/>
  <c r="Q78" i="1"/>
  <c r="S78" i="1"/>
  <c r="U78" i="1"/>
  <c r="M79" i="1"/>
  <c r="O79" i="1" s="1"/>
  <c r="T78" i="1"/>
  <c r="R78" i="1"/>
  <c r="N79" i="2"/>
  <c r="O79" i="2"/>
  <c r="Q79" i="2"/>
  <c r="L80" i="2"/>
  <c r="U79" i="2"/>
  <c r="S79" i="2"/>
  <c r="T78" i="2"/>
  <c r="R78" i="2"/>
  <c r="M80" i="2"/>
  <c r="L83" i="1"/>
  <c r="N83" i="1" s="1"/>
  <c r="L30" i="5" l="1"/>
  <c r="M30" i="5"/>
  <c r="Q30" i="5" s="1"/>
  <c r="M31" i="4"/>
  <c r="R30" i="4"/>
  <c r="T30" i="4"/>
  <c r="O80" i="3"/>
  <c r="N80" i="3"/>
  <c r="Q80" i="3"/>
  <c r="U80" i="3"/>
  <c r="M81" i="3"/>
  <c r="L81" i="3"/>
  <c r="O81" i="3" s="1"/>
  <c r="S80" i="3"/>
  <c r="R79" i="3"/>
  <c r="S79" i="1"/>
  <c r="M80" i="1"/>
  <c r="O80" i="1" s="1"/>
  <c r="Q79" i="1"/>
  <c r="U79" i="1"/>
  <c r="T79" i="1"/>
  <c r="R79" i="1"/>
  <c r="N80" i="2"/>
  <c r="O80" i="2"/>
  <c r="M81" i="2" s="1"/>
  <c r="U80" i="2"/>
  <c r="Q80" i="2"/>
  <c r="L81" i="2"/>
  <c r="S80" i="2"/>
  <c r="R79" i="2"/>
  <c r="T79" i="2"/>
  <c r="L84" i="1"/>
  <c r="N84" i="1" s="1"/>
  <c r="P30" i="5" l="1"/>
  <c r="O30" i="5"/>
  <c r="U30" i="5"/>
  <c r="N30" i="5"/>
  <c r="Y30" i="5"/>
  <c r="W30" i="5"/>
  <c r="O31" i="4"/>
  <c r="N31" i="4"/>
  <c r="Q81" i="3"/>
  <c r="N81" i="3"/>
  <c r="L82" i="3" s="1"/>
  <c r="U81" i="3"/>
  <c r="S81" i="3"/>
  <c r="M82" i="3"/>
  <c r="R80" i="3"/>
  <c r="Q80" i="1"/>
  <c r="T80" i="1" s="1"/>
  <c r="U80" i="1"/>
  <c r="S80" i="1"/>
  <c r="M81" i="1"/>
  <c r="O81" i="1" s="1"/>
  <c r="N81" i="2"/>
  <c r="O81" i="2"/>
  <c r="S81" i="2"/>
  <c r="T80" i="2"/>
  <c r="R80" i="2"/>
  <c r="U81" i="2"/>
  <c r="Q81" i="2"/>
  <c r="L82" i="2"/>
  <c r="M82" i="2"/>
  <c r="L85" i="1"/>
  <c r="N85" i="1" s="1"/>
  <c r="R30" i="5" l="1"/>
  <c r="S30" i="5" s="1"/>
  <c r="T30" i="5" s="1"/>
  <c r="V30" i="5"/>
  <c r="X30" i="5"/>
  <c r="U31" i="4"/>
  <c r="Q31" i="4"/>
  <c r="P31" i="4" s="1"/>
  <c r="L32" i="4" s="1"/>
  <c r="S31" i="4"/>
  <c r="R80" i="1"/>
  <c r="O82" i="3"/>
  <c r="N82" i="3"/>
  <c r="L83" i="3" s="1"/>
  <c r="Q82" i="3"/>
  <c r="U82" i="3"/>
  <c r="M83" i="3"/>
  <c r="S82" i="3"/>
  <c r="R81" i="3"/>
  <c r="U81" i="1"/>
  <c r="M82" i="1"/>
  <c r="O82" i="1" s="1"/>
  <c r="Q81" i="1"/>
  <c r="S81" i="1"/>
  <c r="T81" i="1"/>
  <c r="R81" i="1"/>
  <c r="N82" i="2"/>
  <c r="O82" i="2"/>
  <c r="M83" i="2" s="1"/>
  <c r="U82" i="2"/>
  <c r="Q82" i="2"/>
  <c r="L83" i="2"/>
  <c r="S82" i="2"/>
  <c r="T81" i="2"/>
  <c r="R81" i="2"/>
  <c r="L86" i="1"/>
  <c r="N86" i="1" s="1"/>
  <c r="O83" i="3" l="1"/>
  <c r="M31" i="5"/>
  <c r="Q31" i="5" s="1"/>
  <c r="L31" i="5"/>
  <c r="M32" i="4"/>
  <c r="R31" i="4"/>
  <c r="T31" i="4"/>
  <c r="Q83" i="3"/>
  <c r="N83" i="3"/>
  <c r="L84" i="3" s="1"/>
  <c r="U83" i="3"/>
  <c r="S83" i="3"/>
  <c r="M84" i="3"/>
  <c r="R82" i="3"/>
  <c r="S82" i="1"/>
  <c r="Q82" i="1"/>
  <c r="R82" i="1" s="1"/>
  <c r="U82" i="1"/>
  <c r="M83" i="1"/>
  <c r="O83" i="1" s="1"/>
  <c r="N83" i="2"/>
  <c r="O83" i="2"/>
  <c r="L84" i="2"/>
  <c r="U83" i="2"/>
  <c r="Q83" i="2"/>
  <c r="S83" i="2"/>
  <c r="M84" i="2"/>
  <c r="S84" i="2" s="1"/>
  <c r="T82" i="2"/>
  <c r="R82" i="2"/>
  <c r="L87" i="1"/>
  <c r="N87" i="1" s="1"/>
  <c r="O84" i="3" l="1"/>
  <c r="P31" i="5"/>
  <c r="U31" i="5"/>
  <c r="N31" i="5"/>
  <c r="Y31" i="5"/>
  <c r="W31" i="5"/>
  <c r="O31" i="5"/>
  <c r="O32" i="4"/>
  <c r="N32" i="4"/>
  <c r="T82" i="1"/>
  <c r="N84" i="3"/>
  <c r="L85" i="3" s="1"/>
  <c r="Q84" i="3"/>
  <c r="U84" i="3"/>
  <c r="S84" i="3"/>
  <c r="M85" i="3"/>
  <c r="R83" i="3"/>
  <c r="M84" i="1"/>
  <c r="O84" i="1" s="1"/>
  <c r="Q83" i="1"/>
  <c r="R83" i="1" s="1"/>
  <c r="U83" i="1"/>
  <c r="S83" i="1"/>
  <c r="N84" i="2"/>
  <c r="O84" i="2"/>
  <c r="T83" i="2"/>
  <c r="R83" i="2"/>
  <c r="Q84" i="2"/>
  <c r="L85" i="2"/>
  <c r="U84" i="2"/>
  <c r="M85" i="2"/>
  <c r="L88" i="1"/>
  <c r="N88" i="1" s="1"/>
  <c r="V31" i="5" l="1"/>
  <c r="R31" i="5"/>
  <c r="S31" i="5" s="1"/>
  <c r="T31" i="5" s="1"/>
  <c r="X31" i="5"/>
  <c r="U32" i="4"/>
  <c r="Q32" i="4"/>
  <c r="P32" i="4" s="1"/>
  <c r="L33" i="4" s="1"/>
  <c r="S32" i="4"/>
  <c r="T83" i="1"/>
  <c r="O85" i="3"/>
  <c r="M86" i="3" s="1"/>
  <c r="N85" i="3"/>
  <c r="L86" i="3" s="1"/>
  <c r="Q85" i="3"/>
  <c r="U85" i="3"/>
  <c r="S85" i="3"/>
  <c r="R84" i="3"/>
  <c r="S84" i="1"/>
  <c r="M85" i="1"/>
  <c r="O85" i="1" s="1"/>
  <c r="U84" i="1"/>
  <c r="Q84" i="1"/>
  <c r="T84" i="1" s="1"/>
  <c r="N85" i="2"/>
  <c r="O85" i="2"/>
  <c r="T84" i="2"/>
  <c r="R84" i="2"/>
  <c r="M86" i="2"/>
  <c r="Q85" i="2"/>
  <c r="L86" i="2"/>
  <c r="U85" i="2"/>
  <c r="S85" i="2"/>
  <c r="L89" i="1"/>
  <c r="N89" i="1" s="1"/>
  <c r="L32" i="5" l="1"/>
  <c r="M32" i="5"/>
  <c r="Q32" i="5" s="1"/>
  <c r="M33" i="4"/>
  <c r="R32" i="4"/>
  <c r="T32" i="4"/>
  <c r="R84" i="1"/>
  <c r="O86" i="3"/>
  <c r="Q86" i="3"/>
  <c r="N86" i="3"/>
  <c r="L87" i="3" s="1"/>
  <c r="U86" i="3"/>
  <c r="M87" i="3"/>
  <c r="R85" i="3"/>
  <c r="S86" i="3"/>
  <c r="S85" i="1"/>
  <c r="U85" i="1"/>
  <c r="Q85" i="1"/>
  <c r="M86" i="1"/>
  <c r="O86" i="1" s="1"/>
  <c r="T85" i="1"/>
  <c r="R85" i="1"/>
  <c r="N86" i="2"/>
  <c r="O86" i="2"/>
  <c r="M87" i="2"/>
  <c r="R85" i="2"/>
  <c r="T85" i="2"/>
  <c r="U86" i="2"/>
  <c r="Q86" i="2"/>
  <c r="L87" i="2"/>
  <c r="S86" i="2"/>
  <c r="L90" i="1"/>
  <c r="N90" i="1" s="1"/>
  <c r="P32" i="5" l="1"/>
  <c r="O32" i="5"/>
  <c r="Y32" i="5"/>
  <c r="U32" i="5"/>
  <c r="N32" i="5"/>
  <c r="W32" i="5"/>
  <c r="N33" i="4"/>
  <c r="O33" i="4"/>
  <c r="O87" i="3"/>
  <c r="M88" i="3" s="1"/>
  <c r="Q87" i="3"/>
  <c r="N87" i="3"/>
  <c r="L88" i="3" s="1"/>
  <c r="U87" i="3"/>
  <c r="S87" i="3"/>
  <c r="R86" i="3"/>
  <c r="U86" i="1"/>
  <c r="Q86" i="1"/>
  <c r="M87" i="1"/>
  <c r="O87" i="1" s="1"/>
  <c r="S86" i="1"/>
  <c r="T86" i="1"/>
  <c r="R86" i="1"/>
  <c r="N87" i="2"/>
  <c r="O87" i="2"/>
  <c r="U87" i="2"/>
  <c r="Q87" i="2"/>
  <c r="L88" i="2"/>
  <c r="S87" i="2"/>
  <c r="T86" i="2"/>
  <c r="R86" i="2"/>
  <c r="M88" i="2"/>
  <c r="L91" i="1"/>
  <c r="N91" i="1" s="1"/>
  <c r="X32" i="5" l="1"/>
  <c r="V32" i="5"/>
  <c r="R32" i="5"/>
  <c r="S32" i="5" s="1"/>
  <c r="T32" i="5" s="1"/>
  <c r="Q33" i="4"/>
  <c r="P33" i="4" s="1"/>
  <c r="L34" i="4" s="1"/>
  <c r="U33" i="4"/>
  <c r="S33" i="4"/>
  <c r="O88" i="3"/>
  <c r="M89" i="3" s="1"/>
  <c r="N88" i="3"/>
  <c r="Q88" i="3"/>
  <c r="U88" i="3"/>
  <c r="L89" i="3"/>
  <c r="S88" i="3"/>
  <c r="R87" i="3"/>
  <c r="Q87" i="1"/>
  <c r="T87" i="1" s="1"/>
  <c r="S87" i="1"/>
  <c r="U87" i="1"/>
  <c r="M88" i="1"/>
  <c r="O88" i="1" s="1"/>
  <c r="N88" i="2"/>
  <c r="O88" i="2"/>
  <c r="M89" i="2" s="1"/>
  <c r="U88" i="2"/>
  <c r="Q88" i="2"/>
  <c r="L89" i="2"/>
  <c r="S88" i="2"/>
  <c r="T87" i="2"/>
  <c r="R87" i="2"/>
  <c r="L92" i="1"/>
  <c r="N92" i="1" s="1"/>
  <c r="M33" i="5" l="1"/>
  <c r="Q33" i="5" s="1"/>
  <c r="L33" i="5"/>
  <c r="M34" i="4"/>
  <c r="R33" i="4"/>
  <c r="T33" i="4"/>
  <c r="R87" i="1"/>
  <c r="O89" i="3"/>
  <c r="M90" i="3" s="1"/>
  <c r="N89" i="3"/>
  <c r="L90" i="3" s="1"/>
  <c r="Q89" i="3"/>
  <c r="U89" i="3"/>
  <c r="S89" i="3"/>
  <c r="R88" i="3"/>
  <c r="U88" i="1"/>
  <c r="S88" i="1"/>
  <c r="Q88" i="1"/>
  <c r="M89" i="1"/>
  <c r="O89" i="1" s="1"/>
  <c r="T88" i="1"/>
  <c r="R88" i="1"/>
  <c r="N89" i="2"/>
  <c r="O89" i="2"/>
  <c r="L90" i="2"/>
  <c r="U89" i="2"/>
  <c r="Q89" i="2"/>
  <c r="S89" i="2"/>
  <c r="M90" i="2"/>
  <c r="T88" i="2"/>
  <c r="R88" i="2"/>
  <c r="L93" i="1"/>
  <c r="N93" i="1" s="1"/>
  <c r="P33" i="5" l="1"/>
  <c r="Y33" i="5"/>
  <c r="U33" i="5"/>
  <c r="N33" i="5"/>
  <c r="W33" i="5"/>
  <c r="O33" i="5"/>
  <c r="O34" i="4"/>
  <c r="N34" i="4"/>
  <c r="O90" i="3"/>
  <c r="M91" i="3" s="1"/>
  <c r="Q90" i="3"/>
  <c r="N90" i="3"/>
  <c r="L91" i="3" s="1"/>
  <c r="U90" i="3"/>
  <c r="R89" i="3"/>
  <c r="S90" i="3"/>
  <c r="Q89" i="1"/>
  <c r="T89" i="1" s="1"/>
  <c r="S89" i="1"/>
  <c r="M90" i="1"/>
  <c r="O90" i="1" s="1"/>
  <c r="U89" i="1"/>
  <c r="N90" i="2"/>
  <c r="O90" i="2"/>
  <c r="M91" i="2" s="1"/>
  <c r="S90" i="2"/>
  <c r="T89" i="2"/>
  <c r="R89" i="2"/>
  <c r="Q90" i="2"/>
  <c r="L91" i="2"/>
  <c r="U90" i="2"/>
  <c r="L94" i="1"/>
  <c r="N94" i="1" s="1"/>
  <c r="O91" i="3" l="1"/>
  <c r="M92" i="3" s="1"/>
  <c r="X33" i="5"/>
  <c r="V33" i="5"/>
  <c r="R33" i="5"/>
  <c r="S33" i="5" s="1"/>
  <c r="T33" i="5" s="1"/>
  <c r="U34" i="4"/>
  <c r="Q34" i="4"/>
  <c r="P34" i="4" s="1"/>
  <c r="L35" i="4" s="1"/>
  <c r="S34" i="4"/>
  <c r="R89" i="1"/>
  <c r="N91" i="3"/>
  <c r="L92" i="3" s="1"/>
  <c r="Q91" i="3"/>
  <c r="U91" i="3"/>
  <c r="S91" i="3"/>
  <c r="R90" i="3"/>
  <c r="S90" i="1"/>
  <c r="U90" i="1"/>
  <c r="M91" i="1"/>
  <c r="O91" i="1" s="1"/>
  <c r="Q90" i="1"/>
  <c r="T90" i="1" s="1"/>
  <c r="N91" i="2"/>
  <c r="O91" i="2"/>
  <c r="Q91" i="2"/>
  <c r="L92" i="2"/>
  <c r="U91" i="2"/>
  <c r="S91" i="2"/>
  <c r="T90" i="2"/>
  <c r="R90" i="2"/>
  <c r="M92" i="2"/>
  <c r="L95" i="1"/>
  <c r="N95" i="1" s="1"/>
  <c r="L34" i="5" l="1"/>
  <c r="M34" i="5"/>
  <c r="Q34" i="5" s="1"/>
  <c r="M35" i="4"/>
  <c r="T34" i="4"/>
  <c r="R34" i="4"/>
  <c r="R90" i="1"/>
  <c r="O92" i="3"/>
  <c r="M93" i="3" s="1"/>
  <c r="N92" i="3"/>
  <c r="Q92" i="3"/>
  <c r="U92" i="3"/>
  <c r="L93" i="3"/>
  <c r="S92" i="3"/>
  <c r="R91" i="3"/>
  <c r="S91" i="1"/>
  <c r="Q91" i="1"/>
  <c r="M92" i="1"/>
  <c r="O92" i="1" s="1"/>
  <c r="U91" i="1"/>
  <c r="T91" i="1"/>
  <c r="R91" i="1"/>
  <c r="N92" i="2"/>
  <c r="O92" i="2"/>
  <c r="M93" i="2" s="1"/>
  <c r="U92" i="2"/>
  <c r="Q92" i="2"/>
  <c r="L93" i="2"/>
  <c r="R91" i="2"/>
  <c r="T91" i="2"/>
  <c r="S92" i="2"/>
  <c r="L96" i="1"/>
  <c r="N96" i="1" s="1"/>
  <c r="P34" i="5" l="1"/>
  <c r="O34" i="5"/>
  <c r="Y34" i="5"/>
  <c r="U34" i="5"/>
  <c r="N34" i="5"/>
  <c r="W34" i="5"/>
  <c r="N35" i="4"/>
  <c r="O35" i="4"/>
  <c r="O93" i="3"/>
  <c r="M94" i="3" s="1"/>
  <c r="Q93" i="3"/>
  <c r="N93" i="3"/>
  <c r="L94" i="3" s="1"/>
  <c r="U93" i="3"/>
  <c r="S93" i="3"/>
  <c r="R92" i="3"/>
  <c r="S92" i="1"/>
  <c r="Q92" i="1"/>
  <c r="M93" i="1"/>
  <c r="O93" i="1" s="1"/>
  <c r="U92" i="1"/>
  <c r="T92" i="1"/>
  <c r="R92" i="1"/>
  <c r="N93" i="2"/>
  <c r="O93" i="2"/>
  <c r="U93" i="2"/>
  <c r="Q93" i="2"/>
  <c r="L94" i="2"/>
  <c r="S93" i="2"/>
  <c r="T92" i="2"/>
  <c r="R92" i="2"/>
  <c r="M94" i="2"/>
  <c r="L97" i="1"/>
  <c r="N97" i="1" s="1"/>
  <c r="X34" i="5" l="1"/>
  <c r="V34" i="5"/>
  <c r="R34" i="5"/>
  <c r="S34" i="5" s="1"/>
  <c r="T34" i="5" s="1"/>
  <c r="U35" i="4"/>
  <c r="Q35" i="4"/>
  <c r="P35" i="4" s="1"/>
  <c r="L36" i="4" s="1"/>
  <c r="S35" i="4"/>
  <c r="O94" i="3"/>
  <c r="M95" i="3" s="1"/>
  <c r="N94" i="3"/>
  <c r="Q94" i="3"/>
  <c r="U94" i="3"/>
  <c r="L95" i="3"/>
  <c r="S94" i="3"/>
  <c r="R93" i="3"/>
  <c r="Q93" i="1"/>
  <c r="T93" i="1" s="1"/>
  <c r="U93" i="1"/>
  <c r="S93" i="1"/>
  <c r="M94" i="1"/>
  <c r="O94" i="1" s="1"/>
  <c r="N94" i="2"/>
  <c r="O94" i="2"/>
  <c r="M95" i="2" s="1"/>
  <c r="U94" i="2"/>
  <c r="Q94" i="2"/>
  <c r="L95" i="2"/>
  <c r="S94" i="2"/>
  <c r="T93" i="2"/>
  <c r="R93" i="2"/>
  <c r="L98" i="1"/>
  <c r="N98" i="1" s="1"/>
  <c r="M35" i="5" l="1"/>
  <c r="Q35" i="5" s="1"/>
  <c r="L35" i="5"/>
  <c r="M36" i="4"/>
  <c r="R35" i="4"/>
  <c r="T35" i="4"/>
  <c r="R93" i="1"/>
  <c r="O95" i="3"/>
  <c r="Q95" i="3"/>
  <c r="N95" i="3"/>
  <c r="L96" i="3" s="1"/>
  <c r="U95" i="3"/>
  <c r="S95" i="3"/>
  <c r="M96" i="3"/>
  <c r="R94" i="3"/>
  <c r="U94" i="1"/>
  <c r="M95" i="1"/>
  <c r="O95" i="1" s="1"/>
  <c r="Q94" i="1"/>
  <c r="S94" i="1"/>
  <c r="T94" i="1"/>
  <c r="R94" i="1"/>
  <c r="N95" i="2"/>
  <c r="O95" i="2"/>
  <c r="L96" i="2"/>
  <c r="U95" i="2"/>
  <c r="Q95" i="2"/>
  <c r="S95" i="2"/>
  <c r="M96" i="2"/>
  <c r="T94" i="2"/>
  <c r="R94" i="2"/>
  <c r="L99" i="1"/>
  <c r="N99" i="1" s="1"/>
  <c r="O96" i="3" l="1"/>
  <c r="P35" i="5"/>
  <c r="N35" i="5"/>
  <c r="Y35" i="5"/>
  <c r="U35" i="5"/>
  <c r="W35" i="5"/>
  <c r="O35" i="5"/>
  <c r="O36" i="4"/>
  <c r="N36" i="4"/>
  <c r="N96" i="3"/>
  <c r="L97" i="3" s="1"/>
  <c r="Q96" i="3"/>
  <c r="R95" i="3"/>
  <c r="U96" i="3"/>
  <c r="M97" i="3"/>
  <c r="S96" i="3"/>
  <c r="S95" i="1"/>
  <c r="M96" i="1"/>
  <c r="O96" i="1" s="1"/>
  <c r="Q95" i="1"/>
  <c r="U95" i="1"/>
  <c r="T95" i="1"/>
  <c r="R95" i="1"/>
  <c r="N96" i="2"/>
  <c r="O96" i="2"/>
  <c r="M97" i="2" s="1"/>
  <c r="S96" i="2"/>
  <c r="T95" i="2"/>
  <c r="R95" i="2"/>
  <c r="Q96" i="2"/>
  <c r="L97" i="2"/>
  <c r="U96" i="2"/>
  <c r="L100" i="1"/>
  <c r="N100" i="1" s="1"/>
  <c r="R35" i="5" l="1"/>
  <c r="S35" i="5" s="1"/>
  <c r="T35" i="5" s="1"/>
  <c r="X35" i="5"/>
  <c r="V35" i="5"/>
  <c r="U36" i="4"/>
  <c r="Q36" i="4"/>
  <c r="P36" i="4" s="1"/>
  <c r="L37" i="4" s="1"/>
  <c r="S36" i="4"/>
  <c r="O97" i="3"/>
  <c r="Q97" i="3"/>
  <c r="N97" i="3"/>
  <c r="L98" i="3" s="1"/>
  <c r="U97" i="3"/>
  <c r="S97" i="3"/>
  <c r="M98" i="3"/>
  <c r="R96" i="3"/>
  <c r="S96" i="1"/>
  <c r="U96" i="1"/>
  <c r="Q96" i="1"/>
  <c r="M97" i="1"/>
  <c r="O97" i="1" s="1"/>
  <c r="T96" i="1"/>
  <c r="R96" i="1"/>
  <c r="N97" i="2"/>
  <c r="O97" i="2"/>
  <c r="Q97" i="2"/>
  <c r="L98" i="2"/>
  <c r="U97" i="2"/>
  <c r="S97" i="2"/>
  <c r="T96" i="2"/>
  <c r="R96" i="2"/>
  <c r="M98" i="2"/>
  <c r="L101" i="1"/>
  <c r="N101" i="1" s="1"/>
  <c r="O98" i="3" l="1"/>
  <c r="L36" i="5"/>
  <c r="M36" i="5"/>
  <c r="Q36" i="5" s="1"/>
  <c r="M37" i="4"/>
  <c r="R36" i="4"/>
  <c r="T36" i="4"/>
  <c r="N98" i="3"/>
  <c r="L99" i="3" s="1"/>
  <c r="Q98" i="3"/>
  <c r="U98" i="3"/>
  <c r="S98" i="3"/>
  <c r="M99" i="3"/>
  <c r="R97" i="3"/>
  <c r="S97" i="1"/>
  <c r="U97" i="1"/>
  <c r="M98" i="1"/>
  <c r="O98" i="1" s="1"/>
  <c r="Q97" i="1"/>
  <c r="T97" i="1" s="1"/>
  <c r="N98" i="2"/>
  <c r="O98" i="2"/>
  <c r="M99" i="2" s="1"/>
  <c r="U98" i="2"/>
  <c r="Q98" i="2"/>
  <c r="L99" i="2"/>
  <c r="R97" i="2"/>
  <c r="T97" i="2"/>
  <c r="S98" i="2"/>
  <c r="L102" i="1"/>
  <c r="N102" i="1" s="1"/>
  <c r="P36" i="5" l="1"/>
  <c r="O36" i="5"/>
  <c r="U36" i="5"/>
  <c r="N36" i="5"/>
  <c r="Y36" i="5"/>
  <c r="W36" i="5"/>
  <c r="O37" i="4"/>
  <c r="N37" i="4"/>
  <c r="O99" i="3"/>
  <c r="M100" i="3" s="1"/>
  <c r="Q99" i="3"/>
  <c r="N99" i="3"/>
  <c r="L100" i="3" s="1"/>
  <c r="U99" i="3"/>
  <c r="S99" i="3"/>
  <c r="R98" i="3"/>
  <c r="R97" i="1"/>
  <c r="M99" i="1"/>
  <c r="O99" i="1" s="1"/>
  <c r="Q98" i="1"/>
  <c r="T98" i="1" s="1"/>
  <c r="S98" i="1"/>
  <c r="U98" i="1"/>
  <c r="N99" i="2"/>
  <c r="O99" i="2"/>
  <c r="U99" i="2"/>
  <c r="Q99" i="2"/>
  <c r="L100" i="2"/>
  <c r="T98" i="2"/>
  <c r="R98" i="2"/>
  <c r="S99" i="2"/>
  <c r="M100" i="2"/>
  <c r="L103" i="1"/>
  <c r="N103" i="1" s="1"/>
  <c r="R36" i="5" l="1"/>
  <c r="S36" i="5" s="1"/>
  <c r="T36" i="5" s="1"/>
  <c r="V36" i="5"/>
  <c r="X36" i="5"/>
  <c r="Q37" i="4"/>
  <c r="P37" i="4" s="1"/>
  <c r="L38" i="4" s="1"/>
  <c r="U37" i="4"/>
  <c r="S37" i="4"/>
  <c r="R98" i="1"/>
  <c r="O100" i="3"/>
  <c r="M101" i="3" s="1"/>
  <c r="N100" i="3"/>
  <c r="Q100" i="3"/>
  <c r="U100" i="3"/>
  <c r="L101" i="3"/>
  <c r="S100" i="3"/>
  <c r="R99" i="3"/>
  <c r="S99" i="1"/>
  <c r="U99" i="1"/>
  <c r="Q99" i="1"/>
  <c r="M100" i="1"/>
  <c r="O100" i="1" s="1"/>
  <c r="T99" i="1"/>
  <c r="R99" i="1"/>
  <c r="N100" i="2"/>
  <c r="O100" i="2"/>
  <c r="M101" i="2"/>
  <c r="U100" i="2"/>
  <c r="Q100" i="2"/>
  <c r="L101" i="2"/>
  <c r="S100" i="2"/>
  <c r="T99" i="2"/>
  <c r="R99" i="2"/>
  <c r="L104" i="1"/>
  <c r="N104" i="1" s="1"/>
  <c r="M37" i="5" l="1"/>
  <c r="Q37" i="5" s="1"/>
  <c r="L37" i="5"/>
  <c r="M38" i="4"/>
  <c r="T37" i="4"/>
  <c r="R37" i="4"/>
  <c r="O101" i="3"/>
  <c r="N101" i="3"/>
  <c r="L102" i="3" s="1"/>
  <c r="Q101" i="3"/>
  <c r="U101" i="3"/>
  <c r="S101" i="3"/>
  <c r="M102" i="3"/>
  <c r="R100" i="3"/>
  <c r="M101" i="1"/>
  <c r="O101" i="1" s="1"/>
  <c r="U100" i="1"/>
  <c r="S100" i="1"/>
  <c r="Q100" i="1"/>
  <c r="T100" i="1" s="1"/>
  <c r="N101" i="2"/>
  <c r="O101" i="2"/>
  <c r="L102" i="2"/>
  <c r="U101" i="2"/>
  <c r="Q101" i="2"/>
  <c r="S101" i="2"/>
  <c r="M102" i="2"/>
  <c r="T100" i="2"/>
  <c r="R100" i="2"/>
  <c r="O102" i="3" l="1"/>
  <c r="P37" i="5"/>
  <c r="U37" i="5"/>
  <c r="N37" i="5"/>
  <c r="Y37" i="5"/>
  <c r="W37" i="5"/>
  <c r="O37" i="5"/>
  <c r="O38" i="4"/>
  <c r="N38" i="4"/>
  <c r="R100" i="1"/>
  <c r="N102" i="3"/>
  <c r="L103" i="3" s="1"/>
  <c r="O103" i="3" s="1"/>
  <c r="Q102" i="3"/>
  <c r="S102" i="3"/>
  <c r="R101" i="3"/>
  <c r="M103" i="3"/>
  <c r="U102" i="3"/>
  <c r="M102" i="1"/>
  <c r="O102" i="1" s="1"/>
  <c r="S101" i="1"/>
  <c r="U101" i="1"/>
  <c r="Q101" i="1"/>
  <c r="T101" i="1" s="1"/>
  <c r="N102" i="2"/>
  <c r="O102" i="2"/>
  <c r="M103" i="2" s="1"/>
  <c r="T101" i="2"/>
  <c r="R101" i="2"/>
  <c r="S102" i="2"/>
  <c r="Q102" i="2"/>
  <c r="L103" i="2"/>
  <c r="U102" i="2"/>
  <c r="V37" i="5" l="1"/>
  <c r="R37" i="5"/>
  <c r="S37" i="5" s="1"/>
  <c r="T37" i="5" s="1"/>
  <c r="X37" i="5"/>
  <c r="U38" i="4"/>
  <c r="Q38" i="4"/>
  <c r="P38" i="4" s="1"/>
  <c r="L39" i="4" s="1"/>
  <c r="S38" i="4"/>
  <c r="R101" i="1"/>
  <c r="Q103" i="3"/>
  <c r="N103" i="3"/>
  <c r="L104" i="3" s="1"/>
  <c r="U103" i="3"/>
  <c r="S103" i="3"/>
  <c r="M104" i="3"/>
  <c r="R102" i="3"/>
  <c r="M103" i="1"/>
  <c r="O103" i="1" s="1"/>
  <c r="U102" i="1"/>
  <c r="Q102" i="1"/>
  <c r="S102" i="1"/>
  <c r="T102" i="1"/>
  <c r="R102" i="1"/>
  <c r="N103" i="2"/>
  <c r="O103" i="2"/>
  <c r="Q103" i="2"/>
  <c r="L104" i="2"/>
  <c r="U103" i="2"/>
  <c r="S103" i="2"/>
  <c r="T102" i="2"/>
  <c r="R102" i="2"/>
  <c r="M104" i="2"/>
  <c r="L38" i="5" l="1"/>
  <c r="M38" i="5"/>
  <c r="Q38" i="5" s="1"/>
  <c r="M39" i="4"/>
  <c r="R38" i="4"/>
  <c r="T38" i="4"/>
  <c r="N104" i="3"/>
  <c r="O104" i="3"/>
  <c r="Q104" i="3"/>
  <c r="U104" i="3"/>
  <c r="S104" i="3"/>
  <c r="R103" i="3"/>
  <c r="Q103" i="1"/>
  <c r="R103" i="1" s="1"/>
  <c r="U103" i="1"/>
  <c r="S103" i="1"/>
  <c r="M104" i="1"/>
  <c r="O104" i="1" s="1"/>
  <c r="N104" i="2"/>
  <c r="O104" i="2"/>
  <c r="U104" i="2"/>
  <c r="Q104" i="2"/>
  <c r="R103" i="2"/>
  <c r="T103" i="2"/>
  <c r="S104" i="2"/>
  <c r="P38" i="5" l="1"/>
  <c r="O38" i="5"/>
  <c r="Y38" i="5"/>
  <c r="U38" i="5"/>
  <c r="N38" i="5"/>
  <c r="W38" i="5"/>
  <c r="O39" i="4"/>
  <c r="N39" i="4"/>
  <c r="T103" i="1"/>
  <c r="R104" i="3"/>
  <c r="U104" i="1"/>
  <c r="S104" i="1"/>
  <c r="Q104" i="1"/>
  <c r="T104" i="1" s="1"/>
  <c r="T104" i="2"/>
  <c r="R104" i="2"/>
  <c r="T39" i="3"/>
  <c r="T86" i="3"/>
  <c r="T24" i="3"/>
  <c r="T99" i="3"/>
  <c r="T92" i="3"/>
  <c r="T81" i="3"/>
  <c r="T101" i="3"/>
  <c r="T6" i="3"/>
  <c r="T12" i="3"/>
  <c r="T80" i="3"/>
  <c r="T69" i="3"/>
  <c r="T37" i="3"/>
  <c r="T16" i="3"/>
  <c r="T61" i="3"/>
  <c r="T18" i="3"/>
  <c r="T73" i="3"/>
  <c r="T52" i="3"/>
  <c r="T26" i="3"/>
  <c r="T76" i="3"/>
  <c r="T28" i="3"/>
  <c r="T79" i="3"/>
  <c r="T46" i="3"/>
  <c r="T102" i="3"/>
  <c r="T65" i="3"/>
  <c r="T43" i="3"/>
  <c r="T97" i="3"/>
  <c r="T41" i="3"/>
  <c r="T23" i="3"/>
  <c r="T34" i="3"/>
  <c r="T98" i="3"/>
  <c r="T31" i="3"/>
  <c r="T19" i="3"/>
  <c r="T57" i="3"/>
  <c r="T36" i="3"/>
  <c r="T85" i="3"/>
  <c r="T95" i="3"/>
  <c r="T33" i="3"/>
  <c r="T45" i="3"/>
  <c r="T56" i="3"/>
  <c r="T15" i="3"/>
  <c r="T91" i="3"/>
  <c r="T9" i="3"/>
  <c r="T7" i="3"/>
  <c r="T22" i="3"/>
  <c r="T104" i="3"/>
  <c r="T47" i="3"/>
  <c r="T60" i="3"/>
  <c r="T70" i="3"/>
  <c r="T75" i="3"/>
  <c r="T78" i="3"/>
  <c r="T25" i="3"/>
  <c r="T93" i="3"/>
  <c r="T67" i="3"/>
  <c r="T63" i="3"/>
  <c r="T27" i="3"/>
  <c r="T32" i="3"/>
  <c r="T72" i="3"/>
  <c r="T29" i="3"/>
  <c r="T59" i="3"/>
  <c r="T50" i="3"/>
  <c r="T17" i="3"/>
  <c r="T10" i="3"/>
  <c r="T21" i="3"/>
  <c r="T100" i="3"/>
  <c r="T49" i="3"/>
  <c r="T54" i="3"/>
  <c r="T89" i="3"/>
  <c r="T94" i="3"/>
  <c r="T66" i="3"/>
  <c r="T35" i="3"/>
  <c r="T58" i="3"/>
  <c r="T51" i="3"/>
  <c r="T74" i="3"/>
  <c r="T84" i="3"/>
  <c r="T20" i="3"/>
  <c r="T48" i="3"/>
  <c r="T44" i="3"/>
  <c r="T87" i="3"/>
  <c r="T88" i="3"/>
  <c r="T55" i="3"/>
  <c r="T68" i="3"/>
  <c r="T90" i="3"/>
  <c r="T64" i="3"/>
  <c r="T13" i="3"/>
  <c r="T96" i="3"/>
  <c r="T53" i="3"/>
  <c r="T8" i="3"/>
  <c r="T30" i="3"/>
  <c r="T4" i="3"/>
  <c r="T82" i="3"/>
  <c r="T62" i="3"/>
  <c r="T42" i="3"/>
  <c r="T71" i="3"/>
  <c r="T11" i="3"/>
  <c r="T5" i="3"/>
  <c r="T77" i="3"/>
  <c r="T38" i="3"/>
  <c r="T14" i="3"/>
  <c r="T83" i="3"/>
  <c r="T103" i="3"/>
  <c r="T40" i="3"/>
  <c r="X38" i="5" l="1"/>
  <c r="V38" i="5"/>
  <c r="R38" i="5"/>
  <c r="S38" i="5" s="1"/>
  <c r="T38" i="5" s="1"/>
  <c r="U39" i="4"/>
  <c r="Q39" i="4"/>
  <c r="P39" i="4" s="1"/>
  <c r="L40" i="4" s="1"/>
  <c r="S39" i="4"/>
  <c r="R104" i="1"/>
  <c r="M39" i="5" l="1"/>
  <c r="Q39" i="5" s="1"/>
  <c r="L39" i="5"/>
  <c r="M40" i="4"/>
  <c r="T39" i="4"/>
  <c r="R39" i="4"/>
  <c r="P39" i="5" l="1"/>
  <c r="Y39" i="5"/>
  <c r="U39" i="5"/>
  <c r="N39" i="5"/>
  <c r="W39" i="5"/>
  <c r="O39" i="5"/>
  <c r="N40" i="4"/>
  <c r="O40" i="4"/>
  <c r="X39" i="5" l="1"/>
  <c r="V39" i="5"/>
  <c r="R39" i="5"/>
  <c r="S39" i="5" s="1"/>
  <c r="T39" i="5" s="1"/>
  <c r="Q40" i="4"/>
  <c r="P40" i="4" s="1"/>
  <c r="L41" i="4" s="1"/>
  <c r="U40" i="4"/>
  <c r="S40" i="4"/>
  <c r="L40" i="5" l="1"/>
  <c r="M40" i="5"/>
  <c r="Q40" i="5" s="1"/>
  <c r="M41" i="4"/>
  <c r="R40" i="4"/>
  <c r="T40" i="4"/>
  <c r="P40" i="5" l="1"/>
  <c r="O40" i="5"/>
  <c r="Y40" i="5"/>
  <c r="U40" i="5"/>
  <c r="N40" i="5"/>
  <c r="W40" i="5"/>
  <c r="O41" i="4"/>
  <c r="N41" i="4"/>
  <c r="X40" i="5" l="1"/>
  <c r="V40" i="5"/>
  <c r="R40" i="5"/>
  <c r="S40" i="5" s="1"/>
  <c r="T40" i="5" s="1"/>
  <c r="U41" i="4"/>
  <c r="Q41" i="4"/>
  <c r="P41" i="4" s="1"/>
  <c r="L42" i="4" s="1"/>
  <c r="S41" i="4"/>
  <c r="M41" i="5" l="1"/>
  <c r="Q41" i="5" s="1"/>
  <c r="L41" i="5"/>
  <c r="M42" i="4"/>
  <c r="R41" i="4"/>
  <c r="T41" i="4"/>
  <c r="P41" i="5" l="1"/>
  <c r="N41" i="5"/>
  <c r="Y41" i="5"/>
  <c r="U41" i="5"/>
  <c r="W41" i="5"/>
  <c r="O41" i="5"/>
  <c r="O42" i="4"/>
  <c r="N42" i="4"/>
  <c r="R41" i="5" l="1"/>
  <c r="S41" i="5" s="1"/>
  <c r="T41" i="5" s="1"/>
  <c r="X41" i="5"/>
  <c r="V41" i="5"/>
  <c r="Q42" i="4"/>
  <c r="P42" i="4" s="1"/>
  <c r="L43" i="4" s="1"/>
  <c r="U42" i="4"/>
  <c r="S42" i="4"/>
  <c r="L42" i="5" l="1"/>
  <c r="M42" i="5"/>
  <c r="Q42" i="5" s="1"/>
  <c r="M43" i="4"/>
  <c r="T42" i="4"/>
  <c r="R42" i="4"/>
  <c r="P42" i="5" l="1"/>
  <c r="O42" i="5"/>
  <c r="U42" i="5"/>
  <c r="N42" i="5"/>
  <c r="Y42" i="5"/>
  <c r="W42" i="5"/>
  <c r="O43" i="4"/>
  <c r="N43" i="4"/>
  <c r="R42" i="5" l="1"/>
  <c r="S42" i="5" s="1"/>
  <c r="T42" i="5" s="1"/>
  <c r="V42" i="5"/>
  <c r="X42" i="5"/>
  <c r="U43" i="4"/>
  <c r="Q43" i="4"/>
  <c r="P43" i="4" s="1"/>
  <c r="L44" i="4" s="1"/>
  <c r="S43" i="4"/>
  <c r="M43" i="5" l="1"/>
  <c r="Q43" i="5" s="1"/>
  <c r="L43" i="5"/>
  <c r="M44" i="4"/>
  <c r="R43" i="4"/>
  <c r="T43" i="4"/>
  <c r="P43" i="5" l="1"/>
  <c r="U43" i="5"/>
  <c r="N43" i="5"/>
  <c r="Y43" i="5"/>
  <c r="W43" i="5"/>
  <c r="O43" i="5"/>
  <c r="O44" i="4"/>
  <c r="N44" i="4"/>
  <c r="V43" i="5" l="1"/>
  <c r="R43" i="5"/>
  <c r="S43" i="5" s="1"/>
  <c r="T43" i="5" s="1"/>
  <c r="X43" i="5"/>
  <c r="U44" i="4"/>
  <c r="Q44" i="4"/>
  <c r="P44" i="4" s="1"/>
  <c r="L45" i="4" s="1"/>
  <c r="S44" i="4"/>
  <c r="M44" i="5" l="1"/>
  <c r="Q44" i="5" s="1"/>
  <c r="L44" i="5"/>
  <c r="M45" i="4"/>
  <c r="T44" i="4"/>
  <c r="R44" i="4"/>
  <c r="P44" i="5" l="1"/>
  <c r="Y44" i="5"/>
  <c r="U44" i="5"/>
  <c r="N44" i="5"/>
  <c r="W44" i="5"/>
  <c r="O44" i="5"/>
  <c r="N45" i="4"/>
  <c r="O45" i="4"/>
  <c r="X44" i="5" l="1"/>
  <c r="V44" i="5"/>
  <c r="R44" i="5"/>
  <c r="S44" i="5" s="1"/>
  <c r="T44" i="5" s="1"/>
  <c r="Q45" i="4"/>
  <c r="P45" i="4" s="1"/>
  <c r="L46" i="4" s="1"/>
  <c r="U45" i="4"/>
  <c r="S45" i="4"/>
  <c r="L45" i="5" l="1"/>
  <c r="M45" i="5"/>
  <c r="Q45" i="5" s="1"/>
  <c r="M46" i="4"/>
  <c r="R45" i="4"/>
  <c r="T45" i="4"/>
  <c r="P45" i="5" l="1"/>
  <c r="O45" i="5"/>
  <c r="Y45" i="5"/>
  <c r="U45" i="5"/>
  <c r="N45" i="5"/>
  <c r="W45" i="5"/>
  <c r="N46" i="4"/>
  <c r="O46" i="4"/>
  <c r="X45" i="5" l="1"/>
  <c r="V45" i="5"/>
  <c r="R45" i="5"/>
  <c r="S45" i="5" s="1"/>
  <c r="T45" i="5" s="1"/>
  <c r="U46" i="4"/>
  <c r="Q46" i="4"/>
  <c r="P46" i="4" s="1"/>
  <c r="L47" i="4" s="1"/>
  <c r="S46" i="4"/>
  <c r="M46" i="5" l="1"/>
  <c r="Q46" i="5" s="1"/>
  <c r="L46" i="5"/>
  <c r="M47" i="4"/>
  <c r="T46" i="4"/>
  <c r="R46" i="4"/>
  <c r="P46" i="5" l="1"/>
  <c r="Y46" i="5"/>
  <c r="U46" i="5"/>
  <c r="N46" i="5"/>
  <c r="W46" i="5"/>
  <c r="O46" i="5"/>
  <c r="O47" i="4"/>
  <c r="N47" i="4"/>
  <c r="X46" i="5" l="1"/>
  <c r="R46" i="5"/>
  <c r="S46" i="5" s="1"/>
  <c r="T46" i="5" s="1"/>
  <c r="V46" i="5"/>
  <c r="Q47" i="4"/>
  <c r="P47" i="4" s="1"/>
  <c r="L48" i="4" s="1"/>
  <c r="U47" i="4"/>
  <c r="S47" i="4"/>
  <c r="L47" i="5" l="1"/>
  <c r="M47" i="5"/>
  <c r="Q47" i="5" s="1"/>
  <c r="M48" i="4"/>
  <c r="T47" i="4"/>
  <c r="R47" i="4"/>
  <c r="P47" i="5" l="1"/>
  <c r="O47" i="5"/>
  <c r="N47" i="5"/>
  <c r="Y47" i="5"/>
  <c r="U47" i="5"/>
  <c r="W47" i="5"/>
  <c r="N48" i="4"/>
  <c r="O48" i="4"/>
  <c r="V47" i="5" l="1"/>
  <c r="R47" i="5"/>
  <c r="S47" i="5" s="1"/>
  <c r="T47" i="5" s="1"/>
  <c r="X47" i="5"/>
  <c r="Q48" i="4"/>
  <c r="P48" i="4" s="1"/>
  <c r="L49" i="4" s="1"/>
  <c r="U48" i="4"/>
  <c r="S48" i="4"/>
  <c r="M48" i="5" l="1"/>
  <c r="Q48" i="5" s="1"/>
  <c r="L48" i="5"/>
  <c r="M49" i="4"/>
  <c r="R48" i="4"/>
  <c r="T48" i="4"/>
  <c r="P48" i="5" l="1"/>
  <c r="U48" i="5"/>
  <c r="N48" i="5"/>
  <c r="Y48" i="5"/>
  <c r="W48" i="5"/>
  <c r="O48" i="5"/>
  <c r="N49" i="4"/>
  <c r="O49" i="4"/>
  <c r="R48" i="5" l="1"/>
  <c r="S48" i="5" s="1"/>
  <c r="T48" i="5" s="1"/>
  <c r="X48" i="5"/>
  <c r="V48" i="5"/>
  <c r="Q49" i="4"/>
  <c r="P49" i="4" s="1"/>
  <c r="L50" i="4" s="1"/>
  <c r="U49" i="4"/>
  <c r="S49" i="4"/>
  <c r="L49" i="5" l="1"/>
  <c r="M49" i="5"/>
  <c r="Q49" i="5" s="1"/>
  <c r="M50" i="4"/>
  <c r="T49" i="4"/>
  <c r="R49" i="4"/>
  <c r="P49" i="5" l="1"/>
  <c r="O49" i="5"/>
  <c r="U49" i="5"/>
  <c r="N49" i="5"/>
  <c r="Y49" i="5"/>
  <c r="W49" i="5"/>
  <c r="O50" i="4"/>
  <c r="N50" i="4"/>
  <c r="V49" i="5" l="1"/>
  <c r="R49" i="5"/>
  <c r="S49" i="5" s="1"/>
  <c r="T49" i="5" s="1"/>
  <c r="X49" i="5"/>
  <c r="U50" i="4"/>
  <c r="Q50" i="4"/>
  <c r="P50" i="4" s="1"/>
  <c r="L51" i="4" s="1"/>
  <c r="S50" i="4"/>
  <c r="M50" i="5" l="1"/>
  <c r="Q50" i="5" s="1"/>
  <c r="L50" i="5"/>
  <c r="M51" i="4"/>
  <c r="R50" i="4"/>
  <c r="T50" i="4"/>
  <c r="P50" i="5" l="1"/>
  <c r="Y50" i="5"/>
  <c r="U50" i="5"/>
  <c r="N50" i="5"/>
  <c r="W50" i="5"/>
  <c r="O50" i="5"/>
  <c r="N51" i="4"/>
  <c r="O51" i="4"/>
  <c r="X50" i="5" l="1"/>
  <c r="V50" i="5"/>
  <c r="R50" i="5"/>
  <c r="S50" i="5" s="1"/>
  <c r="T50" i="5" s="1"/>
  <c r="Q51" i="4"/>
  <c r="P51" i="4" s="1"/>
  <c r="L52" i="4" s="1"/>
  <c r="U51" i="4"/>
  <c r="S51" i="4"/>
  <c r="L51" i="5" l="1"/>
  <c r="M51" i="5"/>
  <c r="Q51" i="5" s="1"/>
  <c r="M52" i="4"/>
  <c r="R51" i="4"/>
  <c r="T51" i="4"/>
  <c r="P51" i="5" l="1"/>
  <c r="O51" i="5"/>
  <c r="Y51" i="5"/>
  <c r="U51" i="5"/>
  <c r="N51" i="5"/>
  <c r="W51" i="5"/>
  <c r="N52" i="4"/>
  <c r="O52" i="4"/>
  <c r="X51" i="5" l="1"/>
  <c r="V51" i="5"/>
  <c r="R51" i="5"/>
  <c r="S51" i="5" s="1"/>
  <c r="T51" i="5" s="1"/>
  <c r="U52" i="4"/>
  <c r="Q52" i="4"/>
  <c r="P52" i="4" s="1"/>
  <c r="L53" i="4" s="1"/>
  <c r="S52" i="4"/>
  <c r="M52" i="5" l="1"/>
  <c r="Q52" i="5" s="1"/>
  <c r="L52" i="5"/>
  <c r="M53" i="4"/>
  <c r="R52" i="4"/>
  <c r="T52" i="4"/>
  <c r="P52" i="5" l="1"/>
  <c r="Y52" i="5"/>
  <c r="U52" i="5"/>
  <c r="N52" i="5"/>
  <c r="W52" i="5"/>
  <c r="O52" i="5"/>
  <c r="O53" i="4"/>
  <c r="N53" i="4"/>
  <c r="X52" i="5" l="1"/>
  <c r="R52" i="5"/>
  <c r="S52" i="5" s="1"/>
  <c r="T52" i="5" s="1"/>
  <c r="V52" i="5"/>
  <c r="Q53" i="4"/>
  <c r="P53" i="4" s="1"/>
  <c r="L54" i="4" s="1"/>
  <c r="U53" i="4"/>
  <c r="S53" i="4"/>
  <c r="L53" i="5" l="1"/>
  <c r="M53" i="5"/>
  <c r="Q53" i="5" s="1"/>
  <c r="M54" i="4"/>
  <c r="R53" i="4"/>
  <c r="T53" i="4"/>
  <c r="P53" i="5" l="1"/>
  <c r="O53" i="5"/>
  <c r="N53" i="5"/>
  <c r="Y53" i="5"/>
  <c r="U53" i="5"/>
  <c r="W53" i="5"/>
  <c r="O54" i="4"/>
  <c r="N54" i="4"/>
  <c r="V53" i="5" l="1"/>
  <c r="R53" i="5"/>
  <c r="S53" i="5" s="1"/>
  <c r="T53" i="5" s="1"/>
  <c r="X53" i="5"/>
  <c r="Q54" i="4"/>
  <c r="P54" i="4" s="1"/>
  <c r="L55" i="4" s="1"/>
  <c r="U54" i="4"/>
  <c r="S54" i="4"/>
  <c r="M54" i="5" l="1"/>
  <c r="Q54" i="5" s="1"/>
  <c r="L54" i="5"/>
  <c r="M55" i="4"/>
  <c r="T54" i="4"/>
  <c r="R54" i="4"/>
  <c r="P54" i="5" l="1"/>
  <c r="U54" i="5"/>
  <c r="N54" i="5"/>
  <c r="Y54" i="5"/>
  <c r="W54" i="5"/>
  <c r="O54" i="5"/>
  <c r="O55" i="4"/>
  <c r="N55" i="4"/>
  <c r="R54" i="5" l="1"/>
  <c r="S54" i="5" s="1"/>
  <c r="T54" i="5" s="1"/>
  <c r="X54" i="5"/>
  <c r="V54" i="5"/>
  <c r="Q55" i="4"/>
  <c r="P55" i="4" s="1"/>
  <c r="L56" i="4" s="1"/>
  <c r="U55" i="4"/>
  <c r="S55" i="4"/>
  <c r="L55" i="5" l="1"/>
  <c r="M55" i="5"/>
  <c r="Q55" i="5" s="1"/>
  <c r="M56" i="4"/>
  <c r="T55" i="4"/>
  <c r="R55" i="4"/>
  <c r="P55" i="5" l="1"/>
  <c r="O55" i="5"/>
  <c r="U55" i="5"/>
  <c r="N55" i="5"/>
  <c r="Y55" i="5"/>
  <c r="W55" i="5"/>
  <c r="O56" i="4"/>
  <c r="N56" i="4"/>
  <c r="V55" i="5" l="1"/>
  <c r="R55" i="5"/>
  <c r="S55" i="5" s="1"/>
  <c r="T55" i="5" s="1"/>
  <c r="X55" i="5"/>
  <c r="Q56" i="4"/>
  <c r="P56" i="4" s="1"/>
  <c r="L57" i="4" s="1"/>
  <c r="U56" i="4"/>
  <c r="S56" i="4"/>
  <c r="M56" i="5" l="1"/>
  <c r="Q56" i="5" s="1"/>
  <c r="L56" i="5"/>
  <c r="M57" i="4"/>
  <c r="R56" i="4"/>
  <c r="T56" i="4"/>
  <c r="P56" i="5" l="1"/>
  <c r="Y56" i="5"/>
  <c r="U56" i="5"/>
  <c r="N56" i="5"/>
  <c r="W56" i="5"/>
  <c r="O56" i="5"/>
  <c r="O57" i="4"/>
  <c r="N57" i="4"/>
  <c r="X56" i="5" l="1"/>
  <c r="V56" i="5"/>
  <c r="R56" i="5"/>
  <c r="S56" i="5" s="1"/>
  <c r="T56" i="5" s="1"/>
  <c r="U57" i="4"/>
  <c r="Q57" i="4"/>
  <c r="P57" i="4" s="1"/>
  <c r="L58" i="4" s="1"/>
  <c r="S57" i="4"/>
  <c r="L57" i="5" l="1"/>
  <c r="M57" i="5"/>
  <c r="Q57" i="5" s="1"/>
  <c r="M58" i="4"/>
  <c r="R57" i="4"/>
  <c r="T57" i="4"/>
  <c r="P57" i="5" l="1"/>
  <c r="O57" i="5"/>
  <c r="Y57" i="5"/>
  <c r="U57" i="5"/>
  <c r="N57" i="5"/>
  <c r="W57" i="5"/>
  <c r="N58" i="4"/>
  <c r="O58" i="4"/>
  <c r="X57" i="5" l="1"/>
  <c r="V57" i="5"/>
  <c r="R57" i="5"/>
  <c r="S57" i="5" s="1"/>
  <c r="T57" i="5" s="1"/>
  <c r="Q58" i="4"/>
  <c r="P58" i="4" s="1"/>
  <c r="L59" i="4" s="1"/>
  <c r="U58" i="4"/>
  <c r="S58" i="4"/>
  <c r="M58" i="5" l="1"/>
  <c r="Q58" i="5" s="1"/>
  <c r="L58" i="5"/>
  <c r="M59" i="4"/>
  <c r="R58" i="4"/>
  <c r="T58" i="4"/>
  <c r="P58" i="5" l="1"/>
  <c r="Y58" i="5"/>
  <c r="U58" i="5"/>
  <c r="N58" i="5"/>
  <c r="W58" i="5"/>
  <c r="O58" i="5"/>
  <c r="O59" i="4"/>
  <c r="N59" i="4"/>
  <c r="X58" i="5" l="1"/>
  <c r="R58" i="5"/>
  <c r="S58" i="5" s="1"/>
  <c r="T58" i="5" s="1"/>
  <c r="V58" i="5"/>
  <c r="Q59" i="4"/>
  <c r="P59" i="4" s="1"/>
  <c r="L60" i="4" s="1"/>
  <c r="U59" i="4"/>
  <c r="S59" i="4"/>
  <c r="L59" i="5" l="1"/>
  <c r="M59" i="5"/>
  <c r="Q59" i="5" s="1"/>
  <c r="M60" i="4"/>
  <c r="T59" i="4"/>
  <c r="R59" i="4"/>
  <c r="P59" i="5" l="1"/>
  <c r="O59" i="5"/>
  <c r="N59" i="5"/>
  <c r="Y59" i="5"/>
  <c r="U59" i="5"/>
  <c r="W59" i="5"/>
  <c r="O60" i="4"/>
  <c r="N60" i="4"/>
  <c r="V59" i="5" l="1"/>
  <c r="R59" i="5"/>
  <c r="S59" i="5" s="1"/>
  <c r="T59" i="5" s="1"/>
  <c r="X59" i="5"/>
  <c r="Q60" i="4"/>
  <c r="P60" i="4" s="1"/>
  <c r="L61" i="4" s="1"/>
  <c r="U60" i="4"/>
  <c r="S60" i="4"/>
  <c r="M60" i="5" l="1"/>
  <c r="Q60" i="5" s="1"/>
  <c r="L60" i="5"/>
  <c r="M61" i="4"/>
  <c r="R60" i="4"/>
  <c r="T60" i="4"/>
  <c r="P60" i="5" l="1"/>
  <c r="U60" i="5"/>
  <c r="N60" i="5"/>
  <c r="Y60" i="5"/>
  <c r="W60" i="5"/>
  <c r="O60" i="5"/>
  <c r="N61" i="4"/>
  <c r="O61" i="4"/>
  <c r="R60" i="5" l="1"/>
  <c r="S60" i="5" s="1"/>
  <c r="T60" i="5" s="1"/>
  <c r="X60" i="5"/>
  <c r="V60" i="5"/>
  <c r="U61" i="4"/>
  <c r="Q61" i="4"/>
  <c r="P61" i="4" s="1"/>
  <c r="L62" i="4" s="1"/>
  <c r="S61" i="4"/>
  <c r="L61" i="5" l="1"/>
  <c r="M61" i="5"/>
  <c r="Q61" i="5" s="1"/>
  <c r="M62" i="4"/>
  <c r="T61" i="4"/>
  <c r="R61" i="4"/>
  <c r="P61" i="5" l="1"/>
  <c r="O61" i="5"/>
  <c r="U61" i="5"/>
  <c r="N61" i="5"/>
  <c r="Y61" i="5"/>
  <c r="W61" i="5"/>
  <c r="O62" i="4"/>
  <c r="N62" i="4"/>
  <c r="V61" i="5" l="1"/>
  <c r="R61" i="5"/>
  <c r="S61" i="5" s="1"/>
  <c r="T61" i="5" s="1"/>
  <c r="X61" i="5"/>
  <c r="Q62" i="4"/>
  <c r="P62" i="4" s="1"/>
  <c r="L63" i="4" s="1"/>
  <c r="U62" i="4"/>
  <c r="S62" i="4"/>
  <c r="M62" i="5" l="1"/>
  <c r="Q62" i="5" s="1"/>
  <c r="L62" i="5"/>
  <c r="M63" i="4"/>
  <c r="R62" i="4"/>
  <c r="T62" i="4"/>
  <c r="P62" i="5" l="1"/>
  <c r="Y62" i="5"/>
  <c r="U62" i="5"/>
  <c r="N62" i="5"/>
  <c r="W62" i="5"/>
  <c r="O62" i="5"/>
  <c r="O63" i="4"/>
  <c r="N63" i="4"/>
  <c r="X62" i="5" l="1"/>
  <c r="V62" i="5"/>
  <c r="R62" i="5"/>
  <c r="S62" i="5" s="1"/>
  <c r="T62" i="5" s="1"/>
  <c r="U63" i="4"/>
  <c r="Q63" i="4"/>
  <c r="P63" i="4" s="1"/>
  <c r="L64" i="4" s="1"/>
  <c r="S63" i="4"/>
  <c r="L63" i="5" l="1"/>
  <c r="M63" i="5"/>
  <c r="Q63" i="5" s="1"/>
  <c r="M64" i="4"/>
  <c r="R63" i="4"/>
  <c r="T63" i="4"/>
  <c r="P63" i="5" l="1"/>
  <c r="O63" i="5"/>
  <c r="Y63" i="5"/>
  <c r="U63" i="5"/>
  <c r="N63" i="5"/>
  <c r="W63" i="5"/>
  <c r="O64" i="4"/>
  <c r="N64" i="4"/>
  <c r="X63" i="5" l="1"/>
  <c r="V63" i="5"/>
  <c r="R63" i="5"/>
  <c r="S63" i="5" s="1"/>
  <c r="T63" i="5" s="1"/>
  <c r="U64" i="4"/>
  <c r="Q64" i="4"/>
  <c r="P64" i="4" s="1"/>
  <c r="L65" i="4" s="1"/>
  <c r="S64" i="4"/>
  <c r="M64" i="5" l="1"/>
  <c r="Q64" i="5" s="1"/>
  <c r="L64" i="5"/>
  <c r="M65" i="4"/>
  <c r="R64" i="4"/>
  <c r="T64" i="4"/>
  <c r="P64" i="5" l="1"/>
  <c r="Y64" i="5"/>
  <c r="U64" i="5"/>
  <c r="N64" i="5"/>
  <c r="W64" i="5"/>
  <c r="O64" i="5"/>
  <c r="O65" i="4"/>
  <c r="N65" i="4"/>
  <c r="X64" i="5" l="1"/>
  <c r="R64" i="5"/>
  <c r="S64" i="5" s="1"/>
  <c r="T64" i="5" s="1"/>
  <c r="V64" i="5"/>
  <c r="Q65" i="4"/>
  <c r="P65" i="4" s="1"/>
  <c r="L66" i="4" s="1"/>
  <c r="U65" i="4"/>
  <c r="S65" i="4"/>
  <c r="L65" i="5" l="1"/>
  <c r="M65" i="5"/>
  <c r="Q65" i="5" s="1"/>
  <c r="M66" i="4"/>
  <c r="T65" i="4"/>
  <c r="R65" i="4"/>
  <c r="P65" i="5" l="1"/>
  <c r="O65" i="5"/>
  <c r="N65" i="5"/>
  <c r="Y65" i="5"/>
  <c r="U65" i="5"/>
  <c r="W65" i="5"/>
  <c r="N66" i="4"/>
  <c r="O66" i="4"/>
  <c r="V65" i="5" l="1"/>
  <c r="R65" i="5"/>
  <c r="S65" i="5" s="1"/>
  <c r="T65" i="5" s="1"/>
  <c r="X65" i="5"/>
  <c r="Q66" i="4"/>
  <c r="P66" i="4" s="1"/>
  <c r="L67" i="4" s="1"/>
  <c r="U66" i="4"/>
  <c r="S66" i="4"/>
  <c r="M66" i="5" l="1"/>
  <c r="Q66" i="5" s="1"/>
  <c r="L66" i="5"/>
  <c r="M67" i="4"/>
  <c r="R66" i="4"/>
  <c r="T66" i="4"/>
  <c r="P66" i="5" l="1"/>
  <c r="U66" i="5"/>
  <c r="N66" i="5"/>
  <c r="Y66" i="5"/>
  <c r="W66" i="5"/>
  <c r="O66" i="5"/>
  <c r="N67" i="4"/>
  <c r="O67" i="4"/>
  <c r="R66" i="5" l="1"/>
  <c r="S66" i="5" s="1"/>
  <c r="T66" i="5" s="1"/>
  <c r="X66" i="5"/>
  <c r="V66" i="5"/>
  <c r="Q67" i="4"/>
  <c r="P67" i="4" s="1"/>
  <c r="L68" i="4" s="1"/>
  <c r="U67" i="4"/>
  <c r="S67" i="4"/>
  <c r="L67" i="5" l="1"/>
  <c r="M67" i="5"/>
  <c r="Q67" i="5" s="1"/>
  <c r="M68" i="4"/>
  <c r="R67" i="4"/>
  <c r="T67" i="4"/>
  <c r="P67" i="5" l="1"/>
  <c r="O67" i="5"/>
  <c r="U67" i="5"/>
  <c r="N67" i="5"/>
  <c r="Y67" i="5"/>
  <c r="W67" i="5"/>
  <c r="O68" i="4"/>
  <c r="N68" i="4"/>
  <c r="V67" i="5" l="1"/>
  <c r="R67" i="5"/>
  <c r="S67" i="5" s="1"/>
  <c r="T67" i="5" s="1"/>
  <c r="X67" i="5"/>
  <c r="U68" i="4"/>
  <c r="Q68" i="4"/>
  <c r="P68" i="4" s="1"/>
  <c r="L69" i="4" s="1"/>
  <c r="S68" i="4"/>
  <c r="M68" i="5" l="1"/>
  <c r="Q68" i="5" s="1"/>
  <c r="L68" i="5"/>
  <c r="M69" i="4"/>
  <c r="T68" i="4"/>
  <c r="R68" i="4"/>
  <c r="P68" i="5" l="1"/>
  <c r="Y68" i="5"/>
  <c r="U68" i="5"/>
  <c r="N68" i="5"/>
  <c r="W68" i="5"/>
  <c r="O68" i="5"/>
  <c r="N69" i="4"/>
  <c r="O69" i="4"/>
  <c r="X68" i="5" l="1"/>
  <c r="V68" i="5"/>
  <c r="R68" i="5"/>
  <c r="S68" i="5" s="1"/>
  <c r="T68" i="5" s="1"/>
  <c r="Q69" i="4"/>
  <c r="P69" i="4" s="1"/>
  <c r="L70" i="4" s="1"/>
  <c r="U69" i="4"/>
  <c r="S69" i="4"/>
  <c r="L69" i="5" l="1"/>
  <c r="M69" i="5"/>
  <c r="Q69" i="5" s="1"/>
  <c r="M70" i="4"/>
  <c r="T69" i="4"/>
  <c r="R69" i="4"/>
  <c r="P69" i="5" l="1"/>
  <c r="O69" i="5"/>
  <c r="Y69" i="5"/>
  <c r="U69" i="5"/>
  <c r="N69" i="5"/>
  <c r="W69" i="5"/>
  <c r="O70" i="4"/>
  <c r="N70" i="4"/>
  <c r="X69" i="5" l="1"/>
  <c r="V69" i="5"/>
  <c r="R69" i="5"/>
  <c r="S69" i="5" s="1"/>
  <c r="T69" i="5" s="1"/>
  <c r="U70" i="4"/>
  <c r="Q70" i="4"/>
  <c r="P70" i="4" s="1"/>
  <c r="L71" i="4" s="1"/>
  <c r="S70" i="4"/>
  <c r="M70" i="5" l="1"/>
  <c r="Q70" i="5" s="1"/>
  <c r="L70" i="5"/>
  <c r="M71" i="4"/>
  <c r="T70" i="4"/>
  <c r="R70" i="4"/>
  <c r="P70" i="5" l="1"/>
  <c r="Y70" i="5"/>
  <c r="U70" i="5"/>
  <c r="N70" i="5"/>
  <c r="W70" i="5"/>
  <c r="O70" i="5"/>
  <c r="O71" i="4"/>
  <c r="N71" i="4"/>
  <c r="X70" i="5" l="1"/>
  <c r="R70" i="5"/>
  <c r="S70" i="5" s="1"/>
  <c r="T70" i="5" s="1"/>
  <c r="V70" i="5"/>
  <c r="U71" i="4"/>
  <c r="Q71" i="4"/>
  <c r="P71" i="4" s="1"/>
  <c r="L72" i="4" s="1"/>
  <c r="S71" i="4"/>
  <c r="L71" i="5" l="1"/>
  <c r="M71" i="5"/>
  <c r="Q71" i="5" s="1"/>
  <c r="M72" i="4"/>
  <c r="R71" i="4"/>
  <c r="T71" i="4"/>
  <c r="P71" i="5" l="1"/>
  <c r="O71" i="5"/>
  <c r="N71" i="5"/>
  <c r="Y71" i="5"/>
  <c r="U71" i="5"/>
  <c r="W71" i="5"/>
  <c r="N72" i="4"/>
  <c r="O72" i="4"/>
  <c r="V71" i="5" l="1"/>
  <c r="R71" i="5"/>
  <c r="S71" i="5" s="1"/>
  <c r="T71" i="5" s="1"/>
  <c r="X71" i="5"/>
  <c r="Q72" i="4"/>
  <c r="P72" i="4" s="1"/>
  <c r="L73" i="4" s="1"/>
  <c r="U72" i="4"/>
  <c r="S72" i="4"/>
  <c r="M72" i="5" l="1"/>
  <c r="Q72" i="5" s="1"/>
  <c r="L72" i="5"/>
  <c r="M73" i="4"/>
  <c r="T72" i="4"/>
  <c r="R72" i="4"/>
  <c r="P72" i="5" l="1"/>
  <c r="U72" i="5"/>
  <c r="N72" i="5"/>
  <c r="Y72" i="5"/>
  <c r="W72" i="5"/>
  <c r="O72" i="5"/>
  <c r="O73" i="4"/>
  <c r="N73" i="4"/>
  <c r="R72" i="5" l="1"/>
  <c r="S72" i="5" s="1"/>
  <c r="T72" i="5" s="1"/>
  <c r="X72" i="5"/>
  <c r="V72" i="5"/>
  <c r="Q73" i="4"/>
  <c r="P73" i="4" s="1"/>
  <c r="L74" i="4" s="1"/>
  <c r="U73" i="4"/>
  <c r="S73" i="4"/>
  <c r="M73" i="5" l="1"/>
  <c r="Q73" i="5" s="1"/>
  <c r="L73" i="5"/>
  <c r="M74" i="4"/>
  <c r="R73" i="4"/>
  <c r="T73" i="4"/>
  <c r="P73" i="5" l="1"/>
  <c r="U73" i="5"/>
  <c r="N73" i="5"/>
  <c r="Y73" i="5"/>
  <c r="W73" i="5"/>
  <c r="O73" i="5"/>
  <c r="O74" i="4"/>
  <c r="N74" i="4"/>
  <c r="V73" i="5" l="1"/>
  <c r="R73" i="5"/>
  <c r="S73" i="5" s="1"/>
  <c r="T73" i="5" s="1"/>
  <c r="X73" i="5"/>
  <c r="Q74" i="4"/>
  <c r="P74" i="4" s="1"/>
  <c r="L75" i="4" s="1"/>
  <c r="U74" i="4"/>
  <c r="S74" i="4"/>
  <c r="L74" i="5" l="1"/>
  <c r="M74" i="5"/>
  <c r="Q74" i="5" s="1"/>
  <c r="M75" i="4"/>
  <c r="T74" i="4"/>
  <c r="R74" i="4"/>
  <c r="P74" i="5" l="1"/>
  <c r="O74" i="5"/>
  <c r="Y74" i="5"/>
  <c r="U74" i="5"/>
  <c r="N74" i="5"/>
  <c r="W74" i="5"/>
  <c r="O75" i="4"/>
  <c r="N75" i="4"/>
  <c r="X74" i="5" l="1"/>
  <c r="V74" i="5"/>
  <c r="R74" i="5"/>
  <c r="S74" i="5" s="1"/>
  <c r="T74" i="5" s="1"/>
  <c r="U75" i="4"/>
  <c r="Q75" i="4"/>
  <c r="P75" i="4" s="1"/>
  <c r="L76" i="4" s="1"/>
  <c r="S75" i="4"/>
  <c r="M75" i="5" l="1"/>
  <c r="Q75" i="5" s="1"/>
  <c r="L75" i="5"/>
  <c r="M76" i="4"/>
  <c r="R75" i="4"/>
  <c r="T75" i="4"/>
  <c r="P75" i="5" l="1"/>
  <c r="Y75" i="5"/>
  <c r="U75" i="5"/>
  <c r="N75" i="5"/>
  <c r="W75" i="5"/>
  <c r="O75" i="5"/>
  <c r="O76" i="4"/>
  <c r="N76" i="4"/>
  <c r="X75" i="5" l="1"/>
  <c r="V75" i="5"/>
  <c r="R75" i="5"/>
  <c r="S75" i="5" s="1"/>
  <c r="T75" i="5" s="1"/>
  <c r="U76" i="4"/>
  <c r="Q76" i="4"/>
  <c r="P76" i="4" s="1"/>
  <c r="L77" i="4" s="1"/>
  <c r="S76" i="4"/>
  <c r="L76" i="5" l="1"/>
  <c r="M76" i="5"/>
  <c r="Q76" i="5" s="1"/>
  <c r="M77" i="4"/>
  <c r="R76" i="4"/>
  <c r="T76" i="4"/>
  <c r="P76" i="5" l="1"/>
  <c r="O76" i="5"/>
  <c r="Y76" i="5"/>
  <c r="U76" i="5"/>
  <c r="N76" i="5"/>
  <c r="W76" i="5"/>
  <c r="O77" i="4"/>
  <c r="N77" i="4"/>
  <c r="X76" i="5" l="1"/>
  <c r="R76" i="5"/>
  <c r="S76" i="5" s="1"/>
  <c r="T76" i="5" s="1"/>
  <c r="V76" i="5"/>
  <c r="Q77" i="4"/>
  <c r="P77" i="4" s="1"/>
  <c r="L78" i="4" s="1"/>
  <c r="U77" i="4"/>
  <c r="S77" i="4"/>
  <c r="M77" i="5" l="1"/>
  <c r="Q77" i="5" s="1"/>
  <c r="L77" i="5"/>
  <c r="M78" i="4"/>
  <c r="T77" i="4"/>
  <c r="R77" i="4"/>
  <c r="P77" i="5" l="1"/>
  <c r="N77" i="5"/>
  <c r="Y77" i="5"/>
  <c r="U77" i="5"/>
  <c r="W77" i="5"/>
  <c r="O77" i="5"/>
  <c r="N78" i="4"/>
  <c r="O78" i="4"/>
  <c r="V77" i="5" l="1"/>
  <c r="R77" i="5"/>
  <c r="S77" i="5" s="1"/>
  <c r="T77" i="5" s="1"/>
  <c r="X77" i="5"/>
  <c r="Q78" i="4"/>
  <c r="P78" i="4" s="1"/>
  <c r="L79" i="4" s="1"/>
  <c r="U78" i="4"/>
  <c r="S78" i="4"/>
  <c r="L78" i="5" l="1"/>
  <c r="M78" i="5"/>
  <c r="Q78" i="5" s="1"/>
  <c r="M79" i="4"/>
  <c r="R78" i="4"/>
  <c r="T78" i="4"/>
  <c r="P78" i="5" l="1"/>
  <c r="O78" i="5"/>
  <c r="U78" i="5"/>
  <c r="N78" i="5"/>
  <c r="Y78" i="5"/>
  <c r="W78" i="5"/>
  <c r="O79" i="4"/>
  <c r="N79" i="4"/>
  <c r="R78" i="5" l="1"/>
  <c r="S78" i="5" s="1"/>
  <c r="T78" i="5" s="1"/>
  <c r="X78" i="5"/>
  <c r="V78" i="5"/>
  <c r="Q79" i="4"/>
  <c r="P79" i="4" s="1"/>
  <c r="L80" i="4" s="1"/>
  <c r="U79" i="4"/>
  <c r="S79" i="4"/>
  <c r="M79" i="5" l="1"/>
  <c r="Q79" i="5" s="1"/>
  <c r="L79" i="5"/>
  <c r="M80" i="4"/>
  <c r="R79" i="4"/>
  <c r="T79" i="4"/>
  <c r="P79" i="5" l="1"/>
  <c r="U79" i="5"/>
  <c r="N79" i="5"/>
  <c r="Y79" i="5"/>
  <c r="W79" i="5"/>
  <c r="O79" i="5"/>
  <c r="O80" i="4"/>
  <c r="N80" i="4"/>
  <c r="V79" i="5" l="1"/>
  <c r="R79" i="5"/>
  <c r="S79" i="5" s="1"/>
  <c r="T79" i="5" s="1"/>
  <c r="X79" i="5"/>
  <c r="U80" i="4"/>
  <c r="Q80" i="4"/>
  <c r="P80" i="4" s="1"/>
  <c r="L81" i="4" s="1"/>
  <c r="S80" i="4"/>
  <c r="L80" i="5" l="1"/>
  <c r="M80" i="5"/>
  <c r="Q80" i="5" s="1"/>
  <c r="M81" i="4"/>
  <c r="R80" i="4"/>
  <c r="T80" i="4"/>
  <c r="P80" i="5" l="1"/>
  <c r="O80" i="5"/>
  <c r="Y80" i="5"/>
  <c r="U80" i="5"/>
  <c r="N80" i="5"/>
  <c r="W80" i="5"/>
  <c r="O81" i="4"/>
  <c r="N81" i="4"/>
  <c r="X80" i="5" l="1"/>
  <c r="V80" i="5"/>
  <c r="R80" i="5"/>
  <c r="S80" i="5" s="1"/>
  <c r="T80" i="5" s="1"/>
  <c r="U81" i="4"/>
  <c r="Q81" i="4"/>
  <c r="P81" i="4" s="1"/>
  <c r="L82" i="4" s="1"/>
  <c r="S81" i="4"/>
  <c r="M81" i="5" l="1"/>
  <c r="Q81" i="5" s="1"/>
  <c r="L81" i="5"/>
  <c r="M82" i="4"/>
  <c r="T81" i="4"/>
  <c r="R81" i="4"/>
  <c r="P81" i="5" l="1"/>
  <c r="Y81" i="5"/>
  <c r="U81" i="5"/>
  <c r="N81" i="5"/>
  <c r="W81" i="5"/>
  <c r="O81" i="5"/>
  <c r="O82" i="4"/>
  <c r="N82" i="4"/>
  <c r="X81" i="5" l="1"/>
  <c r="V81" i="5"/>
  <c r="R81" i="5"/>
  <c r="S81" i="5" s="1"/>
  <c r="T81" i="5" s="1"/>
  <c r="Q82" i="4"/>
  <c r="P82" i="4" s="1"/>
  <c r="L83" i="4" s="1"/>
  <c r="U82" i="4"/>
  <c r="S82" i="4"/>
  <c r="L82" i="5" l="1"/>
  <c r="M82" i="5"/>
  <c r="Q82" i="5" s="1"/>
  <c r="M83" i="4"/>
  <c r="T82" i="4"/>
  <c r="R82" i="4"/>
  <c r="P82" i="5" l="1"/>
  <c r="O82" i="5"/>
  <c r="Y82" i="5"/>
  <c r="U82" i="5"/>
  <c r="N82" i="5"/>
  <c r="W82" i="5"/>
  <c r="O83" i="4"/>
  <c r="N83" i="4"/>
  <c r="X82" i="5" l="1"/>
  <c r="R82" i="5"/>
  <c r="S82" i="5" s="1"/>
  <c r="T82" i="5" s="1"/>
  <c r="V82" i="5"/>
  <c r="U83" i="4"/>
  <c r="Q83" i="4"/>
  <c r="P83" i="4" s="1"/>
  <c r="L84" i="4" s="1"/>
  <c r="S83" i="4"/>
  <c r="M83" i="5" l="1"/>
  <c r="Q83" i="5" s="1"/>
  <c r="L83" i="5"/>
  <c r="M84" i="4"/>
  <c r="R83" i="4"/>
  <c r="T83" i="4"/>
  <c r="P83" i="5" l="1"/>
  <c r="N83" i="5"/>
  <c r="Y83" i="5"/>
  <c r="U83" i="5"/>
  <c r="W83" i="5"/>
  <c r="O83" i="5"/>
  <c r="O84" i="4"/>
  <c r="N84" i="4"/>
  <c r="V83" i="5" l="1"/>
  <c r="R83" i="5"/>
  <c r="S83" i="5" s="1"/>
  <c r="T83" i="5" s="1"/>
  <c r="X83" i="5"/>
  <c r="Q84" i="4"/>
  <c r="P84" i="4" s="1"/>
  <c r="L85" i="4" s="1"/>
  <c r="U84" i="4"/>
  <c r="S84" i="4"/>
  <c r="L84" i="5" l="1"/>
  <c r="M84" i="5"/>
  <c r="Q84" i="5" s="1"/>
  <c r="M85" i="4"/>
  <c r="R84" i="4"/>
  <c r="T84" i="4"/>
  <c r="P84" i="5" l="1"/>
  <c r="O84" i="5"/>
  <c r="U84" i="5"/>
  <c r="N84" i="5"/>
  <c r="Y84" i="5"/>
  <c r="W84" i="5"/>
  <c r="O85" i="4"/>
  <c r="N85" i="4"/>
  <c r="R84" i="5" l="1"/>
  <c r="S84" i="5" s="1"/>
  <c r="T84" i="5" s="1"/>
  <c r="X84" i="5"/>
  <c r="V84" i="5"/>
  <c r="Q85" i="4"/>
  <c r="P85" i="4" s="1"/>
  <c r="L86" i="4" s="1"/>
  <c r="U85" i="4"/>
  <c r="S85" i="4"/>
  <c r="M85" i="5" l="1"/>
  <c r="Q85" i="5" s="1"/>
  <c r="L85" i="5"/>
  <c r="M86" i="4"/>
  <c r="T85" i="4"/>
  <c r="R85" i="4"/>
  <c r="P85" i="5" l="1"/>
  <c r="U85" i="5"/>
  <c r="N85" i="5"/>
  <c r="Y85" i="5"/>
  <c r="W85" i="5"/>
  <c r="O85" i="5"/>
  <c r="O86" i="4"/>
  <c r="N86" i="4"/>
  <c r="V85" i="5" l="1"/>
  <c r="R85" i="5"/>
  <c r="S85" i="5" s="1"/>
  <c r="T85" i="5" s="1"/>
  <c r="X85" i="5"/>
  <c r="U86" i="4"/>
  <c r="Q86" i="4"/>
  <c r="P86" i="4" s="1"/>
  <c r="L87" i="4" s="1"/>
  <c r="S86" i="4"/>
  <c r="L86" i="5" l="1"/>
  <c r="M86" i="5"/>
  <c r="Q86" i="5" s="1"/>
  <c r="M87" i="4"/>
  <c r="R86" i="4"/>
  <c r="T86" i="4"/>
  <c r="P86" i="5" l="1"/>
  <c r="O86" i="5"/>
  <c r="Y86" i="5"/>
  <c r="U86" i="5"/>
  <c r="N86" i="5"/>
  <c r="W86" i="5"/>
  <c r="O87" i="4"/>
  <c r="N87" i="4"/>
  <c r="X86" i="5" l="1"/>
  <c r="V86" i="5"/>
  <c r="R86" i="5"/>
  <c r="S86" i="5" s="1"/>
  <c r="T86" i="5" s="1"/>
  <c r="U87" i="4"/>
  <c r="Q87" i="4"/>
  <c r="P87" i="4" s="1"/>
  <c r="L88" i="4" s="1"/>
  <c r="S87" i="4"/>
  <c r="M87" i="5" l="1"/>
  <c r="Q87" i="5" s="1"/>
  <c r="L87" i="5"/>
  <c r="M88" i="4"/>
  <c r="T87" i="4"/>
  <c r="R87" i="4"/>
  <c r="P87" i="5" l="1"/>
  <c r="Y87" i="5"/>
  <c r="U87" i="5"/>
  <c r="N87" i="5"/>
  <c r="W87" i="5"/>
  <c r="O87" i="5"/>
  <c r="O88" i="4"/>
  <c r="N88" i="4"/>
  <c r="X87" i="5" l="1"/>
  <c r="V87" i="5"/>
  <c r="R87" i="5"/>
  <c r="S87" i="5" s="1"/>
  <c r="T87" i="5" s="1"/>
  <c r="U88" i="4"/>
  <c r="Q88" i="4"/>
  <c r="P88" i="4" s="1"/>
  <c r="L89" i="4" s="1"/>
  <c r="S88" i="4"/>
  <c r="L88" i="5" l="1"/>
  <c r="M88" i="5"/>
  <c r="Q88" i="5" s="1"/>
  <c r="M89" i="4"/>
  <c r="R88" i="4"/>
  <c r="T88" i="4"/>
  <c r="P88" i="5" l="1"/>
  <c r="O88" i="5"/>
  <c r="Y88" i="5"/>
  <c r="U88" i="5"/>
  <c r="N88" i="5"/>
  <c r="W88" i="5"/>
  <c r="O89" i="4"/>
  <c r="N89" i="4"/>
  <c r="X88" i="5" l="1"/>
  <c r="R88" i="5"/>
  <c r="S88" i="5" s="1"/>
  <c r="T88" i="5" s="1"/>
  <c r="V88" i="5"/>
  <c r="U89" i="4"/>
  <c r="Q89" i="4"/>
  <c r="P89" i="4" s="1"/>
  <c r="L90" i="4" s="1"/>
  <c r="S89" i="4"/>
  <c r="M89" i="5" l="1"/>
  <c r="Q89" i="5" s="1"/>
  <c r="L89" i="5"/>
  <c r="M90" i="4"/>
  <c r="R89" i="4"/>
  <c r="T89" i="4"/>
  <c r="P89" i="5" l="1"/>
  <c r="N89" i="5"/>
  <c r="Y89" i="5"/>
  <c r="U89" i="5"/>
  <c r="W89" i="5"/>
  <c r="O89" i="5"/>
  <c r="N90" i="4"/>
  <c r="O90" i="4"/>
  <c r="V89" i="5" l="1"/>
  <c r="R89" i="5"/>
  <c r="S89" i="5" s="1"/>
  <c r="T89" i="5" s="1"/>
  <c r="X89" i="5"/>
  <c r="Q90" i="4"/>
  <c r="P90" i="4" s="1"/>
  <c r="L91" i="4" s="1"/>
  <c r="U90" i="4"/>
  <c r="S90" i="4"/>
  <c r="L90" i="5" l="1"/>
  <c r="M90" i="5"/>
  <c r="Q90" i="5" s="1"/>
  <c r="M91" i="4"/>
  <c r="T90" i="4"/>
  <c r="R90" i="4"/>
  <c r="P90" i="5" l="1"/>
  <c r="O90" i="5"/>
  <c r="U90" i="5"/>
  <c r="N90" i="5"/>
  <c r="Y90" i="5"/>
  <c r="W90" i="5"/>
  <c r="N91" i="4"/>
  <c r="O91" i="4"/>
  <c r="R90" i="5" l="1"/>
  <c r="S90" i="5" s="1"/>
  <c r="T90" i="5" s="1"/>
  <c r="X90" i="5"/>
  <c r="V90" i="5"/>
  <c r="U91" i="4"/>
  <c r="Q91" i="4"/>
  <c r="P91" i="4" s="1"/>
  <c r="L92" i="4" s="1"/>
  <c r="S91" i="4"/>
  <c r="M91" i="5" l="1"/>
  <c r="Q91" i="5" s="1"/>
  <c r="L91" i="5"/>
  <c r="M92" i="4"/>
  <c r="R91" i="4"/>
  <c r="T91" i="4"/>
  <c r="P91" i="5" l="1"/>
  <c r="U91" i="5"/>
  <c r="N91" i="5"/>
  <c r="Y91" i="5"/>
  <c r="W91" i="5"/>
  <c r="O91" i="5"/>
  <c r="O92" i="4"/>
  <c r="N92" i="4"/>
  <c r="V91" i="5" l="1"/>
  <c r="R91" i="5"/>
  <c r="S91" i="5" s="1"/>
  <c r="T91" i="5" s="1"/>
  <c r="X91" i="5"/>
  <c r="U92" i="4"/>
  <c r="Q92" i="4"/>
  <c r="P92" i="4" s="1"/>
  <c r="L93" i="4" s="1"/>
  <c r="S92" i="4"/>
  <c r="L92" i="5" l="1"/>
  <c r="M92" i="5"/>
  <c r="Q92" i="5" s="1"/>
  <c r="M93" i="4"/>
  <c r="R92" i="4"/>
  <c r="T92" i="4"/>
  <c r="P92" i="5" l="1"/>
  <c r="O92" i="5"/>
  <c r="Y92" i="5"/>
  <c r="U92" i="5"/>
  <c r="N92" i="5"/>
  <c r="W92" i="5"/>
  <c r="O93" i="4"/>
  <c r="N93" i="4"/>
  <c r="X92" i="5" l="1"/>
  <c r="V92" i="5"/>
  <c r="R92" i="5"/>
  <c r="S92" i="5" s="1"/>
  <c r="T92" i="5" s="1"/>
  <c r="U93" i="4"/>
  <c r="Q93" i="4"/>
  <c r="P93" i="4" s="1"/>
  <c r="L94" i="4" s="1"/>
  <c r="S93" i="4"/>
  <c r="M93" i="5" l="1"/>
  <c r="Q93" i="5" s="1"/>
  <c r="L93" i="5"/>
  <c r="M94" i="4"/>
  <c r="R93" i="4"/>
  <c r="T93" i="4"/>
  <c r="P93" i="5" l="1"/>
  <c r="Y93" i="5"/>
  <c r="U93" i="5"/>
  <c r="N93" i="5"/>
  <c r="W93" i="5"/>
  <c r="O93" i="5"/>
  <c r="O94" i="4"/>
  <c r="N94" i="4"/>
  <c r="X93" i="5" l="1"/>
  <c r="V93" i="5"/>
  <c r="R93" i="5"/>
  <c r="S93" i="5" s="1"/>
  <c r="T93" i="5" s="1"/>
  <c r="U94" i="4"/>
  <c r="Q94" i="4"/>
  <c r="P94" i="4" s="1"/>
  <c r="L95" i="4" s="1"/>
  <c r="S94" i="4"/>
  <c r="L94" i="5" l="1"/>
  <c r="M94" i="5"/>
  <c r="Q94" i="5" s="1"/>
  <c r="M95" i="4"/>
  <c r="R94" i="4"/>
  <c r="T94" i="4"/>
  <c r="P94" i="5" l="1"/>
  <c r="O94" i="5"/>
  <c r="Y94" i="5"/>
  <c r="U94" i="5"/>
  <c r="N94" i="5"/>
  <c r="W94" i="5"/>
  <c r="O95" i="4"/>
  <c r="N95" i="4"/>
  <c r="X94" i="5" l="1"/>
  <c r="R94" i="5"/>
  <c r="S94" i="5" s="1"/>
  <c r="T94" i="5" s="1"/>
  <c r="V94" i="5"/>
  <c r="U95" i="4"/>
  <c r="Q95" i="4"/>
  <c r="P95" i="4" s="1"/>
  <c r="L96" i="4" s="1"/>
  <c r="S95" i="4"/>
  <c r="M95" i="5" l="1"/>
  <c r="Q95" i="5" s="1"/>
  <c r="L95" i="5"/>
  <c r="M96" i="4"/>
  <c r="T95" i="4"/>
  <c r="R95" i="4"/>
  <c r="P95" i="5" l="1"/>
  <c r="N95" i="5"/>
  <c r="Y95" i="5"/>
  <c r="U95" i="5"/>
  <c r="W95" i="5"/>
  <c r="O95" i="5"/>
  <c r="N96" i="4"/>
  <c r="O96" i="4"/>
  <c r="V95" i="5" l="1"/>
  <c r="R95" i="5"/>
  <c r="S95" i="5" s="1"/>
  <c r="T95" i="5" s="1"/>
  <c r="X95" i="5"/>
  <c r="Q96" i="4"/>
  <c r="P96" i="4" s="1"/>
  <c r="L97" i="4" s="1"/>
  <c r="U96" i="4"/>
  <c r="S96" i="4"/>
  <c r="L96" i="5" l="1"/>
  <c r="M96" i="5"/>
  <c r="Q96" i="5" s="1"/>
  <c r="M97" i="4"/>
  <c r="T96" i="4"/>
  <c r="R96" i="4"/>
  <c r="P96" i="5" l="1"/>
  <c r="O96" i="5"/>
  <c r="U96" i="5"/>
  <c r="N96" i="5"/>
  <c r="Y96" i="5"/>
  <c r="W96" i="5"/>
  <c r="O97" i="4"/>
  <c r="N97" i="4"/>
  <c r="R96" i="5" l="1"/>
  <c r="S96" i="5" s="1"/>
  <c r="T96" i="5" s="1"/>
  <c r="X96" i="5"/>
  <c r="V96" i="5"/>
  <c r="Q97" i="4"/>
  <c r="P97" i="4" s="1"/>
  <c r="L98" i="4" s="1"/>
  <c r="U97" i="4"/>
  <c r="S97" i="4"/>
  <c r="M97" i="5" l="1"/>
  <c r="Q97" i="5" s="1"/>
  <c r="L97" i="5"/>
  <c r="M98" i="4"/>
  <c r="T97" i="4"/>
  <c r="R97" i="4"/>
  <c r="P97" i="5" l="1"/>
  <c r="U97" i="5"/>
  <c r="N97" i="5"/>
  <c r="Y97" i="5"/>
  <c r="W97" i="5"/>
  <c r="O97" i="5"/>
  <c r="O98" i="4"/>
  <c r="N98" i="4"/>
  <c r="V97" i="5" l="1"/>
  <c r="R97" i="5"/>
  <c r="S97" i="5" s="1"/>
  <c r="T97" i="5" s="1"/>
  <c r="X97" i="5"/>
  <c r="U98" i="4"/>
  <c r="Q98" i="4"/>
  <c r="P98" i="4" s="1"/>
  <c r="L99" i="4" s="1"/>
  <c r="S98" i="4"/>
  <c r="L98" i="5" l="1"/>
  <c r="M98" i="5"/>
  <c r="Q98" i="5" s="1"/>
  <c r="M99" i="4"/>
  <c r="R98" i="4"/>
  <c r="T98" i="4"/>
  <c r="P98" i="5" l="1"/>
  <c r="O98" i="5"/>
  <c r="Y98" i="5"/>
  <c r="U98" i="5"/>
  <c r="N98" i="5"/>
  <c r="W98" i="5"/>
  <c r="O99" i="4"/>
  <c r="N99" i="4"/>
  <c r="X98" i="5" l="1"/>
  <c r="V98" i="5"/>
  <c r="R98" i="5"/>
  <c r="S98" i="5" s="1"/>
  <c r="T98" i="5" s="1"/>
  <c r="U99" i="4"/>
  <c r="Q99" i="4"/>
  <c r="P99" i="4" s="1"/>
  <c r="L100" i="4" s="1"/>
  <c r="S99" i="4"/>
  <c r="M99" i="5" l="1"/>
  <c r="Q99" i="5" s="1"/>
  <c r="L99" i="5"/>
  <c r="M100" i="4"/>
  <c r="R99" i="4"/>
  <c r="T99" i="4"/>
  <c r="P99" i="5" l="1"/>
  <c r="Y99" i="5"/>
  <c r="U99" i="5"/>
  <c r="N99" i="5"/>
  <c r="W99" i="5"/>
  <c r="O99" i="5"/>
  <c r="O100" i="4"/>
  <c r="N100" i="4"/>
  <c r="X99" i="5" l="1"/>
  <c r="V99" i="5"/>
  <c r="R99" i="5"/>
  <c r="S99" i="5" s="1"/>
  <c r="T99" i="5" s="1"/>
  <c r="U100" i="4"/>
  <c r="Q100" i="4"/>
  <c r="P100" i="4" s="1"/>
  <c r="L101" i="4" s="1"/>
  <c r="S100" i="4"/>
  <c r="L100" i="5" l="1"/>
  <c r="M100" i="5"/>
  <c r="Q100" i="5" s="1"/>
  <c r="M101" i="4"/>
  <c r="R100" i="4"/>
  <c r="T100" i="4"/>
  <c r="P100" i="5" l="1"/>
  <c r="O100" i="5"/>
  <c r="Y100" i="5"/>
  <c r="U100" i="5"/>
  <c r="N100" i="5"/>
  <c r="W100" i="5"/>
  <c r="N101" i="4"/>
  <c r="O101" i="4"/>
  <c r="X100" i="5" l="1"/>
  <c r="R100" i="5"/>
  <c r="S100" i="5" s="1"/>
  <c r="T100" i="5" s="1"/>
  <c r="V100" i="5"/>
  <c r="U101" i="4"/>
  <c r="Q101" i="4"/>
  <c r="P101" i="4" s="1"/>
  <c r="L102" i="4" s="1"/>
  <c r="S101" i="4"/>
  <c r="M101" i="5" l="1"/>
  <c r="Q101" i="5" s="1"/>
  <c r="L101" i="5"/>
  <c r="M102" i="4"/>
  <c r="T101" i="4"/>
  <c r="R101" i="4"/>
  <c r="P101" i="5" l="1"/>
  <c r="N101" i="5"/>
  <c r="Y101" i="5"/>
  <c r="U101" i="5"/>
  <c r="W101" i="5"/>
  <c r="O101" i="5"/>
  <c r="O102" i="4"/>
  <c r="N102" i="4"/>
  <c r="V101" i="5" l="1"/>
  <c r="R101" i="5"/>
  <c r="S101" i="5" s="1"/>
  <c r="T101" i="5" s="1"/>
  <c r="X101" i="5"/>
  <c r="Q102" i="4"/>
  <c r="P102" i="4" s="1"/>
  <c r="L103" i="4" s="1"/>
  <c r="U102" i="4"/>
  <c r="S102" i="4"/>
  <c r="L102" i="5" l="1"/>
  <c r="M102" i="5"/>
  <c r="Q102" i="5" s="1"/>
  <c r="M103" i="4"/>
  <c r="R102" i="4"/>
  <c r="T102" i="4"/>
  <c r="P102" i="5" l="1"/>
  <c r="O102" i="5"/>
  <c r="U102" i="5"/>
  <c r="N102" i="5"/>
  <c r="Y102" i="5"/>
  <c r="W102" i="5"/>
  <c r="O103" i="4"/>
  <c r="N103" i="4"/>
  <c r="R102" i="5" l="1"/>
  <c r="S102" i="5" s="1"/>
  <c r="T102" i="5" s="1"/>
  <c r="X102" i="5"/>
  <c r="V102" i="5"/>
  <c r="Q103" i="4"/>
  <c r="P103" i="4" s="1"/>
  <c r="L104" i="4" s="1"/>
  <c r="U103" i="4"/>
  <c r="S103" i="4"/>
  <c r="M103" i="5" l="1"/>
  <c r="Q103" i="5" s="1"/>
  <c r="L103" i="5"/>
  <c r="M104" i="4"/>
  <c r="R103" i="4"/>
  <c r="T103" i="4"/>
  <c r="P103" i="5" l="1"/>
  <c r="U103" i="5"/>
  <c r="N103" i="5"/>
  <c r="Y103" i="5"/>
  <c r="W103" i="5"/>
  <c r="O103" i="5"/>
  <c r="O104" i="4"/>
  <c r="N104" i="4"/>
  <c r="V103" i="5" l="1"/>
  <c r="R103" i="5"/>
  <c r="S103" i="5" s="1"/>
  <c r="T103" i="5" s="1"/>
  <c r="X103" i="5"/>
  <c r="Q104" i="4"/>
  <c r="P104" i="4" s="1"/>
  <c r="U104" i="4"/>
  <c r="S104" i="4"/>
  <c r="L104" i="5" l="1"/>
  <c r="M104" i="5"/>
  <c r="R104" i="4"/>
  <c r="T104" i="4"/>
  <c r="O104" i="5" l="1"/>
  <c r="Q104" i="5"/>
  <c r="P104" i="5"/>
  <c r="Y104" i="5"/>
  <c r="U104" i="5"/>
  <c r="N104" i="5"/>
  <c r="W104" i="5"/>
  <c r="X104" i="5" l="1"/>
  <c r="V104" i="5"/>
  <c r="R104" i="5"/>
  <c r="S104" i="5" s="1"/>
  <c r="T104" i="5" s="1"/>
</calcChain>
</file>

<file path=xl/sharedStrings.xml><?xml version="1.0" encoding="utf-8"?>
<sst xmlns="http://schemas.openxmlformats.org/spreadsheetml/2006/main" count="224" uniqueCount="50">
  <si>
    <t>Чернов Вариант 2276</t>
  </si>
  <si>
    <t>Исходные данные</t>
  </si>
  <si>
    <t>с1=</t>
  </si>
  <si>
    <t>с2=</t>
  </si>
  <si>
    <t>а1=</t>
  </si>
  <si>
    <t>а2=</t>
  </si>
  <si>
    <t>х10=</t>
  </si>
  <si>
    <t>х20=</t>
  </si>
  <si>
    <t>r=</t>
  </si>
  <si>
    <t>Решение с помощью поиска решений</t>
  </si>
  <si>
    <t>f1_opt=</t>
  </si>
  <si>
    <t>x1_opt</t>
  </si>
  <si>
    <t>x2_opt</t>
  </si>
  <si>
    <t>Алгоритм с постоянным параметром шага</t>
  </si>
  <si>
    <t>k</t>
  </si>
  <si>
    <t>x1</t>
  </si>
  <si>
    <t>x2</t>
  </si>
  <si>
    <t>df1_x1</t>
  </si>
  <si>
    <t>df1_x2</t>
  </si>
  <si>
    <t>r</t>
  </si>
  <si>
    <t>f1</t>
  </si>
  <si>
    <t>df1</t>
  </si>
  <si>
    <t>dx</t>
  </si>
  <si>
    <t>по f1</t>
  </si>
  <si>
    <t>по x</t>
  </si>
  <si>
    <t>Шаг</t>
  </si>
  <si>
    <t>Переменные</t>
  </si>
  <si>
    <t>Производные</t>
  </si>
  <si>
    <t>КОЭФ</t>
  </si>
  <si>
    <t>ЦФ</t>
  </si>
  <si>
    <t>Мера</t>
  </si>
  <si>
    <t>Погрешность</t>
  </si>
  <si>
    <t>+</t>
  </si>
  <si>
    <t>-</t>
  </si>
  <si>
    <t>dx_1-2</t>
  </si>
  <si>
    <t>c0=</t>
  </si>
  <si>
    <t>c3=</t>
  </si>
  <si>
    <t>c4=</t>
  </si>
  <si>
    <t>c5=</t>
  </si>
  <si>
    <t>f2</t>
  </si>
  <si>
    <t>df2_x1</t>
  </si>
  <si>
    <t>df2_x2</t>
  </si>
  <si>
    <t>df2</t>
  </si>
  <si>
    <t>по f2</t>
  </si>
  <si>
    <t>f_порог</t>
  </si>
  <si>
    <t>k_дробл</t>
  </si>
  <si>
    <t>b1</t>
  </si>
  <si>
    <t>b2</t>
  </si>
  <si>
    <t>h</t>
  </si>
  <si>
    <t>f1-h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</si>
</sst>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"/>
    <numFmt numFmtId="166" formatCode="0.0000000000000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425162092617936E-2"/>
          <c:y val="7.4870599339267208E-2"/>
          <c:w val="0.74863034181002353"/>
          <c:h val="0.85972014794215301"/>
        </c:manualLayout>
      </c:layout>
      <c:scatterChart>
        <c:scatterStyle val="lineMarker"/>
        <c:varyColors val="0"/>
        <c:ser>
          <c:idx val="0"/>
          <c:order val="0"/>
          <c:tx>
            <c:v>f1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'f1 c пост.шг'!$K$4:$K$104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'f1 c пост.шг'!$R$5:$R$104</c:f>
              <c:numCache>
                <c:formatCode>General</c:formatCode>
                <c:ptCount val="100"/>
                <c:pt idx="0">
                  <c:v>4.2775092287620984</c:v>
                </c:pt>
                <c:pt idx="1">
                  <c:v>1.1730581829024704</c:v>
                </c:pt>
                <c:pt idx="2">
                  <c:v>0.41257747119856752</c:v>
                </c:pt>
                <c:pt idx="3">
                  <c:v>0.18924085687797382</c:v>
                </c:pt>
                <c:pt idx="4">
                  <c:v>0.10351180061718099</c:v>
                </c:pt>
                <c:pt idx="5">
                  <c:v>6.1471264523038763E-2</c:v>
                </c:pt>
                <c:pt idx="6">
                  <c:v>3.7686481225286575E-2</c:v>
                </c:pt>
                <c:pt idx="7">
                  <c:v>2.3369544219065189E-2</c:v>
                </c:pt>
                <c:pt idx="8">
                  <c:v>1.4549097756982366E-2</c:v>
                </c:pt>
                <c:pt idx="9">
                  <c:v>9.070141086097808E-3</c:v>
                </c:pt>
                <c:pt idx="10">
                  <c:v>5.6571152437291227E-3</c:v>
                </c:pt>
                <c:pt idx="11">
                  <c:v>3.5289500957216367E-3</c:v>
                </c:pt>
                <c:pt idx="12">
                  <c:v>2.2015056111117522E-3</c:v>
                </c:pt>
                <c:pt idx="13">
                  <c:v>1.373416362654172E-3</c:v>
                </c:pt>
                <c:pt idx="14">
                  <c:v>8.5681571488624322E-4</c:v>
                </c:pt>
                <c:pt idx="15">
                  <c:v>5.3453184372975445E-4</c:v>
                </c:pt>
                <c:pt idx="16">
                  <c:v>3.3347253274810173E-4</c:v>
                </c:pt>
                <c:pt idx="17">
                  <c:v>2.0803991376515277E-4</c:v>
                </c:pt>
                <c:pt idx="18">
                  <c:v>1.2978762948916535E-4</c:v>
                </c:pt>
                <c:pt idx="19">
                  <c:v>8.0969218696464411E-5</c:v>
                </c:pt>
                <c:pt idx="20">
                  <c:v>5.0513400002899682E-5</c:v>
                </c:pt>
                <c:pt idx="21">
                  <c:v>3.1513254418414736E-5</c:v>
                </c:pt>
                <c:pt idx="22">
                  <c:v>1.9659836898314168E-5</c:v>
                </c:pt>
                <c:pt idx="23">
                  <c:v>1.2264972125577255E-5</c:v>
                </c:pt>
                <c:pt idx="24">
                  <c:v>7.6516169508670589E-6</c:v>
                </c:pt>
                <c:pt idx="25">
                  <c:v>4.7735324113356098E-6</c:v>
                </c:pt>
                <c:pt idx="26">
                  <c:v>2.9780125990065905E-6</c:v>
                </c:pt>
                <c:pt idx="27">
                  <c:v>1.8578608618730587E-6</c:v>
                </c:pt>
                <c:pt idx="28">
                  <c:v>1.1590437808179262E-6</c:v>
                </c:pt>
                <c:pt idx="29">
                  <c:v>7.2308024428745696E-7</c:v>
                </c:pt>
                <c:pt idx="30">
                  <c:v>4.5110033661445513E-7</c:v>
                </c:pt>
                <c:pt idx="31">
                  <c:v>2.8142314121211208E-7</c:v>
                </c:pt>
                <c:pt idx="32">
                  <c:v>1.7556844449167679E-7</c:v>
                </c:pt>
                <c:pt idx="33">
                  <c:v>1.0953000726259536E-7</c:v>
                </c:pt>
                <c:pt idx="34">
                  <c:v>6.8331313898637121E-8</c:v>
                </c:pt>
                <c:pt idx="35">
                  <c:v>4.2629125805050746E-8</c:v>
                </c:pt>
                <c:pt idx="36">
                  <c:v>2.6594576676978296E-8</c:v>
                </c:pt>
                <c:pt idx="37">
                  <c:v>1.6591274047212783E-8</c:v>
                </c:pt>
                <c:pt idx="38">
                  <c:v>1.0350620649221666E-8</c:v>
                </c:pt>
                <c:pt idx="39">
                  <c:v>6.4573309751806947E-9</c:v>
                </c:pt>
                <c:pt idx="40">
                  <c:v>4.0284659962658216E-9</c:v>
                </c:pt>
                <c:pt idx="41">
                  <c:v>2.5131959851457448E-9</c:v>
                </c:pt>
                <c:pt idx="42">
                  <c:v>1.5678806935717102E-9</c:v>
                </c:pt>
                <c:pt idx="43">
                  <c:v>9.7813695535292579E-10</c:v>
                </c:pt>
                <c:pt idx="44">
                  <c:v>6.1021983843015999E-10</c:v>
                </c:pt>
                <c:pt idx="45">
                  <c:v>3.8069132259231015E-10</c:v>
                </c:pt>
                <c:pt idx="46">
                  <c:v>2.3749782288714785E-10</c:v>
                </c:pt>
                <c:pt idx="47">
                  <c:v>1.4816522603577457E-10</c:v>
                </c:pt>
                <c:pt idx="48">
                  <c:v>9.2434254512291252E-11</c:v>
                </c:pt>
                <c:pt idx="49">
                  <c:v>5.7665969518272132E-11</c:v>
                </c:pt>
                <c:pt idx="50">
                  <c:v>3.597545148994473E-11</c:v>
                </c:pt>
                <c:pt idx="51">
                  <c:v>2.244362006876106E-11</c:v>
                </c:pt>
                <c:pt idx="52">
                  <c:v>1.4001661156552086E-11</c:v>
                </c:pt>
                <c:pt idx="53">
                  <c:v>8.7350665574595332E-12</c:v>
                </c:pt>
                <c:pt idx="54">
                  <c:v>5.4494525331660654E-12</c:v>
                </c:pt>
                <c:pt idx="55">
                  <c:v>3.3996916516957838E-12</c:v>
                </c:pt>
                <c:pt idx="56">
                  <c:v>2.1209292576359558E-12</c:v>
                </c:pt>
                <c:pt idx="57">
                  <c:v>1.3231614501556515E-12</c:v>
                </c:pt>
                <c:pt idx="58">
                  <c:v>8.254665763566319E-13</c:v>
                </c:pt>
                <c:pt idx="59">
                  <c:v>5.1497500408920213E-13</c:v>
                </c:pt>
                <c:pt idx="60">
                  <c:v>3.2127194712908956E-13</c:v>
                </c:pt>
                <c:pt idx="61">
                  <c:v>2.0042849103385716E-13</c:v>
                </c:pt>
                <c:pt idx="62">
                  <c:v>1.250391793554226E-13</c:v>
                </c:pt>
                <c:pt idx="63">
                  <c:v>7.8006854800499581E-14</c:v>
                </c:pt>
                <c:pt idx="64">
                  <c:v>4.866530283615623E-14</c:v>
                </c:pt>
                <c:pt idx="65">
                  <c:v>3.0360301844949249E-14</c:v>
                </c:pt>
                <c:pt idx="66">
                  <c:v>1.8940556632630569E-14</c:v>
                </c:pt>
                <c:pt idx="67">
                  <c:v>1.1816242208853574E-14</c:v>
                </c:pt>
                <c:pt idx="68">
                  <c:v>7.3716725404133423E-15</c:v>
                </c:pt>
                <c:pt idx="69">
                  <c:v>4.5988865410688141E-15</c:v>
                </c:pt>
                <c:pt idx="70">
                  <c:v>2.869058188653164E-15</c:v>
                </c:pt>
                <c:pt idx="71">
                  <c:v>1.7898886970905518E-15</c:v>
                </c:pt>
                <c:pt idx="72">
                  <c:v>1.1166386492088094E-15</c:v>
                </c:pt>
                <c:pt idx="73">
                  <c:v>6.9662542670824188E-16</c:v>
                </c:pt>
                <c:pt idx="74">
                  <c:v>4.3459625501985995E-16</c:v>
                </c:pt>
                <c:pt idx="75">
                  <c:v>2.7112689736500282E-16</c:v>
                </c:pt>
                <c:pt idx="76">
                  <c:v>1.6914499492882711E-16</c:v>
                </c:pt>
                <c:pt idx="77">
                  <c:v>1.0552268892884162E-16</c:v>
                </c:pt>
                <c:pt idx="78">
                  <c:v>6.5831326611684945E-17</c:v>
                </c:pt>
                <c:pt idx="79">
                  <c:v>4.1069473288697343E-17</c:v>
                </c:pt>
                <c:pt idx="80">
                  <c:v>2.562157026240661E-17</c:v>
                </c:pt>
                <c:pt idx="81">
                  <c:v>1.5984269671045349E-17</c:v>
                </c:pt>
                <c:pt idx="82">
                  <c:v>9.9719349350308471E-18</c:v>
                </c:pt>
                <c:pt idx="83">
                  <c:v>6.221082100756006E-18</c:v>
                </c:pt>
                <c:pt idx="84">
                  <c:v>3.8810790797535212E-18</c:v>
                </c:pt>
                <c:pt idx="85">
                  <c:v>2.4212440602623348E-18</c:v>
                </c:pt>
                <c:pt idx="86">
                  <c:v>1.5105174742008246E-18</c:v>
                </c:pt>
                <c:pt idx="87">
                  <c:v>9.4234885603939978E-19</c:v>
                </c:pt>
                <c:pt idx="88">
                  <c:v>5.878940197590958E-19</c:v>
                </c:pt>
                <c:pt idx="89">
                  <c:v>3.6676307634941276E-19</c:v>
                </c:pt>
                <c:pt idx="90">
                  <c:v>2.2880995436949122E-19</c:v>
                </c:pt>
                <c:pt idx="91">
                  <c:v>1.427447174386474E-19</c:v>
                </c:pt>
                <c:pt idx="92">
                  <c:v>8.9051921386595212E-20</c:v>
                </c:pt>
                <c:pt idx="93">
                  <c:v>5.5555977334265952E-20</c:v>
                </c:pt>
                <c:pt idx="94">
                  <c:v>3.4659619118683201E-20</c:v>
                </c:pt>
                <c:pt idx="95">
                  <c:v>2.162272983588483E-20</c:v>
                </c:pt>
                <c:pt idx="96">
                  <c:v>1.3489336726657658E-20</c:v>
                </c:pt>
                <c:pt idx="97">
                  <c:v>8.4155691776595047E-21</c:v>
                </c:pt>
                <c:pt idx="98">
                  <c:v>5.2502112009997818E-21</c:v>
                </c:pt>
                <c:pt idx="99">
                  <c:v>3.2752701033805269E-21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5-4BAD-BC8D-19804B41E88A}"/>
            </c:ext>
          </c:extLst>
        </c:ser>
        <c:ser>
          <c:idx val="1"/>
          <c:order val="1"/>
          <c:tx>
            <c:v>f1_opt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'f1 c пост.шг'!$K$4:$K$104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('f1 c пост.шг'!$F$4,'f1 c пост.шг'!$F$4,'f1 c пост.шг'!$F$4,'f1 c пост.шг'!$F$4,'f1 c пост.шг'!$F$4,'f1 c пост.шг'!$F$4)</c:f>
              <c:numCache>
                <c:formatCode>General</c:formatCode>
                <c:ptCount val="6"/>
                <c:pt idx="0">
                  <c:v>3.0219201650390697E-13</c:v>
                </c:pt>
                <c:pt idx="1">
                  <c:v>3.0219201650390697E-13</c:v>
                </c:pt>
                <c:pt idx="2">
                  <c:v>3.0219201650390697E-13</c:v>
                </c:pt>
                <c:pt idx="3">
                  <c:v>3.0219201650390697E-13</c:v>
                </c:pt>
                <c:pt idx="4">
                  <c:v>3.0219201650390697E-13</c:v>
                </c:pt>
                <c:pt idx="5">
                  <c:v>3.0219201650390697E-13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25-4BAD-BC8D-19804B41E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017007"/>
        <c:axId val="1874012687"/>
      </c:scatterChart>
      <c:valAx>
        <c:axId val="187401700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4012687"/>
        <c:crosses val="autoZero"/>
        <c:crossBetween val="midCat"/>
        <c:majorUnit val="10"/>
      </c:valAx>
      <c:valAx>
        <c:axId val="187401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401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x1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'f1 c пост.шг'!$K$4:$K$104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'f1 c пост.шг'!$L$4:$L$104</c:f>
              <c:numCache>
                <c:formatCode>General</c:formatCode>
                <c:ptCount val="101"/>
                <c:pt idx="0">
                  <c:v>7.6300851466414379</c:v>
                </c:pt>
                <c:pt idx="1">
                  <c:v>7.2380046092444106</c:v>
                </c:pt>
                <c:pt idx="2">
                  <c:v>7.0568523182417628</c:v>
                </c:pt>
                <c:pt idx="3">
                  <c:v>6.9731548392662184</c:v>
                </c:pt>
                <c:pt idx="4">
                  <c:v>6.9344842381488458</c:v>
                </c:pt>
                <c:pt idx="5">
                  <c:v>6.9166173273519753</c:v>
                </c:pt>
                <c:pt idx="6">
                  <c:v>6.9083623095296662</c:v>
                </c:pt>
                <c:pt idx="7">
                  <c:v>6.904548257955704</c:v>
                </c:pt>
                <c:pt idx="8">
                  <c:v>6.9027860583188323</c:v>
                </c:pt>
                <c:pt idx="9">
                  <c:v>6.9019718722754684</c:v>
                </c:pt>
                <c:pt idx="10">
                  <c:v>6.9015956953092843</c:v>
                </c:pt>
                <c:pt idx="11">
                  <c:v>6.9014218909177201</c:v>
                </c:pt>
                <c:pt idx="12">
                  <c:v>6.9013415883759839</c:v>
                </c:pt>
                <c:pt idx="13">
                  <c:v>6.901304486331834</c:v>
                </c:pt>
                <c:pt idx="14">
                  <c:v>6.9012873441386935</c:v>
                </c:pt>
                <c:pt idx="15">
                  <c:v>6.9012794239609141</c:v>
                </c:pt>
                <c:pt idx="16">
                  <c:v>6.9012757646149039</c:v>
                </c:pt>
                <c:pt idx="17">
                  <c:v>6.9012740738936111</c:v>
                </c:pt>
                <c:pt idx="18">
                  <c:v>6.9012732927325828</c:v>
                </c:pt>
                <c:pt idx="19">
                  <c:v>6.9012729318141073</c:v>
                </c:pt>
                <c:pt idx="20">
                  <c:v>6.90127276505957</c:v>
                </c:pt>
                <c:pt idx="21">
                  <c:v>6.9012726880142594</c:v>
                </c:pt>
                <c:pt idx="22">
                  <c:v>6.9012726524171484</c:v>
                </c:pt>
                <c:pt idx="23">
                  <c:v>6.901272635970277</c:v>
                </c:pt>
                <c:pt idx="24">
                  <c:v>6.9012726283713572</c:v>
                </c:pt>
                <c:pt idx="25">
                  <c:v>6.9012726248604421</c:v>
                </c:pt>
                <c:pt idx="26">
                  <c:v>6.9012726232382997</c:v>
                </c:pt>
                <c:pt idx="27">
                  <c:v>6.9012726224888246</c:v>
                </c:pt>
                <c:pt idx="28">
                  <c:v>6.9012726221425451</c:v>
                </c:pt>
                <c:pt idx="29">
                  <c:v>6.9012726219825549</c:v>
                </c:pt>
                <c:pt idx="30">
                  <c:v>6.9012726219086344</c:v>
                </c:pt>
                <c:pt idx="31">
                  <c:v>6.9012726218744813</c:v>
                </c:pt>
                <c:pt idx="32">
                  <c:v>6.9012726218587011</c:v>
                </c:pt>
                <c:pt idx="33">
                  <c:v>6.9012726218514109</c:v>
                </c:pt>
                <c:pt idx="34">
                  <c:v>6.901272621848042</c:v>
                </c:pt>
                <c:pt idx="35">
                  <c:v>6.9012726218464859</c:v>
                </c:pt>
                <c:pt idx="36">
                  <c:v>6.9012726218457665</c:v>
                </c:pt>
                <c:pt idx="37">
                  <c:v>6.9012726218454343</c:v>
                </c:pt>
                <c:pt idx="38">
                  <c:v>6.9012726218452807</c:v>
                </c:pt>
                <c:pt idx="39">
                  <c:v>6.9012726218452096</c:v>
                </c:pt>
                <c:pt idx="40">
                  <c:v>6.9012726218451768</c:v>
                </c:pt>
                <c:pt idx="41">
                  <c:v>6.9012726218451617</c:v>
                </c:pt>
                <c:pt idx="42">
                  <c:v>6.9012726218451546</c:v>
                </c:pt>
                <c:pt idx="43">
                  <c:v>6.9012726218451519</c:v>
                </c:pt>
                <c:pt idx="44">
                  <c:v>6.9012726218451501</c:v>
                </c:pt>
                <c:pt idx="45">
                  <c:v>6.9012726218451492</c:v>
                </c:pt>
                <c:pt idx="46">
                  <c:v>6.9012726218451492</c:v>
                </c:pt>
                <c:pt idx="47">
                  <c:v>6.9012726218451492</c:v>
                </c:pt>
                <c:pt idx="48">
                  <c:v>6.9012726218451492</c:v>
                </c:pt>
                <c:pt idx="49">
                  <c:v>6.9012726218451492</c:v>
                </c:pt>
                <c:pt idx="50">
                  <c:v>6.9012726218451492</c:v>
                </c:pt>
                <c:pt idx="51">
                  <c:v>6.9012726218451492</c:v>
                </c:pt>
                <c:pt idx="52">
                  <c:v>6.9012726218451492</c:v>
                </c:pt>
                <c:pt idx="53">
                  <c:v>6.9012726218451492</c:v>
                </c:pt>
                <c:pt idx="54">
                  <c:v>6.9012726218451492</c:v>
                </c:pt>
                <c:pt idx="55">
                  <c:v>6.9012726218451492</c:v>
                </c:pt>
                <c:pt idx="56">
                  <c:v>6.9012726218451492</c:v>
                </c:pt>
                <c:pt idx="57">
                  <c:v>6.9012726218451492</c:v>
                </c:pt>
                <c:pt idx="58">
                  <c:v>6.9012726218451492</c:v>
                </c:pt>
                <c:pt idx="59">
                  <c:v>6.9012726218451492</c:v>
                </c:pt>
                <c:pt idx="60">
                  <c:v>6.9012726218451492</c:v>
                </c:pt>
                <c:pt idx="61">
                  <c:v>6.9012726218451492</c:v>
                </c:pt>
                <c:pt idx="62">
                  <c:v>6.9012726218451492</c:v>
                </c:pt>
                <c:pt idx="63">
                  <c:v>6.9012726218451492</c:v>
                </c:pt>
                <c:pt idx="64">
                  <c:v>6.9012726218451492</c:v>
                </c:pt>
                <c:pt idx="65">
                  <c:v>6.9012726218451492</c:v>
                </c:pt>
                <c:pt idx="66">
                  <c:v>6.9012726218451492</c:v>
                </c:pt>
                <c:pt idx="67">
                  <c:v>6.9012726218451492</c:v>
                </c:pt>
                <c:pt idx="68">
                  <c:v>6.9012726218451492</c:v>
                </c:pt>
                <c:pt idx="69">
                  <c:v>6.9012726218451492</c:v>
                </c:pt>
                <c:pt idx="70">
                  <c:v>6.9012726218451492</c:v>
                </c:pt>
                <c:pt idx="71">
                  <c:v>6.9012726218451492</c:v>
                </c:pt>
                <c:pt idx="72">
                  <c:v>6.9012726218451492</c:v>
                </c:pt>
                <c:pt idx="73">
                  <c:v>6.9012726218451492</c:v>
                </c:pt>
                <c:pt idx="74">
                  <c:v>6.9012726218451492</c:v>
                </c:pt>
                <c:pt idx="75">
                  <c:v>6.9012726218451492</c:v>
                </c:pt>
                <c:pt idx="76">
                  <c:v>6.9012726218451492</c:v>
                </c:pt>
                <c:pt idx="77">
                  <c:v>6.9012726218451492</c:v>
                </c:pt>
                <c:pt idx="78">
                  <c:v>6.9012726218451492</c:v>
                </c:pt>
                <c:pt idx="79">
                  <c:v>6.9012726218451492</c:v>
                </c:pt>
                <c:pt idx="80">
                  <c:v>6.9012726218451492</c:v>
                </c:pt>
                <c:pt idx="81">
                  <c:v>6.9012726218451492</c:v>
                </c:pt>
                <c:pt idx="82">
                  <c:v>6.9012726218451492</c:v>
                </c:pt>
                <c:pt idx="83">
                  <c:v>6.9012726218451492</c:v>
                </c:pt>
                <c:pt idx="84">
                  <c:v>6.9012726218451492</c:v>
                </c:pt>
                <c:pt idx="85">
                  <c:v>6.9012726218451492</c:v>
                </c:pt>
                <c:pt idx="86">
                  <c:v>6.9012726218451492</c:v>
                </c:pt>
                <c:pt idx="87">
                  <c:v>6.9012726218451492</c:v>
                </c:pt>
                <c:pt idx="88">
                  <c:v>6.9012726218451492</c:v>
                </c:pt>
                <c:pt idx="89">
                  <c:v>6.9012726218451492</c:v>
                </c:pt>
                <c:pt idx="90">
                  <c:v>6.9012726218451492</c:v>
                </c:pt>
                <c:pt idx="91">
                  <c:v>6.9012726218451492</c:v>
                </c:pt>
                <c:pt idx="92">
                  <c:v>6.9012726218451492</c:v>
                </c:pt>
                <c:pt idx="93">
                  <c:v>6.9012726218451492</c:v>
                </c:pt>
                <c:pt idx="94">
                  <c:v>6.9012726218451492</c:v>
                </c:pt>
                <c:pt idx="95">
                  <c:v>6.9012726218451492</c:v>
                </c:pt>
                <c:pt idx="96">
                  <c:v>6.9012726218451492</c:v>
                </c:pt>
                <c:pt idx="97">
                  <c:v>6.9012726218451492</c:v>
                </c:pt>
                <c:pt idx="98">
                  <c:v>6.9012726218451492</c:v>
                </c:pt>
                <c:pt idx="99">
                  <c:v>6.9012726218451492</c:v>
                </c:pt>
                <c:pt idx="100">
                  <c:v>6.9012726218451492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90-4329-A101-34B62D28C648}"/>
            </c:ext>
          </c:extLst>
        </c:ser>
        <c:ser>
          <c:idx val="1"/>
          <c:order val="1"/>
          <c:tx>
            <c:v>x2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'f1 c пост.шг'!$K$4:$K$104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'f1 c пост.шг'!$M$4:$M$104</c:f>
              <c:numCache>
                <c:formatCode>General</c:formatCode>
                <c:ptCount val="101"/>
                <c:pt idx="0">
                  <c:v>6.9177831354716632</c:v>
                </c:pt>
                <c:pt idx="1">
                  <c:v>7.0655189519779942</c:v>
                </c:pt>
                <c:pt idx="2">
                  <c:v>7.1822077387146015</c:v>
                </c:pt>
                <c:pt idx="3">
                  <c:v>7.2743741021060941</c:v>
                </c:pt>
                <c:pt idx="4">
                  <c:v>7.3471714871709244</c:v>
                </c:pt>
                <c:pt idx="5">
                  <c:v>7.4046703303200987</c:v>
                </c:pt>
                <c:pt idx="6">
                  <c:v>7.4500856561666113</c:v>
                </c:pt>
                <c:pt idx="7">
                  <c:v>7.4859568443293689</c:v>
                </c:pt>
                <c:pt idx="8">
                  <c:v>7.5142896178199017</c:v>
                </c:pt>
                <c:pt idx="9">
                  <c:v>7.5366681922352106</c:v>
                </c:pt>
                <c:pt idx="10">
                  <c:v>7.5543438565336194</c:v>
                </c:pt>
                <c:pt idx="11">
                  <c:v>7.5683049383519645</c:v>
                </c:pt>
                <c:pt idx="12">
                  <c:v>7.5793320659466019</c:v>
                </c:pt>
                <c:pt idx="13">
                  <c:v>7.5880418167073653</c:v>
                </c:pt>
                <c:pt idx="14">
                  <c:v>7.5949211928335201</c:v>
                </c:pt>
                <c:pt idx="15">
                  <c:v>7.600354851865224</c:v>
                </c:pt>
                <c:pt idx="16">
                  <c:v>7.6046466146546674</c:v>
                </c:pt>
                <c:pt idx="17">
                  <c:v>7.6080364533864282</c:v>
                </c:pt>
                <c:pt idx="18">
                  <c:v>7.61071390952534</c:v>
                </c:pt>
                <c:pt idx="19">
                  <c:v>7.6128286919510133</c:v>
                </c:pt>
                <c:pt idx="20">
                  <c:v>7.6144990478694314</c:v>
                </c:pt>
                <c:pt idx="21">
                  <c:v>7.6158183745577581</c:v>
                </c:pt>
                <c:pt idx="22">
                  <c:v>7.616860441635402</c:v>
                </c:pt>
                <c:pt idx="23">
                  <c:v>7.6176835158625185</c:v>
                </c:pt>
                <c:pt idx="24">
                  <c:v>7.618333619102394</c:v>
                </c:pt>
                <c:pt idx="25">
                  <c:v>7.6188471016153594</c:v>
                </c:pt>
                <c:pt idx="26">
                  <c:v>7.6192526745689282</c:v>
                </c:pt>
                <c:pt idx="27">
                  <c:v>7.6195730154111443</c:v>
                </c:pt>
                <c:pt idx="28">
                  <c:v>7.619826035870938</c:v>
                </c:pt>
                <c:pt idx="29">
                  <c:v>7.6200258834852201</c:v>
                </c:pt>
                <c:pt idx="30">
                  <c:v>7.620183732652702</c:v>
                </c:pt>
                <c:pt idx="31">
                  <c:v>7.6203084094458884</c:v>
                </c:pt>
                <c:pt idx="32">
                  <c:v>7.6204068851173625</c:v>
                </c:pt>
                <c:pt idx="33">
                  <c:v>7.6204846658945575</c:v>
                </c:pt>
                <c:pt idx="34">
                  <c:v>7.6205461008582436</c:v>
                </c:pt>
                <c:pt idx="35">
                  <c:v>7.6205946251196268</c:v>
                </c:pt>
                <c:pt idx="36">
                  <c:v>7.6206329518932012</c:v>
                </c:pt>
                <c:pt idx="37">
                  <c:v>7.620663224205046</c:v>
                </c:pt>
                <c:pt idx="38">
                  <c:v>7.6206871347192626</c:v>
                </c:pt>
                <c:pt idx="39">
                  <c:v>7.6207060203826051</c:v>
                </c:pt>
                <c:pt idx="40">
                  <c:v>7.6207209371793185</c:v>
                </c:pt>
                <c:pt idx="41">
                  <c:v>7.6207327191760728</c:v>
                </c:pt>
                <c:pt idx="42">
                  <c:v>7.620742025158461</c:v>
                </c:pt>
                <c:pt idx="43">
                  <c:v>7.6207493754667341</c:v>
                </c:pt>
                <c:pt idx="44">
                  <c:v>7.6207551810904128</c:v>
                </c:pt>
                <c:pt idx="45">
                  <c:v>7.6207597666486029</c:v>
                </c:pt>
                <c:pt idx="46">
                  <c:v>7.62076338854094</c:v>
                </c:pt>
                <c:pt idx="47">
                  <c:v>7.6207662492840731</c:v>
                </c:pt>
                <c:pt idx="48">
                  <c:v>7.6207685088352992</c:v>
                </c:pt>
                <c:pt idx="49">
                  <c:v>7.6207702935365136</c:v>
                </c:pt>
                <c:pt idx="50">
                  <c:v>7.6207717031785647</c:v>
                </c:pt>
                <c:pt idx="51">
                  <c:v>7.6207728165810185</c:v>
                </c:pt>
                <c:pt idx="52">
                  <c:v>7.6207736959993246</c:v>
                </c:pt>
                <c:pt idx="53">
                  <c:v>7.6207743906058028</c:v>
                </c:pt>
                <c:pt idx="54">
                  <c:v>7.6207749392390935</c:v>
                </c:pt>
                <c:pt idx="55">
                  <c:v>7.6207753725758067</c:v>
                </c:pt>
                <c:pt idx="56">
                  <c:v>7.6207757148457889</c:v>
                </c:pt>
                <c:pt idx="57">
                  <c:v>7.6207759851869277</c:v>
                </c:pt>
                <c:pt idx="58">
                  <c:v>7.62077619871524</c:v>
                </c:pt>
                <c:pt idx="59">
                  <c:v>7.6207763673700741</c:v>
                </c:pt>
                <c:pt idx="60">
                  <c:v>7.6207765005816981</c:v>
                </c:pt>
                <c:pt idx="61">
                  <c:v>7.6207766057985857</c:v>
                </c:pt>
                <c:pt idx="62">
                  <c:v>7.6207766889038959</c:v>
                </c:pt>
                <c:pt idx="63">
                  <c:v>7.6207767545444298</c:v>
                </c:pt>
                <c:pt idx="64">
                  <c:v>7.6207768063904506</c:v>
                </c:pt>
                <c:pt idx="65">
                  <c:v>7.6207768473409088</c:v>
                </c:pt>
                <c:pt idx="66">
                  <c:v>7.6207768796855317</c:v>
                </c:pt>
                <c:pt idx="67">
                  <c:v>7.620776905232856</c:v>
                </c:pt>
                <c:pt idx="68">
                  <c:v>7.6207769254113495</c:v>
                </c:pt>
                <c:pt idx="69">
                  <c:v>7.620776941349285</c:v>
                </c:pt>
                <c:pt idx="70">
                  <c:v>7.6207769539378258</c:v>
                </c:pt>
                <c:pt idx="71">
                  <c:v>7.6207769638808553</c:v>
                </c:pt>
                <c:pt idx="72">
                  <c:v>7.6207769717343341</c:v>
                </c:pt>
                <c:pt idx="73">
                  <c:v>7.6207769779373855</c:v>
                </c:pt>
                <c:pt idx="74">
                  <c:v>7.6207769828368512</c:v>
                </c:pt>
                <c:pt idx="75">
                  <c:v>7.6207769867066828</c:v>
                </c:pt>
                <c:pt idx="76">
                  <c:v>7.62077698976326</c:v>
                </c:pt>
                <c:pt idx="77">
                  <c:v>7.6207769921774897</c:v>
                </c:pt>
                <c:pt idx="78">
                  <c:v>7.6207769940843635</c:v>
                </c:pt>
                <c:pt idx="79">
                  <c:v>7.6207769955905036</c:v>
                </c:pt>
                <c:pt idx="80">
                  <c:v>7.6207769967801244</c:v>
                </c:pt>
                <c:pt idx="81">
                  <c:v>7.6207769977197435</c:v>
                </c:pt>
                <c:pt idx="82">
                  <c:v>7.6207769984619</c:v>
                </c:pt>
                <c:pt idx="83">
                  <c:v>7.6207769990480907</c:v>
                </c:pt>
                <c:pt idx="84">
                  <c:v>7.6207769995110919</c:v>
                </c:pt>
                <c:pt idx="85">
                  <c:v>7.6207769998767922</c:v>
                </c:pt>
                <c:pt idx="86">
                  <c:v>7.6207770001656394</c:v>
                </c:pt>
                <c:pt idx="87">
                  <c:v>7.6207770003937849</c:v>
                </c:pt>
                <c:pt idx="88">
                  <c:v>7.6207770005739848</c:v>
                </c:pt>
                <c:pt idx="89">
                  <c:v>7.6207770007163154</c:v>
                </c:pt>
                <c:pt idx="90">
                  <c:v>7.6207770008287348</c:v>
                </c:pt>
                <c:pt idx="91">
                  <c:v>7.6207770009175295</c:v>
                </c:pt>
                <c:pt idx="92">
                  <c:v>7.6207770009876636</c:v>
                </c:pt>
                <c:pt idx="93">
                  <c:v>7.6207770010430584</c:v>
                </c:pt>
                <c:pt idx="94">
                  <c:v>7.6207770010868119</c:v>
                </c:pt>
                <c:pt idx="95">
                  <c:v>7.6207770011213709</c:v>
                </c:pt>
                <c:pt idx="96">
                  <c:v>7.6207770011486673</c:v>
                </c:pt>
                <c:pt idx="97">
                  <c:v>7.6207770011702269</c:v>
                </c:pt>
                <c:pt idx="98">
                  <c:v>7.620777001187256</c:v>
                </c:pt>
                <c:pt idx="99">
                  <c:v>7.6207770012007066</c:v>
                </c:pt>
                <c:pt idx="100">
                  <c:v>7.6207770012113301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90-4329-A101-34B62D28C648}"/>
            </c:ext>
          </c:extLst>
        </c:ser>
        <c:ser>
          <c:idx val="2"/>
          <c:order val="2"/>
          <c:tx>
            <c:v>x1_opt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'f1 c пост.шг'!$K$4:$K$104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('f1 c пост.шг'!$F$5,'f1 c пост.шг'!$F$5,'f1 c пост.шг'!$F$5,'f1 c пост.шг'!$F$5,'f1 c пост.шг'!$F$5,'f1 c пост.шг'!$F$5,'f1 c пост.шг'!$F$5,'f1 c пост.шг'!$F$5,'f1 c пост.шг'!$F$5,'f1 c пост.шг'!$F$5)</c:f>
              <c:numCache>
                <c:formatCode>General</c:formatCode>
                <c:ptCount val="10"/>
                <c:pt idx="0">
                  <c:v>6.9012725628661</c:v>
                </c:pt>
                <c:pt idx="1">
                  <c:v>6.9012725628661</c:v>
                </c:pt>
                <c:pt idx="2">
                  <c:v>6.9012725628661</c:v>
                </c:pt>
                <c:pt idx="3">
                  <c:v>6.9012725628661</c:v>
                </c:pt>
                <c:pt idx="4">
                  <c:v>6.9012725628661</c:v>
                </c:pt>
                <c:pt idx="5">
                  <c:v>6.9012725628661</c:v>
                </c:pt>
                <c:pt idx="6">
                  <c:v>6.9012725628661</c:v>
                </c:pt>
                <c:pt idx="7">
                  <c:v>6.9012725628661</c:v>
                </c:pt>
                <c:pt idx="8">
                  <c:v>6.9012725628661</c:v>
                </c:pt>
                <c:pt idx="9">
                  <c:v>6.9012725628661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90-4329-A101-34B62D28C648}"/>
            </c:ext>
          </c:extLst>
        </c:ser>
        <c:ser>
          <c:idx val="3"/>
          <c:order val="3"/>
          <c:tx>
            <c:v>x2_opt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'f1 c пост.шг'!$K$4:$K$104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('f1 c пост.шг'!$F$6,'f1 c пост.шг'!$F$6,'f1 c пост.шг'!$F$6,'f1 c пост.шг'!$F$6,'f1 c пост.шг'!$F$6,'f1 c пост.шг'!$F$6,'f1 c пост.шг'!$F$6,'f1 c пост.шг'!$F$6,'f1 c пост.шг'!$F$6,'f1 c пост.шг'!$F$6)</c:f>
              <c:numCache>
                <c:formatCode>General</c:formatCode>
                <c:ptCount val="10"/>
                <c:pt idx="0">
                  <c:v>7.6207772837098702</c:v>
                </c:pt>
                <c:pt idx="1">
                  <c:v>7.6207772837098702</c:v>
                </c:pt>
                <c:pt idx="2">
                  <c:v>7.6207772837098702</c:v>
                </c:pt>
                <c:pt idx="3">
                  <c:v>7.6207772837098702</c:v>
                </c:pt>
                <c:pt idx="4">
                  <c:v>7.6207772837098702</c:v>
                </c:pt>
                <c:pt idx="5">
                  <c:v>7.6207772837098702</c:v>
                </c:pt>
                <c:pt idx="6">
                  <c:v>7.6207772837098702</c:v>
                </c:pt>
                <c:pt idx="7">
                  <c:v>7.6207772837098702</c:v>
                </c:pt>
                <c:pt idx="8">
                  <c:v>7.6207772837098702</c:v>
                </c:pt>
                <c:pt idx="9">
                  <c:v>7.6207772837098702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90-4329-A101-34B62D28C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334047"/>
        <c:axId val="1963328767"/>
      </c:scatterChart>
      <c:valAx>
        <c:axId val="196333404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3328767"/>
        <c:crosses val="autoZero"/>
        <c:crossBetween val="midCat"/>
      </c:valAx>
      <c:valAx>
        <c:axId val="196332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3334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'f1 c пост.шг'!$W$8:$W$20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'f1 c пост.шг'!$X$8:$X$20</c:f>
              <c:numCache>
                <c:formatCode>General</c:formatCode>
                <c:ptCount val="13"/>
                <c:pt idx="0">
                  <c:v>11.304431794424326</c:v>
                </c:pt>
                <c:pt idx="1">
                  <c:v>14.041282278050369</c:v>
                </c:pt>
                <c:pt idx="2">
                  <c:v>15.605552358132812</c:v>
                </c:pt>
                <c:pt idx="3">
                  <c:v>16.630247635347359</c:v>
                </c:pt>
                <c:pt idx="4">
                  <c:v>17.288489183031206</c:v>
                </c:pt>
                <c:pt idx="5">
                  <c:v>17.652672668030903</c:v>
                </c:pt>
                <c:pt idx="6">
                  <c:v>17.754551057588188</c:v>
                </c:pt>
                <c:pt idx="7">
                  <c:v>17.602159505541032</c:v>
                </c:pt>
                <c:pt idx="8">
                  <c:v>17.183349400209391</c:v>
                </c:pt>
                <c:pt idx="9">
                  <c:v>16.460333505398353</c:v>
                </c:pt>
                <c:pt idx="10">
                  <c:v>15.348189350221766</c:v>
                </c:pt>
                <c:pt idx="11">
                  <c:v>13.634778842650537</c:v>
                </c:pt>
                <c:pt idx="12">
                  <c:v>10.360066836592775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0A7-4BD8-9717-B9E36CA5814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'f1 c пост.шг'!$W$8:$W$20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'f1 c пост.шг'!$Y$8:$Y$20</c:f>
              <c:numCache>
                <c:formatCode>General</c:formatCode>
                <c:ptCount val="13"/>
                <c:pt idx="0">
                  <c:v>3.937122208078192</c:v>
                </c:pt>
                <c:pt idx="1">
                  <c:v>1.2002717244521488</c:v>
                </c:pt>
                <c:pt idx="2">
                  <c:v>-0.36399835563029281</c:v>
                </c:pt>
                <c:pt idx="3">
                  <c:v>-1.3886936328448396</c:v>
                </c:pt>
                <c:pt idx="4">
                  <c:v>-2.0469351805286884</c:v>
                </c:pt>
                <c:pt idx="5">
                  <c:v>-2.4111186655283863</c:v>
                </c:pt>
                <c:pt idx="6">
                  <c:v>-2.512997055085668</c:v>
                </c:pt>
                <c:pt idx="7">
                  <c:v>-2.3606055030385118</c:v>
                </c:pt>
                <c:pt idx="8">
                  <c:v>-1.9417953977068727</c:v>
                </c:pt>
                <c:pt idx="9">
                  <c:v>-1.2187795028958348</c:v>
                </c:pt>
                <c:pt idx="10">
                  <c:v>-0.10663534771924699</c:v>
                </c:pt>
                <c:pt idx="11">
                  <c:v>1.6067751598519804</c:v>
                </c:pt>
                <c:pt idx="12">
                  <c:v>4.8814871659097427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0A7-4BD8-9717-B9E36CA5814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'f1 c пост.шг'!$W$10:$W$18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numCache>
            </c:numRef>
          </c:xVal>
          <c:yVal>
            <c:numRef>
              <c:f>'f1 c пост.шг'!$Z$10:$Z$18</c:f>
              <c:numCache>
                <c:formatCode>General</c:formatCode>
                <c:ptCount val="9"/>
                <c:pt idx="0">
                  <c:v>12.063129619257611</c:v>
                </c:pt>
                <c:pt idx="1">
                  <c:v>13.715727402155679</c:v>
                </c:pt>
                <c:pt idx="2">
                  <c:v>14.652314394494745</c:v>
                </c:pt>
                <c:pt idx="3">
                  <c:v>15.145189931971981</c:v>
                </c:pt>
                <c:pt idx="4">
                  <c:v>15.280492133534729</c:v>
                </c:pt>
                <c:pt idx="5">
                  <c:v>15.077710417863408</c:v>
                </c:pt>
                <c:pt idx="6">
                  <c:v>14.507042329290897</c:v>
                </c:pt>
                <c:pt idx="7">
                  <c:v>13.461634684233626</c:v>
                </c:pt>
                <c:pt idx="8">
                  <c:v>11.581933510891702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0A7-4BD8-9717-B9E36CA5814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'f1 c пост.шг'!$W$10:$W$18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numCache>
            </c:numRef>
          </c:xVal>
          <c:yVal>
            <c:numRef>
              <c:f>'f1 c пост.шг'!$AA$10:$AA$18</c:f>
              <c:numCache>
                <c:formatCode>General</c:formatCode>
                <c:ptCount val="9"/>
                <c:pt idx="0">
                  <c:v>3.1784243832449075</c:v>
                </c:pt>
                <c:pt idx="1">
                  <c:v>1.5258266003468393</c:v>
                </c:pt>
                <c:pt idx="2">
                  <c:v>0.58923960800777397</c:v>
                </c:pt>
                <c:pt idx="3">
                  <c:v>9.6364070530538193E-2</c:v>
                </c:pt>
                <c:pt idx="4">
                  <c:v>-3.8938131032210777E-2</c:v>
                </c:pt>
                <c:pt idx="5">
                  <c:v>0.16384358463911042</c:v>
                </c:pt>
                <c:pt idx="6">
                  <c:v>0.73451167321162103</c:v>
                </c:pt>
                <c:pt idx="7">
                  <c:v>1.7799193182688908</c:v>
                </c:pt>
                <c:pt idx="8">
                  <c:v>3.6596204916108173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0A7-4BD8-9717-B9E36CA58149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'f1 c пост.шг'!$W$12:$W$16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</c:numCache>
            </c:numRef>
          </c:xVal>
          <c:yVal>
            <c:numRef>
              <c:f>'f1 c пост.шг'!$AB$12:$AB$16</c:f>
              <c:numCache>
                <c:formatCode>General</c:formatCode>
                <c:ptCount val="5"/>
                <c:pt idx="0">
                  <c:v>9.9489473978129777</c:v>
                </c:pt>
                <c:pt idx="1">
                  <c:v>11.169671087419816</c:v>
                </c:pt>
                <c:pt idx="2">
                  <c:v>11.44819064372281</c:v>
                </c:pt>
                <c:pt idx="3">
                  <c:v>11.02426275304043</c:v>
                </c:pt>
                <c:pt idx="4">
                  <c:v>9.464281666557488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60A7-4BD8-9717-B9E36CA58149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'f1 c пост.шг'!$W$12:$W$16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</c:numCache>
            </c:numRef>
          </c:xVal>
          <c:yVal>
            <c:numRef>
              <c:f>'f1 c пост.шг'!$AC$12:$AC$16</c:f>
              <c:numCache>
                <c:formatCode>General</c:formatCode>
                <c:ptCount val="5"/>
                <c:pt idx="0">
                  <c:v>5.2926066046895404</c:v>
                </c:pt>
                <c:pt idx="1">
                  <c:v>4.0718829150827016</c:v>
                </c:pt>
                <c:pt idx="2">
                  <c:v>3.793363358779708</c:v>
                </c:pt>
                <c:pt idx="3">
                  <c:v>4.2172912494620878</c:v>
                </c:pt>
                <c:pt idx="4">
                  <c:v>5.77727233594503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0A7-4BD8-9717-B9E36CA58149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'f1 c пост.шг'!$L$4:$L$104</c:f>
              <c:numCache>
                <c:formatCode>General</c:formatCode>
                <c:ptCount val="101"/>
                <c:pt idx="0">
                  <c:v>7.6300851466414379</c:v>
                </c:pt>
                <c:pt idx="1">
                  <c:v>7.2380046092444106</c:v>
                </c:pt>
                <c:pt idx="2">
                  <c:v>7.0568523182417628</c:v>
                </c:pt>
                <c:pt idx="3">
                  <c:v>6.9731548392662184</c:v>
                </c:pt>
                <c:pt idx="4">
                  <c:v>6.9344842381488458</c:v>
                </c:pt>
                <c:pt idx="5">
                  <c:v>6.9166173273519753</c:v>
                </c:pt>
                <c:pt idx="6">
                  <c:v>6.9083623095296662</c:v>
                </c:pt>
                <c:pt idx="7">
                  <c:v>6.904548257955704</c:v>
                </c:pt>
                <c:pt idx="8">
                  <c:v>6.9027860583188323</c:v>
                </c:pt>
                <c:pt idx="9">
                  <c:v>6.9019718722754684</c:v>
                </c:pt>
                <c:pt idx="10">
                  <c:v>6.9015956953092843</c:v>
                </c:pt>
                <c:pt idx="11">
                  <c:v>6.9014218909177201</c:v>
                </c:pt>
                <c:pt idx="12">
                  <c:v>6.9013415883759839</c:v>
                </c:pt>
                <c:pt idx="13">
                  <c:v>6.901304486331834</c:v>
                </c:pt>
                <c:pt idx="14">
                  <c:v>6.9012873441386935</c:v>
                </c:pt>
                <c:pt idx="15">
                  <c:v>6.9012794239609141</c:v>
                </c:pt>
                <c:pt idx="16">
                  <c:v>6.9012757646149039</c:v>
                </c:pt>
                <c:pt idx="17">
                  <c:v>6.9012740738936111</c:v>
                </c:pt>
                <c:pt idx="18">
                  <c:v>6.9012732927325828</c:v>
                </c:pt>
                <c:pt idx="19">
                  <c:v>6.9012729318141073</c:v>
                </c:pt>
                <c:pt idx="20">
                  <c:v>6.90127276505957</c:v>
                </c:pt>
                <c:pt idx="21">
                  <c:v>6.9012726880142594</c:v>
                </c:pt>
                <c:pt idx="22">
                  <c:v>6.9012726524171484</c:v>
                </c:pt>
                <c:pt idx="23">
                  <c:v>6.901272635970277</c:v>
                </c:pt>
                <c:pt idx="24">
                  <c:v>6.9012726283713572</c:v>
                </c:pt>
                <c:pt idx="25">
                  <c:v>6.9012726248604421</c:v>
                </c:pt>
                <c:pt idx="26">
                  <c:v>6.9012726232382997</c:v>
                </c:pt>
                <c:pt idx="27">
                  <c:v>6.9012726224888246</c:v>
                </c:pt>
                <c:pt idx="28">
                  <c:v>6.9012726221425451</c:v>
                </c:pt>
                <c:pt idx="29">
                  <c:v>6.9012726219825549</c:v>
                </c:pt>
                <c:pt idx="30">
                  <c:v>6.9012726219086344</c:v>
                </c:pt>
                <c:pt idx="31">
                  <c:v>6.9012726218744813</c:v>
                </c:pt>
                <c:pt idx="32">
                  <c:v>6.9012726218587011</c:v>
                </c:pt>
                <c:pt idx="33">
                  <c:v>6.9012726218514109</c:v>
                </c:pt>
                <c:pt idx="34">
                  <c:v>6.901272621848042</c:v>
                </c:pt>
                <c:pt idx="35">
                  <c:v>6.9012726218464859</c:v>
                </c:pt>
                <c:pt idx="36">
                  <c:v>6.9012726218457665</c:v>
                </c:pt>
                <c:pt idx="37">
                  <c:v>6.9012726218454343</c:v>
                </c:pt>
                <c:pt idx="38">
                  <c:v>6.9012726218452807</c:v>
                </c:pt>
                <c:pt idx="39">
                  <c:v>6.9012726218452096</c:v>
                </c:pt>
                <c:pt idx="40">
                  <c:v>6.9012726218451768</c:v>
                </c:pt>
                <c:pt idx="41">
                  <c:v>6.9012726218451617</c:v>
                </c:pt>
                <c:pt idx="42">
                  <c:v>6.9012726218451546</c:v>
                </c:pt>
                <c:pt idx="43">
                  <c:v>6.9012726218451519</c:v>
                </c:pt>
                <c:pt idx="44">
                  <c:v>6.9012726218451501</c:v>
                </c:pt>
                <c:pt idx="45">
                  <c:v>6.9012726218451492</c:v>
                </c:pt>
                <c:pt idx="46">
                  <c:v>6.9012726218451492</c:v>
                </c:pt>
                <c:pt idx="47">
                  <c:v>6.9012726218451492</c:v>
                </c:pt>
                <c:pt idx="48">
                  <c:v>6.9012726218451492</c:v>
                </c:pt>
                <c:pt idx="49">
                  <c:v>6.9012726218451492</c:v>
                </c:pt>
                <c:pt idx="50">
                  <c:v>6.9012726218451492</c:v>
                </c:pt>
                <c:pt idx="51">
                  <c:v>6.9012726218451492</c:v>
                </c:pt>
                <c:pt idx="52">
                  <c:v>6.9012726218451492</c:v>
                </c:pt>
                <c:pt idx="53">
                  <c:v>6.9012726218451492</c:v>
                </c:pt>
                <c:pt idx="54">
                  <c:v>6.9012726218451492</c:v>
                </c:pt>
                <c:pt idx="55">
                  <c:v>6.9012726218451492</c:v>
                </c:pt>
                <c:pt idx="56">
                  <c:v>6.9012726218451492</c:v>
                </c:pt>
                <c:pt idx="57">
                  <c:v>6.9012726218451492</c:v>
                </c:pt>
                <c:pt idx="58">
                  <c:v>6.9012726218451492</c:v>
                </c:pt>
                <c:pt idx="59">
                  <c:v>6.9012726218451492</c:v>
                </c:pt>
                <c:pt idx="60">
                  <c:v>6.9012726218451492</c:v>
                </c:pt>
                <c:pt idx="61">
                  <c:v>6.9012726218451492</c:v>
                </c:pt>
                <c:pt idx="62">
                  <c:v>6.9012726218451492</c:v>
                </c:pt>
                <c:pt idx="63">
                  <c:v>6.9012726218451492</c:v>
                </c:pt>
                <c:pt idx="64">
                  <c:v>6.9012726218451492</c:v>
                </c:pt>
                <c:pt idx="65">
                  <c:v>6.9012726218451492</c:v>
                </c:pt>
                <c:pt idx="66">
                  <c:v>6.9012726218451492</c:v>
                </c:pt>
                <c:pt idx="67">
                  <c:v>6.9012726218451492</c:v>
                </c:pt>
                <c:pt idx="68">
                  <c:v>6.9012726218451492</c:v>
                </c:pt>
                <c:pt idx="69">
                  <c:v>6.9012726218451492</c:v>
                </c:pt>
                <c:pt idx="70">
                  <c:v>6.9012726218451492</c:v>
                </c:pt>
                <c:pt idx="71">
                  <c:v>6.9012726218451492</c:v>
                </c:pt>
                <c:pt idx="72">
                  <c:v>6.9012726218451492</c:v>
                </c:pt>
                <c:pt idx="73">
                  <c:v>6.9012726218451492</c:v>
                </c:pt>
                <c:pt idx="74">
                  <c:v>6.9012726218451492</c:v>
                </c:pt>
                <c:pt idx="75">
                  <c:v>6.9012726218451492</c:v>
                </c:pt>
                <c:pt idx="76">
                  <c:v>6.9012726218451492</c:v>
                </c:pt>
                <c:pt idx="77">
                  <c:v>6.9012726218451492</c:v>
                </c:pt>
                <c:pt idx="78">
                  <c:v>6.9012726218451492</c:v>
                </c:pt>
                <c:pt idx="79">
                  <c:v>6.9012726218451492</c:v>
                </c:pt>
                <c:pt idx="80">
                  <c:v>6.9012726218451492</c:v>
                </c:pt>
                <c:pt idx="81">
                  <c:v>6.9012726218451492</c:v>
                </c:pt>
                <c:pt idx="82">
                  <c:v>6.9012726218451492</c:v>
                </c:pt>
                <c:pt idx="83">
                  <c:v>6.9012726218451492</c:v>
                </c:pt>
                <c:pt idx="84">
                  <c:v>6.9012726218451492</c:v>
                </c:pt>
                <c:pt idx="85">
                  <c:v>6.9012726218451492</c:v>
                </c:pt>
                <c:pt idx="86">
                  <c:v>6.9012726218451492</c:v>
                </c:pt>
                <c:pt idx="87">
                  <c:v>6.9012726218451492</c:v>
                </c:pt>
                <c:pt idx="88">
                  <c:v>6.9012726218451492</c:v>
                </c:pt>
                <c:pt idx="89">
                  <c:v>6.9012726218451492</c:v>
                </c:pt>
                <c:pt idx="90">
                  <c:v>6.9012726218451492</c:v>
                </c:pt>
                <c:pt idx="91">
                  <c:v>6.9012726218451492</c:v>
                </c:pt>
                <c:pt idx="92">
                  <c:v>6.9012726218451492</c:v>
                </c:pt>
                <c:pt idx="93">
                  <c:v>6.9012726218451492</c:v>
                </c:pt>
                <c:pt idx="94">
                  <c:v>6.9012726218451492</c:v>
                </c:pt>
                <c:pt idx="95">
                  <c:v>6.9012726218451492</c:v>
                </c:pt>
                <c:pt idx="96">
                  <c:v>6.9012726218451492</c:v>
                </c:pt>
                <c:pt idx="97">
                  <c:v>6.9012726218451492</c:v>
                </c:pt>
                <c:pt idx="98">
                  <c:v>6.9012726218451492</c:v>
                </c:pt>
                <c:pt idx="99">
                  <c:v>6.9012726218451492</c:v>
                </c:pt>
                <c:pt idx="100">
                  <c:v>6.9012726218451492</c:v>
                </c:pt>
              </c:numCache>
            </c:numRef>
          </c:xVal>
          <c:yVal>
            <c:numRef>
              <c:f>'f1 c пост.шг'!$M$4:$M$104</c:f>
              <c:numCache>
                <c:formatCode>General</c:formatCode>
                <c:ptCount val="101"/>
                <c:pt idx="0">
                  <c:v>6.9177831354716632</c:v>
                </c:pt>
                <c:pt idx="1">
                  <c:v>7.0655189519779942</c:v>
                </c:pt>
                <c:pt idx="2">
                  <c:v>7.1822077387146015</c:v>
                </c:pt>
                <c:pt idx="3">
                  <c:v>7.2743741021060941</c:v>
                </c:pt>
                <c:pt idx="4">
                  <c:v>7.3471714871709244</c:v>
                </c:pt>
                <c:pt idx="5">
                  <c:v>7.4046703303200987</c:v>
                </c:pt>
                <c:pt idx="6">
                  <c:v>7.4500856561666113</c:v>
                </c:pt>
                <c:pt idx="7">
                  <c:v>7.4859568443293689</c:v>
                </c:pt>
                <c:pt idx="8">
                  <c:v>7.5142896178199017</c:v>
                </c:pt>
                <c:pt idx="9">
                  <c:v>7.5366681922352106</c:v>
                </c:pt>
                <c:pt idx="10">
                  <c:v>7.5543438565336194</c:v>
                </c:pt>
                <c:pt idx="11">
                  <c:v>7.5683049383519645</c:v>
                </c:pt>
                <c:pt idx="12">
                  <c:v>7.5793320659466019</c:v>
                </c:pt>
                <c:pt idx="13">
                  <c:v>7.5880418167073653</c:v>
                </c:pt>
                <c:pt idx="14">
                  <c:v>7.5949211928335201</c:v>
                </c:pt>
                <c:pt idx="15">
                  <c:v>7.600354851865224</c:v>
                </c:pt>
                <c:pt idx="16">
                  <c:v>7.6046466146546674</c:v>
                </c:pt>
                <c:pt idx="17">
                  <c:v>7.6080364533864282</c:v>
                </c:pt>
                <c:pt idx="18">
                  <c:v>7.61071390952534</c:v>
                </c:pt>
                <c:pt idx="19">
                  <c:v>7.6128286919510133</c:v>
                </c:pt>
                <c:pt idx="20">
                  <c:v>7.6144990478694314</c:v>
                </c:pt>
                <c:pt idx="21">
                  <c:v>7.6158183745577581</c:v>
                </c:pt>
                <c:pt idx="22">
                  <c:v>7.616860441635402</c:v>
                </c:pt>
                <c:pt idx="23">
                  <c:v>7.6176835158625185</c:v>
                </c:pt>
                <c:pt idx="24">
                  <c:v>7.618333619102394</c:v>
                </c:pt>
                <c:pt idx="25">
                  <c:v>7.6188471016153594</c:v>
                </c:pt>
                <c:pt idx="26">
                  <c:v>7.6192526745689282</c:v>
                </c:pt>
                <c:pt idx="27">
                  <c:v>7.6195730154111443</c:v>
                </c:pt>
                <c:pt idx="28">
                  <c:v>7.619826035870938</c:v>
                </c:pt>
                <c:pt idx="29">
                  <c:v>7.6200258834852201</c:v>
                </c:pt>
                <c:pt idx="30">
                  <c:v>7.620183732652702</c:v>
                </c:pt>
                <c:pt idx="31">
                  <c:v>7.6203084094458884</c:v>
                </c:pt>
                <c:pt idx="32">
                  <c:v>7.6204068851173625</c:v>
                </c:pt>
                <c:pt idx="33">
                  <c:v>7.6204846658945575</c:v>
                </c:pt>
                <c:pt idx="34">
                  <c:v>7.6205461008582436</c:v>
                </c:pt>
                <c:pt idx="35">
                  <c:v>7.6205946251196268</c:v>
                </c:pt>
                <c:pt idx="36">
                  <c:v>7.6206329518932012</c:v>
                </c:pt>
                <c:pt idx="37">
                  <c:v>7.620663224205046</c:v>
                </c:pt>
                <c:pt idx="38">
                  <c:v>7.6206871347192626</c:v>
                </c:pt>
                <c:pt idx="39">
                  <c:v>7.6207060203826051</c:v>
                </c:pt>
                <c:pt idx="40">
                  <c:v>7.6207209371793185</c:v>
                </c:pt>
                <c:pt idx="41">
                  <c:v>7.6207327191760728</c:v>
                </c:pt>
                <c:pt idx="42">
                  <c:v>7.620742025158461</c:v>
                </c:pt>
                <c:pt idx="43">
                  <c:v>7.6207493754667341</c:v>
                </c:pt>
                <c:pt idx="44">
                  <c:v>7.6207551810904128</c:v>
                </c:pt>
                <c:pt idx="45">
                  <c:v>7.6207597666486029</c:v>
                </c:pt>
                <c:pt idx="46">
                  <c:v>7.62076338854094</c:v>
                </c:pt>
                <c:pt idx="47">
                  <c:v>7.6207662492840731</c:v>
                </c:pt>
                <c:pt idx="48">
                  <c:v>7.6207685088352992</c:v>
                </c:pt>
                <c:pt idx="49">
                  <c:v>7.6207702935365136</c:v>
                </c:pt>
                <c:pt idx="50">
                  <c:v>7.6207717031785647</c:v>
                </c:pt>
                <c:pt idx="51">
                  <c:v>7.6207728165810185</c:v>
                </c:pt>
                <c:pt idx="52">
                  <c:v>7.6207736959993246</c:v>
                </c:pt>
                <c:pt idx="53">
                  <c:v>7.6207743906058028</c:v>
                </c:pt>
                <c:pt idx="54">
                  <c:v>7.6207749392390935</c:v>
                </c:pt>
                <c:pt idx="55">
                  <c:v>7.6207753725758067</c:v>
                </c:pt>
                <c:pt idx="56">
                  <c:v>7.6207757148457889</c:v>
                </c:pt>
                <c:pt idx="57">
                  <c:v>7.6207759851869277</c:v>
                </c:pt>
                <c:pt idx="58">
                  <c:v>7.62077619871524</c:v>
                </c:pt>
                <c:pt idx="59">
                  <c:v>7.6207763673700741</c:v>
                </c:pt>
                <c:pt idx="60">
                  <c:v>7.6207765005816981</c:v>
                </c:pt>
                <c:pt idx="61">
                  <c:v>7.6207766057985857</c:v>
                </c:pt>
                <c:pt idx="62">
                  <c:v>7.6207766889038959</c:v>
                </c:pt>
                <c:pt idx="63">
                  <c:v>7.6207767545444298</c:v>
                </c:pt>
                <c:pt idx="64">
                  <c:v>7.6207768063904506</c:v>
                </c:pt>
                <c:pt idx="65">
                  <c:v>7.6207768473409088</c:v>
                </c:pt>
                <c:pt idx="66">
                  <c:v>7.6207768796855317</c:v>
                </c:pt>
                <c:pt idx="67">
                  <c:v>7.620776905232856</c:v>
                </c:pt>
                <c:pt idx="68">
                  <c:v>7.6207769254113495</c:v>
                </c:pt>
                <c:pt idx="69">
                  <c:v>7.620776941349285</c:v>
                </c:pt>
                <c:pt idx="70">
                  <c:v>7.6207769539378258</c:v>
                </c:pt>
                <c:pt idx="71">
                  <c:v>7.6207769638808553</c:v>
                </c:pt>
                <c:pt idx="72">
                  <c:v>7.6207769717343341</c:v>
                </c:pt>
                <c:pt idx="73">
                  <c:v>7.6207769779373855</c:v>
                </c:pt>
                <c:pt idx="74">
                  <c:v>7.6207769828368512</c:v>
                </c:pt>
                <c:pt idx="75">
                  <c:v>7.6207769867066828</c:v>
                </c:pt>
                <c:pt idx="76">
                  <c:v>7.62077698976326</c:v>
                </c:pt>
                <c:pt idx="77">
                  <c:v>7.6207769921774897</c:v>
                </c:pt>
                <c:pt idx="78">
                  <c:v>7.6207769940843635</c:v>
                </c:pt>
                <c:pt idx="79">
                  <c:v>7.6207769955905036</c:v>
                </c:pt>
                <c:pt idx="80">
                  <c:v>7.6207769967801244</c:v>
                </c:pt>
                <c:pt idx="81">
                  <c:v>7.6207769977197435</c:v>
                </c:pt>
                <c:pt idx="82">
                  <c:v>7.6207769984619</c:v>
                </c:pt>
                <c:pt idx="83">
                  <c:v>7.6207769990480907</c:v>
                </c:pt>
                <c:pt idx="84">
                  <c:v>7.6207769995110919</c:v>
                </c:pt>
                <c:pt idx="85">
                  <c:v>7.6207769998767922</c:v>
                </c:pt>
                <c:pt idx="86">
                  <c:v>7.6207770001656394</c:v>
                </c:pt>
                <c:pt idx="87">
                  <c:v>7.6207770003937849</c:v>
                </c:pt>
                <c:pt idx="88">
                  <c:v>7.6207770005739848</c:v>
                </c:pt>
                <c:pt idx="89">
                  <c:v>7.6207770007163154</c:v>
                </c:pt>
                <c:pt idx="90">
                  <c:v>7.6207770008287348</c:v>
                </c:pt>
                <c:pt idx="91">
                  <c:v>7.6207770009175295</c:v>
                </c:pt>
                <c:pt idx="92">
                  <c:v>7.6207770009876636</c:v>
                </c:pt>
                <c:pt idx="93">
                  <c:v>7.6207770010430584</c:v>
                </c:pt>
                <c:pt idx="94">
                  <c:v>7.6207770010868119</c:v>
                </c:pt>
                <c:pt idx="95">
                  <c:v>7.6207770011213709</c:v>
                </c:pt>
                <c:pt idx="96">
                  <c:v>7.6207770011486673</c:v>
                </c:pt>
                <c:pt idx="97">
                  <c:v>7.6207770011702269</c:v>
                </c:pt>
                <c:pt idx="98">
                  <c:v>7.620777001187256</c:v>
                </c:pt>
                <c:pt idx="99">
                  <c:v>7.6207770012007066</c:v>
                </c:pt>
                <c:pt idx="100">
                  <c:v>7.6207770012113301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5B-49D5-AC64-78F4E0970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330431"/>
        <c:axId val="1951330911"/>
      </c:scatterChart>
      <c:valAx>
        <c:axId val="1951330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1330911"/>
        <c:crosses val="autoZero"/>
        <c:crossBetween val="midCat"/>
      </c:valAx>
      <c:valAx>
        <c:axId val="195133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1330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425162092617936E-2"/>
          <c:y val="7.4870599339267208E-2"/>
          <c:w val="0.74863034181002353"/>
          <c:h val="0.8597201479421530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'f1 числ.пр.'!$K$4:$K$104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'f1 числ.пр.'!$R$5:$R$104</c:f>
              <c:numCache>
                <c:formatCode>General</c:formatCode>
                <c:ptCount val="100"/>
                <c:pt idx="0">
                  <c:v>4.2786910739973791</c:v>
                </c:pt>
                <c:pt idx="1">
                  <c:v>1.172380140758583</c:v>
                </c:pt>
                <c:pt idx="2">
                  <c:v>0.41203812029288484</c:v>
                </c:pt>
                <c:pt idx="3">
                  <c:v>0.18898115621844574</c:v>
                </c:pt>
                <c:pt idx="4">
                  <c:v>0.10342558414680528</c:v>
                </c:pt>
                <c:pt idx="5">
                  <c:v>6.1470950334213945E-2</c:v>
                </c:pt>
                <c:pt idx="6">
                  <c:v>3.7722703890593401E-2</c:v>
                </c:pt>
                <c:pt idx="7">
                  <c:v>2.3417609143107747E-2</c:v>
                </c:pt>
                <c:pt idx="8">
                  <c:v>1.4597544430780162E-2</c:v>
                </c:pt>
                <c:pt idx="9">
                  <c:v>9.1141542023568164E-3</c:v>
                </c:pt>
                <c:pt idx="10">
                  <c:v>5.6950926921314933E-3</c:v>
                </c:pt>
                <c:pt idx="11">
                  <c:v>3.5607783437016901E-3</c:v>
                </c:pt>
                <c:pt idx="12">
                  <c:v>2.2277076445559102E-3</c:v>
                </c:pt>
                <c:pt idx="13">
                  <c:v>1.3947377337403233E-3</c:v>
                </c:pt>
                <c:pt idx="14">
                  <c:v>8.7402956378011582E-4</c:v>
                </c:pt>
                <c:pt idx="15">
                  <c:v>5.4835305921629724E-4</c:v>
                </c:pt>
                <c:pt idx="16">
                  <c:v>3.4452582457919804E-4</c:v>
                </c:pt>
                <c:pt idx="17">
                  <c:v>2.1685387835266944E-4</c:v>
                </c:pt>
                <c:pt idx="18">
                  <c:v>1.368006580116357E-4</c:v>
                </c:pt>
                <c:pt idx="19">
                  <c:v>8.654010956853073E-5</c:v>
                </c:pt>
                <c:pt idx="20">
                  <c:v>5.493314354537708E-5</c:v>
                </c:pt>
                <c:pt idx="21">
                  <c:v>3.5016321701349511E-5</c:v>
                </c:pt>
                <c:pt idx="22">
                  <c:v>2.2434266347468578E-5</c:v>
                </c:pt>
                <c:pt idx="23">
                  <c:v>1.4461036111008887E-5</c:v>
                </c:pt>
                <c:pt idx="24">
                  <c:v>9.3890895918589774E-6</c:v>
                </c:pt>
                <c:pt idx="25">
                  <c:v>6.1476871603994951E-6</c:v>
                </c:pt>
                <c:pt idx="26">
                  <c:v>4.0645168410946807E-6</c:v>
                </c:pt>
                <c:pt idx="27">
                  <c:v>2.7167387306045124E-6</c:v>
                </c:pt>
                <c:pt idx="28">
                  <c:v>1.8378659488692493E-6</c:v>
                </c:pt>
                <c:pt idx="29">
                  <c:v>1.2595203646901897E-6</c:v>
                </c:pt>
                <c:pt idx="30">
                  <c:v>8.7497718421938441E-7</c:v>
                </c:pt>
                <c:pt idx="31">
                  <c:v>6.1632784303037611E-7</c:v>
                </c:pt>
                <c:pt idx="32">
                  <c:v>4.4015860462430628E-7</c:v>
                </c:pt>
                <c:pt idx="33">
                  <c:v>3.1855738280966651E-7</c:v>
                </c:pt>
                <c:pt idx="34">
                  <c:v>2.334569564559321E-7</c:v>
                </c:pt>
                <c:pt idx="35">
                  <c:v>1.7306935855674978E-7</c:v>
                </c:pt>
                <c:pt idx="36">
                  <c:v>1.2963255122854899E-7</c:v>
                </c:pt>
                <c:pt idx="37">
                  <c:v>9.7981853714604726E-8</c:v>
                </c:pt>
                <c:pt idx="38">
                  <c:v>7.4640694831718289E-8</c:v>
                </c:pt>
                <c:pt idx="39">
                  <c:v>5.7239137943288125E-8</c:v>
                </c:pt>
                <c:pt idx="40">
                  <c:v>4.4139880869326813E-8</c:v>
                </c:pt>
                <c:pt idx="41">
                  <c:v>3.4196053446263971E-8</c:v>
                </c:pt>
                <c:pt idx="42">
                  <c:v>2.65931042657251E-8</c:v>
                </c:pt>
                <c:pt idx="43">
                  <c:v>2.074462093036462E-8</c:v>
                </c:pt>
                <c:pt idx="44">
                  <c:v>1.6222961530407072E-8</c:v>
                </c:pt>
                <c:pt idx="45">
                  <c:v>1.2712522615868976E-8</c:v>
                </c:pt>
                <c:pt idx="46">
                  <c:v>9.9778555835859428E-9</c:v>
                </c:pt>
                <c:pt idx="47">
                  <c:v>7.8416199229978722E-9</c:v>
                </c:pt>
                <c:pt idx="48">
                  <c:v>6.1691262972459512E-9</c:v>
                </c:pt>
                <c:pt idx="49">
                  <c:v>4.8573486876743062E-9</c:v>
                </c:pt>
                <c:pt idx="50">
                  <c:v>3.8270071540190687E-9</c:v>
                </c:pt>
                <c:pt idx="51">
                  <c:v>3.0167895716253018E-9</c:v>
                </c:pt>
                <c:pt idx="52">
                  <c:v>2.3790840586427491E-9</c:v>
                </c:pt>
                <c:pt idx="53">
                  <c:v>1.8767931307513155E-9</c:v>
                </c:pt>
                <c:pt idx="54">
                  <c:v>1.4809327776166682E-9</c:v>
                </c:pt>
                <c:pt idx="55">
                  <c:v>1.1688080084148691E-9</c:v>
                </c:pt>
                <c:pt idx="56">
                  <c:v>9.2261674488220094E-10</c:v>
                </c:pt>
                <c:pt idx="57">
                  <c:v>7.2837511593971458E-10</c:v>
                </c:pt>
                <c:pt idx="58">
                  <c:v>5.7508605052052357E-10</c:v>
                </c:pt>
                <c:pt idx="59">
                  <c:v>4.5409353947280107E-10</c:v>
                </c:pt>
                <c:pt idx="60">
                  <c:v>3.5857935507347673E-10</c:v>
                </c:pt>
                <c:pt idx="61">
                  <c:v>2.831698086962965E-10</c:v>
                </c:pt>
                <c:pt idx="62">
                  <c:v>2.2362778496730893E-10</c:v>
                </c:pt>
                <c:pt idx="63">
                  <c:v>1.7661115440900484E-10</c:v>
                </c:pt>
                <c:pt idx="64">
                  <c:v>1.3948297423704679E-10</c:v>
                </c:pt>
                <c:pt idx="65">
                  <c:v>1.1016223094355724E-10</c:v>
                </c:pt>
                <c:pt idx="66">
                  <c:v>8.7006348194374497E-11</c:v>
                </c:pt>
                <c:pt idx="67">
                  <c:v>6.8718617664930136E-11</c:v>
                </c:pt>
                <c:pt idx="68">
                  <c:v>5.4275279566665314E-11</c:v>
                </c:pt>
                <c:pt idx="69">
                  <c:v>4.2867979763608712E-11</c:v>
                </c:pt>
                <c:pt idx="70">
                  <c:v>3.3858412456552582E-11</c:v>
                </c:pt>
                <c:pt idx="71">
                  <c:v>2.6742512150234151E-11</c:v>
                </c:pt>
                <c:pt idx="72">
                  <c:v>2.1122213625272628E-11</c:v>
                </c:pt>
                <c:pt idx="73">
                  <c:v>1.6683143705976266E-11</c:v>
                </c:pt>
                <c:pt idx="74">
                  <c:v>1.3177027750329662E-11</c:v>
                </c:pt>
                <c:pt idx="75">
                  <c:v>1.0407771045785796E-11</c:v>
                </c:pt>
                <c:pt idx="76">
                  <c:v>8.2205080911911899E-12</c:v>
                </c:pt>
                <c:pt idx="77">
                  <c:v>6.4929206602719282E-12</c:v>
                </c:pt>
                <c:pt idx="78">
                  <c:v>5.1284020721075645E-12</c:v>
                </c:pt>
                <c:pt idx="79">
                  <c:v>4.0506458237387971E-12</c:v>
                </c:pt>
                <c:pt idx="80">
                  <c:v>3.1993854654878244E-12</c:v>
                </c:pt>
                <c:pt idx="81">
                  <c:v>2.5270219639430321E-12</c:v>
                </c:pt>
                <c:pt idx="82">
                  <c:v>1.9959597172713084E-12</c:v>
                </c:pt>
                <c:pt idx="83">
                  <c:v>1.5765027358647515E-12</c:v>
                </c:pt>
                <c:pt idx="84">
                  <c:v>1.2451958972965456E-12</c:v>
                </c:pt>
                <c:pt idx="85">
                  <c:v>9.8351433181815716E-13</c:v>
                </c:pt>
                <c:pt idx="86">
                  <c:v>7.7682526828599442E-13</c:v>
                </c:pt>
                <c:pt idx="87">
                  <c:v>6.1357386482195696E-13</c:v>
                </c:pt>
                <c:pt idx="88">
                  <c:v>4.8462947090232721E-13</c:v>
                </c:pt>
                <c:pt idx="89">
                  <c:v>3.8278322035301842E-13</c:v>
                </c:pt>
                <c:pt idx="90">
                  <c:v>3.0234248340937409E-13</c:v>
                </c:pt>
                <c:pt idx="91">
                  <c:v>2.3880400898380026E-13</c:v>
                </c:pt>
                <c:pt idx="92">
                  <c:v>1.886178587009481E-13</c:v>
                </c:pt>
                <c:pt idx="93">
                  <c:v>1.4897858659467791E-13</c:v>
                </c:pt>
                <c:pt idx="94">
                  <c:v>1.1767089107034452E-13</c:v>
                </c:pt>
                <c:pt idx="95">
                  <c:v>9.2942505752600544E-14</c:v>
                </c:pt>
                <c:pt idx="96">
                  <c:v>7.3410382116158475E-14</c:v>
                </c:pt>
                <c:pt idx="97">
                  <c:v>5.7982003513122561E-14</c:v>
                </c:pt>
                <c:pt idx="98">
                  <c:v>4.5797882647298548E-14</c:v>
                </c:pt>
                <c:pt idx="99">
                  <c:v>3.6174062013118744E-14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f1</c:v>
                </c15:tx>
              </c15:filteredSeriesTitle>
            </c:ext>
            <c:ext xmlns:c16="http://schemas.microsoft.com/office/drawing/2014/chart" uri="{C3380CC4-5D6E-409C-BE32-E72D297353CC}">
              <c16:uniqueId val="{00000000-3FE2-4611-B17C-6EC1743E615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'f1 числ.пр.'!$K$4:$K$104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('f1 числ.пр.'!$F$4,'f1 числ.пр.'!$F$4,'f1 числ.пр.'!$F$4,'f1 числ.пр.'!$F$4)</c:f>
              <c:numCache>
                <c:formatCode>General</c:formatCode>
                <c:ptCount val="4"/>
                <c:pt idx="0">
                  <c:v>3.0219201650390697E-13</c:v>
                </c:pt>
                <c:pt idx="1">
                  <c:v>3.0219201650390697E-13</c:v>
                </c:pt>
                <c:pt idx="2">
                  <c:v>3.0219201650390697E-13</c:v>
                </c:pt>
                <c:pt idx="3">
                  <c:v>3.0219201650390697E-13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f1_opt</c:v>
                </c15:tx>
              </c15:filteredSeriesTitle>
            </c:ext>
            <c:ext xmlns:c16="http://schemas.microsoft.com/office/drawing/2014/chart" uri="{C3380CC4-5D6E-409C-BE32-E72D297353CC}">
              <c16:uniqueId val="{00000001-3FE2-4611-B17C-6EC1743E6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017007"/>
        <c:axId val="1874012687"/>
      </c:scatterChart>
      <c:valAx>
        <c:axId val="187401700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4012687"/>
        <c:crosses val="autoZero"/>
        <c:crossBetween val="midCat"/>
        <c:majorUnit val="10"/>
      </c:valAx>
      <c:valAx>
        <c:axId val="187401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401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x1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'f1 числ.пр.'!$K$4:$K$104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'f1 числ.пр.'!$L$4:$L$104</c:f>
              <c:numCache>
                <c:formatCode>General</c:formatCode>
                <c:ptCount val="101"/>
                <c:pt idx="0">
                  <c:v>7.6300851466414379</c:v>
                </c:pt>
                <c:pt idx="1">
                  <c:v>7.2377356233774881</c:v>
                </c:pt>
                <c:pt idx="2">
                  <c:v>7.056459053301138</c:v>
                </c:pt>
                <c:pt idx="3">
                  <c:v>6.97270415388064</c:v>
                </c:pt>
                <c:pt idx="4">
                  <c:v>6.9340070228946447</c:v>
                </c:pt>
                <c:pt idx="5">
                  <c:v>6.9161278545485709</c:v>
                </c:pt>
                <c:pt idx="6">
                  <c:v>6.9078671733920567</c:v>
                </c:pt>
                <c:pt idx="7">
                  <c:v>6.9040505051976115</c:v>
                </c:pt>
                <c:pt idx="8">
                  <c:v>6.9022870966081147</c:v>
                </c:pt>
                <c:pt idx="9">
                  <c:v>6.9014723519944647</c:v>
                </c:pt>
                <c:pt idx="10">
                  <c:v>6.9010959169530208</c:v>
                </c:pt>
                <c:pt idx="11">
                  <c:v>6.900921993323391</c:v>
                </c:pt>
                <c:pt idx="12">
                  <c:v>6.9008416356902984</c:v>
                </c:pt>
                <c:pt idx="13">
                  <c:v>6.9008045081923841</c:v>
                </c:pt>
                <c:pt idx="14">
                  <c:v>6.9007873542388856</c:v>
                </c:pt>
                <c:pt idx="15">
                  <c:v>6.9007794286274882</c:v>
                </c:pt>
                <c:pt idx="16">
                  <c:v>6.9007757667709937</c:v>
                </c:pt>
                <c:pt idx="17">
                  <c:v>6.9007740748897852</c:v>
                </c:pt>
                <c:pt idx="18">
                  <c:v>6.9007732931928434</c:v>
                </c:pt>
                <c:pt idx="19">
                  <c:v>6.9007729320267606</c:v>
                </c:pt>
                <c:pt idx="20">
                  <c:v>6.9007727651578215</c:v>
                </c:pt>
                <c:pt idx="21">
                  <c:v>6.9007726880596545</c:v>
                </c:pt>
                <c:pt idx="22">
                  <c:v>6.9007726524381221</c:v>
                </c:pt>
                <c:pt idx="23">
                  <c:v>6.9007726359799673</c:v>
                </c:pt>
                <c:pt idx="24">
                  <c:v>6.9007726283758348</c:v>
                </c:pt>
                <c:pt idx="25">
                  <c:v>6.9007726248625101</c:v>
                </c:pt>
                <c:pt idx="26">
                  <c:v>6.9007726232392548</c:v>
                </c:pt>
                <c:pt idx="27">
                  <c:v>6.9007726224892654</c:v>
                </c:pt>
                <c:pt idx="28">
                  <c:v>6.9007726221427488</c:v>
                </c:pt>
                <c:pt idx="29">
                  <c:v>6.9007726219826484</c:v>
                </c:pt>
                <c:pt idx="30">
                  <c:v>6.9007726219086774</c:v>
                </c:pt>
                <c:pt idx="31">
                  <c:v>6.9007726218745011</c:v>
                </c:pt>
                <c:pt idx="32">
                  <c:v>6.9007726218587102</c:v>
                </c:pt>
                <c:pt idx="33">
                  <c:v>6.9007726218514147</c:v>
                </c:pt>
                <c:pt idx="34">
                  <c:v>6.9007726218480441</c:v>
                </c:pt>
                <c:pt idx="35">
                  <c:v>6.9007726218464862</c:v>
                </c:pt>
                <c:pt idx="36">
                  <c:v>6.9007726218457668</c:v>
                </c:pt>
                <c:pt idx="37">
                  <c:v>6.9007726218454346</c:v>
                </c:pt>
                <c:pt idx="38">
                  <c:v>6.900772621845281</c:v>
                </c:pt>
                <c:pt idx="39">
                  <c:v>6.9007726218452099</c:v>
                </c:pt>
                <c:pt idx="40">
                  <c:v>6.900772621845177</c:v>
                </c:pt>
                <c:pt idx="41">
                  <c:v>6.9007726218451619</c:v>
                </c:pt>
                <c:pt idx="42">
                  <c:v>6.9007726218451548</c:v>
                </c:pt>
                <c:pt idx="43">
                  <c:v>6.9007726218451522</c:v>
                </c:pt>
                <c:pt idx="44">
                  <c:v>6.9007726218451504</c:v>
                </c:pt>
                <c:pt idx="45">
                  <c:v>6.9007726218451495</c:v>
                </c:pt>
                <c:pt idx="46">
                  <c:v>6.9007726218451495</c:v>
                </c:pt>
                <c:pt idx="47">
                  <c:v>6.9007726218451495</c:v>
                </c:pt>
                <c:pt idx="48">
                  <c:v>6.9007726218451495</c:v>
                </c:pt>
                <c:pt idx="49">
                  <c:v>6.9007726218451495</c:v>
                </c:pt>
                <c:pt idx="50">
                  <c:v>6.9007726218451495</c:v>
                </c:pt>
                <c:pt idx="51">
                  <c:v>6.9007726218451495</c:v>
                </c:pt>
                <c:pt idx="52">
                  <c:v>6.9007726218451495</c:v>
                </c:pt>
                <c:pt idx="53">
                  <c:v>6.9007726218451495</c:v>
                </c:pt>
                <c:pt idx="54">
                  <c:v>6.9007726218451495</c:v>
                </c:pt>
                <c:pt idx="55">
                  <c:v>6.9007726218451495</c:v>
                </c:pt>
                <c:pt idx="56">
                  <c:v>6.9007726218451495</c:v>
                </c:pt>
                <c:pt idx="57">
                  <c:v>6.9007726218451495</c:v>
                </c:pt>
                <c:pt idx="58">
                  <c:v>6.9007726218451495</c:v>
                </c:pt>
                <c:pt idx="59">
                  <c:v>6.9007726218451495</c:v>
                </c:pt>
                <c:pt idx="60">
                  <c:v>6.9007726218451495</c:v>
                </c:pt>
                <c:pt idx="61">
                  <c:v>6.9007726218451495</c:v>
                </c:pt>
                <c:pt idx="62">
                  <c:v>6.9007726218451495</c:v>
                </c:pt>
                <c:pt idx="63">
                  <c:v>6.9007726218451495</c:v>
                </c:pt>
                <c:pt idx="64">
                  <c:v>6.9007726218451495</c:v>
                </c:pt>
                <c:pt idx="65">
                  <c:v>6.9007726218451495</c:v>
                </c:pt>
                <c:pt idx="66">
                  <c:v>6.9007726218451495</c:v>
                </c:pt>
                <c:pt idx="67">
                  <c:v>6.9007726218451495</c:v>
                </c:pt>
                <c:pt idx="68">
                  <c:v>6.9007726218451495</c:v>
                </c:pt>
                <c:pt idx="69">
                  <c:v>6.9007726218451495</c:v>
                </c:pt>
                <c:pt idx="70">
                  <c:v>6.9007726218451495</c:v>
                </c:pt>
                <c:pt idx="71">
                  <c:v>6.9007726218451495</c:v>
                </c:pt>
                <c:pt idx="72">
                  <c:v>6.9007726218451495</c:v>
                </c:pt>
                <c:pt idx="73">
                  <c:v>6.9007726218451495</c:v>
                </c:pt>
                <c:pt idx="74">
                  <c:v>6.9007726218451495</c:v>
                </c:pt>
                <c:pt idx="75">
                  <c:v>6.9007726218451495</c:v>
                </c:pt>
                <c:pt idx="76">
                  <c:v>6.9007726218451495</c:v>
                </c:pt>
                <c:pt idx="77">
                  <c:v>6.9007726218451495</c:v>
                </c:pt>
                <c:pt idx="78">
                  <c:v>6.9007726218451495</c:v>
                </c:pt>
                <c:pt idx="79">
                  <c:v>6.9007726218451495</c:v>
                </c:pt>
                <c:pt idx="80">
                  <c:v>6.9007726218451495</c:v>
                </c:pt>
                <c:pt idx="81">
                  <c:v>6.9007726218451495</c:v>
                </c:pt>
                <c:pt idx="82">
                  <c:v>6.9007726218451495</c:v>
                </c:pt>
                <c:pt idx="83">
                  <c:v>6.9007726218451495</c:v>
                </c:pt>
                <c:pt idx="84">
                  <c:v>6.9007726218451495</c:v>
                </c:pt>
                <c:pt idx="85">
                  <c:v>6.9007726218451495</c:v>
                </c:pt>
                <c:pt idx="86">
                  <c:v>6.9007726218451495</c:v>
                </c:pt>
                <c:pt idx="87">
                  <c:v>6.9007726218451495</c:v>
                </c:pt>
                <c:pt idx="88">
                  <c:v>6.9007726218451495</c:v>
                </c:pt>
                <c:pt idx="89">
                  <c:v>6.9007726218451495</c:v>
                </c:pt>
                <c:pt idx="90">
                  <c:v>6.9007726218451495</c:v>
                </c:pt>
                <c:pt idx="91">
                  <c:v>6.9007726218451495</c:v>
                </c:pt>
                <c:pt idx="92">
                  <c:v>6.9007726218451495</c:v>
                </c:pt>
                <c:pt idx="93">
                  <c:v>6.9007726218451495</c:v>
                </c:pt>
                <c:pt idx="94">
                  <c:v>6.9007726218451495</c:v>
                </c:pt>
                <c:pt idx="95">
                  <c:v>6.9007726218451495</c:v>
                </c:pt>
                <c:pt idx="96">
                  <c:v>6.9007726218451495</c:v>
                </c:pt>
                <c:pt idx="97">
                  <c:v>6.9007726218451495</c:v>
                </c:pt>
                <c:pt idx="98">
                  <c:v>6.9007726218451495</c:v>
                </c:pt>
                <c:pt idx="99">
                  <c:v>6.9007726218451495</c:v>
                </c:pt>
                <c:pt idx="100">
                  <c:v>6.9007726218451495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2A-4FF1-928F-9A45E55CAF24}"/>
            </c:ext>
          </c:extLst>
        </c:ser>
        <c:ser>
          <c:idx val="1"/>
          <c:order val="1"/>
          <c:tx>
            <c:v>x2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'f1 числ.пр.'!$K$4:$K$104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'f1 числ.пр.'!$M$4:$M$104</c:f>
              <c:numCache>
                <c:formatCode>General</c:formatCode>
                <c:ptCount val="101"/>
                <c:pt idx="0">
                  <c:v>6.9177831354716632</c:v>
                </c:pt>
                <c:pt idx="1">
                  <c:v>7.0654138758005001</c:v>
                </c:pt>
                <c:pt idx="2">
                  <c:v>7.1820196683657569</c:v>
                </c:pt>
                <c:pt idx="3">
                  <c:v>7.2741204790064691</c:v>
                </c:pt>
                <c:pt idx="4">
                  <c:v>7.3468660873854716</c:v>
                </c:pt>
                <c:pt idx="5">
                  <c:v>7.4043240348412755</c:v>
                </c:pt>
                <c:pt idx="6">
                  <c:v>7.4497070593206898</c:v>
                </c:pt>
                <c:pt idx="7">
                  <c:v>7.485552734324715</c:v>
                </c:pt>
                <c:pt idx="8">
                  <c:v>7.5138653563069058</c:v>
                </c:pt>
                <c:pt idx="9">
                  <c:v>7.5362280141008071</c:v>
                </c:pt>
                <c:pt idx="10">
                  <c:v>7.553891106693281</c:v>
                </c:pt>
                <c:pt idx="11">
                  <c:v>7.5678422587792999</c:v>
                </c:pt>
                <c:pt idx="12">
                  <c:v>7.5788615433982436</c:v>
                </c:pt>
                <c:pt idx="13">
                  <c:v>7.5875650994031254</c:v>
                </c:pt>
                <c:pt idx="14">
                  <c:v>7.5944395826159354</c:v>
                </c:pt>
                <c:pt idx="15">
                  <c:v>7.5998693769915571</c:v>
                </c:pt>
                <c:pt idx="16">
                  <c:v>7.6041580872914958</c:v>
                </c:pt>
                <c:pt idx="17">
                  <c:v>7.6075455150216094</c:v>
                </c:pt>
                <c:pt idx="18">
                  <c:v>7.610221066836548</c:v>
                </c:pt>
                <c:pt idx="19">
                  <c:v>7.6123343451364152</c:v>
                </c:pt>
                <c:pt idx="20">
                  <c:v>7.614003513024608</c:v>
                </c:pt>
                <c:pt idx="21">
                  <c:v>7.6153219013500593</c:v>
                </c:pt>
                <c:pt idx="22">
                  <c:v>7.616363227263995</c:v>
                </c:pt>
                <c:pt idx="23">
                  <c:v>7.6171857160847027</c:v>
                </c:pt>
                <c:pt idx="24">
                  <c:v>7.6178353569427051</c:v>
                </c:pt>
                <c:pt idx="25">
                  <c:v>7.6183484742444358</c:v>
                </c:pt>
                <c:pt idx="26">
                  <c:v>7.618753758736772</c:v>
                </c:pt>
                <c:pt idx="27">
                  <c:v>7.6190738717385624</c:v>
                </c:pt>
                <c:pt idx="28">
                  <c:v>7.6193267122391317</c:v>
                </c:pt>
                <c:pt idx="29">
                  <c:v>7.6195264177130451</c:v>
                </c:pt>
                <c:pt idx="30">
                  <c:v>7.6196841546112912</c:v>
                </c:pt>
                <c:pt idx="31">
                  <c:v>7.6198087427288863</c:v>
                </c:pt>
                <c:pt idx="32">
                  <c:v>7.619907148360153</c:v>
                </c:pt>
                <c:pt idx="33">
                  <c:v>7.6199848738162554</c:v>
                </c:pt>
                <c:pt idx="34">
                  <c:v>7.6200462650847074</c:v>
                </c:pt>
                <c:pt idx="35">
                  <c:v>7.6200947548335121</c:v>
                </c:pt>
                <c:pt idx="36">
                  <c:v>7.6201330543474084</c:v>
                </c:pt>
                <c:pt idx="37">
                  <c:v>7.6201633051282602</c:v>
                </c:pt>
                <c:pt idx="38">
                  <c:v>7.6201871986362733</c:v>
                </c:pt>
                <c:pt idx="39">
                  <c:v>7.6202060708673054</c:v>
                </c:pt>
                <c:pt idx="40">
                  <c:v>7.6202209770545402</c:v>
                </c:pt>
                <c:pt idx="41">
                  <c:v>7.6202327506714225</c:v>
                </c:pt>
                <c:pt idx="42">
                  <c:v>7.6202420500349888</c:v>
                </c:pt>
                <c:pt idx="43">
                  <c:v>7.6202493951154011</c:v>
                </c:pt>
                <c:pt idx="44">
                  <c:v>7.6202551966098664</c:v>
                </c:pt>
                <c:pt idx="45">
                  <c:v>7.6202597789066067</c:v>
                </c:pt>
                <c:pt idx="46">
                  <c:v>7.6202633982228951</c:v>
                </c:pt>
                <c:pt idx="47">
                  <c:v>7.620266256931342</c:v>
                </c:pt>
                <c:pt idx="48">
                  <c:v>7.6202685148754767</c:v>
                </c:pt>
                <c:pt idx="49">
                  <c:v>7.6202702983073332</c:v>
                </c:pt>
                <c:pt idx="50">
                  <c:v>7.6202717069467854</c:v>
                </c:pt>
                <c:pt idx="51">
                  <c:v>7.6202728195573393</c:v>
                </c:pt>
                <c:pt idx="52">
                  <c:v>7.6202736983501644</c:v>
                </c:pt>
                <c:pt idx="53">
                  <c:v>7.6202743924626084</c:v>
                </c:pt>
                <c:pt idx="54">
                  <c:v>7.6202749407056869</c:v>
                </c:pt>
                <c:pt idx="55">
                  <c:v>7.6202753737341915</c:v>
                </c:pt>
                <c:pt idx="56">
                  <c:v>7.6202757157607364</c:v>
                </c:pt>
                <c:pt idx="57">
                  <c:v>7.620275985909597</c:v>
                </c:pt>
                <c:pt idx="58">
                  <c:v>7.6202761992860388</c:v>
                </c:pt>
                <c:pt idx="59">
                  <c:v>7.6202763678209182</c:v>
                </c:pt>
                <c:pt idx="60">
                  <c:v>7.6202765009377957</c:v>
                </c:pt>
                <c:pt idx="61">
                  <c:v>7.6202766060798481</c:v>
                </c:pt>
                <c:pt idx="62">
                  <c:v>7.6202766891260509</c:v>
                </c:pt>
                <c:pt idx="63">
                  <c:v>7.6202767547198986</c:v>
                </c:pt>
                <c:pt idx="64">
                  <c:v>7.6202768065290449</c:v>
                </c:pt>
                <c:pt idx="65">
                  <c:v>7.620276847450377</c:v>
                </c:pt>
                <c:pt idx="66">
                  <c:v>7.6202768797719944</c:v>
                </c:pt>
                <c:pt idx="67">
                  <c:v>7.6202769053011483</c:v>
                </c:pt>
                <c:pt idx="68">
                  <c:v>7.6202769254652898</c:v>
                </c:pt>
                <c:pt idx="69">
                  <c:v>7.6202769413918894</c:v>
                </c:pt>
                <c:pt idx="70">
                  <c:v>7.6202769539714765</c:v>
                </c:pt>
                <c:pt idx="71">
                  <c:v>7.6202769639074344</c:v>
                </c:pt>
                <c:pt idx="72">
                  <c:v>7.6202769717553274</c:v>
                </c:pt>
                <c:pt idx="73">
                  <c:v>7.6202769779539672</c:v>
                </c:pt>
                <c:pt idx="74">
                  <c:v>7.6202769828499477</c:v>
                </c:pt>
                <c:pt idx="75">
                  <c:v>7.6202769867170268</c:v>
                </c:pt>
                <c:pt idx="76">
                  <c:v>7.6202769897714298</c:v>
                </c:pt>
                <c:pt idx="77">
                  <c:v>7.6202769921839426</c:v>
                </c:pt>
                <c:pt idx="78">
                  <c:v>7.6202769940894601</c:v>
                </c:pt>
                <c:pt idx="79">
                  <c:v>7.6202769955945291</c:v>
                </c:pt>
                <c:pt idx="80">
                  <c:v>7.6202769967833044</c:v>
                </c:pt>
                <c:pt idx="81">
                  <c:v>7.6202769977222555</c:v>
                </c:pt>
                <c:pt idx="82">
                  <c:v>7.6202769984638836</c:v>
                </c:pt>
                <c:pt idx="83">
                  <c:v>7.6202769990496568</c:v>
                </c:pt>
                <c:pt idx="84">
                  <c:v>7.6202769995123285</c:v>
                </c:pt>
                <c:pt idx="85">
                  <c:v>7.6202769998777686</c:v>
                </c:pt>
                <c:pt idx="86">
                  <c:v>7.6202770001664106</c:v>
                </c:pt>
                <c:pt idx="87">
                  <c:v>7.6202770003943936</c:v>
                </c:pt>
                <c:pt idx="88">
                  <c:v>7.6202770005744656</c:v>
                </c:pt>
                <c:pt idx="89">
                  <c:v>7.6202770007166949</c:v>
                </c:pt>
                <c:pt idx="90">
                  <c:v>7.6202770008290344</c:v>
                </c:pt>
                <c:pt idx="91">
                  <c:v>7.6202770009177661</c:v>
                </c:pt>
                <c:pt idx="92">
                  <c:v>7.6202770009878504</c:v>
                </c:pt>
                <c:pt idx="93">
                  <c:v>7.6202770010432062</c:v>
                </c:pt>
                <c:pt idx="94">
                  <c:v>7.6202770010869285</c:v>
                </c:pt>
                <c:pt idx="95">
                  <c:v>7.6202770011214627</c:v>
                </c:pt>
                <c:pt idx="96">
                  <c:v>7.6202770011487395</c:v>
                </c:pt>
                <c:pt idx="97">
                  <c:v>7.6202770011702841</c:v>
                </c:pt>
                <c:pt idx="98">
                  <c:v>7.6202770011873007</c:v>
                </c:pt>
                <c:pt idx="99">
                  <c:v>7.6202770012007415</c:v>
                </c:pt>
                <c:pt idx="100">
                  <c:v>7.6202770012113579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2A-4FF1-928F-9A45E55CAF24}"/>
            </c:ext>
          </c:extLst>
        </c:ser>
        <c:ser>
          <c:idx val="2"/>
          <c:order val="2"/>
          <c:tx>
            <c:v>x1_opt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'f1 c пост.шг'!$K$4:$K$104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('f1 c пост.шг'!$F$5,'f1 c пост.шг'!$F$5,'f1 c пост.шг'!$F$5,'f1 c пост.шг'!$F$5,'f1 c пост.шг'!$F$5,'f1 c пост.шг'!$F$5,'f1 c пост.шг'!$F$5,'f1 c пост.шг'!$F$5,'f1 c пост.шг'!$F$5,'f1 c пост.шг'!$F$5)</c:f>
              <c:numCache>
                <c:formatCode>General</c:formatCode>
                <c:ptCount val="10"/>
                <c:pt idx="0">
                  <c:v>6.9012725628661</c:v>
                </c:pt>
                <c:pt idx="1">
                  <c:v>6.9012725628661</c:v>
                </c:pt>
                <c:pt idx="2">
                  <c:v>6.9012725628661</c:v>
                </c:pt>
                <c:pt idx="3">
                  <c:v>6.9012725628661</c:v>
                </c:pt>
                <c:pt idx="4">
                  <c:v>6.9012725628661</c:v>
                </c:pt>
                <c:pt idx="5">
                  <c:v>6.9012725628661</c:v>
                </c:pt>
                <c:pt idx="6">
                  <c:v>6.9012725628661</c:v>
                </c:pt>
                <c:pt idx="7">
                  <c:v>6.9012725628661</c:v>
                </c:pt>
                <c:pt idx="8">
                  <c:v>6.9012725628661</c:v>
                </c:pt>
                <c:pt idx="9">
                  <c:v>6.9012725628661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2A-4FF1-928F-9A45E55CAF24}"/>
            </c:ext>
          </c:extLst>
        </c:ser>
        <c:ser>
          <c:idx val="3"/>
          <c:order val="3"/>
          <c:tx>
            <c:v>x2_opt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'f1 c пост.шг'!$K$4:$K$104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('f1 c пост.шг'!$F$6,'f1 c пост.шг'!$F$6,'f1 c пост.шг'!$F$6,'f1 c пост.шг'!$F$6,'f1 c пост.шг'!$F$6,'f1 c пост.шг'!$F$6,'f1 c пост.шг'!$F$6,'f1 c пост.шг'!$F$6,'f1 c пост.шг'!$F$6,'f1 c пост.шг'!$F$6)</c:f>
              <c:numCache>
                <c:formatCode>General</c:formatCode>
                <c:ptCount val="10"/>
                <c:pt idx="0">
                  <c:v>7.6207772837098702</c:v>
                </c:pt>
                <c:pt idx="1">
                  <c:v>7.6207772837098702</c:v>
                </c:pt>
                <c:pt idx="2">
                  <c:v>7.6207772837098702</c:v>
                </c:pt>
                <c:pt idx="3">
                  <c:v>7.6207772837098702</c:v>
                </c:pt>
                <c:pt idx="4">
                  <c:v>7.6207772837098702</c:v>
                </c:pt>
                <c:pt idx="5">
                  <c:v>7.6207772837098702</c:v>
                </c:pt>
                <c:pt idx="6">
                  <c:v>7.6207772837098702</c:v>
                </c:pt>
                <c:pt idx="7">
                  <c:v>7.6207772837098702</c:v>
                </c:pt>
                <c:pt idx="8">
                  <c:v>7.6207772837098702</c:v>
                </c:pt>
                <c:pt idx="9">
                  <c:v>7.6207772837098702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2A-4FF1-928F-9A45E55CA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334047"/>
        <c:axId val="1963328767"/>
      </c:scatterChart>
      <c:valAx>
        <c:axId val="196333404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3328767"/>
        <c:crosses val="autoZero"/>
        <c:crossBetween val="midCat"/>
      </c:valAx>
      <c:valAx>
        <c:axId val="196332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3334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'f1 c пост.шг'!$W$8:$W$20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'f1 c пост.шг'!$X$8:$X$20</c:f>
              <c:numCache>
                <c:formatCode>General</c:formatCode>
                <c:ptCount val="13"/>
                <c:pt idx="0">
                  <c:v>11.304431794424326</c:v>
                </c:pt>
                <c:pt idx="1">
                  <c:v>14.041282278050369</c:v>
                </c:pt>
                <c:pt idx="2">
                  <c:v>15.605552358132812</c:v>
                </c:pt>
                <c:pt idx="3">
                  <c:v>16.630247635347359</c:v>
                </c:pt>
                <c:pt idx="4">
                  <c:v>17.288489183031206</c:v>
                </c:pt>
                <c:pt idx="5">
                  <c:v>17.652672668030903</c:v>
                </c:pt>
                <c:pt idx="6">
                  <c:v>17.754551057588188</c:v>
                </c:pt>
                <c:pt idx="7">
                  <c:v>17.602159505541032</c:v>
                </c:pt>
                <c:pt idx="8">
                  <c:v>17.183349400209391</c:v>
                </c:pt>
                <c:pt idx="9">
                  <c:v>16.460333505398353</c:v>
                </c:pt>
                <c:pt idx="10">
                  <c:v>15.348189350221766</c:v>
                </c:pt>
                <c:pt idx="11">
                  <c:v>13.634778842650537</c:v>
                </c:pt>
                <c:pt idx="12">
                  <c:v>10.360066836592775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A3-447D-A32E-B065D0FBF1D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'f1 c пост.шг'!$W$8:$W$20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'f1 c пост.шг'!$Y$8:$Y$20</c:f>
              <c:numCache>
                <c:formatCode>General</c:formatCode>
                <c:ptCount val="13"/>
                <c:pt idx="0">
                  <c:v>3.937122208078192</c:v>
                </c:pt>
                <c:pt idx="1">
                  <c:v>1.2002717244521488</c:v>
                </c:pt>
                <c:pt idx="2">
                  <c:v>-0.36399835563029281</c:v>
                </c:pt>
                <c:pt idx="3">
                  <c:v>-1.3886936328448396</c:v>
                </c:pt>
                <c:pt idx="4">
                  <c:v>-2.0469351805286884</c:v>
                </c:pt>
                <c:pt idx="5">
                  <c:v>-2.4111186655283863</c:v>
                </c:pt>
                <c:pt idx="6">
                  <c:v>-2.512997055085668</c:v>
                </c:pt>
                <c:pt idx="7">
                  <c:v>-2.3606055030385118</c:v>
                </c:pt>
                <c:pt idx="8">
                  <c:v>-1.9417953977068727</c:v>
                </c:pt>
                <c:pt idx="9">
                  <c:v>-1.2187795028958348</c:v>
                </c:pt>
                <c:pt idx="10">
                  <c:v>-0.10663534771924699</c:v>
                </c:pt>
                <c:pt idx="11">
                  <c:v>1.6067751598519804</c:v>
                </c:pt>
                <c:pt idx="12">
                  <c:v>4.8814871659097427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A3-447D-A32E-B065D0FBF1D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'f1 c пост.шг'!$W$10:$W$18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numCache>
            </c:numRef>
          </c:xVal>
          <c:yVal>
            <c:numRef>
              <c:f>'f1 c пост.шг'!$Z$10:$Z$18</c:f>
              <c:numCache>
                <c:formatCode>General</c:formatCode>
                <c:ptCount val="9"/>
                <c:pt idx="0">
                  <c:v>12.063129619257611</c:v>
                </c:pt>
                <c:pt idx="1">
                  <c:v>13.715727402155679</c:v>
                </c:pt>
                <c:pt idx="2">
                  <c:v>14.652314394494745</c:v>
                </c:pt>
                <c:pt idx="3">
                  <c:v>15.145189931971981</c:v>
                </c:pt>
                <c:pt idx="4">
                  <c:v>15.280492133534729</c:v>
                </c:pt>
                <c:pt idx="5">
                  <c:v>15.077710417863408</c:v>
                </c:pt>
                <c:pt idx="6">
                  <c:v>14.507042329290897</c:v>
                </c:pt>
                <c:pt idx="7">
                  <c:v>13.461634684233626</c:v>
                </c:pt>
                <c:pt idx="8">
                  <c:v>11.581933510891702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A3-447D-A32E-B065D0FBF1D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'f1 c пост.шг'!$W$10:$W$18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numCache>
            </c:numRef>
          </c:xVal>
          <c:yVal>
            <c:numRef>
              <c:f>'f1 c пост.шг'!$AA$10:$AA$18</c:f>
              <c:numCache>
                <c:formatCode>General</c:formatCode>
                <c:ptCount val="9"/>
                <c:pt idx="0">
                  <c:v>3.1784243832449075</c:v>
                </c:pt>
                <c:pt idx="1">
                  <c:v>1.5258266003468393</c:v>
                </c:pt>
                <c:pt idx="2">
                  <c:v>0.58923960800777397</c:v>
                </c:pt>
                <c:pt idx="3">
                  <c:v>9.6364070530538193E-2</c:v>
                </c:pt>
                <c:pt idx="4">
                  <c:v>-3.8938131032210777E-2</c:v>
                </c:pt>
                <c:pt idx="5">
                  <c:v>0.16384358463911042</c:v>
                </c:pt>
                <c:pt idx="6">
                  <c:v>0.73451167321162103</c:v>
                </c:pt>
                <c:pt idx="7">
                  <c:v>1.7799193182688908</c:v>
                </c:pt>
                <c:pt idx="8">
                  <c:v>3.6596204916108173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A3-447D-A32E-B065D0FBF1DF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'f1 c пост.шг'!$W$12:$W$16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</c:numCache>
            </c:numRef>
          </c:xVal>
          <c:yVal>
            <c:numRef>
              <c:f>'f1 c пост.шг'!$AB$12:$AB$16</c:f>
              <c:numCache>
                <c:formatCode>General</c:formatCode>
                <c:ptCount val="5"/>
                <c:pt idx="0">
                  <c:v>9.9489473978129777</c:v>
                </c:pt>
                <c:pt idx="1">
                  <c:v>11.169671087419816</c:v>
                </c:pt>
                <c:pt idx="2">
                  <c:v>11.44819064372281</c:v>
                </c:pt>
                <c:pt idx="3">
                  <c:v>11.02426275304043</c:v>
                </c:pt>
                <c:pt idx="4">
                  <c:v>9.464281666557488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9A3-447D-A32E-B065D0FBF1DF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'f1 c пост.шг'!$W$12:$W$16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</c:numCache>
            </c:numRef>
          </c:xVal>
          <c:yVal>
            <c:numRef>
              <c:f>'f1 c пост.шг'!$AC$12:$AC$16</c:f>
              <c:numCache>
                <c:formatCode>General</c:formatCode>
                <c:ptCount val="5"/>
                <c:pt idx="0">
                  <c:v>5.2926066046895404</c:v>
                </c:pt>
                <c:pt idx="1">
                  <c:v>4.0718829150827016</c:v>
                </c:pt>
                <c:pt idx="2">
                  <c:v>3.793363358779708</c:v>
                </c:pt>
                <c:pt idx="3">
                  <c:v>4.2172912494620878</c:v>
                </c:pt>
                <c:pt idx="4">
                  <c:v>5.77727233594503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9A3-447D-A32E-B065D0FBF1DF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'f1 числ.пр.'!$L$4:$L$104</c:f>
              <c:numCache>
                <c:formatCode>General</c:formatCode>
                <c:ptCount val="101"/>
                <c:pt idx="0">
                  <c:v>7.6300851466414379</c:v>
                </c:pt>
                <c:pt idx="1">
                  <c:v>7.2377356233774881</c:v>
                </c:pt>
                <c:pt idx="2">
                  <c:v>7.056459053301138</c:v>
                </c:pt>
                <c:pt idx="3">
                  <c:v>6.97270415388064</c:v>
                </c:pt>
                <c:pt idx="4">
                  <c:v>6.9340070228946447</c:v>
                </c:pt>
                <c:pt idx="5">
                  <c:v>6.9161278545485709</c:v>
                </c:pt>
                <c:pt idx="6">
                  <c:v>6.9078671733920567</c:v>
                </c:pt>
                <c:pt idx="7">
                  <c:v>6.9040505051976115</c:v>
                </c:pt>
                <c:pt idx="8">
                  <c:v>6.9022870966081147</c:v>
                </c:pt>
                <c:pt idx="9">
                  <c:v>6.9014723519944647</c:v>
                </c:pt>
                <c:pt idx="10">
                  <c:v>6.9010959169530208</c:v>
                </c:pt>
                <c:pt idx="11">
                  <c:v>6.900921993323391</c:v>
                </c:pt>
                <c:pt idx="12">
                  <c:v>6.9008416356902984</c:v>
                </c:pt>
                <c:pt idx="13">
                  <c:v>6.9008045081923841</c:v>
                </c:pt>
                <c:pt idx="14">
                  <c:v>6.9007873542388856</c:v>
                </c:pt>
                <c:pt idx="15">
                  <c:v>6.9007794286274882</c:v>
                </c:pt>
                <c:pt idx="16">
                  <c:v>6.9007757667709937</c:v>
                </c:pt>
                <c:pt idx="17">
                  <c:v>6.9007740748897852</c:v>
                </c:pt>
                <c:pt idx="18">
                  <c:v>6.9007732931928434</c:v>
                </c:pt>
                <c:pt idx="19">
                  <c:v>6.9007729320267606</c:v>
                </c:pt>
                <c:pt idx="20">
                  <c:v>6.9007727651578215</c:v>
                </c:pt>
                <c:pt idx="21">
                  <c:v>6.9007726880596545</c:v>
                </c:pt>
                <c:pt idx="22">
                  <c:v>6.9007726524381221</c:v>
                </c:pt>
                <c:pt idx="23">
                  <c:v>6.9007726359799673</c:v>
                </c:pt>
                <c:pt idx="24">
                  <c:v>6.9007726283758348</c:v>
                </c:pt>
                <c:pt idx="25">
                  <c:v>6.9007726248625101</c:v>
                </c:pt>
                <c:pt idx="26">
                  <c:v>6.9007726232392548</c:v>
                </c:pt>
                <c:pt idx="27">
                  <c:v>6.9007726224892654</c:v>
                </c:pt>
                <c:pt idx="28">
                  <c:v>6.9007726221427488</c:v>
                </c:pt>
                <c:pt idx="29">
                  <c:v>6.9007726219826484</c:v>
                </c:pt>
                <c:pt idx="30">
                  <c:v>6.9007726219086774</c:v>
                </c:pt>
                <c:pt idx="31">
                  <c:v>6.9007726218745011</c:v>
                </c:pt>
                <c:pt idx="32">
                  <c:v>6.9007726218587102</c:v>
                </c:pt>
                <c:pt idx="33">
                  <c:v>6.9007726218514147</c:v>
                </c:pt>
                <c:pt idx="34">
                  <c:v>6.9007726218480441</c:v>
                </c:pt>
                <c:pt idx="35">
                  <c:v>6.9007726218464862</c:v>
                </c:pt>
                <c:pt idx="36">
                  <c:v>6.9007726218457668</c:v>
                </c:pt>
                <c:pt idx="37">
                  <c:v>6.9007726218454346</c:v>
                </c:pt>
                <c:pt idx="38">
                  <c:v>6.900772621845281</c:v>
                </c:pt>
                <c:pt idx="39">
                  <c:v>6.9007726218452099</c:v>
                </c:pt>
                <c:pt idx="40">
                  <c:v>6.900772621845177</c:v>
                </c:pt>
                <c:pt idx="41">
                  <c:v>6.9007726218451619</c:v>
                </c:pt>
                <c:pt idx="42">
                  <c:v>6.9007726218451548</c:v>
                </c:pt>
                <c:pt idx="43">
                  <c:v>6.9007726218451522</c:v>
                </c:pt>
                <c:pt idx="44">
                  <c:v>6.9007726218451504</c:v>
                </c:pt>
                <c:pt idx="45">
                  <c:v>6.9007726218451495</c:v>
                </c:pt>
                <c:pt idx="46">
                  <c:v>6.9007726218451495</c:v>
                </c:pt>
                <c:pt idx="47">
                  <c:v>6.9007726218451495</c:v>
                </c:pt>
                <c:pt idx="48">
                  <c:v>6.9007726218451495</c:v>
                </c:pt>
                <c:pt idx="49">
                  <c:v>6.9007726218451495</c:v>
                </c:pt>
                <c:pt idx="50">
                  <c:v>6.9007726218451495</c:v>
                </c:pt>
                <c:pt idx="51">
                  <c:v>6.9007726218451495</c:v>
                </c:pt>
                <c:pt idx="52">
                  <c:v>6.9007726218451495</c:v>
                </c:pt>
                <c:pt idx="53">
                  <c:v>6.9007726218451495</c:v>
                </c:pt>
                <c:pt idx="54">
                  <c:v>6.9007726218451495</c:v>
                </c:pt>
                <c:pt idx="55">
                  <c:v>6.9007726218451495</c:v>
                </c:pt>
                <c:pt idx="56">
                  <c:v>6.9007726218451495</c:v>
                </c:pt>
                <c:pt idx="57">
                  <c:v>6.9007726218451495</c:v>
                </c:pt>
                <c:pt idx="58">
                  <c:v>6.9007726218451495</c:v>
                </c:pt>
                <c:pt idx="59">
                  <c:v>6.9007726218451495</c:v>
                </c:pt>
                <c:pt idx="60">
                  <c:v>6.9007726218451495</c:v>
                </c:pt>
                <c:pt idx="61">
                  <c:v>6.9007726218451495</c:v>
                </c:pt>
                <c:pt idx="62">
                  <c:v>6.9007726218451495</c:v>
                </c:pt>
                <c:pt idx="63">
                  <c:v>6.9007726218451495</c:v>
                </c:pt>
                <c:pt idx="64">
                  <c:v>6.9007726218451495</c:v>
                </c:pt>
                <c:pt idx="65">
                  <c:v>6.9007726218451495</c:v>
                </c:pt>
                <c:pt idx="66">
                  <c:v>6.9007726218451495</c:v>
                </c:pt>
                <c:pt idx="67">
                  <c:v>6.9007726218451495</c:v>
                </c:pt>
                <c:pt idx="68">
                  <c:v>6.9007726218451495</c:v>
                </c:pt>
                <c:pt idx="69">
                  <c:v>6.9007726218451495</c:v>
                </c:pt>
                <c:pt idx="70">
                  <c:v>6.9007726218451495</c:v>
                </c:pt>
                <c:pt idx="71">
                  <c:v>6.9007726218451495</c:v>
                </c:pt>
                <c:pt idx="72">
                  <c:v>6.9007726218451495</c:v>
                </c:pt>
                <c:pt idx="73">
                  <c:v>6.9007726218451495</c:v>
                </c:pt>
                <c:pt idx="74">
                  <c:v>6.9007726218451495</c:v>
                </c:pt>
                <c:pt idx="75">
                  <c:v>6.9007726218451495</c:v>
                </c:pt>
                <c:pt idx="76">
                  <c:v>6.9007726218451495</c:v>
                </c:pt>
                <c:pt idx="77">
                  <c:v>6.9007726218451495</c:v>
                </c:pt>
                <c:pt idx="78">
                  <c:v>6.9007726218451495</c:v>
                </c:pt>
                <c:pt idx="79">
                  <c:v>6.9007726218451495</c:v>
                </c:pt>
                <c:pt idx="80">
                  <c:v>6.9007726218451495</c:v>
                </c:pt>
                <c:pt idx="81">
                  <c:v>6.9007726218451495</c:v>
                </c:pt>
                <c:pt idx="82">
                  <c:v>6.9007726218451495</c:v>
                </c:pt>
                <c:pt idx="83">
                  <c:v>6.9007726218451495</c:v>
                </c:pt>
                <c:pt idx="84">
                  <c:v>6.9007726218451495</c:v>
                </c:pt>
                <c:pt idx="85">
                  <c:v>6.9007726218451495</c:v>
                </c:pt>
                <c:pt idx="86">
                  <c:v>6.9007726218451495</c:v>
                </c:pt>
                <c:pt idx="87">
                  <c:v>6.9007726218451495</c:v>
                </c:pt>
                <c:pt idx="88">
                  <c:v>6.9007726218451495</c:v>
                </c:pt>
                <c:pt idx="89">
                  <c:v>6.9007726218451495</c:v>
                </c:pt>
                <c:pt idx="90">
                  <c:v>6.9007726218451495</c:v>
                </c:pt>
                <c:pt idx="91">
                  <c:v>6.9007726218451495</c:v>
                </c:pt>
                <c:pt idx="92">
                  <c:v>6.9007726218451495</c:v>
                </c:pt>
                <c:pt idx="93">
                  <c:v>6.9007726218451495</c:v>
                </c:pt>
                <c:pt idx="94">
                  <c:v>6.9007726218451495</c:v>
                </c:pt>
                <c:pt idx="95">
                  <c:v>6.9007726218451495</c:v>
                </c:pt>
                <c:pt idx="96">
                  <c:v>6.9007726218451495</c:v>
                </c:pt>
                <c:pt idx="97">
                  <c:v>6.9007726218451495</c:v>
                </c:pt>
                <c:pt idx="98">
                  <c:v>6.9007726218451495</c:v>
                </c:pt>
                <c:pt idx="99">
                  <c:v>6.9007726218451495</c:v>
                </c:pt>
                <c:pt idx="100">
                  <c:v>6.9007726218451495</c:v>
                </c:pt>
              </c:numCache>
            </c:numRef>
          </c:xVal>
          <c:yVal>
            <c:numRef>
              <c:f>'f1 числ.пр.'!$M$4:$M$104</c:f>
              <c:numCache>
                <c:formatCode>General</c:formatCode>
                <c:ptCount val="101"/>
                <c:pt idx="0">
                  <c:v>6.9177831354716632</c:v>
                </c:pt>
                <c:pt idx="1">
                  <c:v>7.0654138758005001</c:v>
                </c:pt>
                <c:pt idx="2">
                  <c:v>7.1820196683657569</c:v>
                </c:pt>
                <c:pt idx="3">
                  <c:v>7.2741204790064691</c:v>
                </c:pt>
                <c:pt idx="4">
                  <c:v>7.3468660873854716</c:v>
                </c:pt>
                <c:pt idx="5">
                  <c:v>7.4043240348412755</c:v>
                </c:pt>
                <c:pt idx="6">
                  <c:v>7.4497070593206898</c:v>
                </c:pt>
                <c:pt idx="7">
                  <c:v>7.485552734324715</c:v>
                </c:pt>
                <c:pt idx="8">
                  <c:v>7.5138653563069058</c:v>
                </c:pt>
                <c:pt idx="9">
                  <c:v>7.5362280141008071</c:v>
                </c:pt>
                <c:pt idx="10">
                  <c:v>7.553891106693281</c:v>
                </c:pt>
                <c:pt idx="11">
                  <c:v>7.5678422587792999</c:v>
                </c:pt>
                <c:pt idx="12">
                  <c:v>7.5788615433982436</c:v>
                </c:pt>
                <c:pt idx="13">
                  <c:v>7.5875650994031254</c:v>
                </c:pt>
                <c:pt idx="14">
                  <c:v>7.5944395826159354</c:v>
                </c:pt>
                <c:pt idx="15">
                  <c:v>7.5998693769915571</c:v>
                </c:pt>
                <c:pt idx="16">
                  <c:v>7.6041580872914958</c:v>
                </c:pt>
                <c:pt idx="17">
                  <c:v>7.6075455150216094</c:v>
                </c:pt>
                <c:pt idx="18">
                  <c:v>7.610221066836548</c:v>
                </c:pt>
                <c:pt idx="19">
                  <c:v>7.6123343451364152</c:v>
                </c:pt>
                <c:pt idx="20">
                  <c:v>7.614003513024608</c:v>
                </c:pt>
                <c:pt idx="21">
                  <c:v>7.6153219013500593</c:v>
                </c:pt>
                <c:pt idx="22">
                  <c:v>7.616363227263995</c:v>
                </c:pt>
                <c:pt idx="23">
                  <c:v>7.6171857160847027</c:v>
                </c:pt>
                <c:pt idx="24">
                  <c:v>7.6178353569427051</c:v>
                </c:pt>
                <c:pt idx="25">
                  <c:v>7.6183484742444358</c:v>
                </c:pt>
                <c:pt idx="26">
                  <c:v>7.618753758736772</c:v>
                </c:pt>
                <c:pt idx="27">
                  <c:v>7.6190738717385624</c:v>
                </c:pt>
                <c:pt idx="28">
                  <c:v>7.6193267122391317</c:v>
                </c:pt>
                <c:pt idx="29">
                  <c:v>7.6195264177130451</c:v>
                </c:pt>
                <c:pt idx="30">
                  <c:v>7.6196841546112912</c:v>
                </c:pt>
                <c:pt idx="31">
                  <c:v>7.6198087427288863</c:v>
                </c:pt>
                <c:pt idx="32">
                  <c:v>7.619907148360153</c:v>
                </c:pt>
                <c:pt idx="33">
                  <c:v>7.6199848738162554</c:v>
                </c:pt>
                <c:pt idx="34">
                  <c:v>7.6200462650847074</c:v>
                </c:pt>
                <c:pt idx="35">
                  <c:v>7.6200947548335121</c:v>
                </c:pt>
                <c:pt idx="36">
                  <c:v>7.6201330543474084</c:v>
                </c:pt>
                <c:pt idx="37">
                  <c:v>7.6201633051282602</c:v>
                </c:pt>
                <c:pt idx="38">
                  <c:v>7.6201871986362733</c:v>
                </c:pt>
                <c:pt idx="39">
                  <c:v>7.6202060708673054</c:v>
                </c:pt>
                <c:pt idx="40">
                  <c:v>7.6202209770545402</c:v>
                </c:pt>
                <c:pt idx="41">
                  <c:v>7.6202327506714225</c:v>
                </c:pt>
                <c:pt idx="42">
                  <c:v>7.6202420500349888</c:v>
                </c:pt>
                <c:pt idx="43">
                  <c:v>7.6202493951154011</c:v>
                </c:pt>
                <c:pt idx="44">
                  <c:v>7.6202551966098664</c:v>
                </c:pt>
                <c:pt idx="45">
                  <c:v>7.6202597789066067</c:v>
                </c:pt>
                <c:pt idx="46">
                  <c:v>7.6202633982228951</c:v>
                </c:pt>
                <c:pt idx="47">
                  <c:v>7.620266256931342</c:v>
                </c:pt>
                <c:pt idx="48">
                  <c:v>7.6202685148754767</c:v>
                </c:pt>
                <c:pt idx="49">
                  <c:v>7.6202702983073332</c:v>
                </c:pt>
                <c:pt idx="50">
                  <c:v>7.6202717069467854</c:v>
                </c:pt>
                <c:pt idx="51">
                  <c:v>7.6202728195573393</c:v>
                </c:pt>
                <c:pt idx="52">
                  <c:v>7.6202736983501644</c:v>
                </c:pt>
                <c:pt idx="53">
                  <c:v>7.6202743924626084</c:v>
                </c:pt>
                <c:pt idx="54">
                  <c:v>7.6202749407056869</c:v>
                </c:pt>
                <c:pt idx="55">
                  <c:v>7.6202753737341915</c:v>
                </c:pt>
                <c:pt idx="56">
                  <c:v>7.6202757157607364</c:v>
                </c:pt>
                <c:pt idx="57">
                  <c:v>7.620275985909597</c:v>
                </c:pt>
                <c:pt idx="58">
                  <c:v>7.6202761992860388</c:v>
                </c:pt>
                <c:pt idx="59">
                  <c:v>7.6202763678209182</c:v>
                </c:pt>
                <c:pt idx="60">
                  <c:v>7.6202765009377957</c:v>
                </c:pt>
                <c:pt idx="61">
                  <c:v>7.6202766060798481</c:v>
                </c:pt>
                <c:pt idx="62">
                  <c:v>7.6202766891260509</c:v>
                </c:pt>
                <c:pt idx="63">
                  <c:v>7.6202767547198986</c:v>
                </c:pt>
                <c:pt idx="64">
                  <c:v>7.6202768065290449</c:v>
                </c:pt>
                <c:pt idx="65">
                  <c:v>7.620276847450377</c:v>
                </c:pt>
                <c:pt idx="66">
                  <c:v>7.6202768797719944</c:v>
                </c:pt>
                <c:pt idx="67">
                  <c:v>7.6202769053011483</c:v>
                </c:pt>
                <c:pt idx="68">
                  <c:v>7.6202769254652898</c:v>
                </c:pt>
                <c:pt idx="69">
                  <c:v>7.6202769413918894</c:v>
                </c:pt>
                <c:pt idx="70">
                  <c:v>7.6202769539714765</c:v>
                </c:pt>
                <c:pt idx="71">
                  <c:v>7.6202769639074344</c:v>
                </c:pt>
                <c:pt idx="72">
                  <c:v>7.6202769717553274</c:v>
                </c:pt>
                <c:pt idx="73">
                  <c:v>7.6202769779539672</c:v>
                </c:pt>
                <c:pt idx="74">
                  <c:v>7.6202769828499477</c:v>
                </c:pt>
                <c:pt idx="75">
                  <c:v>7.6202769867170268</c:v>
                </c:pt>
                <c:pt idx="76">
                  <c:v>7.6202769897714298</c:v>
                </c:pt>
                <c:pt idx="77">
                  <c:v>7.6202769921839426</c:v>
                </c:pt>
                <c:pt idx="78">
                  <c:v>7.6202769940894601</c:v>
                </c:pt>
                <c:pt idx="79">
                  <c:v>7.6202769955945291</c:v>
                </c:pt>
                <c:pt idx="80">
                  <c:v>7.6202769967833044</c:v>
                </c:pt>
                <c:pt idx="81">
                  <c:v>7.6202769977222555</c:v>
                </c:pt>
                <c:pt idx="82">
                  <c:v>7.6202769984638836</c:v>
                </c:pt>
                <c:pt idx="83">
                  <c:v>7.6202769990496568</c:v>
                </c:pt>
                <c:pt idx="84">
                  <c:v>7.6202769995123285</c:v>
                </c:pt>
                <c:pt idx="85">
                  <c:v>7.6202769998777686</c:v>
                </c:pt>
                <c:pt idx="86">
                  <c:v>7.6202770001664106</c:v>
                </c:pt>
                <c:pt idx="87">
                  <c:v>7.6202770003943936</c:v>
                </c:pt>
                <c:pt idx="88">
                  <c:v>7.6202770005744656</c:v>
                </c:pt>
                <c:pt idx="89">
                  <c:v>7.6202770007166949</c:v>
                </c:pt>
                <c:pt idx="90">
                  <c:v>7.6202770008290344</c:v>
                </c:pt>
                <c:pt idx="91">
                  <c:v>7.6202770009177661</c:v>
                </c:pt>
                <c:pt idx="92">
                  <c:v>7.6202770009878504</c:v>
                </c:pt>
                <c:pt idx="93">
                  <c:v>7.6202770010432062</c:v>
                </c:pt>
                <c:pt idx="94">
                  <c:v>7.6202770010869285</c:v>
                </c:pt>
                <c:pt idx="95">
                  <c:v>7.6202770011214627</c:v>
                </c:pt>
                <c:pt idx="96">
                  <c:v>7.6202770011487395</c:v>
                </c:pt>
                <c:pt idx="97">
                  <c:v>7.6202770011702841</c:v>
                </c:pt>
                <c:pt idx="98">
                  <c:v>7.6202770011873007</c:v>
                </c:pt>
                <c:pt idx="99">
                  <c:v>7.6202770012007415</c:v>
                </c:pt>
                <c:pt idx="100">
                  <c:v>7.6202770012113579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78-4212-BEE2-39E694CA5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330431"/>
        <c:axId val="1951330911"/>
      </c:scatterChart>
      <c:valAx>
        <c:axId val="1951330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1330911"/>
        <c:crosses val="autoZero"/>
        <c:crossBetween val="midCat"/>
      </c:valAx>
      <c:valAx>
        <c:axId val="195133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1330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425162092617936E-2"/>
          <c:y val="7.4870599339267208E-2"/>
          <c:w val="0.74863034181002353"/>
          <c:h val="0.8597201479421530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'f2 числ.пр.'!$K$4:$K$104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'f2 числ.пр.'!$R$5:$R$104</c:f>
              <c:numCache>
                <c:formatCode>General</c:formatCode>
                <c:ptCount val="100"/>
                <c:pt idx="0">
                  <c:v>33.587120511805551</c:v>
                </c:pt>
                <c:pt idx="1">
                  <c:v>5.2299511237251863</c:v>
                </c:pt>
                <c:pt idx="2">
                  <c:v>5.4989199539747915</c:v>
                </c:pt>
                <c:pt idx="3">
                  <c:v>8.7849241644421454</c:v>
                </c:pt>
                <c:pt idx="4">
                  <c:v>9.0080629689009584</c:v>
                </c:pt>
                <c:pt idx="5">
                  <c:v>8.0848030390882286</c:v>
                </c:pt>
                <c:pt idx="6">
                  <c:v>6.8424429687563588</c:v>
                </c:pt>
                <c:pt idx="7">
                  <c:v>5.6206413682073162</c:v>
                </c:pt>
                <c:pt idx="8">
                  <c:v>4.5424095231951469</c:v>
                </c:pt>
                <c:pt idx="9">
                  <c:v>3.6372529608156583</c:v>
                </c:pt>
                <c:pt idx="10">
                  <c:v>2.8968638390183514</c:v>
                </c:pt>
                <c:pt idx="11">
                  <c:v>2.2998697032812743</c:v>
                </c:pt>
                <c:pt idx="12">
                  <c:v>1.8224301265267968</c:v>
                </c:pt>
                <c:pt idx="13">
                  <c:v>1.4424317313942083</c:v>
                </c:pt>
                <c:pt idx="14">
                  <c:v>1.1408513588785354</c:v>
                </c:pt>
                <c:pt idx="15">
                  <c:v>0.90192005556173171</c:v>
                </c:pt>
                <c:pt idx="16">
                  <c:v>0.71282441853327327</c:v>
                </c:pt>
                <c:pt idx="17">
                  <c:v>0.56326914054216104</c:v>
                </c:pt>
                <c:pt idx="18">
                  <c:v>0.44503615224925852</c:v>
                </c:pt>
                <c:pt idx="19">
                  <c:v>0.35159103263072211</c:v>
                </c:pt>
                <c:pt idx="20">
                  <c:v>0.27775035279250915</c:v>
                </c:pt>
                <c:pt idx="21">
                  <c:v>0.2194083635934021</c:v>
                </c:pt>
                <c:pt idx="22">
                  <c:v>0.17331592870255008</c:v>
                </c:pt>
                <c:pt idx="23">
                  <c:v>0.13690332370720171</c:v>
                </c:pt>
                <c:pt idx="24">
                  <c:v>0.10813895689761921</c:v>
                </c:pt>
                <c:pt idx="25">
                  <c:v>8.5417096701348783E-2</c:v>
                </c:pt>
                <c:pt idx="26">
                  <c:v>6.7468831040514488E-2</c:v>
                </c:pt>
                <c:pt idx="27">
                  <c:v>5.3291542275246684E-2</c:v>
                </c:pt>
                <c:pt idx="28">
                  <c:v>4.2093094222309446E-2</c:v>
                </c:pt>
                <c:pt idx="29">
                  <c:v>3.3247686775894181E-2</c:v>
                </c:pt>
                <c:pt idx="30">
                  <c:v>2.626095224763958E-2</c:v>
                </c:pt>
                <c:pt idx="31">
                  <c:v>2.0742365979458555E-2</c:v>
                </c:pt>
                <c:pt idx="32">
                  <c:v>1.6383442565938822E-2</c:v>
                </c:pt>
                <c:pt idx="33">
                  <c:v>1.2940506768245541E-2</c:v>
                </c:pt>
                <c:pt idx="34">
                  <c:v>1.0221080663995963E-2</c:v>
                </c:pt>
                <c:pt idx="35">
                  <c:v>8.0731288212518848E-3</c:v>
                </c:pt>
                <c:pt idx="36">
                  <c:v>6.3765619429432263E-3</c:v>
                </c:pt>
                <c:pt idx="37">
                  <c:v>5.0365250017421204E-3</c:v>
                </c:pt>
                <c:pt idx="38">
                  <c:v>3.9780952492947108E-3</c:v>
                </c:pt>
                <c:pt idx="39">
                  <c:v>3.1420940522366436E-3</c:v>
                </c:pt>
                <c:pt idx="40">
                  <c:v>2.4817786365929351E-3</c:v>
                </c:pt>
                <c:pt idx="41">
                  <c:v>1.9602289132762962E-3</c:v>
                </c:pt>
                <c:pt idx="42">
                  <c:v>1.5482833771329751E-3</c:v>
                </c:pt>
                <c:pt idx="43">
                  <c:v>1.222908719228144E-3</c:v>
                </c:pt>
                <c:pt idx="44">
                  <c:v>9.6591203350726573E-4</c:v>
                </c:pt>
                <c:pt idx="45">
                  <c:v>7.6292363269203634E-4</c:v>
                </c:pt>
                <c:pt idx="46">
                  <c:v>6.025936145306332E-4</c:v>
                </c:pt>
                <c:pt idx="47">
                  <c:v>4.7595725936844246E-4</c:v>
                </c:pt>
                <c:pt idx="48">
                  <c:v>3.7593379011013894E-4</c:v>
                </c:pt>
                <c:pt idx="49">
                  <c:v>2.9693046258216782E-4</c:v>
                </c:pt>
                <c:pt idx="50">
                  <c:v>2.3452985374206037E-4</c:v>
                </c:pt>
                <c:pt idx="51">
                  <c:v>1.8524286952015245E-4</c:v>
                </c:pt>
                <c:pt idx="52">
                  <c:v>1.4631365502282279E-4</c:v>
                </c:pt>
                <c:pt idx="53">
                  <c:v>1.1556550225577666E-4</c:v>
                </c:pt>
                <c:pt idx="54">
                  <c:v>9.1279143816791475E-5</c:v>
                </c:pt>
                <c:pt idx="55">
                  <c:v>7.2096619533112971E-5</c:v>
                </c:pt>
                <c:pt idx="56">
                  <c:v>5.6945346841530409E-5</c:v>
                </c:pt>
                <c:pt idx="57">
                  <c:v>4.497814916248899E-5</c:v>
                </c:pt>
                <c:pt idx="58">
                  <c:v>3.552588532329537E-5</c:v>
                </c:pt>
                <c:pt idx="59">
                  <c:v>2.806003749356023E-5</c:v>
                </c:pt>
                <c:pt idx="60">
                  <c:v>2.2163154881127411E-5</c:v>
                </c:pt>
                <c:pt idx="61">
                  <c:v>1.7505515643279068E-5</c:v>
                </c:pt>
                <c:pt idx="62">
                  <c:v>1.3826690519636031E-5</c:v>
                </c:pt>
                <c:pt idx="63">
                  <c:v>1.0920979093498318E-5</c:v>
                </c:pt>
                <c:pt idx="64">
                  <c:v>8.625909686088562E-6</c:v>
                </c:pt>
                <c:pt idx="65">
                  <c:v>6.8131544139760081E-6</c:v>
                </c:pt>
                <c:pt idx="66">
                  <c:v>5.3813537306268699E-6</c:v>
                </c:pt>
                <c:pt idx="67">
                  <c:v>4.2504498196649365E-6</c:v>
                </c:pt>
                <c:pt idx="68">
                  <c:v>3.3572077882126905E-6</c:v>
                </c:pt>
                <c:pt idx="69">
                  <c:v>2.6516825073485961E-6</c:v>
                </c:pt>
                <c:pt idx="70">
                  <c:v>2.0944253265042789E-6</c:v>
                </c:pt>
                <c:pt idx="71">
                  <c:v>1.6542769571969984E-6</c:v>
                </c:pt>
                <c:pt idx="72">
                  <c:v>1.3066267001704546E-6</c:v>
                </c:pt>
                <c:pt idx="73">
                  <c:v>1.0320359251636546E-6</c:v>
                </c:pt>
                <c:pt idx="74">
                  <c:v>8.1515122474229429E-7</c:v>
                </c:pt>
                <c:pt idx="75">
                  <c:v>6.4384539655293338E-7</c:v>
                </c:pt>
                <c:pt idx="76">
                  <c:v>5.0853941502282396E-7</c:v>
                </c:pt>
                <c:pt idx="77">
                  <c:v>4.0166878534364514E-7</c:v>
                </c:pt>
                <c:pt idx="78">
                  <c:v>3.1725721783004701E-7</c:v>
                </c:pt>
                <c:pt idx="79">
                  <c:v>2.505851171008544E-7</c:v>
                </c:pt>
                <c:pt idx="80">
                  <c:v>1.979240096261492E-7</c:v>
                </c:pt>
                <c:pt idx="81">
                  <c:v>1.5632940630894154E-7</c:v>
                </c:pt>
                <c:pt idx="82">
                  <c:v>1.2347663869149983E-7</c:v>
                </c:pt>
                <c:pt idx="83">
                  <c:v>9.7527845355216414E-8</c:v>
                </c:pt>
                <c:pt idx="84">
                  <c:v>7.7031927503412589E-8</c:v>
                </c:pt>
                <c:pt idx="85">
                  <c:v>6.0843376559205353E-8</c:v>
                </c:pt>
                <c:pt idx="86">
                  <c:v>4.8057245294330642E-8</c:v>
                </c:pt>
                <c:pt idx="87">
                  <c:v>3.795776137849316E-8</c:v>
                </c:pt>
                <c:pt idx="88">
                  <c:v>2.9981038096593693E-8</c:v>
                </c:pt>
                <c:pt idx="89">
                  <c:v>2.3680058802710846E-8</c:v>
                </c:pt>
                <c:pt idx="90">
                  <c:v>1.8704213289311156E-8</c:v>
                </c:pt>
                <c:pt idx="91">
                  <c:v>1.477337718824856E-8</c:v>
                </c:pt>
                <c:pt idx="92">
                  <c:v>1.1668362276395783E-8</c:v>
                </c:pt>
                <c:pt idx="93">
                  <c:v>9.2163645604159683E-9</c:v>
                </c:pt>
                <c:pt idx="94">
                  <c:v>7.2795955929905176E-9</c:v>
                </c:pt>
                <c:pt idx="95">
                  <c:v>5.7498255046084523E-9</c:v>
                </c:pt>
                <c:pt idx="96">
                  <c:v>4.5413344196276739E-9</c:v>
                </c:pt>
                <c:pt idx="97">
                  <c:v>3.5868197301169857E-9</c:v>
                </c:pt>
                <c:pt idx="98">
                  <c:v>2.8333033696981147E-9</c:v>
                </c:pt>
                <c:pt idx="99">
                  <c:v>2.2380390873877332E-9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f1</c:v>
                </c15:tx>
              </c15:filteredSeriesTitle>
            </c:ext>
            <c:ext xmlns:c16="http://schemas.microsoft.com/office/drawing/2014/chart" uri="{C3380CC4-5D6E-409C-BE32-E72D297353CC}">
              <c16:uniqueId val="{00000000-8F36-4D54-8AE1-4E2C30A0D91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'f2 числ.пр.'!$K$4:$K$104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('f2 числ.пр.'!$F$4,'f2 числ.пр.'!$F$4,'f2 числ.пр.'!$F$4,'f2 числ.пр.'!$F$4,'f2 числ.пр.'!$F$4,'f2 числ.пр.'!$F$4,'f2 числ.пр.'!$F$4,'f2 числ.пр.'!$F$4,'f2 числ.пр.'!$F$4,'f2 числ.пр.'!$F$4,'f2 числ.пр.'!$F$4,'f2 числ.пр.'!$F$4,'f2 числ.пр.'!$F$4,'f2 числ.пр.'!$F$4,'f2 числ.пр.'!$F$4,'f2 числ.пр.'!$F$4,'f2 числ.пр.'!$F$4,'f2 числ.пр.'!$F$4,'f2 числ.пр.'!$F$4,'f2 числ.пр.'!$F$4,'f2 числ.пр.'!$F$4,'f2 числ.пр.'!$F$4,'f2 числ.пр.'!$F$4,'f2 числ.пр.'!$F$4,'f2 числ.пр.'!$F$4,'f2 числ.пр.'!$F$4)</c:f>
              <c:numCache>
                <c:formatCode>General</c:formatCode>
                <c:ptCount val="26"/>
                <c:pt idx="0">
                  <c:v>-0.40945650570307607</c:v>
                </c:pt>
                <c:pt idx="1">
                  <c:v>-0.40945650570307607</c:v>
                </c:pt>
                <c:pt idx="2">
                  <c:v>-0.40945650570307607</c:v>
                </c:pt>
                <c:pt idx="3">
                  <c:v>-0.40945650570307607</c:v>
                </c:pt>
                <c:pt idx="4">
                  <c:v>-0.40945650570307607</c:v>
                </c:pt>
                <c:pt idx="5">
                  <c:v>-0.40945650570307607</c:v>
                </c:pt>
                <c:pt idx="6">
                  <c:v>-0.40945650570307607</c:v>
                </c:pt>
                <c:pt idx="7">
                  <c:v>-0.40945650570307607</c:v>
                </c:pt>
                <c:pt idx="8">
                  <c:v>-0.40945650570307607</c:v>
                </c:pt>
                <c:pt idx="9">
                  <c:v>-0.40945650570307607</c:v>
                </c:pt>
                <c:pt idx="10">
                  <c:v>-0.40945650570307607</c:v>
                </c:pt>
                <c:pt idx="11">
                  <c:v>-0.40945650570307607</c:v>
                </c:pt>
                <c:pt idx="12">
                  <c:v>-0.40945650570307607</c:v>
                </c:pt>
                <c:pt idx="13">
                  <c:v>-0.40945650570307607</c:v>
                </c:pt>
                <c:pt idx="14">
                  <c:v>-0.40945650570307607</c:v>
                </c:pt>
                <c:pt idx="15">
                  <c:v>-0.40945650570307607</c:v>
                </c:pt>
                <c:pt idx="16">
                  <c:v>-0.40945650570307607</c:v>
                </c:pt>
                <c:pt idx="17">
                  <c:v>-0.40945650570307607</c:v>
                </c:pt>
                <c:pt idx="18">
                  <c:v>-0.40945650570307607</c:v>
                </c:pt>
                <c:pt idx="19">
                  <c:v>-0.40945650570307607</c:v>
                </c:pt>
                <c:pt idx="20">
                  <c:v>-0.40945650570307607</c:v>
                </c:pt>
                <c:pt idx="21">
                  <c:v>-0.40945650570307607</c:v>
                </c:pt>
                <c:pt idx="22">
                  <c:v>-0.40945650570307607</c:v>
                </c:pt>
                <c:pt idx="23">
                  <c:v>-0.40945650570307607</c:v>
                </c:pt>
                <c:pt idx="24">
                  <c:v>-0.40945650570307607</c:v>
                </c:pt>
                <c:pt idx="25">
                  <c:v>-0.40945650570307607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f1_opt</c:v>
                </c15:tx>
              </c15:filteredSeriesTitle>
            </c:ext>
            <c:ext xmlns:c16="http://schemas.microsoft.com/office/drawing/2014/chart" uri="{C3380CC4-5D6E-409C-BE32-E72D297353CC}">
              <c16:uniqueId val="{00000001-8F36-4D54-8AE1-4E2C30A0D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017007"/>
        <c:axId val="1874012687"/>
      </c:scatterChart>
      <c:valAx>
        <c:axId val="187401700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4012687"/>
        <c:crosses val="autoZero"/>
        <c:crossBetween val="midCat"/>
        <c:majorUnit val="10"/>
      </c:valAx>
      <c:valAx>
        <c:axId val="187401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401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x1_opt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'f2 числ.пр.'!$K$4:$K$104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('f2 числ.пр.'!$F$5,'f2 числ.пр.'!$F$5,'f2 числ.пр.'!$F$5,'f2 числ.пр.'!$F$5,'f2 числ.пр.'!$F$5,'f2 числ.пр.'!$F$5,'f2 числ.пр.'!$F$5,'f2 числ.пр.'!$F$5,'f2 числ.пр.'!$F$5,'f2 числ.пр.'!$F$5,'f2 числ.пр.'!$F$5,'f2 числ.пр.'!$F$5)</c:f>
              <c:numCache>
                <c:formatCode>General</c:formatCode>
                <c:ptCount val="12"/>
                <c:pt idx="0">
                  <c:v>-0.83045712925748105</c:v>
                </c:pt>
                <c:pt idx="1">
                  <c:v>-0.83045712925748105</c:v>
                </c:pt>
                <c:pt idx="2">
                  <c:v>-0.83045712925748105</c:v>
                </c:pt>
                <c:pt idx="3">
                  <c:v>-0.83045712925748105</c:v>
                </c:pt>
                <c:pt idx="4">
                  <c:v>-0.83045712925748105</c:v>
                </c:pt>
                <c:pt idx="5">
                  <c:v>-0.83045712925748105</c:v>
                </c:pt>
                <c:pt idx="6">
                  <c:v>-0.83045712925748105</c:v>
                </c:pt>
                <c:pt idx="7">
                  <c:v>-0.83045712925748105</c:v>
                </c:pt>
                <c:pt idx="8">
                  <c:v>-0.83045712925748105</c:v>
                </c:pt>
                <c:pt idx="9">
                  <c:v>-0.83045712925748105</c:v>
                </c:pt>
                <c:pt idx="10">
                  <c:v>-0.83045712925748105</c:v>
                </c:pt>
                <c:pt idx="11">
                  <c:v>-0.83045712925748105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83-4BF4-99CE-07FCD512D39F}"/>
            </c:ext>
          </c:extLst>
        </c:ser>
        <c:ser>
          <c:idx val="1"/>
          <c:order val="1"/>
          <c:tx>
            <c:v>x2_opt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'f2 числ.пр.'!$K$4:$K$104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('f2 числ.пр.'!$F$6,'f2 числ.пр.'!$F$6,'f2 числ.пр.'!$F$6,'f2 числ.пр.'!$F$6,'f2 числ.пр.'!$F$6,'f2 числ.пр.'!$F$6,'f2 числ.пр.'!$F$6,'f2 числ.пр.'!$F$6,'f2 числ.пр.'!$F$6,'f2 числ.пр.'!$F$6,'f2 числ.пр.'!$F$6,'f2 числ.пр.'!$F$6,'f2 числ.пр.'!$F$6,'f2 числ.пр.'!$F$6,'f2 числ.пр.'!$F$6,'f2 числ.пр.'!$F$6)</c:f>
              <c:numCache>
                <c:formatCode>General</c:formatCode>
                <c:ptCount val="16"/>
                <c:pt idx="0">
                  <c:v>0.19358594042632851</c:v>
                </c:pt>
                <c:pt idx="1">
                  <c:v>0.19358594042632851</c:v>
                </c:pt>
                <c:pt idx="2">
                  <c:v>0.19358594042632851</c:v>
                </c:pt>
                <c:pt idx="3">
                  <c:v>0.19358594042632851</c:v>
                </c:pt>
                <c:pt idx="4">
                  <c:v>0.19358594042632851</c:v>
                </c:pt>
                <c:pt idx="5">
                  <c:v>0.19358594042632851</c:v>
                </c:pt>
                <c:pt idx="6">
                  <c:v>0.19358594042632851</c:v>
                </c:pt>
                <c:pt idx="7">
                  <c:v>0.19358594042632851</c:v>
                </c:pt>
                <c:pt idx="8">
                  <c:v>0.19358594042632851</c:v>
                </c:pt>
                <c:pt idx="9">
                  <c:v>0.19358594042632851</c:v>
                </c:pt>
                <c:pt idx="10">
                  <c:v>0.19358594042632851</c:v>
                </c:pt>
                <c:pt idx="11">
                  <c:v>0.19358594042632851</c:v>
                </c:pt>
                <c:pt idx="12">
                  <c:v>0.19358594042632851</c:v>
                </c:pt>
                <c:pt idx="13">
                  <c:v>0.19358594042632851</c:v>
                </c:pt>
                <c:pt idx="14">
                  <c:v>0.19358594042632851</c:v>
                </c:pt>
                <c:pt idx="15">
                  <c:v>0.19358594042632851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83-4BF4-99CE-07FCD512D39F}"/>
            </c:ext>
          </c:extLst>
        </c:ser>
        <c:ser>
          <c:idx val="2"/>
          <c:order val="2"/>
          <c:tx>
            <c:v>x1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'f2 числ.пр.'!$K$4:$K$104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'f2 числ.пр.'!$L$4:$L$104</c:f>
              <c:numCache>
                <c:formatCode>General</c:formatCode>
                <c:ptCount val="101"/>
                <c:pt idx="0">
                  <c:v>7.6300851466413997</c:v>
                </c:pt>
                <c:pt idx="1">
                  <c:v>7.2377356233775041</c:v>
                </c:pt>
                <c:pt idx="2">
                  <c:v>7.0564590533011406</c:v>
                </c:pt>
                <c:pt idx="3">
                  <c:v>6.9727041538806462</c:v>
                </c:pt>
                <c:pt idx="4">
                  <c:v>6.9340070228946473</c:v>
                </c:pt>
                <c:pt idx="5">
                  <c:v>6.9161278545485736</c:v>
                </c:pt>
                <c:pt idx="6">
                  <c:v>6.9078671733920585</c:v>
                </c:pt>
                <c:pt idx="7">
                  <c:v>6.9040505051976124</c:v>
                </c:pt>
                <c:pt idx="8">
                  <c:v>6.9022870966081147</c:v>
                </c:pt>
                <c:pt idx="9">
                  <c:v>6.9014723519944647</c:v>
                </c:pt>
                <c:pt idx="10">
                  <c:v>6.9010959169530208</c:v>
                </c:pt>
                <c:pt idx="11">
                  <c:v>6.900921993323391</c:v>
                </c:pt>
                <c:pt idx="12">
                  <c:v>6.9008416356902984</c:v>
                </c:pt>
                <c:pt idx="13">
                  <c:v>6.9008045081923841</c:v>
                </c:pt>
                <c:pt idx="14">
                  <c:v>6.9007873542388856</c:v>
                </c:pt>
                <c:pt idx="15">
                  <c:v>6.9007794286274882</c:v>
                </c:pt>
                <c:pt idx="16">
                  <c:v>6.9007757667709937</c:v>
                </c:pt>
                <c:pt idx="17">
                  <c:v>6.9007740748897852</c:v>
                </c:pt>
                <c:pt idx="18">
                  <c:v>6.9007732931928434</c:v>
                </c:pt>
                <c:pt idx="19">
                  <c:v>6.9007729320267606</c:v>
                </c:pt>
                <c:pt idx="20">
                  <c:v>6.9007727651578215</c:v>
                </c:pt>
                <c:pt idx="21">
                  <c:v>6.9007726880596545</c:v>
                </c:pt>
                <c:pt idx="22">
                  <c:v>6.9007726524381221</c:v>
                </c:pt>
                <c:pt idx="23">
                  <c:v>6.9007726359799673</c:v>
                </c:pt>
                <c:pt idx="24">
                  <c:v>6.9007726283758348</c:v>
                </c:pt>
                <c:pt idx="25">
                  <c:v>6.9007726248625101</c:v>
                </c:pt>
                <c:pt idx="26">
                  <c:v>6.9007726232392548</c:v>
                </c:pt>
                <c:pt idx="27">
                  <c:v>6.9007726224892654</c:v>
                </c:pt>
                <c:pt idx="28">
                  <c:v>6.9007726221427488</c:v>
                </c:pt>
                <c:pt idx="29">
                  <c:v>6.9007726219826484</c:v>
                </c:pt>
                <c:pt idx="30">
                  <c:v>6.9007726219086774</c:v>
                </c:pt>
                <c:pt idx="31">
                  <c:v>6.9007726218745011</c:v>
                </c:pt>
                <c:pt idx="32">
                  <c:v>6.9007726218587102</c:v>
                </c:pt>
                <c:pt idx="33">
                  <c:v>6.9007726218514147</c:v>
                </c:pt>
                <c:pt idx="34">
                  <c:v>6.9007726218480441</c:v>
                </c:pt>
                <c:pt idx="35">
                  <c:v>6.9007726218464862</c:v>
                </c:pt>
                <c:pt idx="36">
                  <c:v>6.9007726218457668</c:v>
                </c:pt>
                <c:pt idx="37">
                  <c:v>6.9007726218454346</c:v>
                </c:pt>
                <c:pt idx="38">
                  <c:v>6.900772621845281</c:v>
                </c:pt>
                <c:pt idx="39">
                  <c:v>6.9007726218452099</c:v>
                </c:pt>
                <c:pt idx="40">
                  <c:v>6.900772621845177</c:v>
                </c:pt>
                <c:pt idx="41">
                  <c:v>6.9007726218451619</c:v>
                </c:pt>
                <c:pt idx="42">
                  <c:v>6.9007726218451548</c:v>
                </c:pt>
                <c:pt idx="43">
                  <c:v>6.9007726218451522</c:v>
                </c:pt>
                <c:pt idx="44">
                  <c:v>6.9007726218451504</c:v>
                </c:pt>
                <c:pt idx="45">
                  <c:v>6.9007726218451495</c:v>
                </c:pt>
                <c:pt idx="46">
                  <c:v>6.9007726218451495</c:v>
                </c:pt>
                <c:pt idx="47">
                  <c:v>6.9007726218451495</c:v>
                </c:pt>
                <c:pt idx="48">
                  <c:v>6.9007726218451495</c:v>
                </c:pt>
                <c:pt idx="49">
                  <c:v>6.9007726218451495</c:v>
                </c:pt>
                <c:pt idx="50">
                  <c:v>6.9007726218451495</c:v>
                </c:pt>
                <c:pt idx="51">
                  <c:v>6.9007726218451495</c:v>
                </c:pt>
                <c:pt idx="52">
                  <c:v>6.9007726218451495</c:v>
                </c:pt>
                <c:pt idx="53">
                  <c:v>6.9007726218451495</c:v>
                </c:pt>
                <c:pt idx="54">
                  <c:v>6.9007726218451495</c:v>
                </c:pt>
                <c:pt idx="55">
                  <c:v>6.9007726218451495</c:v>
                </c:pt>
                <c:pt idx="56">
                  <c:v>6.9007726218451495</c:v>
                </c:pt>
                <c:pt idx="57">
                  <c:v>6.9007726218451495</c:v>
                </c:pt>
                <c:pt idx="58">
                  <c:v>6.9007726218451495</c:v>
                </c:pt>
                <c:pt idx="59">
                  <c:v>6.9007726218451495</c:v>
                </c:pt>
                <c:pt idx="60">
                  <c:v>6.9007726218451495</c:v>
                </c:pt>
                <c:pt idx="61">
                  <c:v>6.9007726218451495</c:v>
                </c:pt>
                <c:pt idx="62">
                  <c:v>6.9007726218451495</c:v>
                </c:pt>
                <c:pt idx="63">
                  <c:v>6.9007726218451495</c:v>
                </c:pt>
                <c:pt idx="64">
                  <c:v>6.9007726218451495</c:v>
                </c:pt>
                <c:pt idx="65">
                  <c:v>6.9007726218451495</c:v>
                </c:pt>
                <c:pt idx="66">
                  <c:v>6.9007726218451495</c:v>
                </c:pt>
                <c:pt idx="67">
                  <c:v>6.9007726218451495</c:v>
                </c:pt>
                <c:pt idx="68">
                  <c:v>6.9007726218451495</c:v>
                </c:pt>
                <c:pt idx="69">
                  <c:v>6.9007726218451495</c:v>
                </c:pt>
                <c:pt idx="70">
                  <c:v>6.9007726218451495</c:v>
                </c:pt>
                <c:pt idx="71">
                  <c:v>6.9007726218451495</c:v>
                </c:pt>
                <c:pt idx="72">
                  <c:v>6.9007726218451495</c:v>
                </c:pt>
                <c:pt idx="73">
                  <c:v>6.9007726218451495</c:v>
                </c:pt>
                <c:pt idx="74">
                  <c:v>6.9007726218451495</c:v>
                </c:pt>
                <c:pt idx="75">
                  <c:v>6.9007726218451495</c:v>
                </c:pt>
                <c:pt idx="76">
                  <c:v>6.9007726218451495</c:v>
                </c:pt>
                <c:pt idx="77">
                  <c:v>6.9007726218451495</c:v>
                </c:pt>
                <c:pt idx="78">
                  <c:v>6.9007726218451495</c:v>
                </c:pt>
                <c:pt idx="79">
                  <c:v>6.9007726218451495</c:v>
                </c:pt>
                <c:pt idx="80">
                  <c:v>6.9007726218451495</c:v>
                </c:pt>
                <c:pt idx="81">
                  <c:v>6.9007726218451495</c:v>
                </c:pt>
                <c:pt idx="82">
                  <c:v>6.9007726218451495</c:v>
                </c:pt>
                <c:pt idx="83">
                  <c:v>6.9007726218451495</c:v>
                </c:pt>
                <c:pt idx="84">
                  <c:v>6.9007726218451495</c:v>
                </c:pt>
                <c:pt idx="85">
                  <c:v>6.9007726218451495</c:v>
                </c:pt>
                <c:pt idx="86">
                  <c:v>6.9007726218451495</c:v>
                </c:pt>
                <c:pt idx="87">
                  <c:v>6.9007726218451495</c:v>
                </c:pt>
                <c:pt idx="88">
                  <c:v>6.9007726218451495</c:v>
                </c:pt>
                <c:pt idx="89">
                  <c:v>6.9007726218451495</c:v>
                </c:pt>
                <c:pt idx="90">
                  <c:v>6.9007726218451495</c:v>
                </c:pt>
                <c:pt idx="91">
                  <c:v>6.9007726218451495</c:v>
                </c:pt>
                <c:pt idx="92">
                  <c:v>6.9007726218451495</c:v>
                </c:pt>
                <c:pt idx="93">
                  <c:v>6.9007726218451495</c:v>
                </c:pt>
                <c:pt idx="94">
                  <c:v>6.9007726218451495</c:v>
                </c:pt>
                <c:pt idx="95">
                  <c:v>6.9007726218451495</c:v>
                </c:pt>
                <c:pt idx="96">
                  <c:v>6.9007726218451495</c:v>
                </c:pt>
                <c:pt idx="97">
                  <c:v>6.9007726218451495</c:v>
                </c:pt>
                <c:pt idx="98">
                  <c:v>6.9007726218451495</c:v>
                </c:pt>
                <c:pt idx="99">
                  <c:v>6.9007726218451495</c:v>
                </c:pt>
                <c:pt idx="100">
                  <c:v>6.9007726218451495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383-4BF4-99CE-07FCD512D39F}"/>
            </c:ext>
          </c:extLst>
        </c:ser>
        <c:ser>
          <c:idx val="3"/>
          <c:order val="3"/>
          <c:tx>
            <c:v>x2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'f2 числ.пр.'!$K$4:$K$104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'f2 числ.пр.'!$M$4:$M$104</c:f>
              <c:numCache>
                <c:formatCode>General</c:formatCode>
                <c:ptCount val="101"/>
                <c:pt idx="0">
                  <c:v>6.9177831354716002</c:v>
                </c:pt>
                <c:pt idx="1">
                  <c:v>7.0654138758004645</c:v>
                </c:pt>
                <c:pt idx="2">
                  <c:v>7.1820196683657356</c:v>
                </c:pt>
                <c:pt idx="3">
                  <c:v>7.2741204790064549</c:v>
                </c:pt>
                <c:pt idx="4">
                  <c:v>7.3468660873854601</c:v>
                </c:pt>
                <c:pt idx="5">
                  <c:v>7.4043240348412676</c:v>
                </c:pt>
                <c:pt idx="6">
                  <c:v>7.4497070593206844</c:v>
                </c:pt>
                <c:pt idx="7">
                  <c:v>7.4855527343247106</c:v>
                </c:pt>
                <c:pt idx="8">
                  <c:v>7.5138653563069022</c:v>
                </c:pt>
                <c:pt idx="9">
                  <c:v>7.5362280141008045</c:v>
                </c:pt>
                <c:pt idx="10">
                  <c:v>7.5538911066932792</c:v>
                </c:pt>
                <c:pt idx="11">
                  <c:v>7.5678422587792982</c:v>
                </c:pt>
                <c:pt idx="12">
                  <c:v>7.5788615433982418</c:v>
                </c:pt>
                <c:pt idx="13">
                  <c:v>7.5875650994031236</c:v>
                </c:pt>
                <c:pt idx="14">
                  <c:v>7.5944395826159345</c:v>
                </c:pt>
                <c:pt idx="15">
                  <c:v>7.5998693769915562</c:v>
                </c:pt>
                <c:pt idx="16">
                  <c:v>7.6041580872914949</c:v>
                </c:pt>
                <c:pt idx="17">
                  <c:v>7.6075455150216085</c:v>
                </c:pt>
                <c:pt idx="18">
                  <c:v>7.6102210668365471</c:v>
                </c:pt>
                <c:pt idx="19">
                  <c:v>7.6123343451364143</c:v>
                </c:pt>
                <c:pt idx="20">
                  <c:v>7.6140035130246071</c:v>
                </c:pt>
                <c:pt idx="21">
                  <c:v>7.6153219013500584</c:v>
                </c:pt>
                <c:pt idx="22">
                  <c:v>7.616363227263995</c:v>
                </c:pt>
                <c:pt idx="23">
                  <c:v>7.6171857160847027</c:v>
                </c:pt>
                <c:pt idx="24">
                  <c:v>7.6178353569427051</c:v>
                </c:pt>
                <c:pt idx="25">
                  <c:v>7.6183484742444358</c:v>
                </c:pt>
                <c:pt idx="26">
                  <c:v>7.618753758736772</c:v>
                </c:pt>
                <c:pt idx="27">
                  <c:v>7.6190738717385624</c:v>
                </c:pt>
                <c:pt idx="28">
                  <c:v>7.6193267122391317</c:v>
                </c:pt>
                <c:pt idx="29">
                  <c:v>7.6195264177130451</c:v>
                </c:pt>
                <c:pt idx="30">
                  <c:v>7.6196841546112912</c:v>
                </c:pt>
                <c:pt idx="31">
                  <c:v>7.6198087427288863</c:v>
                </c:pt>
                <c:pt idx="32">
                  <c:v>7.619907148360153</c:v>
                </c:pt>
                <c:pt idx="33">
                  <c:v>7.6199848738162554</c:v>
                </c:pt>
                <c:pt idx="34">
                  <c:v>7.6200462650847074</c:v>
                </c:pt>
                <c:pt idx="35">
                  <c:v>7.6200947548335121</c:v>
                </c:pt>
                <c:pt idx="36">
                  <c:v>7.6201330543474084</c:v>
                </c:pt>
                <c:pt idx="37">
                  <c:v>7.6201633051282602</c:v>
                </c:pt>
                <c:pt idx="38">
                  <c:v>7.6201871986362733</c:v>
                </c:pt>
                <c:pt idx="39">
                  <c:v>7.6202060708673054</c:v>
                </c:pt>
                <c:pt idx="40">
                  <c:v>7.6202209770545402</c:v>
                </c:pt>
                <c:pt idx="41">
                  <c:v>7.6202327506714225</c:v>
                </c:pt>
                <c:pt idx="42">
                  <c:v>7.6202420500349888</c:v>
                </c:pt>
                <c:pt idx="43">
                  <c:v>7.6202493951154011</c:v>
                </c:pt>
                <c:pt idx="44">
                  <c:v>7.6202551966098664</c:v>
                </c:pt>
                <c:pt idx="45">
                  <c:v>7.6202597789066067</c:v>
                </c:pt>
                <c:pt idx="46">
                  <c:v>7.6202633982228951</c:v>
                </c:pt>
                <c:pt idx="47">
                  <c:v>7.620266256931342</c:v>
                </c:pt>
                <c:pt idx="48">
                  <c:v>7.6202685148754767</c:v>
                </c:pt>
                <c:pt idx="49">
                  <c:v>7.6202702983073332</c:v>
                </c:pt>
                <c:pt idx="50">
                  <c:v>7.6202717069467854</c:v>
                </c:pt>
                <c:pt idx="51">
                  <c:v>7.6202728195573393</c:v>
                </c:pt>
                <c:pt idx="52">
                  <c:v>7.6202736983501644</c:v>
                </c:pt>
                <c:pt idx="53">
                  <c:v>7.6202743924626084</c:v>
                </c:pt>
                <c:pt idx="54">
                  <c:v>7.6202749407056869</c:v>
                </c:pt>
                <c:pt idx="55">
                  <c:v>7.6202753737341915</c:v>
                </c:pt>
                <c:pt idx="56">
                  <c:v>7.6202757157607364</c:v>
                </c:pt>
                <c:pt idx="57">
                  <c:v>7.620275985909597</c:v>
                </c:pt>
                <c:pt idx="58">
                  <c:v>7.6202761992860388</c:v>
                </c:pt>
                <c:pt idx="59">
                  <c:v>7.6202763678209182</c:v>
                </c:pt>
                <c:pt idx="60">
                  <c:v>7.6202765009377957</c:v>
                </c:pt>
                <c:pt idx="61">
                  <c:v>7.6202766060798481</c:v>
                </c:pt>
                <c:pt idx="62">
                  <c:v>7.6202766891260509</c:v>
                </c:pt>
                <c:pt idx="63">
                  <c:v>7.6202767547198986</c:v>
                </c:pt>
                <c:pt idx="64">
                  <c:v>7.6202768065290449</c:v>
                </c:pt>
                <c:pt idx="65">
                  <c:v>7.620276847450377</c:v>
                </c:pt>
                <c:pt idx="66">
                  <c:v>7.6202768797719944</c:v>
                </c:pt>
                <c:pt idx="67">
                  <c:v>7.6202769053011483</c:v>
                </c:pt>
                <c:pt idx="68">
                  <c:v>7.6202769254652898</c:v>
                </c:pt>
                <c:pt idx="69">
                  <c:v>7.6202769413918894</c:v>
                </c:pt>
                <c:pt idx="70">
                  <c:v>7.6202769539714765</c:v>
                </c:pt>
                <c:pt idx="71">
                  <c:v>7.6202769639074344</c:v>
                </c:pt>
                <c:pt idx="72">
                  <c:v>7.6202769717553274</c:v>
                </c:pt>
                <c:pt idx="73">
                  <c:v>7.6202769779539672</c:v>
                </c:pt>
                <c:pt idx="74">
                  <c:v>7.6202769828499477</c:v>
                </c:pt>
                <c:pt idx="75">
                  <c:v>7.6202769867170268</c:v>
                </c:pt>
                <c:pt idx="76">
                  <c:v>7.6202769897714298</c:v>
                </c:pt>
                <c:pt idx="77">
                  <c:v>7.6202769921839426</c:v>
                </c:pt>
                <c:pt idx="78">
                  <c:v>7.6202769940894601</c:v>
                </c:pt>
                <c:pt idx="79">
                  <c:v>7.6202769955945291</c:v>
                </c:pt>
                <c:pt idx="80">
                  <c:v>7.6202769967833044</c:v>
                </c:pt>
                <c:pt idx="81">
                  <c:v>7.6202769977222555</c:v>
                </c:pt>
                <c:pt idx="82">
                  <c:v>7.6202769984638836</c:v>
                </c:pt>
                <c:pt idx="83">
                  <c:v>7.6202769990496568</c:v>
                </c:pt>
                <c:pt idx="84">
                  <c:v>7.6202769995123285</c:v>
                </c:pt>
                <c:pt idx="85">
                  <c:v>7.6202769998777686</c:v>
                </c:pt>
                <c:pt idx="86">
                  <c:v>7.6202770001664106</c:v>
                </c:pt>
                <c:pt idx="87">
                  <c:v>7.6202770003943936</c:v>
                </c:pt>
                <c:pt idx="88">
                  <c:v>7.6202770005744656</c:v>
                </c:pt>
                <c:pt idx="89">
                  <c:v>7.6202770007166949</c:v>
                </c:pt>
                <c:pt idx="90">
                  <c:v>7.6202770008290344</c:v>
                </c:pt>
                <c:pt idx="91">
                  <c:v>7.6202770009177661</c:v>
                </c:pt>
                <c:pt idx="92">
                  <c:v>7.6202770009878504</c:v>
                </c:pt>
                <c:pt idx="93">
                  <c:v>7.6202770010432062</c:v>
                </c:pt>
                <c:pt idx="94">
                  <c:v>7.6202770010869285</c:v>
                </c:pt>
                <c:pt idx="95">
                  <c:v>7.6202770011214627</c:v>
                </c:pt>
                <c:pt idx="96">
                  <c:v>7.6202770011487395</c:v>
                </c:pt>
                <c:pt idx="97">
                  <c:v>7.6202770011702841</c:v>
                </c:pt>
                <c:pt idx="98">
                  <c:v>7.6202770011873007</c:v>
                </c:pt>
                <c:pt idx="99">
                  <c:v>7.6202770012007415</c:v>
                </c:pt>
                <c:pt idx="100">
                  <c:v>7.6202770012113579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383-4BF4-99CE-07FCD512D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334047"/>
        <c:axId val="1963328767"/>
      </c:scatterChart>
      <c:valAx>
        <c:axId val="196333404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3328767"/>
        <c:crosses val="autoZero"/>
        <c:crossBetween val="midCat"/>
      </c:valAx>
      <c:valAx>
        <c:axId val="196332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3334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'f2 числ.пр.'!$W$9:$W$17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xVal>
          <c:yVal>
            <c:numRef>
              <c:f>'f2 числ.пр.'!$X$9:$X$17</c:f>
              <c:numCache>
                <c:formatCode>General</c:formatCode>
                <c:ptCount val="9"/>
                <c:pt idx="0">
                  <c:v>10.224311164948551</c:v>
                </c:pt>
                <c:pt idx="1">
                  <c:v>11.064945734077789</c:v>
                </c:pt>
                <c:pt idx="2">
                  <c:v>11.154612905201873</c:v>
                </c:pt>
                <c:pt idx="3">
                  <c:v>10.984834614699896</c:v>
                </c:pt>
                <c:pt idx="4">
                  <c:v>10.633421668509813</c:v>
                </c:pt>
                <c:pt idx="5">
                  <c:v>10.119114893421074</c:v>
                </c:pt>
                <c:pt idx="6">
                  <c:v>9.4281624429256521</c:v>
                </c:pt>
                <c:pt idx="7">
                  <c:v>8.4957985749451659</c:v>
                </c:pt>
                <c:pt idx="8">
                  <c:v>6.9987428333333321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B7-457C-9D91-7887D0629E8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'f2 числ.пр.'!$W$9:$W$17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xVal>
          <c:yVal>
            <c:numRef>
              <c:f>'f2 числ.пр.'!$Y$9:$Y$17</c:f>
              <c:numCache>
                <c:formatCode>General</c:formatCode>
                <c:ptCount val="9"/>
                <c:pt idx="0">
                  <c:v>9.0238952204301111</c:v>
                </c:pt>
                <c:pt idx="1">
                  <c:v>7.294130767015365</c:v>
                </c:pt>
                <c:pt idx="2">
                  <c:v>6.3153337116057715</c:v>
                </c:pt>
                <c:pt idx="3">
                  <c:v>5.5959821178222384</c:v>
                </c:pt>
                <c:pt idx="4">
                  <c:v>5.0582651797268099</c:v>
                </c:pt>
                <c:pt idx="5">
                  <c:v>4.6834420705300399</c:v>
                </c:pt>
                <c:pt idx="6">
                  <c:v>4.4852646367399513</c:v>
                </c:pt>
                <c:pt idx="7">
                  <c:v>4.5284986204349291</c:v>
                </c:pt>
                <c:pt idx="8">
                  <c:v>5.1364244777612518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B7-457C-9D91-7887D0629E8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'f2 числ.пр.'!$W$10:$W$16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'f2 числ.пр.'!$Z$10:$Z$16</c:f>
              <c:numCache>
                <c:formatCode>General</c:formatCode>
                <c:ptCount val="7"/>
                <c:pt idx="0">
                  <c:v>10.16841865741935</c:v>
                </c:pt>
                <c:pt idx="1">
                  <c:v>10.545437022078966</c:v>
                </c:pt>
                <c:pt idx="2">
                  <c:v>10.454445308740908</c:v>
                </c:pt>
                <c:pt idx="3">
                  <c:v>10.124815900640609</c:v>
                </c:pt>
                <c:pt idx="4">
                  <c:v>9.5943944933895473</c:v>
                </c:pt>
                <c:pt idx="5">
                  <c:v>8.8358576962881337</c:v>
                </c:pt>
                <c:pt idx="6">
                  <c:v>7.6774770116599456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B7-457C-9D91-7887D0629E8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'f2 числ.пр.'!$W$10:$W$16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'f2 числ.пр.'!$AA$10:$AA$16</c:f>
              <c:numCache>
                <c:formatCode>General</c:formatCode>
                <c:ptCount val="7"/>
                <c:pt idx="0">
                  <c:v>8.1906578436738027</c:v>
                </c:pt>
                <c:pt idx="1">
                  <c:v>6.9245095947286766</c:v>
                </c:pt>
                <c:pt idx="2">
                  <c:v>6.1263714237812241</c:v>
                </c:pt>
                <c:pt idx="3">
                  <c:v>5.5668709475960139</c:v>
                </c:pt>
                <c:pt idx="4">
                  <c:v>5.2081624705615654</c:v>
                </c:pt>
                <c:pt idx="5">
                  <c:v>5.0775693833774689</c:v>
                </c:pt>
                <c:pt idx="6">
                  <c:v>5.3468201837201486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AB7-457C-9D91-7887D0629E89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'f2 числ.пр.'!$W$11:$W$15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</c:numCache>
            </c:numRef>
          </c:xVal>
          <c:yVal>
            <c:numRef>
              <c:f>'f2 числ.пр.'!$AB$11:$AB$15</c:f>
              <c:numCache>
                <c:formatCode>General</c:formatCode>
                <c:ptCount val="5"/>
                <c:pt idx="0">
                  <c:v>9.5721721728773499</c:v>
                </c:pt>
                <c:pt idx="1">
                  <c:v>9.7416764216384557</c:v>
                </c:pt>
                <c:pt idx="2">
                  <c:v>9.4635079841824616</c:v>
                </c:pt>
                <c:pt idx="3">
                  <c:v>8.8955612261915853</c:v>
                </c:pt>
                <c:pt idx="4">
                  <c:v>7.9335993268527538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AB7-457C-9D91-7887D0629E89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'f2 числ.пр.'!$W$11:$W$15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</c:numCache>
            </c:numRef>
          </c:xVal>
          <c:yVal>
            <c:numRef>
              <c:f>'f2 числ.пр.'!$AC$11:$AC$15</c:f>
              <c:numCache>
                <c:formatCode>General</c:formatCode>
                <c:ptCount val="5"/>
                <c:pt idx="0">
                  <c:v>7.8977744439302935</c:v>
                </c:pt>
                <c:pt idx="1">
                  <c:v>6.8391403108836766</c:v>
                </c:pt>
                <c:pt idx="2">
                  <c:v>6.2281788640541613</c:v>
                </c:pt>
                <c:pt idx="3">
                  <c:v>5.9069957377595292</c:v>
                </c:pt>
                <c:pt idx="4">
                  <c:v>5.9798277528128496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AB7-457C-9D91-7887D0629E89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'f2 числ.пр.'!$M$4:$M$104</c:f>
              <c:numCache>
                <c:formatCode>General</c:formatCode>
                <c:ptCount val="101"/>
                <c:pt idx="0">
                  <c:v>6.9177831354716002</c:v>
                </c:pt>
                <c:pt idx="1">
                  <c:v>7.0654138758004645</c:v>
                </c:pt>
                <c:pt idx="2">
                  <c:v>7.1820196683657356</c:v>
                </c:pt>
                <c:pt idx="3">
                  <c:v>7.2741204790064549</c:v>
                </c:pt>
                <c:pt idx="4">
                  <c:v>7.3468660873854601</c:v>
                </c:pt>
                <c:pt idx="5">
                  <c:v>7.4043240348412676</c:v>
                </c:pt>
                <c:pt idx="6">
                  <c:v>7.4497070593206844</c:v>
                </c:pt>
                <c:pt idx="7">
                  <c:v>7.4855527343247106</c:v>
                </c:pt>
                <c:pt idx="8">
                  <c:v>7.5138653563069022</c:v>
                </c:pt>
                <c:pt idx="9">
                  <c:v>7.5362280141008045</c:v>
                </c:pt>
                <c:pt idx="10">
                  <c:v>7.5538911066932792</c:v>
                </c:pt>
                <c:pt idx="11">
                  <c:v>7.5678422587792982</c:v>
                </c:pt>
                <c:pt idx="12">
                  <c:v>7.5788615433982418</c:v>
                </c:pt>
                <c:pt idx="13">
                  <c:v>7.5875650994031236</c:v>
                </c:pt>
                <c:pt idx="14">
                  <c:v>7.5944395826159345</c:v>
                </c:pt>
                <c:pt idx="15">
                  <c:v>7.5998693769915562</c:v>
                </c:pt>
                <c:pt idx="16">
                  <c:v>7.6041580872914949</c:v>
                </c:pt>
                <c:pt idx="17">
                  <c:v>7.6075455150216085</c:v>
                </c:pt>
                <c:pt idx="18">
                  <c:v>7.6102210668365471</c:v>
                </c:pt>
                <c:pt idx="19">
                  <c:v>7.6123343451364143</c:v>
                </c:pt>
                <c:pt idx="20">
                  <c:v>7.6140035130246071</c:v>
                </c:pt>
                <c:pt idx="21">
                  <c:v>7.6153219013500584</c:v>
                </c:pt>
                <c:pt idx="22">
                  <c:v>7.616363227263995</c:v>
                </c:pt>
                <c:pt idx="23">
                  <c:v>7.6171857160847027</c:v>
                </c:pt>
                <c:pt idx="24">
                  <c:v>7.6178353569427051</c:v>
                </c:pt>
                <c:pt idx="25">
                  <c:v>7.6183484742444358</c:v>
                </c:pt>
                <c:pt idx="26">
                  <c:v>7.618753758736772</c:v>
                </c:pt>
                <c:pt idx="27">
                  <c:v>7.6190738717385624</c:v>
                </c:pt>
                <c:pt idx="28">
                  <c:v>7.6193267122391317</c:v>
                </c:pt>
                <c:pt idx="29">
                  <c:v>7.6195264177130451</c:v>
                </c:pt>
                <c:pt idx="30">
                  <c:v>7.6196841546112912</c:v>
                </c:pt>
                <c:pt idx="31">
                  <c:v>7.6198087427288863</c:v>
                </c:pt>
                <c:pt idx="32">
                  <c:v>7.619907148360153</c:v>
                </c:pt>
                <c:pt idx="33">
                  <c:v>7.6199848738162554</c:v>
                </c:pt>
                <c:pt idx="34">
                  <c:v>7.6200462650847074</c:v>
                </c:pt>
                <c:pt idx="35">
                  <c:v>7.6200947548335121</c:v>
                </c:pt>
                <c:pt idx="36">
                  <c:v>7.6201330543474084</c:v>
                </c:pt>
                <c:pt idx="37">
                  <c:v>7.6201633051282602</c:v>
                </c:pt>
                <c:pt idx="38">
                  <c:v>7.6201871986362733</c:v>
                </c:pt>
                <c:pt idx="39">
                  <c:v>7.6202060708673054</c:v>
                </c:pt>
                <c:pt idx="40">
                  <c:v>7.6202209770545402</c:v>
                </c:pt>
                <c:pt idx="41">
                  <c:v>7.6202327506714225</c:v>
                </c:pt>
                <c:pt idx="42">
                  <c:v>7.6202420500349888</c:v>
                </c:pt>
                <c:pt idx="43">
                  <c:v>7.6202493951154011</c:v>
                </c:pt>
                <c:pt idx="44">
                  <c:v>7.6202551966098664</c:v>
                </c:pt>
                <c:pt idx="45">
                  <c:v>7.6202597789066067</c:v>
                </c:pt>
                <c:pt idx="46">
                  <c:v>7.6202633982228951</c:v>
                </c:pt>
                <c:pt idx="47">
                  <c:v>7.620266256931342</c:v>
                </c:pt>
                <c:pt idx="48">
                  <c:v>7.6202685148754767</c:v>
                </c:pt>
                <c:pt idx="49">
                  <c:v>7.6202702983073332</c:v>
                </c:pt>
                <c:pt idx="50">
                  <c:v>7.6202717069467854</c:v>
                </c:pt>
                <c:pt idx="51">
                  <c:v>7.6202728195573393</c:v>
                </c:pt>
                <c:pt idx="52">
                  <c:v>7.6202736983501644</c:v>
                </c:pt>
                <c:pt idx="53">
                  <c:v>7.6202743924626084</c:v>
                </c:pt>
                <c:pt idx="54">
                  <c:v>7.6202749407056869</c:v>
                </c:pt>
                <c:pt idx="55">
                  <c:v>7.6202753737341915</c:v>
                </c:pt>
                <c:pt idx="56">
                  <c:v>7.6202757157607364</c:v>
                </c:pt>
                <c:pt idx="57">
                  <c:v>7.620275985909597</c:v>
                </c:pt>
                <c:pt idx="58">
                  <c:v>7.6202761992860388</c:v>
                </c:pt>
                <c:pt idx="59">
                  <c:v>7.6202763678209182</c:v>
                </c:pt>
                <c:pt idx="60">
                  <c:v>7.6202765009377957</c:v>
                </c:pt>
                <c:pt idx="61">
                  <c:v>7.6202766060798481</c:v>
                </c:pt>
                <c:pt idx="62">
                  <c:v>7.6202766891260509</c:v>
                </c:pt>
                <c:pt idx="63">
                  <c:v>7.6202767547198986</c:v>
                </c:pt>
                <c:pt idx="64">
                  <c:v>7.6202768065290449</c:v>
                </c:pt>
                <c:pt idx="65">
                  <c:v>7.620276847450377</c:v>
                </c:pt>
                <c:pt idx="66">
                  <c:v>7.6202768797719944</c:v>
                </c:pt>
                <c:pt idx="67">
                  <c:v>7.6202769053011483</c:v>
                </c:pt>
                <c:pt idx="68">
                  <c:v>7.6202769254652898</c:v>
                </c:pt>
                <c:pt idx="69">
                  <c:v>7.6202769413918894</c:v>
                </c:pt>
                <c:pt idx="70">
                  <c:v>7.6202769539714765</c:v>
                </c:pt>
                <c:pt idx="71">
                  <c:v>7.6202769639074344</c:v>
                </c:pt>
                <c:pt idx="72">
                  <c:v>7.6202769717553274</c:v>
                </c:pt>
                <c:pt idx="73">
                  <c:v>7.6202769779539672</c:v>
                </c:pt>
                <c:pt idx="74">
                  <c:v>7.6202769828499477</c:v>
                </c:pt>
                <c:pt idx="75">
                  <c:v>7.6202769867170268</c:v>
                </c:pt>
                <c:pt idx="76">
                  <c:v>7.6202769897714298</c:v>
                </c:pt>
                <c:pt idx="77">
                  <c:v>7.6202769921839426</c:v>
                </c:pt>
                <c:pt idx="78">
                  <c:v>7.6202769940894601</c:v>
                </c:pt>
                <c:pt idx="79">
                  <c:v>7.6202769955945291</c:v>
                </c:pt>
                <c:pt idx="80">
                  <c:v>7.6202769967833044</c:v>
                </c:pt>
                <c:pt idx="81">
                  <c:v>7.6202769977222555</c:v>
                </c:pt>
                <c:pt idx="82">
                  <c:v>7.6202769984638836</c:v>
                </c:pt>
                <c:pt idx="83">
                  <c:v>7.6202769990496568</c:v>
                </c:pt>
                <c:pt idx="84">
                  <c:v>7.6202769995123285</c:v>
                </c:pt>
                <c:pt idx="85">
                  <c:v>7.6202769998777686</c:v>
                </c:pt>
                <c:pt idx="86">
                  <c:v>7.6202770001664106</c:v>
                </c:pt>
                <c:pt idx="87">
                  <c:v>7.6202770003943936</c:v>
                </c:pt>
                <c:pt idx="88">
                  <c:v>7.6202770005744656</c:v>
                </c:pt>
                <c:pt idx="89">
                  <c:v>7.6202770007166949</c:v>
                </c:pt>
                <c:pt idx="90">
                  <c:v>7.6202770008290344</c:v>
                </c:pt>
                <c:pt idx="91">
                  <c:v>7.6202770009177661</c:v>
                </c:pt>
                <c:pt idx="92">
                  <c:v>7.6202770009878504</c:v>
                </c:pt>
                <c:pt idx="93">
                  <c:v>7.6202770010432062</c:v>
                </c:pt>
                <c:pt idx="94">
                  <c:v>7.6202770010869285</c:v>
                </c:pt>
                <c:pt idx="95">
                  <c:v>7.6202770011214627</c:v>
                </c:pt>
                <c:pt idx="96">
                  <c:v>7.6202770011487395</c:v>
                </c:pt>
                <c:pt idx="97">
                  <c:v>7.6202770011702841</c:v>
                </c:pt>
                <c:pt idx="98">
                  <c:v>7.6202770011873007</c:v>
                </c:pt>
                <c:pt idx="99">
                  <c:v>7.6202770012007415</c:v>
                </c:pt>
                <c:pt idx="100">
                  <c:v>7.6202770012113579</c:v>
                </c:pt>
              </c:numCache>
            </c:numRef>
          </c:xVal>
          <c:yVal>
            <c:numRef>
              <c:f>'f2 числ.пр.'!$L$4:$L$104</c:f>
              <c:numCache>
                <c:formatCode>General</c:formatCode>
                <c:ptCount val="101"/>
                <c:pt idx="0">
                  <c:v>7.6300851466413997</c:v>
                </c:pt>
                <c:pt idx="1">
                  <c:v>7.2377356233775041</c:v>
                </c:pt>
                <c:pt idx="2">
                  <c:v>7.0564590533011406</c:v>
                </c:pt>
                <c:pt idx="3">
                  <c:v>6.9727041538806462</c:v>
                </c:pt>
                <c:pt idx="4">
                  <c:v>6.9340070228946473</c:v>
                </c:pt>
                <c:pt idx="5">
                  <c:v>6.9161278545485736</c:v>
                </c:pt>
                <c:pt idx="6">
                  <c:v>6.9078671733920585</c:v>
                </c:pt>
                <c:pt idx="7">
                  <c:v>6.9040505051976124</c:v>
                </c:pt>
                <c:pt idx="8">
                  <c:v>6.9022870966081147</c:v>
                </c:pt>
                <c:pt idx="9">
                  <c:v>6.9014723519944647</c:v>
                </c:pt>
                <c:pt idx="10">
                  <c:v>6.9010959169530208</c:v>
                </c:pt>
                <c:pt idx="11">
                  <c:v>6.900921993323391</c:v>
                </c:pt>
                <c:pt idx="12">
                  <c:v>6.9008416356902984</c:v>
                </c:pt>
                <c:pt idx="13">
                  <c:v>6.9008045081923841</c:v>
                </c:pt>
                <c:pt idx="14">
                  <c:v>6.9007873542388856</c:v>
                </c:pt>
                <c:pt idx="15">
                  <c:v>6.9007794286274882</c:v>
                </c:pt>
                <c:pt idx="16">
                  <c:v>6.9007757667709937</c:v>
                </c:pt>
                <c:pt idx="17">
                  <c:v>6.9007740748897852</c:v>
                </c:pt>
                <c:pt idx="18">
                  <c:v>6.9007732931928434</c:v>
                </c:pt>
                <c:pt idx="19">
                  <c:v>6.9007729320267606</c:v>
                </c:pt>
                <c:pt idx="20">
                  <c:v>6.9007727651578215</c:v>
                </c:pt>
                <c:pt idx="21">
                  <c:v>6.9007726880596545</c:v>
                </c:pt>
                <c:pt idx="22">
                  <c:v>6.9007726524381221</c:v>
                </c:pt>
                <c:pt idx="23">
                  <c:v>6.9007726359799673</c:v>
                </c:pt>
                <c:pt idx="24">
                  <c:v>6.9007726283758348</c:v>
                </c:pt>
                <c:pt idx="25">
                  <c:v>6.9007726248625101</c:v>
                </c:pt>
                <c:pt idx="26">
                  <c:v>6.9007726232392548</c:v>
                </c:pt>
                <c:pt idx="27">
                  <c:v>6.9007726224892654</c:v>
                </c:pt>
                <c:pt idx="28">
                  <c:v>6.9007726221427488</c:v>
                </c:pt>
                <c:pt idx="29">
                  <c:v>6.9007726219826484</c:v>
                </c:pt>
                <c:pt idx="30">
                  <c:v>6.9007726219086774</c:v>
                </c:pt>
                <c:pt idx="31">
                  <c:v>6.9007726218745011</c:v>
                </c:pt>
                <c:pt idx="32">
                  <c:v>6.9007726218587102</c:v>
                </c:pt>
                <c:pt idx="33">
                  <c:v>6.9007726218514147</c:v>
                </c:pt>
                <c:pt idx="34">
                  <c:v>6.9007726218480441</c:v>
                </c:pt>
                <c:pt idx="35">
                  <c:v>6.9007726218464862</c:v>
                </c:pt>
                <c:pt idx="36">
                  <c:v>6.9007726218457668</c:v>
                </c:pt>
                <c:pt idx="37">
                  <c:v>6.9007726218454346</c:v>
                </c:pt>
                <c:pt idx="38">
                  <c:v>6.900772621845281</c:v>
                </c:pt>
                <c:pt idx="39">
                  <c:v>6.9007726218452099</c:v>
                </c:pt>
                <c:pt idx="40">
                  <c:v>6.900772621845177</c:v>
                </c:pt>
                <c:pt idx="41">
                  <c:v>6.9007726218451619</c:v>
                </c:pt>
                <c:pt idx="42">
                  <c:v>6.9007726218451548</c:v>
                </c:pt>
                <c:pt idx="43">
                  <c:v>6.9007726218451522</c:v>
                </c:pt>
                <c:pt idx="44">
                  <c:v>6.9007726218451504</c:v>
                </c:pt>
                <c:pt idx="45">
                  <c:v>6.9007726218451495</c:v>
                </c:pt>
                <c:pt idx="46">
                  <c:v>6.9007726218451495</c:v>
                </c:pt>
                <c:pt idx="47">
                  <c:v>6.9007726218451495</c:v>
                </c:pt>
                <c:pt idx="48">
                  <c:v>6.9007726218451495</c:v>
                </c:pt>
                <c:pt idx="49">
                  <c:v>6.9007726218451495</c:v>
                </c:pt>
                <c:pt idx="50">
                  <c:v>6.9007726218451495</c:v>
                </c:pt>
                <c:pt idx="51">
                  <c:v>6.9007726218451495</c:v>
                </c:pt>
                <c:pt idx="52">
                  <c:v>6.9007726218451495</c:v>
                </c:pt>
                <c:pt idx="53">
                  <c:v>6.9007726218451495</c:v>
                </c:pt>
                <c:pt idx="54">
                  <c:v>6.9007726218451495</c:v>
                </c:pt>
                <c:pt idx="55">
                  <c:v>6.9007726218451495</c:v>
                </c:pt>
                <c:pt idx="56">
                  <c:v>6.9007726218451495</c:v>
                </c:pt>
                <c:pt idx="57">
                  <c:v>6.9007726218451495</c:v>
                </c:pt>
                <c:pt idx="58">
                  <c:v>6.9007726218451495</c:v>
                </c:pt>
                <c:pt idx="59">
                  <c:v>6.9007726218451495</c:v>
                </c:pt>
                <c:pt idx="60">
                  <c:v>6.9007726218451495</c:v>
                </c:pt>
                <c:pt idx="61">
                  <c:v>6.9007726218451495</c:v>
                </c:pt>
                <c:pt idx="62">
                  <c:v>6.9007726218451495</c:v>
                </c:pt>
                <c:pt idx="63">
                  <c:v>6.9007726218451495</c:v>
                </c:pt>
                <c:pt idx="64">
                  <c:v>6.9007726218451495</c:v>
                </c:pt>
                <c:pt idx="65">
                  <c:v>6.9007726218451495</c:v>
                </c:pt>
                <c:pt idx="66">
                  <c:v>6.9007726218451495</c:v>
                </c:pt>
                <c:pt idx="67">
                  <c:v>6.9007726218451495</c:v>
                </c:pt>
                <c:pt idx="68">
                  <c:v>6.9007726218451495</c:v>
                </c:pt>
                <c:pt idx="69">
                  <c:v>6.9007726218451495</c:v>
                </c:pt>
                <c:pt idx="70">
                  <c:v>6.9007726218451495</c:v>
                </c:pt>
                <c:pt idx="71">
                  <c:v>6.9007726218451495</c:v>
                </c:pt>
                <c:pt idx="72">
                  <c:v>6.9007726218451495</c:v>
                </c:pt>
                <c:pt idx="73">
                  <c:v>6.9007726218451495</c:v>
                </c:pt>
                <c:pt idx="74">
                  <c:v>6.9007726218451495</c:v>
                </c:pt>
                <c:pt idx="75">
                  <c:v>6.9007726218451495</c:v>
                </c:pt>
                <c:pt idx="76">
                  <c:v>6.9007726218451495</c:v>
                </c:pt>
                <c:pt idx="77">
                  <c:v>6.9007726218451495</c:v>
                </c:pt>
                <c:pt idx="78">
                  <c:v>6.9007726218451495</c:v>
                </c:pt>
                <c:pt idx="79">
                  <c:v>6.9007726218451495</c:v>
                </c:pt>
                <c:pt idx="80">
                  <c:v>6.9007726218451495</c:v>
                </c:pt>
                <c:pt idx="81">
                  <c:v>6.9007726218451495</c:v>
                </c:pt>
                <c:pt idx="82">
                  <c:v>6.9007726218451495</c:v>
                </c:pt>
                <c:pt idx="83">
                  <c:v>6.9007726218451495</c:v>
                </c:pt>
                <c:pt idx="84">
                  <c:v>6.9007726218451495</c:v>
                </c:pt>
                <c:pt idx="85">
                  <c:v>6.9007726218451495</c:v>
                </c:pt>
                <c:pt idx="86">
                  <c:v>6.9007726218451495</c:v>
                </c:pt>
                <c:pt idx="87">
                  <c:v>6.9007726218451495</c:v>
                </c:pt>
                <c:pt idx="88">
                  <c:v>6.9007726218451495</c:v>
                </c:pt>
                <c:pt idx="89">
                  <c:v>6.9007726218451495</c:v>
                </c:pt>
                <c:pt idx="90">
                  <c:v>6.9007726218451495</c:v>
                </c:pt>
                <c:pt idx="91">
                  <c:v>6.9007726218451495</c:v>
                </c:pt>
                <c:pt idx="92">
                  <c:v>6.9007726218451495</c:v>
                </c:pt>
                <c:pt idx="93">
                  <c:v>6.9007726218451495</c:v>
                </c:pt>
                <c:pt idx="94">
                  <c:v>6.9007726218451495</c:v>
                </c:pt>
                <c:pt idx="95">
                  <c:v>6.9007726218451495</c:v>
                </c:pt>
                <c:pt idx="96">
                  <c:v>6.9007726218451495</c:v>
                </c:pt>
                <c:pt idx="97">
                  <c:v>6.9007726218451495</c:v>
                </c:pt>
                <c:pt idx="98">
                  <c:v>6.9007726218451495</c:v>
                </c:pt>
                <c:pt idx="99">
                  <c:v>6.9007726218451495</c:v>
                </c:pt>
                <c:pt idx="100">
                  <c:v>6.9007726218451495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65-4042-B27B-0C3A9D299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330431"/>
        <c:axId val="1951330911"/>
      </c:scatterChart>
      <c:valAx>
        <c:axId val="1951330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1330911"/>
        <c:crosses val="autoZero"/>
        <c:crossBetween val="midCat"/>
      </c:valAx>
      <c:valAx>
        <c:axId val="195133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1330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425162092617936E-2"/>
          <c:y val="7.4870599339267208E-2"/>
          <c:w val="0.74863034181002353"/>
          <c:h val="0.8597201479421530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'f1 с дробл.шг'!$K$4:$K$104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'f1 с дробл.шг'!$R$5:$R$104</c:f>
              <c:numCache>
                <c:formatCode>General</c:formatCode>
                <c:ptCount val="100"/>
                <c:pt idx="0">
                  <c:v>4.8889327907807978</c:v>
                </c:pt>
                <c:pt idx="1">
                  <c:v>0.37326538922949748</c:v>
                </c:pt>
                <c:pt idx="2">
                  <c:v>0.30481917310267548</c:v>
                </c:pt>
                <c:pt idx="3">
                  <c:v>0.24238137814578165</c:v>
                </c:pt>
                <c:pt idx="4">
                  <c:v>0.18716036502384431</c:v>
                </c:pt>
                <c:pt idx="5">
                  <c:v>0.13958012226310484</c:v>
                </c:pt>
                <c:pt idx="6">
                  <c:v>9.826163432200552E-2</c:v>
                </c:pt>
                <c:pt idx="7">
                  <c:v>6.0093919241225688E-2</c:v>
                </c:pt>
                <c:pt idx="8">
                  <c:v>2.2409603540347572E-2</c:v>
                </c:pt>
                <c:pt idx="9">
                  <c:v>1.8700455276794363E-2</c:v>
                </c:pt>
                <c:pt idx="10">
                  <c:v>1.154415885671937E-2</c:v>
                </c:pt>
                <c:pt idx="11">
                  <c:v>1.0616785995848062E-2</c:v>
                </c:pt>
                <c:pt idx="12">
                  <c:v>1.0605709737228386E-2</c:v>
                </c:pt>
                <c:pt idx="13">
                  <c:v>1.0605629458544907E-2</c:v>
                </c:pt>
                <c:pt idx="14">
                  <c:v>1.0605629434493818E-2</c:v>
                </c:pt>
                <c:pt idx="15">
                  <c:v>1.060562943447655E-2</c:v>
                </c:pt>
                <c:pt idx="16">
                  <c:v>1.0605629434476554E-2</c:v>
                </c:pt>
                <c:pt idx="17">
                  <c:v>1.0605629434476554E-2</c:v>
                </c:pt>
                <c:pt idx="18">
                  <c:v>1.0605629434476554E-2</c:v>
                </c:pt>
                <c:pt idx="19">
                  <c:v>1.0605629434476554E-2</c:v>
                </c:pt>
                <c:pt idx="20">
                  <c:v>1.0605629434476554E-2</c:v>
                </c:pt>
                <c:pt idx="21">
                  <c:v>1.0605629434476554E-2</c:v>
                </c:pt>
                <c:pt idx="22">
                  <c:v>1.0605629434476554E-2</c:v>
                </c:pt>
                <c:pt idx="23">
                  <c:v>1.0605629434476554E-2</c:v>
                </c:pt>
                <c:pt idx="24">
                  <c:v>1.0605629434476554E-2</c:v>
                </c:pt>
                <c:pt idx="25">
                  <c:v>1.0605629434476554E-2</c:v>
                </c:pt>
                <c:pt idx="26">
                  <c:v>1.0605629434476554E-2</c:v>
                </c:pt>
                <c:pt idx="27">
                  <c:v>1.0605629434476554E-2</c:v>
                </c:pt>
                <c:pt idx="28">
                  <c:v>1.0605629434476554E-2</c:v>
                </c:pt>
                <c:pt idx="29">
                  <c:v>1.0605629434476554E-2</c:v>
                </c:pt>
                <c:pt idx="30">
                  <c:v>1.0605629434476554E-2</c:v>
                </c:pt>
                <c:pt idx="31">
                  <c:v>1.0605629434476554E-2</c:v>
                </c:pt>
                <c:pt idx="32">
                  <c:v>1.0605629434476554E-2</c:v>
                </c:pt>
                <c:pt idx="33">
                  <c:v>1.0605629434476554E-2</c:v>
                </c:pt>
                <c:pt idx="34">
                  <c:v>1.0605629434476554E-2</c:v>
                </c:pt>
                <c:pt idx="35">
                  <c:v>1.0605629434476554E-2</c:v>
                </c:pt>
                <c:pt idx="36">
                  <c:v>1.0605629434476554E-2</c:v>
                </c:pt>
                <c:pt idx="37">
                  <c:v>1.0605629434476554E-2</c:v>
                </c:pt>
                <c:pt idx="38">
                  <c:v>1.0605629434476554E-2</c:v>
                </c:pt>
                <c:pt idx="39">
                  <c:v>1.0605629434476554E-2</c:v>
                </c:pt>
                <c:pt idx="40">
                  <c:v>1.0605629434476554E-2</c:v>
                </c:pt>
                <c:pt idx="41">
                  <c:v>1.0605629434476554E-2</c:v>
                </c:pt>
                <c:pt idx="42">
                  <c:v>1.0605629434476554E-2</c:v>
                </c:pt>
                <c:pt idx="43">
                  <c:v>1.0605629434476554E-2</c:v>
                </c:pt>
                <c:pt idx="44">
                  <c:v>1.0605629434476554E-2</c:v>
                </c:pt>
                <c:pt idx="45">
                  <c:v>1.0605629434476554E-2</c:v>
                </c:pt>
                <c:pt idx="46">
                  <c:v>1.0605629434476554E-2</c:v>
                </c:pt>
                <c:pt idx="47">
                  <c:v>1.0605629434476554E-2</c:v>
                </c:pt>
                <c:pt idx="48">
                  <c:v>1.0605629434476554E-2</c:v>
                </c:pt>
                <c:pt idx="49">
                  <c:v>1.0605629434476554E-2</c:v>
                </c:pt>
                <c:pt idx="50">
                  <c:v>1.0605629434476554E-2</c:v>
                </c:pt>
                <c:pt idx="51">
                  <c:v>1.0605629434476554E-2</c:v>
                </c:pt>
                <c:pt idx="52">
                  <c:v>1.0605629434476554E-2</c:v>
                </c:pt>
                <c:pt idx="53">
                  <c:v>1.0605629434476554E-2</c:v>
                </c:pt>
                <c:pt idx="54">
                  <c:v>1.0605629434476554E-2</c:v>
                </c:pt>
                <c:pt idx="55">
                  <c:v>1.0605629434476554E-2</c:v>
                </c:pt>
                <c:pt idx="56">
                  <c:v>1.0605629434476554E-2</c:v>
                </c:pt>
                <c:pt idx="57">
                  <c:v>1.0605629434476554E-2</c:v>
                </c:pt>
                <c:pt idx="58">
                  <c:v>1.0605629434476554E-2</c:v>
                </c:pt>
                <c:pt idx="59">
                  <c:v>1.0605629434476554E-2</c:v>
                </c:pt>
                <c:pt idx="60">
                  <c:v>1.0605629434476554E-2</c:v>
                </c:pt>
                <c:pt idx="61">
                  <c:v>1.0605629434476554E-2</c:v>
                </c:pt>
                <c:pt idx="62">
                  <c:v>1.0605629434476554E-2</c:v>
                </c:pt>
                <c:pt idx="63">
                  <c:v>1.0605629434476554E-2</c:v>
                </c:pt>
                <c:pt idx="64">
                  <c:v>1.0605629434476554E-2</c:v>
                </c:pt>
                <c:pt idx="65">
                  <c:v>1.0605629434476554E-2</c:v>
                </c:pt>
                <c:pt idx="66">
                  <c:v>1.0605629434476554E-2</c:v>
                </c:pt>
                <c:pt idx="67">
                  <c:v>1.0605629434476554E-2</c:v>
                </c:pt>
                <c:pt idx="68">
                  <c:v>1.0605629434476554E-2</c:v>
                </c:pt>
                <c:pt idx="69">
                  <c:v>1.0605629434476554E-2</c:v>
                </c:pt>
                <c:pt idx="70">
                  <c:v>1.0605629434476554E-2</c:v>
                </c:pt>
                <c:pt idx="71">
                  <c:v>1.0605629434476554E-2</c:v>
                </c:pt>
                <c:pt idx="72">
                  <c:v>1.0605629434476554E-2</c:v>
                </c:pt>
                <c:pt idx="73">
                  <c:v>1.0605629434476554E-2</c:v>
                </c:pt>
                <c:pt idx="74">
                  <c:v>1.0605629434476554E-2</c:v>
                </c:pt>
                <c:pt idx="75">
                  <c:v>1.0605629434476554E-2</c:v>
                </c:pt>
                <c:pt idx="76">
                  <c:v>1.0605629434476554E-2</c:v>
                </c:pt>
                <c:pt idx="77">
                  <c:v>1.0605629434476554E-2</c:v>
                </c:pt>
                <c:pt idx="78">
                  <c:v>1.0605629434476554E-2</c:v>
                </c:pt>
                <c:pt idx="79">
                  <c:v>1.0605629434476554E-2</c:v>
                </c:pt>
                <c:pt idx="80">
                  <c:v>1.0605629434476554E-2</c:v>
                </c:pt>
                <c:pt idx="81">
                  <c:v>1.0605629434476554E-2</c:v>
                </c:pt>
                <c:pt idx="82">
                  <c:v>1.0605629434476554E-2</c:v>
                </c:pt>
                <c:pt idx="83">
                  <c:v>1.0605629434476554E-2</c:v>
                </c:pt>
                <c:pt idx="84">
                  <c:v>1.0605629434476554E-2</c:v>
                </c:pt>
                <c:pt idx="85">
                  <c:v>1.0605629434476554E-2</c:v>
                </c:pt>
                <c:pt idx="86">
                  <c:v>1.0605629434476554E-2</c:v>
                </c:pt>
                <c:pt idx="87">
                  <c:v>1.0605629434476554E-2</c:v>
                </c:pt>
                <c:pt idx="88">
                  <c:v>1.0605629434476554E-2</c:v>
                </c:pt>
                <c:pt idx="89">
                  <c:v>1.0605629434476554E-2</c:v>
                </c:pt>
                <c:pt idx="90">
                  <c:v>1.0605629434476554E-2</c:v>
                </c:pt>
                <c:pt idx="91">
                  <c:v>1.0605629434476554E-2</c:v>
                </c:pt>
                <c:pt idx="92">
                  <c:v>1.0605629434476554E-2</c:v>
                </c:pt>
                <c:pt idx="93">
                  <c:v>1.0605629434476554E-2</c:v>
                </c:pt>
                <c:pt idx="94">
                  <c:v>1.0605629434476554E-2</c:v>
                </c:pt>
                <c:pt idx="95">
                  <c:v>1.0605629434476554E-2</c:v>
                </c:pt>
                <c:pt idx="96">
                  <c:v>1.0605629434476554E-2</c:v>
                </c:pt>
                <c:pt idx="97">
                  <c:v>1.0605629434476554E-2</c:v>
                </c:pt>
                <c:pt idx="98">
                  <c:v>1.0605629434476554E-2</c:v>
                </c:pt>
                <c:pt idx="99">
                  <c:v>1.0605629434476554E-2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f1</c:v>
                </c15:tx>
              </c15:filteredSeriesTitle>
            </c:ext>
            <c:ext xmlns:c16="http://schemas.microsoft.com/office/drawing/2014/chart" uri="{C3380CC4-5D6E-409C-BE32-E72D297353CC}">
              <c16:uniqueId val="{00000000-63E3-4542-8639-F276F3D574C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'f1 с дробл.шг'!$K$4:$K$104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('f1 с дробл.шг'!$F$4,'f1 с дробл.шг'!$F$4,'f1 с дробл.шг'!$F$4,'f1 с дробл.шг'!$F$4,'f1 с дробл.шг'!$F$4,'f1 с дробл.шг'!$F$4,'f1 с дробл.шг'!$F$4)</c:f>
              <c:numCache>
                <c:formatCode>General</c:formatCode>
                <c:ptCount val="7"/>
                <c:pt idx="0">
                  <c:v>3.0219201650390697E-13</c:v>
                </c:pt>
                <c:pt idx="1">
                  <c:v>3.0219201650390697E-13</c:v>
                </c:pt>
                <c:pt idx="2">
                  <c:v>3.0219201650390697E-13</c:v>
                </c:pt>
                <c:pt idx="3">
                  <c:v>3.0219201650390697E-13</c:v>
                </c:pt>
                <c:pt idx="4">
                  <c:v>3.0219201650390697E-13</c:v>
                </c:pt>
                <c:pt idx="5">
                  <c:v>3.0219201650390697E-13</c:v>
                </c:pt>
                <c:pt idx="6">
                  <c:v>3.0219201650390697E-13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f1_opt</c:v>
                </c15:tx>
              </c15:filteredSeriesTitle>
            </c:ext>
            <c:ext xmlns:c16="http://schemas.microsoft.com/office/drawing/2014/chart" uri="{C3380CC4-5D6E-409C-BE32-E72D297353CC}">
              <c16:uniqueId val="{00000001-63E3-4542-8639-F276F3D57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017007"/>
        <c:axId val="1874012687"/>
      </c:scatterChart>
      <c:valAx>
        <c:axId val="187401700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4012687"/>
        <c:crosses val="autoZero"/>
        <c:crossBetween val="midCat"/>
        <c:majorUnit val="10"/>
      </c:valAx>
      <c:valAx>
        <c:axId val="187401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401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x1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'f1 с дробл.шг'!$K$4:$K$104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'f1 числ.пр.'!$L$4:$L$104</c:f>
              <c:numCache>
                <c:formatCode>General</c:formatCode>
                <c:ptCount val="101"/>
                <c:pt idx="0">
                  <c:v>7.6300851466414379</c:v>
                </c:pt>
                <c:pt idx="1">
                  <c:v>7.2377356233774881</c:v>
                </c:pt>
                <c:pt idx="2">
                  <c:v>7.056459053301138</c:v>
                </c:pt>
                <c:pt idx="3">
                  <c:v>6.97270415388064</c:v>
                </c:pt>
                <c:pt idx="4">
                  <c:v>6.9340070228946447</c:v>
                </c:pt>
                <c:pt idx="5">
                  <c:v>6.9161278545485709</c:v>
                </c:pt>
                <c:pt idx="6">
                  <c:v>6.9078671733920567</c:v>
                </c:pt>
                <c:pt idx="7">
                  <c:v>6.9040505051976115</c:v>
                </c:pt>
                <c:pt idx="8">
                  <c:v>6.9022870966081147</c:v>
                </c:pt>
                <c:pt idx="9">
                  <c:v>6.9014723519944647</c:v>
                </c:pt>
                <c:pt idx="10">
                  <c:v>6.9010959169530208</c:v>
                </c:pt>
                <c:pt idx="11">
                  <c:v>6.900921993323391</c:v>
                </c:pt>
                <c:pt idx="12">
                  <c:v>6.9008416356902984</c:v>
                </c:pt>
                <c:pt idx="13">
                  <c:v>6.9008045081923841</c:v>
                </c:pt>
                <c:pt idx="14">
                  <c:v>6.9007873542388856</c:v>
                </c:pt>
                <c:pt idx="15">
                  <c:v>6.9007794286274882</c:v>
                </c:pt>
                <c:pt idx="16">
                  <c:v>6.9007757667709937</c:v>
                </c:pt>
                <c:pt idx="17">
                  <c:v>6.9007740748897852</c:v>
                </c:pt>
                <c:pt idx="18">
                  <c:v>6.9007732931928434</c:v>
                </c:pt>
                <c:pt idx="19">
                  <c:v>6.9007729320267606</c:v>
                </c:pt>
                <c:pt idx="20">
                  <c:v>6.9007727651578215</c:v>
                </c:pt>
                <c:pt idx="21">
                  <c:v>6.9007726880596545</c:v>
                </c:pt>
                <c:pt idx="22">
                  <c:v>6.9007726524381221</c:v>
                </c:pt>
                <c:pt idx="23">
                  <c:v>6.9007726359799673</c:v>
                </c:pt>
                <c:pt idx="24">
                  <c:v>6.9007726283758348</c:v>
                </c:pt>
                <c:pt idx="25">
                  <c:v>6.9007726248625101</c:v>
                </c:pt>
                <c:pt idx="26">
                  <c:v>6.9007726232392548</c:v>
                </c:pt>
                <c:pt idx="27">
                  <c:v>6.9007726224892654</c:v>
                </c:pt>
                <c:pt idx="28">
                  <c:v>6.9007726221427488</c:v>
                </c:pt>
                <c:pt idx="29">
                  <c:v>6.9007726219826484</c:v>
                </c:pt>
                <c:pt idx="30">
                  <c:v>6.9007726219086774</c:v>
                </c:pt>
                <c:pt idx="31">
                  <c:v>6.9007726218745011</c:v>
                </c:pt>
                <c:pt idx="32">
                  <c:v>6.9007726218587102</c:v>
                </c:pt>
                <c:pt idx="33">
                  <c:v>6.9007726218514147</c:v>
                </c:pt>
                <c:pt idx="34">
                  <c:v>6.9007726218480441</c:v>
                </c:pt>
                <c:pt idx="35">
                  <c:v>6.9007726218464862</c:v>
                </c:pt>
                <c:pt idx="36">
                  <c:v>6.9007726218457668</c:v>
                </c:pt>
                <c:pt idx="37">
                  <c:v>6.9007726218454346</c:v>
                </c:pt>
                <c:pt idx="38">
                  <c:v>6.900772621845281</c:v>
                </c:pt>
                <c:pt idx="39">
                  <c:v>6.9007726218452099</c:v>
                </c:pt>
                <c:pt idx="40">
                  <c:v>6.900772621845177</c:v>
                </c:pt>
                <c:pt idx="41">
                  <c:v>6.9007726218451619</c:v>
                </c:pt>
                <c:pt idx="42">
                  <c:v>6.9007726218451548</c:v>
                </c:pt>
                <c:pt idx="43">
                  <c:v>6.9007726218451522</c:v>
                </c:pt>
                <c:pt idx="44">
                  <c:v>6.9007726218451504</c:v>
                </c:pt>
                <c:pt idx="45">
                  <c:v>6.9007726218451495</c:v>
                </c:pt>
                <c:pt idx="46">
                  <c:v>6.9007726218451495</c:v>
                </c:pt>
                <c:pt idx="47">
                  <c:v>6.9007726218451495</c:v>
                </c:pt>
                <c:pt idx="48">
                  <c:v>6.9007726218451495</c:v>
                </c:pt>
                <c:pt idx="49">
                  <c:v>6.9007726218451495</c:v>
                </c:pt>
                <c:pt idx="50">
                  <c:v>6.9007726218451495</c:v>
                </c:pt>
                <c:pt idx="51">
                  <c:v>6.9007726218451495</c:v>
                </c:pt>
                <c:pt idx="52">
                  <c:v>6.9007726218451495</c:v>
                </c:pt>
                <c:pt idx="53">
                  <c:v>6.9007726218451495</c:v>
                </c:pt>
                <c:pt idx="54">
                  <c:v>6.9007726218451495</c:v>
                </c:pt>
                <c:pt idx="55">
                  <c:v>6.9007726218451495</c:v>
                </c:pt>
                <c:pt idx="56">
                  <c:v>6.9007726218451495</c:v>
                </c:pt>
                <c:pt idx="57">
                  <c:v>6.9007726218451495</c:v>
                </c:pt>
                <c:pt idx="58">
                  <c:v>6.9007726218451495</c:v>
                </c:pt>
                <c:pt idx="59">
                  <c:v>6.9007726218451495</c:v>
                </c:pt>
                <c:pt idx="60">
                  <c:v>6.9007726218451495</c:v>
                </c:pt>
                <c:pt idx="61">
                  <c:v>6.9007726218451495</c:v>
                </c:pt>
                <c:pt idx="62">
                  <c:v>6.9007726218451495</c:v>
                </c:pt>
                <c:pt idx="63">
                  <c:v>6.9007726218451495</c:v>
                </c:pt>
                <c:pt idx="64">
                  <c:v>6.9007726218451495</c:v>
                </c:pt>
                <c:pt idx="65">
                  <c:v>6.9007726218451495</c:v>
                </c:pt>
                <c:pt idx="66">
                  <c:v>6.9007726218451495</c:v>
                </c:pt>
                <c:pt idx="67">
                  <c:v>6.9007726218451495</c:v>
                </c:pt>
                <c:pt idx="68">
                  <c:v>6.9007726218451495</c:v>
                </c:pt>
                <c:pt idx="69">
                  <c:v>6.9007726218451495</c:v>
                </c:pt>
                <c:pt idx="70">
                  <c:v>6.9007726218451495</c:v>
                </c:pt>
                <c:pt idx="71">
                  <c:v>6.9007726218451495</c:v>
                </c:pt>
                <c:pt idx="72">
                  <c:v>6.9007726218451495</c:v>
                </c:pt>
                <c:pt idx="73">
                  <c:v>6.9007726218451495</c:v>
                </c:pt>
                <c:pt idx="74">
                  <c:v>6.9007726218451495</c:v>
                </c:pt>
                <c:pt idx="75">
                  <c:v>6.9007726218451495</c:v>
                </c:pt>
                <c:pt idx="76">
                  <c:v>6.9007726218451495</c:v>
                </c:pt>
                <c:pt idx="77">
                  <c:v>6.9007726218451495</c:v>
                </c:pt>
                <c:pt idx="78">
                  <c:v>6.9007726218451495</c:v>
                </c:pt>
                <c:pt idx="79">
                  <c:v>6.9007726218451495</c:v>
                </c:pt>
                <c:pt idx="80">
                  <c:v>6.9007726218451495</c:v>
                </c:pt>
                <c:pt idx="81">
                  <c:v>6.9007726218451495</c:v>
                </c:pt>
                <c:pt idx="82">
                  <c:v>6.9007726218451495</c:v>
                </c:pt>
                <c:pt idx="83">
                  <c:v>6.9007726218451495</c:v>
                </c:pt>
                <c:pt idx="84">
                  <c:v>6.9007726218451495</c:v>
                </c:pt>
                <c:pt idx="85">
                  <c:v>6.9007726218451495</c:v>
                </c:pt>
                <c:pt idx="86">
                  <c:v>6.9007726218451495</c:v>
                </c:pt>
                <c:pt idx="87">
                  <c:v>6.9007726218451495</c:v>
                </c:pt>
                <c:pt idx="88">
                  <c:v>6.9007726218451495</c:v>
                </c:pt>
                <c:pt idx="89">
                  <c:v>6.9007726218451495</c:v>
                </c:pt>
                <c:pt idx="90">
                  <c:v>6.9007726218451495</c:v>
                </c:pt>
                <c:pt idx="91">
                  <c:v>6.9007726218451495</c:v>
                </c:pt>
                <c:pt idx="92">
                  <c:v>6.9007726218451495</c:v>
                </c:pt>
                <c:pt idx="93">
                  <c:v>6.9007726218451495</c:v>
                </c:pt>
                <c:pt idx="94">
                  <c:v>6.9007726218451495</c:v>
                </c:pt>
                <c:pt idx="95">
                  <c:v>6.9007726218451495</c:v>
                </c:pt>
                <c:pt idx="96">
                  <c:v>6.9007726218451495</c:v>
                </c:pt>
                <c:pt idx="97">
                  <c:v>6.9007726218451495</c:v>
                </c:pt>
                <c:pt idx="98">
                  <c:v>6.9007726218451495</c:v>
                </c:pt>
                <c:pt idx="99">
                  <c:v>6.9007726218451495</c:v>
                </c:pt>
                <c:pt idx="100">
                  <c:v>6.9007726218451495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2-422E-9A95-C4848CD1DCEA}"/>
            </c:ext>
          </c:extLst>
        </c:ser>
        <c:ser>
          <c:idx val="1"/>
          <c:order val="1"/>
          <c:tx>
            <c:v>x2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'f1 с дробл.шг'!$K$4:$K$104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'f1 с дробл.шг'!$M$4:$M$104</c:f>
              <c:numCache>
                <c:formatCode>General</c:formatCode>
                <c:ptCount val="101"/>
                <c:pt idx="0">
                  <c:v>6.9177831354709998</c:v>
                </c:pt>
                <c:pt idx="1">
                  <c:v>7.1013826771126318</c:v>
                </c:pt>
                <c:pt idx="2">
                  <c:v>7.149226064176788</c:v>
                </c:pt>
                <c:pt idx="3">
                  <c:v>7.2017696970523568</c:v>
                </c:pt>
                <c:pt idx="4">
                  <c:v>7.2596833755447756</c:v>
                </c:pt>
                <c:pt idx="5">
                  <c:v>7.3233447634265518</c:v>
                </c:pt>
                <c:pt idx="6">
                  <c:v>7.3923482573535875</c:v>
                </c:pt>
                <c:pt idx="7">
                  <c:v>7.4651038717546712</c:v>
                </c:pt>
                <c:pt idx="8">
                  <c:v>7.5393665379121622</c:v>
                </c:pt>
                <c:pt idx="9">
                  <c:v>7.6137305282363679</c:v>
                </c:pt>
                <c:pt idx="10">
                  <c:v>7.6833287858323835</c:v>
                </c:pt>
                <c:pt idx="11">
                  <c:v>7.6315651576137009</c:v>
                </c:pt>
                <c:pt idx="12">
                  <c:v>7.6205722044779591</c:v>
                </c:pt>
                <c:pt idx="13">
                  <c:v>7.6207033824905688</c:v>
                </c:pt>
                <c:pt idx="14">
                  <c:v>7.6207770971374549</c:v>
                </c:pt>
                <c:pt idx="15">
                  <c:v>7.6207770357196987</c:v>
                </c:pt>
                <c:pt idx="16">
                  <c:v>7.6207770012063918</c:v>
                </c:pt>
                <c:pt idx="17">
                  <c:v>7.6207770012351306</c:v>
                </c:pt>
                <c:pt idx="18">
                  <c:v>7.6207770012512803</c:v>
                </c:pt>
                <c:pt idx="19">
                  <c:v>7.620777001251267</c:v>
                </c:pt>
                <c:pt idx="20">
                  <c:v>7.620777001251259</c:v>
                </c:pt>
                <c:pt idx="21">
                  <c:v>7.620777001251259</c:v>
                </c:pt>
                <c:pt idx="22">
                  <c:v>7.620777001251259</c:v>
                </c:pt>
                <c:pt idx="23">
                  <c:v>7.620777001251259</c:v>
                </c:pt>
                <c:pt idx="24">
                  <c:v>7.620777001251259</c:v>
                </c:pt>
                <c:pt idx="25">
                  <c:v>7.620777001251259</c:v>
                </c:pt>
                <c:pt idx="26">
                  <c:v>7.620777001251259</c:v>
                </c:pt>
                <c:pt idx="27">
                  <c:v>7.620777001251259</c:v>
                </c:pt>
                <c:pt idx="28">
                  <c:v>7.620777001251259</c:v>
                </c:pt>
                <c:pt idx="29">
                  <c:v>7.620777001251259</c:v>
                </c:pt>
                <c:pt idx="30">
                  <c:v>7.620777001251259</c:v>
                </c:pt>
                <c:pt idx="31">
                  <c:v>7.620777001251259</c:v>
                </c:pt>
                <c:pt idx="32">
                  <c:v>7.620777001251259</c:v>
                </c:pt>
                <c:pt idx="33">
                  <c:v>7.620777001251259</c:v>
                </c:pt>
                <c:pt idx="34">
                  <c:v>7.620777001251259</c:v>
                </c:pt>
                <c:pt idx="35">
                  <c:v>7.620777001251259</c:v>
                </c:pt>
                <c:pt idx="36">
                  <c:v>7.620777001251259</c:v>
                </c:pt>
                <c:pt idx="37">
                  <c:v>7.620777001251259</c:v>
                </c:pt>
                <c:pt idx="38">
                  <c:v>7.620777001251259</c:v>
                </c:pt>
                <c:pt idx="39">
                  <c:v>7.620777001251259</c:v>
                </c:pt>
                <c:pt idx="40">
                  <c:v>7.620777001251259</c:v>
                </c:pt>
                <c:pt idx="41">
                  <c:v>7.620777001251259</c:v>
                </c:pt>
                <c:pt idx="42">
                  <c:v>7.620777001251259</c:v>
                </c:pt>
                <c:pt idx="43">
                  <c:v>7.620777001251259</c:v>
                </c:pt>
                <c:pt idx="44">
                  <c:v>7.620777001251259</c:v>
                </c:pt>
                <c:pt idx="45">
                  <c:v>7.620777001251259</c:v>
                </c:pt>
                <c:pt idx="46">
                  <c:v>7.620777001251259</c:v>
                </c:pt>
                <c:pt idx="47">
                  <c:v>7.620777001251259</c:v>
                </c:pt>
                <c:pt idx="48">
                  <c:v>7.620777001251259</c:v>
                </c:pt>
                <c:pt idx="49">
                  <c:v>7.620777001251259</c:v>
                </c:pt>
                <c:pt idx="50">
                  <c:v>7.620777001251259</c:v>
                </c:pt>
                <c:pt idx="51">
                  <c:v>7.620777001251259</c:v>
                </c:pt>
                <c:pt idx="52">
                  <c:v>7.620777001251259</c:v>
                </c:pt>
                <c:pt idx="53">
                  <c:v>7.620777001251259</c:v>
                </c:pt>
                <c:pt idx="54">
                  <c:v>7.620777001251259</c:v>
                </c:pt>
                <c:pt idx="55">
                  <c:v>7.620777001251259</c:v>
                </c:pt>
                <c:pt idx="56">
                  <c:v>7.620777001251259</c:v>
                </c:pt>
                <c:pt idx="57">
                  <c:v>7.620777001251259</c:v>
                </c:pt>
                <c:pt idx="58">
                  <c:v>7.620777001251259</c:v>
                </c:pt>
                <c:pt idx="59">
                  <c:v>7.620777001251259</c:v>
                </c:pt>
                <c:pt idx="60">
                  <c:v>7.620777001251259</c:v>
                </c:pt>
                <c:pt idx="61">
                  <c:v>7.620777001251259</c:v>
                </c:pt>
                <c:pt idx="62">
                  <c:v>7.620777001251259</c:v>
                </c:pt>
                <c:pt idx="63">
                  <c:v>7.620777001251259</c:v>
                </c:pt>
                <c:pt idx="64">
                  <c:v>7.620777001251259</c:v>
                </c:pt>
                <c:pt idx="65">
                  <c:v>7.620777001251259</c:v>
                </c:pt>
                <c:pt idx="66">
                  <c:v>7.620777001251259</c:v>
                </c:pt>
                <c:pt idx="67">
                  <c:v>7.620777001251259</c:v>
                </c:pt>
                <c:pt idx="68">
                  <c:v>7.620777001251259</c:v>
                </c:pt>
                <c:pt idx="69">
                  <c:v>7.620777001251259</c:v>
                </c:pt>
                <c:pt idx="70">
                  <c:v>7.620777001251259</c:v>
                </c:pt>
                <c:pt idx="71">
                  <c:v>7.620777001251259</c:v>
                </c:pt>
                <c:pt idx="72">
                  <c:v>7.620777001251259</c:v>
                </c:pt>
                <c:pt idx="73">
                  <c:v>7.620777001251259</c:v>
                </c:pt>
                <c:pt idx="74">
                  <c:v>7.620777001251259</c:v>
                </c:pt>
                <c:pt idx="75">
                  <c:v>7.620777001251259</c:v>
                </c:pt>
                <c:pt idx="76">
                  <c:v>7.620777001251259</c:v>
                </c:pt>
                <c:pt idx="77">
                  <c:v>7.620777001251259</c:v>
                </c:pt>
                <c:pt idx="78">
                  <c:v>7.620777001251259</c:v>
                </c:pt>
                <c:pt idx="79">
                  <c:v>7.620777001251259</c:v>
                </c:pt>
                <c:pt idx="80">
                  <c:v>7.620777001251259</c:v>
                </c:pt>
                <c:pt idx="81">
                  <c:v>7.620777001251259</c:v>
                </c:pt>
                <c:pt idx="82">
                  <c:v>7.620777001251259</c:v>
                </c:pt>
                <c:pt idx="83">
                  <c:v>7.620777001251259</c:v>
                </c:pt>
                <c:pt idx="84">
                  <c:v>7.620777001251259</c:v>
                </c:pt>
                <c:pt idx="85">
                  <c:v>7.620777001251259</c:v>
                </c:pt>
                <c:pt idx="86">
                  <c:v>7.620777001251259</c:v>
                </c:pt>
                <c:pt idx="87">
                  <c:v>7.620777001251259</c:v>
                </c:pt>
                <c:pt idx="88">
                  <c:v>7.620777001251259</c:v>
                </c:pt>
                <c:pt idx="89">
                  <c:v>7.620777001251259</c:v>
                </c:pt>
                <c:pt idx="90">
                  <c:v>7.620777001251259</c:v>
                </c:pt>
                <c:pt idx="91">
                  <c:v>7.620777001251259</c:v>
                </c:pt>
                <c:pt idx="92">
                  <c:v>7.620777001251259</c:v>
                </c:pt>
                <c:pt idx="93">
                  <c:v>7.620777001251259</c:v>
                </c:pt>
                <c:pt idx="94">
                  <c:v>7.620777001251259</c:v>
                </c:pt>
                <c:pt idx="95">
                  <c:v>7.620777001251259</c:v>
                </c:pt>
                <c:pt idx="96">
                  <c:v>7.620777001251259</c:v>
                </c:pt>
                <c:pt idx="97">
                  <c:v>7.620777001251259</c:v>
                </c:pt>
                <c:pt idx="98">
                  <c:v>7.620777001251259</c:v>
                </c:pt>
                <c:pt idx="99">
                  <c:v>7.620777001251259</c:v>
                </c:pt>
                <c:pt idx="100">
                  <c:v>7.620777001251259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12-422E-9A95-C4848CD1DCEA}"/>
            </c:ext>
          </c:extLst>
        </c:ser>
        <c:ser>
          <c:idx val="2"/>
          <c:order val="2"/>
          <c:tx>
            <c:v>x1_opt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'f1 с дробл.шг'!$K$4:$K$104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('f1 с дробл.шг'!$F$5,'f1 с дробл.шг'!$F$5,'f1 с дробл.шг'!$F$5,'f1 с дробл.шг'!$F$5,'f1 с дробл.шг'!$F$5,'f1 с дробл.шг'!$F$5,'f1 с дробл.шг'!$F$5,'f1 с дробл.шг'!$F$5,'f1 с дробл.шг'!$F$5,'f1 с дробл.шг'!$F$5,'f1 с дробл.шг'!$F$5,'f1 с дробл.шг'!$F$5,'f1 с дробл.шг'!$F$5,'f1 с дробл.шг'!$F$5,'f1 с дробл.шг'!$F$5,'f1 с дробл.шг'!$F$5,'f1 с дробл.шг'!$F$5)</c:f>
              <c:numCache>
                <c:formatCode>General</c:formatCode>
                <c:ptCount val="17"/>
                <c:pt idx="0">
                  <c:v>6.9012725628661</c:v>
                </c:pt>
                <c:pt idx="1">
                  <c:v>6.9012725628661</c:v>
                </c:pt>
                <c:pt idx="2">
                  <c:v>6.9012725628661</c:v>
                </c:pt>
                <c:pt idx="3">
                  <c:v>6.9012725628661</c:v>
                </c:pt>
                <c:pt idx="4">
                  <c:v>6.9012725628661</c:v>
                </c:pt>
                <c:pt idx="5">
                  <c:v>6.9012725628661</c:v>
                </c:pt>
                <c:pt idx="6">
                  <c:v>6.9012725628661</c:v>
                </c:pt>
                <c:pt idx="7">
                  <c:v>6.9012725628661</c:v>
                </c:pt>
                <c:pt idx="8">
                  <c:v>6.9012725628661</c:v>
                </c:pt>
                <c:pt idx="9">
                  <c:v>6.9012725628661</c:v>
                </c:pt>
                <c:pt idx="10">
                  <c:v>6.9012725628661</c:v>
                </c:pt>
                <c:pt idx="11">
                  <c:v>6.9012725628661</c:v>
                </c:pt>
                <c:pt idx="12">
                  <c:v>6.9012725628661</c:v>
                </c:pt>
                <c:pt idx="13">
                  <c:v>6.9012725628661</c:v>
                </c:pt>
                <c:pt idx="14">
                  <c:v>6.9012725628661</c:v>
                </c:pt>
                <c:pt idx="15">
                  <c:v>6.9012725628661</c:v>
                </c:pt>
                <c:pt idx="16">
                  <c:v>6.9012725628661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12-422E-9A95-C4848CD1DCEA}"/>
            </c:ext>
          </c:extLst>
        </c:ser>
        <c:ser>
          <c:idx val="3"/>
          <c:order val="3"/>
          <c:tx>
            <c:v>x2_opt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'f1 с дробл.шг'!$K$4:$K$104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('f1 с дробл.шг'!$F$6,'f1 с дробл.шг'!$F$6,'f1 с дробл.шг'!$F$6,'f1 с дробл.шг'!$F$6,'f1 с дробл.шг'!$F$6,'f1 с дробл.шг'!$F$6,'f1 с дробл.шг'!$F$6,'f1 с дробл.шг'!$F$6,'f1 с дробл.шг'!$F$6,'f1 с дробл.шг'!$F$6,'f1 с дробл.шг'!$F$6,'f1 с дробл.шг'!$F$6,'f1 с дробл.шг'!$F$6)</c:f>
              <c:numCache>
                <c:formatCode>General</c:formatCode>
                <c:ptCount val="13"/>
                <c:pt idx="0">
                  <c:v>7.6207772837098702</c:v>
                </c:pt>
                <c:pt idx="1">
                  <c:v>7.6207772837098702</c:v>
                </c:pt>
                <c:pt idx="2">
                  <c:v>7.6207772837098702</c:v>
                </c:pt>
                <c:pt idx="3">
                  <c:v>7.6207772837098702</c:v>
                </c:pt>
                <c:pt idx="4">
                  <c:v>7.6207772837098702</c:v>
                </c:pt>
                <c:pt idx="5">
                  <c:v>7.6207772837098702</c:v>
                </c:pt>
                <c:pt idx="6">
                  <c:v>7.6207772837098702</c:v>
                </c:pt>
                <c:pt idx="7">
                  <c:v>7.6207772837098702</c:v>
                </c:pt>
                <c:pt idx="8">
                  <c:v>7.6207772837098702</c:v>
                </c:pt>
                <c:pt idx="9">
                  <c:v>7.6207772837098702</c:v>
                </c:pt>
                <c:pt idx="10">
                  <c:v>7.6207772837098702</c:v>
                </c:pt>
                <c:pt idx="11">
                  <c:v>7.6207772837098702</c:v>
                </c:pt>
                <c:pt idx="12">
                  <c:v>7.6207772837098702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12-422E-9A95-C4848CD1D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334047"/>
        <c:axId val="1963328767"/>
      </c:scatterChart>
      <c:valAx>
        <c:axId val="196333404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3328767"/>
        <c:crosses val="autoZero"/>
        <c:crossBetween val="midCat"/>
      </c:valAx>
      <c:valAx>
        <c:axId val="196332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3334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'f1 c пост.шг'!$W$8:$W$20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'f1 c пост.шг'!$X$8:$X$20</c:f>
              <c:numCache>
                <c:formatCode>General</c:formatCode>
                <c:ptCount val="13"/>
                <c:pt idx="0">
                  <c:v>11.304431794424326</c:v>
                </c:pt>
                <c:pt idx="1">
                  <c:v>14.041282278050369</c:v>
                </c:pt>
                <c:pt idx="2">
                  <c:v>15.605552358132812</c:v>
                </c:pt>
                <c:pt idx="3">
                  <c:v>16.630247635347359</c:v>
                </c:pt>
                <c:pt idx="4">
                  <c:v>17.288489183031206</c:v>
                </c:pt>
                <c:pt idx="5">
                  <c:v>17.652672668030903</c:v>
                </c:pt>
                <c:pt idx="6">
                  <c:v>17.754551057588188</c:v>
                </c:pt>
                <c:pt idx="7">
                  <c:v>17.602159505541032</c:v>
                </c:pt>
                <c:pt idx="8">
                  <c:v>17.183349400209391</c:v>
                </c:pt>
                <c:pt idx="9">
                  <c:v>16.460333505398353</c:v>
                </c:pt>
                <c:pt idx="10">
                  <c:v>15.348189350221766</c:v>
                </c:pt>
                <c:pt idx="11">
                  <c:v>13.634778842650537</c:v>
                </c:pt>
                <c:pt idx="12">
                  <c:v>10.360066836592775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6A-4C52-B82D-1232E89068A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'f1 c пост.шг'!$W$8:$W$20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'f1 c пост.шг'!$Y$8:$Y$20</c:f>
              <c:numCache>
                <c:formatCode>General</c:formatCode>
                <c:ptCount val="13"/>
                <c:pt idx="0">
                  <c:v>3.937122208078192</c:v>
                </c:pt>
                <c:pt idx="1">
                  <c:v>1.2002717244521488</c:v>
                </c:pt>
                <c:pt idx="2">
                  <c:v>-0.36399835563029281</c:v>
                </c:pt>
                <c:pt idx="3">
                  <c:v>-1.3886936328448396</c:v>
                </c:pt>
                <c:pt idx="4">
                  <c:v>-2.0469351805286884</c:v>
                </c:pt>
                <c:pt idx="5">
                  <c:v>-2.4111186655283863</c:v>
                </c:pt>
                <c:pt idx="6">
                  <c:v>-2.512997055085668</c:v>
                </c:pt>
                <c:pt idx="7">
                  <c:v>-2.3606055030385118</c:v>
                </c:pt>
                <c:pt idx="8">
                  <c:v>-1.9417953977068727</c:v>
                </c:pt>
                <c:pt idx="9">
                  <c:v>-1.2187795028958348</c:v>
                </c:pt>
                <c:pt idx="10">
                  <c:v>-0.10663534771924699</c:v>
                </c:pt>
                <c:pt idx="11">
                  <c:v>1.6067751598519804</c:v>
                </c:pt>
                <c:pt idx="12">
                  <c:v>4.8814871659097427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6A-4C52-B82D-1232E89068A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'f1 c пост.шг'!$W$10:$W$18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numCache>
            </c:numRef>
          </c:xVal>
          <c:yVal>
            <c:numRef>
              <c:f>'f1 c пост.шг'!$Z$10:$Z$18</c:f>
              <c:numCache>
                <c:formatCode>General</c:formatCode>
                <c:ptCount val="9"/>
                <c:pt idx="0">
                  <c:v>12.063129619257611</c:v>
                </c:pt>
                <c:pt idx="1">
                  <c:v>13.715727402155679</c:v>
                </c:pt>
                <c:pt idx="2">
                  <c:v>14.652314394494745</c:v>
                </c:pt>
                <c:pt idx="3">
                  <c:v>15.145189931971981</c:v>
                </c:pt>
                <c:pt idx="4">
                  <c:v>15.280492133534729</c:v>
                </c:pt>
                <c:pt idx="5">
                  <c:v>15.077710417863408</c:v>
                </c:pt>
                <c:pt idx="6">
                  <c:v>14.507042329290897</c:v>
                </c:pt>
                <c:pt idx="7">
                  <c:v>13.461634684233626</c:v>
                </c:pt>
                <c:pt idx="8">
                  <c:v>11.581933510891702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6A-4C52-B82D-1232E89068A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'f1 c пост.шг'!$W$10:$W$18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numCache>
            </c:numRef>
          </c:xVal>
          <c:yVal>
            <c:numRef>
              <c:f>'f1 c пост.шг'!$AA$10:$AA$18</c:f>
              <c:numCache>
                <c:formatCode>General</c:formatCode>
                <c:ptCount val="9"/>
                <c:pt idx="0">
                  <c:v>3.1784243832449075</c:v>
                </c:pt>
                <c:pt idx="1">
                  <c:v>1.5258266003468393</c:v>
                </c:pt>
                <c:pt idx="2">
                  <c:v>0.58923960800777397</c:v>
                </c:pt>
                <c:pt idx="3">
                  <c:v>9.6364070530538193E-2</c:v>
                </c:pt>
                <c:pt idx="4">
                  <c:v>-3.8938131032210777E-2</c:v>
                </c:pt>
                <c:pt idx="5">
                  <c:v>0.16384358463911042</c:v>
                </c:pt>
                <c:pt idx="6">
                  <c:v>0.73451167321162103</c:v>
                </c:pt>
                <c:pt idx="7">
                  <c:v>1.7799193182688908</c:v>
                </c:pt>
                <c:pt idx="8">
                  <c:v>3.6596204916108173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6A-4C52-B82D-1232E89068A9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'f1 c пост.шг'!$W$12:$W$16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</c:numCache>
            </c:numRef>
          </c:xVal>
          <c:yVal>
            <c:numRef>
              <c:f>'f1 c пост.шг'!$AB$12:$AB$16</c:f>
              <c:numCache>
                <c:formatCode>General</c:formatCode>
                <c:ptCount val="5"/>
                <c:pt idx="0">
                  <c:v>9.9489473978129777</c:v>
                </c:pt>
                <c:pt idx="1">
                  <c:v>11.169671087419816</c:v>
                </c:pt>
                <c:pt idx="2">
                  <c:v>11.44819064372281</c:v>
                </c:pt>
                <c:pt idx="3">
                  <c:v>11.02426275304043</c:v>
                </c:pt>
                <c:pt idx="4">
                  <c:v>9.464281666557488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6A-4C52-B82D-1232E89068A9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'f1 c пост.шг'!$W$12:$W$16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</c:numCache>
            </c:numRef>
          </c:xVal>
          <c:yVal>
            <c:numRef>
              <c:f>'f1 c пост.шг'!$AC$12:$AC$16</c:f>
              <c:numCache>
                <c:formatCode>General</c:formatCode>
                <c:ptCount val="5"/>
                <c:pt idx="0">
                  <c:v>5.2926066046895404</c:v>
                </c:pt>
                <c:pt idx="1">
                  <c:v>4.0718829150827016</c:v>
                </c:pt>
                <c:pt idx="2">
                  <c:v>3.793363358779708</c:v>
                </c:pt>
                <c:pt idx="3">
                  <c:v>4.2172912494620878</c:v>
                </c:pt>
                <c:pt idx="4">
                  <c:v>5.77727233594503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A6A-4C52-B82D-1232E89068A9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'f1 с дробл.шг'!$L$4:$L$104</c:f>
              <c:numCache>
                <c:formatCode>General</c:formatCode>
                <c:ptCount val="101"/>
                <c:pt idx="0">
                  <c:v>7.630085146641</c:v>
                </c:pt>
                <c:pt idx="1">
                  <c:v>7.1428247878809223</c:v>
                </c:pt>
                <c:pt idx="2">
                  <c:v>7.0858659853132417</c:v>
                </c:pt>
                <c:pt idx="3">
                  <c:v>7.0332118162479906</c:v>
                </c:pt>
                <c:pt idx="4">
                  <c:v>6.986528835203595</c:v>
                </c:pt>
                <c:pt idx="5">
                  <c:v>6.9480512759166464</c:v>
                </c:pt>
                <c:pt idx="6">
                  <c:v>6.9202697586510942</c:v>
                </c:pt>
                <c:pt idx="7">
                  <c:v>6.9047805543837537</c:v>
                </c:pt>
                <c:pt idx="8">
                  <c:v>6.9004967137126174</c:v>
                </c:pt>
                <c:pt idx="9">
                  <c:v>6.9023110507199306</c:v>
                </c:pt>
                <c:pt idx="10">
                  <c:v>6.8760550530182005</c:v>
                </c:pt>
                <c:pt idx="11">
                  <c:v>6.9294762255002098</c:v>
                </c:pt>
                <c:pt idx="12">
                  <c:v>6.855906871438413</c:v>
                </c:pt>
                <c:pt idx="13">
                  <c:v>6.9302928759556854</c:v>
                </c:pt>
                <c:pt idx="14">
                  <c:v>6.8559067922984216</c:v>
                </c:pt>
                <c:pt idx="15">
                  <c:v>6.9302929124802866</c:v>
                </c:pt>
                <c:pt idx="16">
                  <c:v>6.8559067922984038</c:v>
                </c:pt>
                <c:pt idx="17">
                  <c:v>6.9302929124802946</c:v>
                </c:pt>
                <c:pt idx="18">
                  <c:v>6.8559067922984038</c:v>
                </c:pt>
                <c:pt idx="19">
                  <c:v>6.9302929124802946</c:v>
                </c:pt>
                <c:pt idx="20">
                  <c:v>6.8559067922984038</c:v>
                </c:pt>
                <c:pt idx="21">
                  <c:v>6.9302929124802946</c:v>
                </c:pt>
                <c:pt idx="22">
                  <c:v>6.8559067922984038</c:v>
                </c:pt>
                <c:pt idx="23">
                  <c:v>6.9302929124802946</c:v>
                </c:pt>
                <c:pt idx="24">
                  <c:v>6.8559067922984038</c:v>
                </c:pt>
                <c:pt idx="25">
                  <c:v>6.9302929124802946</c:v>
                </c:pt>
                <c:pt idx="26">
                  <c:v>6.8559067922984038</c:v>
                </c:pt>
                <c:pt idx="27">
                  <c:v>6.9302929124802946</c:v>
                </c:pt>
                <c:pt idx="28">
                  <c:v>6.8559067922984038</c:v>
                </c:pt>
                <c:pt idx="29">
                  <c:v>6.9302929124802946</c:v>
                </c:pt>
                <c:pt idx="30">
                  <c:v>6.8559067922984038</c:v>
                </c:pt>
                <c:pt idx="31">
                  <c:v>6.9302929124802946</c:v>
                </c:pt>
                <c:pt idx="32">
                  <c:v>6.8559067922984038</c:v>
                </c:pt>
                <c:pt idx="33">
                  <c:v>6.9302929124802946</c:v>
                </c:pt>
                <c:pt idx="34">
                  <c:v>6.8559067922984038</c:v>
                </c:pt>
                <c:pt idx="35">
                  <c:v>6.9302929124802946</c:v>
                </c:pt>
                <c:pt idx="36">
                  <c:v>6.8559067922984038</c:v>
                </c:pt>
                <c:pt idx="37">
                  <c:v>6.9302929124802946</c:v>
                </c:pt>
                <c:pt idx="38">
                  <c:v>6.8559067922984038</c:v>
                </c:pt>
                <c:pt idx="39">
                  <c:v>6.9302929124802946</c:v>
                </c:pt>
                <c:pt idx="40">
                  <c:v>6.8559067922984038</c:v>
                </c:pt>
                <c:pt idx="41">
                  <c:v>6.9302929124802946</c:v>
                </c:pt>
                <c:pt idx="42">
                  <c:v>6.8559067922984038</c:v>
                </c:pt>
                <c:pt idx="43">
                  <c:v>6.9302929124802946</c:v>
                </c:pt>
                <c:pt idx="44">
                  <c:v>6.8559067922984038</c:v>
                </c:pt>
                <c:pt idx="45">
                  <c:v>6.9302929124802946</c:v>
                </c:pt>
                <c:pt idx="46">
                  <c:v>6.8559067922984038</c:v>
                </c:pt>
                <c:pt idx="47">
                  <c:v>6.9302929124802946</c:v>
                </c:pt>
                <c:pt idx="48">
                  <c:v>6.8559067922984038</c:v>
                </c:pt>
                <c:pt idx="49">
                  <c:v>6.9302929124802946</c:v>
                </c:pt>
                <c:pt idx="50">
                  <c:v>6.8559067922984038</c:v>
                </c:pt>
                <c:pt idx="51">
                  <c:v>6.9302929124802946</c:v>
                </c:pt>
                <c:pt idx="52">
                  <c:v>6.8559067922984038</c:v>
                </c:pt>
                <c:pt idx="53">
                  <c:v>6.9302929124802946</c:v>
                </c:pt>
                <c:pt idx="54">
                  <c:v>6.8559067922984038</c:v>
                </c:pt>
                <c:pt idx="55">
                  <c:v>6.9302929124802946</c:v>
                </c:pt>
                <c:pt idx="56">
                  <c:v>6.8559067922984038</c:v>
                </c:pt>
                <c:pt idx="57">
                  <c:v>6.9302929124802946</c:v>
                </c:pt>
                <c:pt idx="58">
                  <c:v>6.8559067922984038</c:v>
                </c:pt>
                <c:pt idx="59">
                  <c:v>6.9302929124802946</c:v>
                </c:pt>
                <c:pt idx="60">
                  <c:v>6.8559067922984038</c:v>
                </c:pt>
                <c:pt idx="61">
                  <c:v>6.9302929124802946</c:v>
                </c:pt>
                <c:pt idx="62">
                  <c:v>6.8559067922984038</c:v>
                </c:pt>
                <c:pt idx="63">
                  <c:v>6.9302929124802946</c:v>
                </c:pt>
                <c:pt idx="64">
                  <c:v>6.8559067922984038</c:v>
                </c:pt>
                <c:pt idx="65">
                  <c:v>6.9302929124802946</c:v>
                </c:pt>
                <c:pt idx="66">
                  <c:v>6.8559067922984038</c:v>
                </c:pt>
                <c:pt idx="67">
                  <c:v>6.9302929124802946</c:v>
                </c:pt>
                <c:pt idx="68">
                  <c:v>6.8559067922984038</c:v>
                </c:pt>
                <c:pt idx="69">
                  <c:v>6.9302929124802946</c:v>
                </c:pt>
                <c:pt idx="70">
                  <c:v>6.8559067922984038</c:v>
                </c:pt>
                <c:pt idx="71">
                  <c:v>6.9302929124802946</c:v>
                </c:pt>
                <c:pt idx="72">
                  <c:v>6.8559067922984038</c:v>
                </c:pt>
                <c:pt idx="73">
                  <c:v>6.9302929124802946</c:v>
                </c:pt>
                <c:pt idx="74">
                  <c:v>6.8559067922984038</c:v>
                </c:pt>
                <c:pt idx="75">
                  <c:v>6.9302929124802946</c:v>
                </c:pt>
                <c:pt idx="76">
                  <c:v>6.8559067922984038</c:v>
                </c:pt>
                <c:pt idx="77">
                  <c:v>6.9302929124802946</c:v>
                </c:pt>
                <c:pt idx="78">
                  <c:v>6.8559067922984038</c:v>
                </c:pt>
                <c:pt idx="79">
                  <c:v>6.9302929124802946</c:v>
                </c:pt>
                <c:pt idx="80">
                  <c:v>6.8559067922984038</c:v>
                </c:pt>
                <c:pt idx="81">
                  <c:v>6.9302929124802946</c:v>
                </c:pt>
                <c:pt idx="82">
                  <c:v>6.8559067922984038</c:v>
                </c:pt>
                <c:pt idx="83">
                  <c:v>6.9302929124802946</c:v>
                </c:pt>
                <c:pt idx="84">
                  <c:v>6.8559067922984038</c:v>
                </c:pt>
                <c:pt idx="85">
                  <c:v>6.9302929124802946</c:v>
                </c:pt>
                <c:pt idx="86">
                  <c:v>6.8559067922984038</c:v>
                </c:pt>
                <c:pt idx="87">
                  <c:v>6.9302929124802946</c:v>
                </c:pt>
                <c:pt idx="88">
                  <c:v>6.8559067922984038</c:v>
                </c:pt>
                <c:pt idx="89">
                  <c:v>6.9302929124802946</c:v>
                </c:pt>
                <c:pt idx="90">
                  <c:v>6.8559067922984038</c:v>
                </c:pt>
                <c:pt idx="91">
                  <c:v>6.9302929124802946</c:v>
                </c:pt>
                <c:pt idx="92">
                  <c:v>6.8559067922984038</c:v>
                </c:pt>
                <c:pt idx="93">
                  <c:v>6.9302929124802946</c:v>
                </c:pt>
                <c:pt idx="94">
                  <c:v>6.8559067922984038</c:v>
                </c:pt>
                <c:pt idx="95">
                  <c:v>6.9302929124802946</c:v>
                </c:pt>
                <c:pt idx="96">
                  <c:v>6.8559067922984038</c:v>
                </c:pt>
                <c:pt idx="97">
                  <c:v>6.9302929124802946</c:v>
                </c:pt>
                <c:pt idx="98">
                  <c:v>6.8559067922984038</c:v>
                </c:pt>
                <c:pt idx="99">
                  <c:v>6.9302929124802946</c:v>
                </c:pt>
                <c:pt idx="100">
                  <c:v>6.8559067922984038</c:v>
                </c:pt>
              </c:numCache>
            </c:numRef>
          </c:xVal>
          <c:yVal>
            <c:numRef>
              <c:f>'f1 с дробл.шг'!$M$4:$M$104</c:f>
              <c:numCache>
                <c:formatCode>General</c:formatCode>
                <c:ptCount val="101"/>
                <c:pt idx="0">
                  <c:v>6.9177831354709998</c:v>
                </c:pt>
                <c:pt idx="1">
                  <c:v>7.1013826771126318</c:v>
                </c:pt>
                <c:pt idx="2">
                  <c:v>7.149226064176788</c:v>
                </c:pt>
                <c:pt idx="3">
                  <c:v>7.2017696970523568</c:v>
                </c:pt>
                <c:pt idx="4">
                  <c:v>7.2596833755447756</c:v>
                </c:pt>
                <c:pt idx="5">
                  <c:v>7.3233447634265518</c:v>
                </c:pt>
                <c:pt idx="6">
                  <c:v>7.3923482573535875</c:v>
                </c:pt>
                <c:pt idx="7">
                  <c:v>7.4651038717546712</c:v>
                </c:pt>
                <c:pt idx="8">
                  <c:v>7.5393665379121622</c:v>
                </c:pt>
                <c:pt idx="9">
                  <c:v>7.6137305282363679</c:v>
                </c:pt>
                <c:pt idx="10">
                  <c:v>7.6833287858323835</c:v>
                </c:pt>
                <c:pt idx="11">
                  <c:v>7.6315651576137009</c:v>
                </c:pt>
                <c:pt idx="12">
                  <c:v>7.6205722044779591</c:v>
                </c:pt>
                <c:pt idx="13">
                  <c:v>7.6207033824905688</c:v>
                </c:pt>
                <c:pt idx="14">
                  <c:v>7.6207770971374549</c:v>
                </c:pt>
                <c:pt idx="15">
                  <c:v>7.6207770357196987</c:v>
                </c:pt>
                <c:pt idx="16">
                  <c:v>7.6207770012063918</c:v>
                </c:pt>
                <c:pt idx="17">
                  <c:v>7.6207770012351306</c:v>
                </c:pt>
                <c:pt idx="18">
                  <c:v>7.6207770012512803</c:v>
                </c:pt>
                <c:pt idx="19">
                  <c:v>7.620777001251267</c:v>
                </c:pt>
                <c:pt idx="20">
                  <c:v>7.620777001251259</c:v>
                </c:pt>
                <c:pt idx="21">
                  <c:v>7.620777001251259</c:v>
                </c:pt>
                <c:pt idx="22">
                  <c:v>7.620777001251259</c:v>
                </c:pt>
                <c:pt idx="23">
                  <c:v>7.620777001251259</c:v>
                </c:pt>
                <c:pt idx="24">
                  <c:v>7.620777001251259</c:v>
                </c:pt>
                <c:pt idx="25">
                  <c:v>7.620777001251259</c:v>
                </c:pt>
                <c:pt idx="26">
                  <c:v>7.620777001251259</c:v>
                </c:pt>
                <c:pt idx="27">
                  <c:v>7.620777001251259</c:v>
                </c:pt>
                <c:pt idx="28">
                  <c:v>7.620777001251259</c:v>
                </c:pt>
                <c:pt idx="29">
                  <c:v>7.620777001251259</c:v>
                </c:pt>
                <c:pt idx="30">
                  <c:v>7.620777001251259</c:v>
                </c:pt>
                <c:pt idx="31">
                  <c:v>7.620777001251259</c:v>
                </c:pt>
                <c:pt idx="32">
                  <c:v>7.620777001251259</c:v>
                </c:pt>
                <c:pt idx="33">
                  <c:v>7.620777001251259</c:v>
                </c:pt>
                <c:pt idx="34">
                  <c:v>7.620777001251259</c:v>
                </c:pt>
                <c:pt idx="35">
                  <c:v>7.620777001251259</c:v>
                </c:pt>
                <c:pt idx="36">
                  <c:v>7.620777001251259</c:v>
                </c:pt>
                <c:pt idx="37">
                  <c:v>7.620777001251259</c:v>
                </c:pt>
                <c:pt idx="38">
                  <c:v>7.620777001251259</c:v>
                </c:pt>
                <c:pt idx="39">
                  <c:v>7.620777001251259</c:v>
                </c:pt>
                <c:pt idx="40">
                  <c:v>7.620777001251259</c:v>
                </c:pt>
                <c:pt idx="41">
                  <c:v>7.620777001251259</c:v>
                </c:pt>
                <c:pt idx="42">
                  <c:v>7.620777001251259</c:v>
                </c:pt>
                <c:pt idx="43">
                  <c:v>7.620777001251259</c:v>
                </c:pt>
                <c:pt idx="44">
                  <c:v>7.620777001251259</c:v>
                </c:pt>
                <c:pt idx="45">
                  <c:v>7.620777001251259</c:v>
                </c:pt>
                <c:pt idx="46">
                  <c:v>7.620777001251259</c:v>
                </c:pt>
                <c:pt idx="47">
                  <c:v>7.620777001251259</c:v>
                </c:pt>
                <c:pt idx="48">
                  <c:v>7.620777001251259</c:v>
                </c:pt>
                <c:pt idx="49">
                  <c:v>7.620777001251259</c:v>
                </c:pt>
                <c:pt idx="50">
                  <c:v>7.620777001251259</c:v>
                </c:pt>
                <c:pt idx="51">
                  <c:v>7.620777001251259</c:v>
                </c:pt>
                <c:pt idx="52">
                  <c:v>7.620777001251259</c:v>
                </c:pt>
                <c:pt idx="53">
                  <c:v>7.620777001251259</c:v>
                </c:pt>
                <c:pt idx="54">
                  <c:v>7.620777001251259</c:v>
                </c:pt>
                <c:pt idx="55">
                  <c:v>7.620777001251259</c:v>
                </c:pt>
                <c:pt idx="56">
                  <c:v>7.620777001251259</c:v>
                </c:pt>
                <c:pt idx="57">
                  <c:v>7.620777001251259</c:v>
                </c:pt>
                <c:pt idx="58">
                  <c:v>7.620777001251259</c:v>
                </c:pt>
                <c:pt idx="59">
                  <c:v>7.620777001251259</c:v>
                </c:pt>
                <c:pt idx="60">
                  <c:v>7.620777001251259</c:v>
                </c:pt>
                <c:pt idx="61">
                  <c:v>7.620777001251259</c:v>
                </c:pt>
                <c:pt idx="62">
                  <c:v>7.620777001251259</c:v>
                </c:pt>
                <c:pt idx="63">
                  <c:v>7.620777001251259</c:v>
                </c:pt>
                <c:pt idx="64">
                  <c:v>7.620777001251259</c:v>
                </c:pt>
                <c:pt idx="65">
                  <c:v>7.620777001251259</c:v>
                </c:pt>
                <c:pt idx="66">
                  <c:v>7.620777001251259</c:v>
                </c:pt>
                <c:pt idx="67">
                  <c:v>7.620777001251259</c:v>
                </c:pt>
                <c:pt idx="68">
                  <c:v>7.620777001251259</c:v>
                </c:pt>
                <c:pt idx="69">
                  <c:v>7.620777001251259</c:v>
                </c:pt>
                <c:pt idx="70">
                  <c:v>7.620777001251259</c:v>
                </c:pt>
                <c:pt idx="71">
                  <c:v>7.620777001251259</c:v>
                </c:pt>
                <c:pt idx="72">
                  <c:v>7.620777001251259</c:v>
                </c:pt>
                <c:pt idx="73">
                  <c:v>7.620777001251259</c:v>
                </c:pt>
                <c:pt idx="74">
                  <c:v>7.620777001251259</c:v>
                </c:pt>
                <c:pt idx="75">
                  <c:v>7.620777001251259</c:v>
                </c:pt>
                <c:pt idx="76">
                  <c:v>7.620777001251259</c:v>
                </c:pt>
                <c:pt idx="77">
                  <c:v>7.620777001251259</c:v>
                </c:pt>
                <c:pt idx="78">
                  <c:v>7.620777001251259</c:v>
                </c:pt>
                <c:pt idx="79">
                  <c:v>7.620777001251259</c:v>
                </c:pt>
                <c:pt idx="80">
                  <c:v>7.620777001251259</c:v>
                </c:pt>
                <c:pt idx="81">
                  <c:v>7.620777001251259</c:v>
                </c:pt>
                <c:pt idx="82">
                  <c:v>7.620777001251259</c:v>
                </c:pt>
                <c:pt idx="83">
                  <c:v>7.620777001251259</c:v>
                </c:pt>
                <c:pt idx="84">
                  <c:v>7.620777001251259</c:v>
                </c:pt>
                <c:pt idx="85">
                  <c:v>7.620777001251259</c:v>
                </c:pt>
                <c:pt idx="86">
                  <c:v>7.620777001251259</c:v>
                </c:pt>
                <c:pt idx="87">
                  <c:v>7.620777001251259</c:v>
                </c:pt>
                <c:pt idx="88">
                  <c:v>7.620777001251259</c:v>
                </c:pt>
                <c:pt idx="89">
                  <c:v>7.620777001251259</c:v>
                </c:pt>
                <c:pt idx="90">
                  <c:v>7.620777001251259</c:v>
                </c:pt>
                <c:pt idx="91">
                  <c:v>7.620777001251259</c:v>
                </c:pt>
                <c:pt idx="92">
                  <c:v>7.620777001251259</c:v>
                </c:pt>
                <c:pt idx="93">
                  <c:v>7.620777001251259</c:v>
                </c:pt>
                <c:pt idx="94">
                  <c:v>7.620777001251259</c:v>
                </c:pt>
                <c:pt idx="95">
                  <c:v>7.620777001251259</c:v>
                </c:pt>
                <c:pt idx="96">
                  <c:v>7.620777001251259</c:v>
                </c:pt>
                <c:pt idx="97">
                  <c:v>7.620777001251259</c:v>
                </c:pt>
                <c:pt idx="98">
                  <c:v>7.620777001251259</c:v>
                </c:pt>
                <c:pt idx="99">
                  <c:v>7.620777001251259</c:v>
                </c:pt>
                <c:pt idx="100">
                  <c:v>7.620777001251259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FA-49BC-83D3-A2774EF24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330431"/>
        <c:axId val="1951330911"/>
      </c:scatterChart>
      <c:valAx>
        <c:axId val="1951330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1330911"/>
        <c:crosses val="autoZero"/>
        <c:crossBetween val="midCat"/>
      </c:valAx>
      <c:valAx>
        <c:axId val="195133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1330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425162092617936E-2"/>
          <c:y val="7.4870599339267208E-2"/>
          <c:w val="0.74863034181002353"/>
          <c:h val="0.8597201479421530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'f1 с дробл.шг'!$K$4:$K$104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'f1 с дробл.шг'!$R$5:$R$104</c:f>
              <c:numCache>
                <c:formatCode>General</c:formatCode>
                <c:ptCount val="100"/>
                <c:pt idx="0">
                  <c:v>4.8889327907807978</c:v>
                </c:pt>
                <c:pt idx="1">
                  <c:v>0.37326538922949748</c:v>
                </c:pt>
                <c:pt idx="2">
                  <c:v>0.30481917310267548</c:v>
                </c:pt>
                <c:pt idx="3">
                  <c:v>0.24238137814578165</c:v>
                </c:pt>
                <c:pt idx="4">
                  <c:v>0.18716036502384431</c:v>
                </c:pt>
                <c:pt idx="5">
                  <c:v>0.13958012226310484</c:v>
                </c:pt>
                <c:pt idx="6">
                  <c:v>9.826163432200552E-2</c:v>
                </c:pt>
                <c:pt idx="7">
                  <c:v>6.0093919241225688E-2</c:v>
                </c:pt>
                <c:pt idx="8">
                  <c:v>2.2409603540347572E-2</c:v>
                </c:pt>
                <c:pt idx="9">
                  <c:v>1.8700455276794363E-2</c:v>
                </c:pt>
                <c:pt idx="10">
                  <c:v>1.154415885671937E-2</c:v>
                </c:pt>
                <c:pt idx="11">
                  <c:v>1.0616785995848062E-2</c:v>
                </c:pt>
                <c:pt idx="12">
                  <c:v>1.0605709737228386E-2</c:v>
                </c:pt>
                <c:pt idx="13">
                  <c:v>1.0605629458544907E-2</c:v>
                </c:pt>
                <c:pt idx="14">
                  <c:v>1.0605629434493818E-2</c:v>
                </c:pt>
                <c:pt idx="15">
                  <c:v>1.060562943447655E-2</c:v>
                </c:pt>
                <c:pt idx="16">
                  <c:v>1.0605629434476554E-2</c:v>
                </c:pt>
                <c:pt idx="17">
                  <c:v>1.0605629434476554E-2</c:v>
                </c:pt>
                <c:pt idx="18">
                  <c:v>1.0605629434476554E-2</c:v>
                </c:pt>
                <c:pt idx="19">
                  <c:v>1.0605629434476554E-2</c:v>
                </c:pt>
                <c:pt idx="20">
                  <c:v>1.0605629434476554E-2</c:v>
                </c:pt>
                <c:pt idx="21">
                  <c:v>1.0605629434476554E-2</c:v>
                </c:pt>
                <c:pt idx="22">
                  <c:v>1.0605629434476554E-2</c:v>
                </c:pt>
                <c:pt idx="23">
                  <c:v>1.0605629434476554E-2</c:v>
                </c:pt>
                <c:pt idx="24">
                  <c:v>1.0605629434476554E-2</c:v>
                </c:pt>
                <c:pt idx="25">
                  <c:v>1.0605629434476554E-2</c:v>
                </c:pt>
                <c:pt idx="26">
                  <c:v>1.0605629434476554E-2</c:v>
                </c:pt>
                <c:pt idx="27">
                  <c:v>1.0605629434476554E-2</c:v>
                </c:pt>
                <c:pt idx="28">
                  <c:v>1.0605629434476554E-2</c:v>
                </c:pt>
                <c:pt idx="29">
                  <c:v>1.0605629434476554E-2</c:v>
                </c:pt>
                <c:pt idx="30">
                  <c:v>1.0605629434476554E-2</c:v>
                </c:pt>
                <c:pt idx="31">
                  <c:v>1.0605629434476554E-2</c:v>
                </c:pt>
                <c:pt idx="32">
                  <c:v>1.0605629434476554E-2</c:v>
                </c:pt>
                <c:pt idx="33">
                  <c:v>1.0605629434476554E-2</c:v>
                </c:pt>
                <c:pt idx="34">
                  <c:v>1.0605629434476554E-2</c:v>
                </c:pt>
                <c:pt idx="35">
                  <c:v>1.0605629434476554E-2</c:v>
                </c:pt>
                <c:pt idx="36">
                  <c:v>1.0605629434476554E-2</c:v>
                </c:pt>
                <c:pt idx="37">
                  <c:v>1.0605629434476554E-2</c:v>
                </c:pt>
                <c:pt idx="38">
                  <c:v>1.0605629434476554E-2</c:v>
                </c:pt>
                <c:pt idx="39">
                  <c:v>1.0605629434476554E-2</c:v>
                </c:pt>
                <c:pt idx="40">
                  <c:v>1.0605629434476554E-2</c:v>
                </c:pt>
                <c:pt idx="41">
                  <c:v>1.0605629434476554E-2</c:v>
                </c:pt>
                <c:pt idx="42">
                  <c:v>1.0605629434476554E-2</c:v>
                </c:pt>
                <c:pt idx="43">
                  <c:v>1.0605629434476554E-2</c:v>
                </c:pt>
                <c:pt idx="44">
                  <c:v>1.0605629434476554E-2</c:v>
                </c:pt>
                <c:pt idx="45">
                  <c:v>1.0605629434476554E-2</c:v>
                </c:pt>
                <c:pt idx="46">
                  <c:v>1.0605629434476554E-2</c:v>
                </c:pt>
                <c:pt idx="47">
                  <c:v>1.0605629434476554E-2</c:v>
                </c:pt>
                <c:pt idx="48">
                  <c:v>1.0605629434476554E-2</c:v>
                </c:pt>
                <c:pt idx="49">
                  <c:v>1.0605629434476554E-2</c:v>
                </c:pt>
                <c:pt idx="50">
                  <c:v>1.0605629434476554E-2</c:v>
                </c:pt>
                <c:pt idx="51">
                  <c:v>1.0605629434476554E-2</c:v>
                </c:pt>
                <c:pt idx="52">
                  <c:v>1.0605629434476554E-2</c:v>
                </c:pt>
                <c:pt idx="53">
                  <c:v>1.0605629434476554E-2</c:v>
                </c:pt>
                <c:pt idx="54">
                  <c:v>1.0605629434476554E-2</c:v>
                </c:pt>
                <c:pt idx="55">
                  <c:v>1.0605629434476554E-2</c:v>
                </c:pt>
                <c:pt idx="56">
                  <c:v>1.0605629434476554E-2</c:v>
                </c:pt>
                <c:pt idx="57">
                  <c:v>1.0605629434476554E-2</c:v>
                </c:pt>
                <c:pt idx="58">
                  <c:v>1.0605629434476554E-2</c:v>
                </c:pt>
                <c:pt idx="59">
                  <c:v>1.0605629434476554E-2</c:v>
                </c:pt>
                <c:pt idx="60">
                  <c:v>1.0605629434476554E-2</c:v>
                </c:pt>
                <c:pt idx="61">
                  <c:v>1.0605629434476554E-2</c:v>
                </c:pt>
                <c:pt idx="62">
                  <c:v>1.0605629434476554E-2</c:v>
                </c:pt>
                <c:pt idx="63">
                  <c:v>1.0605629434476554E-2</c:v>
                </c:pt>
                <c:pt idx="64">
                  <c:v>1.0605629434476554E-2</c:v>
                </c:pt>
                <c:pt idx="65">
                  <c:v>1.0605629434476554E-2</c:v>
                </c:pt>
                <c:pt idx="66">
                  <c:v>1.0605629434476554E-2</c:v>
                </c:pt>
                <c:pt idx="67">
                  <c:v>1.0605629434476554E-2</c:v>
                </c:pt>
                <c:pt idx="68">
                  <c:v>1.0605629434476554E-2</c:v>
                </c:pt>
                <c:pt idx="69">
                  <c:v>1.0605629434476554E-2</c:v>
                </c:pt>
                <c:pt idx="70">
                  <c:v>1.0605629434476554E-2</c:v>
                </c:pt>
                <c:pt idx="71">
                  <c:v>1.0605629434476554E-2</c:v>
                </c:pt>
                <c:pt idx="72">
                  <c:v>1.0605629434476554E-2</c:v>
                </c:pt>
                <c:pt idx="73">
                  <c:v>1.0605629434476554E-2</c:v>
                </c:pt>
                <c:pt idx="74">
                  <c:v>1.0605629434476554E-2</c:v>
                </c:pt>
                <c:pt idx="75">
                  <c:v>1.0605629434476554E-2</c:v>
                </c:pt>
                <c:pt idx="76">
                  <c:v>1.0605629434476554E-2</c:v>
                </c:pt>
                <c:pt idx="77">
                  <c:v>1.0605629434476554E-2</c:v>
                </c:pt>
                <c:pt idx="78">
                  <c:v>1.0605629434476554E-2</c:v>
                </c:pt>
                <c:pt idx="79">
                  <c:v>1.0605629434476554E-2</c:v>
                </c:pt>
                <c:pt idx="80">
                  <c:v>1.0605629434476554E-2</c:v>
                </c:pt>
                <c:pt idx="81">
                  <c:v>1.0605629434476554E-2</c:v>
                </c:pt>
                <c:pt idx="82">
                  <c:v>1.0605629434476554E-2</c:v>
                </c:pt>
                <c:pt idx="83">
                  <c:v>1.0605629434476554E-2</c:v>
                </c:pt>
                <c:pt idx="84">
                  <c:v>1.0605629434476554E-2</c:v>
                </c:pt>
                <c:pt idx="85">
                  <c:v>1.0605629434476554E-2</c:v>
                </c:pt>
                <c:pt idx="86">
                  <c:v>1.0605629434476554E-2</c:v>
                </c:pt>
                <c:pt idx="87">
                  <c:v>1.0605629434476554E-2</c:v>
                </c:pt>
                <c:pt idx="88">
                  <c:v>1.0605629434476554E-2</c:v>
                </c:pt>
                <c:pt idx="89">
                  <c:v>1.0605629434476554E-2</c:v>
                </c:pt>
                <c:pt idx="90">
                  <c:v>1.0605629434476554E-2</c:v>
                </c:pt>
                <c:pt idx="91">
                  <c:v>1.0605629434476554E-2</c:v>
                </c:pt>
                <c:pt idx="92">
                  <c:v>1.0605629434476554E-2</c:v>
                </c:pt>
                <c:pt idx="93">
                  <c:v>1.0605629434476554E-2</c:v>
                </c:pt>
                <c:pt idx="94">
                  <c:v>1.0605629434476554E-2</c:v>
                </c:pt>
                <c:pt idx="95">
                  <c:v>1.0605629434476554E-2</c:v>
                </c:pt>
                <c:pt idx="96">
                  <c:v>1.0605629434476554E-2</c:v>
                </c:pt>
                <c:pt idx="97">
                  <c:v>1.0605629434476554E-2</c:v>
                </c:pt>
                <c:pt idx="98">
                  <c:v>1.0605629434476554E-2</c:v>
                </c:pt>
                <c:pt idx="99">
                  <c:v>1.0605629434476554E-2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f1</c:v>
                </c15:tx>
              </c15:filteredSeriesTitle>
            </c:ext>
            <c:ext xmlns:c16="http://schemas.microsoft.com/office/drawing/2014/chart" uri="{C3380CC4-5D6E-409C-BE32-E72D297353CC}">
              <c16:uniqueId val="{00000000-077D-491C-9465-638ACCF2712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'f1 с дробл.шг'!$K$4:$K$104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('f1 с дробл.шг'!$F$4,'f1 с дробл.шг'!$F$4,'f1 с дробл.шг'!$F$4,'f1 с дробл.шг'!$F$4,'f1 с дробл.шг'!$F$4,'f1 с дробл.шг'!$F$4,'f1 с дробл.шг'!$F$4)</c:f>
              <c:numCache>
                <c:formatCode>General</c:formatCode>
                <c:ptCount val="7"/>
                <c:pt idx="0">
                  <c:v>3.0219201650390697E-13</c:v>
                </c:pt>
                <c:pt idx="1">
                  <c:v>3.0219201650390697E-13</c:v>
                </c:pt>
                <c:pt idx="2">
                  <c:v>3.0219201650390697E-13</c:v>
                </c:pt>
                <c:pt idx="3">
                  <c:v>3.0219201650390697E-13</c:v>
                </c:pt>
                <c:pt idx="4">
                  <c:v>3.0219201650390697E-13</c:v>
                </c:pt>
                <c:pt idx="5">
                  <c:v>3.0219201650390697E-13</c:v>
                </c:pt>
                <c:pt idx="6">
                  <c:v>3.0219201650390697E-13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f1_opt</c:v>
                </c15:tx>
              </c15:filteredSeriesTitle>
            </c:ext>
            <c:ext xmlns:c16="http://schemas.microsoft.com/office/drawing/2014/chart" uri="{C3380CC4-5D6E-409C-BE32-E72D297353CC}">
              <c16:uniqueId val="{00000001-077D-491C-9465-638ACCF27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017007"/>
        <c:axId val="1874012687"/>
      </c:scatterChart>
      <c:valAx>
        <c:axId val="187401700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4012687"/>
        <c:crosses val="autoZero"/>
        <c:crossBetween val="midCat"/>
        <c:majorUnit val="10"/>
      </c:valAx>
      <c:valAx>
        <c:axId val="187401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401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x1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'f1 с дробл.шг'!$K$4:$K$104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'f1 числ.пр.'!$L$4:$L$104</c:f>
              <c:numCache>
                <c:formatCode>General</c:formatCode>
                <c:ptCount val="101"/>
                <c:pt idx="0">
                  <c:v>7.6300851466414379</c:v>
                </c:pt>
                <c:pt idx="1">
                  <c:v>7.2377356233774881</c:v>
                </c:pt>
                <c:pt idx="2">
                  <c:v>7.056459053301138</c:v>
                </c:pt>
                <c:pt idx="3">
                  <c:v>6.97270415388064</c:v>
                </c:pt>
                <c:pt idx="4">
                  <c:v>6.9340070228946447</c:v>
                </c:pt>
                <c:pt idx="5">
                  <c:v>6.9161278545485709</c:v>
                </c:pt>
                <c:pt idx="6">
                  <c:v>6.9078671733920567</c:v>
                </c:pt>
                <c:pt idx="7">
                  <c:v>6.9040505051976115</c:v>
                </c:pt>
                <c:pt idx="8">
                  <c:v>6.9022870966081147</c:v>
                </c:pt>
                <c:pt idx="9">
                  <c:v>6.9014723519944647</c:v>
                </c:pt>
                <c:pt idx="10">
                  <c:v>6.9010959169530208</c:v>
                </c:pt>
                <c:pt idx="11">
                  <c:v>6.900921993323391</c:v>
                </c:pt>
                <c:pt idx="12">
                  <c:v>6.9008416356902984</c:v>
                </c:pt>
                <c:pt idx="13">
                  <c:v>6.9008045081923841</c:v>
                </c:pt>
                <c:pt idx="14">
                  <c:v>6.9007873542388856</c:v>
                </c:pt>
                <c:pt idx="15">
                  <c:v>6.9007794286274882</c:v>
                </c:pt>
                <c:pt idx="16">
                  <c:v>6.9007757667709937</c:v>
                </c:pt>
                <c:pt idx="17">
                  <c:v>6.9007740748897852</c:v>
                </c:pt>
                <c:pt idx="18">
                  <c:v>6.9007732931928434</c:v>
                </c:pt>
                <c:pt idx="19">
                  <c:v>6.9007729320267606</c:v>
                </c:pt>
                <c:pt idx="20">
                  <c:v>6.9007727651578215</c:v>
                </c:pt>
                <c:pt idx="21">
                  <c:v>6.9007726880596545</c:v>
                </c:pt>
                <c:pt idx="22">
                  <c:v>6.9007726524381221</c:v>
                </c:pt>
                <c:pt idx="23">
                  <c:v>6.9007726359799673</c:v>
                </c:pt>
                <c:pt idx="24">
                  <c:v>6.9007726283758348</c:v>
                </c:pt>
                <c:pt idx="25">
                  <c:v>6.9007726248625101</c:v>
                </c:pt>
                <c:pt idx="26">
                  <c:v>6.9007726232392548</c:v>
                </c:pt>
                <c:pt idx="27">
                  <c:v>6.9007726224892654</c:v>
                </c:pt>
                <c:pt idx="28">
                  <c:v>6.9007726221427488</c:v>
                </c:pt>
                <c:pt idx="29">
                  <c:v>6.9007726219826484</c:v>
                </c:pt>
                <c:pt idx="30">
                  <c:v>6.9007726219086774</c:v>
                </c:pt>
                <c:pt idx="31">
                  <c:v>6.9007726218745011</c:v>
                </c:pt>
                <c:pt idx="32">
                  <c:v>6.9007726218587102</c:v>
                </c:pt>
                <c:pt idx="33">
                  <c:v>6.9007726218514147</c:v>
                </c:pt>
                <c:pt idx="34">
                  <c:v>6.9007726218480441</c:v>
                </c:pt>
                <c:pt idx="35">
                  <c:v>6.9007726218464862</c:v>
                </c:pt>
                <c:pt idx="36">
                  <c:v>6.9007726218457668</c:v>
                </c:pt>
                <c:pt idx="37">
                  <c:v>6.9007726218454346</c:v>
                </c:pt>
                <c:pt idx="38">
                  <c:v>6.900772621845281</c:v>
                </c:pt>
                <c:pt idx="39">
                  <c:v>6.9007726218452099</c:v>
                </c:pt>
                <c:pt idx="40">
                  <c:v>6.900772621845177</c:v>
                </c:pt>
                <c:pt idx="41">
                  <c:v>6.9007726218451619</c:v>
                </c:pt>
                <c:pt idx="42">
                  <c:v>6.9007726218451548</c:v>
                </c:pt>
                <c:pt idx="43">
                  <c:v>6.9007726218451522</c:v>
                </c:pt>
                <c:pt idx="44">
                  <c:v>6.9007726218451504</c:v>
                </c:pt>
                <c:pt idx="45">
                  <c:v>6.9007726218451495</c:v>
                </c:pt>
                <c:pt idx="46">
                  <c:v>6.9007726218451495</c:v>
                </c:pt>
                <c:pt idx="47">
                  <c:v>6.9007726218451495</c:v>
                </c:pt>
                <c:pt idx="48">
                  <c:v>6.9007726218451495</c:v>
                </c:pt>
                <c:pt idx="49">
                  <c:v>6.9007726218451495</c:v>
                </c:pt>
                <c:pt idx="50">
                  <c:v>6.9007726218451495</c:v>
                </c:pt>
                <c:pt idx="51">
                  <c:v>6.9007726218451495</c:v>
                </c:pt>
                <c:pt idx="52">
                  <c:v>6.9007726218451495</c:v>
                </c:pt>
                <c:pt idx="53">
                  <c:v>6.9007726218451495</c:v>
                </c:pt>
                <c:pt idx="54">
                  <c:v>6.9007726218451495</c:v>
                </c:pt>
                <c:pt idx="55">
                  <c:v>6.9007726218451495</c:v>
                </c:pt>
                <c:pt idx="56">
                  <c:v>6.9007726218451495</c:v>
                </c:pt>
                <c:pt idx="57">
                  <c:v>6.9007726218451495</c:v>
                </c:pt>
                <c:pt idx="58">
                  <c:v>6.9007726218451495</c:v>
                </c:pt>
                <c:pt idx="59">
                  <c:v>6.9007726218451495</c:v>
                </c:pt>
                <c:pt idx="60">
                  <c:v>6.9007726218451495</c:v>
                </c:pt>
                <c:pt idx="61">
                  <c:v>6.9007726218451495</c:v>
                </c:pt>
                <c:pt idx="62">
                  <c:v>6.9007726218451495</c:v>
                </c:pt>
                <c:pt idx="63">
                  <c:v>6.9007726218451495</c:v>
                </c:pt>
                <c:pt idx="64">
                  <c:v>6.9007726218451495</c:v>
                </c:pt>
                <c:pt idx="65">
                  <c:v>6.9007726218451495</c:v>
                </c:pt>
                <c:pt idx="66">
                  <c:v>6.9007726218451495</c:v>
                </c:pt>
                <c:pt idx="67">
                  <c:v>6.9007726218451495</c:v>
                </c:pt>
                <c:pt idx="68">
                  <c:v>6.9007726218451495</c:v>
                </c:pt>
                <c:pt idx="69">
                  <c:v>6.9007726218451495</c:v>
                </c:pt>
                <c:pt idx="70">
                  <c:v>6.9007726218451495</c:v>
                </c:pt>
                <c:pt idx="71">
                  <c:v>6.9007726218451495</c:v>
                </c:pt>
                <c:pt idx="72">
                  <c:v>6.9007726218451495</c:v>
                </c:pt>
                <c:pt idx="73">
                  <c:v>6.9007726218451495</c:v>
                </c:pt>
                <c:pt idx="74">
                  <c:v>6.9007726218451495</c:v>
                </c:pt>
                <c:pt idx="75">
                  <c:v>6.9007726218451495</c:v>
                </c:pt>
                <c:pt idx="76">
                  <c:v>6.9007726218451495</c:v>
                </c:pt>
                <c:pt idx="77">
                  <c:v>6.9007726218451495</c:v>
                </c:pt>
                <c:pt idx="78">
                  <c:v>6.9007726218451495</c:v>
                </c:pt>
                <c:pt idx="79">
                  <c:v>6.9007726218451495</c:v>
                </c:pt>
                <c:pt idx="80">
                  <c:v>6.9007726218451495</c:v>
                </c:pt>
                <c:pt idx="81">
                  <c:v>6.9007726218451495</c:v>
                </c:pt>
                <c:pt idx="82">
                  <c:v>6.9007726218451495</c:v>
                </c:pt>
                <c:pt idx="83">
                  <c:v>6.9007726218451495</c:v>
                </c:pt>
                <c:pt idx="84">
                  <c:v>6.9007726218451495</c:v>
                </c:pt>
                <c:pt idx="85">
                  <c:v>6.9007726218451495</c:v>
                </c:pt>
                <c:pt idx="86">
                  <c:v>6.9007726218451495</c:v>
                </c:pt>
                <c:pt idx="87">
                  <c:v>6.9007726218451495</c:v>
                </c:pt>
                <c:pt idx="88">
                  <c:v>6.9007726218451495</c:v>
                </c:pt>
                <c:pt idx="89">
                  <c:v>6.9007726218451495</c:v>
                </c:pt>
                <c:pt idx="90">
                  <c:v>6.9007726218451495</c:v>
                </c:pt>
                <c:pt idx="91">
                  <c:v>6.9007726218451495</c:v>
                </c:pt>
                <c:pt idx="92">
                  <c:v>6.9007726218451495</c:v>
                </c:pt>
                <c:pt idx="93">
                  <c:v>6.9007726218451495</c:v>
                </c:pt>
                <c:pt idx="94">
                  <c:v>6.9007726218451495</c:v>
                </c:pt>
                <c:pt idx="95">
                  <c:v>6.9007726218451495</c:v>
                </c:pt>
                <c:pt idx="96">
                  <c:v>6.9007726218451495</c:v>
                </c:pt>
                <c:pt idx="97">
                  <c:v>6.9007726218451495</c:v>
                </c:pt>
                <c:pt idx="98">
                  <c:v>6.9007726218451495</c:v>
                </c:pt>
                <c:pt idx="99">
                  <c:v>6.9007726218451495</c:v>
                </c:pt>
                <c:pt idx="100">
                  <c:v>6.9007726218451495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35-40F6-8707-6B9E588EA6E0}"/>
            </c:ext>
          </c:extLst>
        </c:ser>
        <c:ser>
          <c:idx val="1"/>
          <c:order val="1"/>
          <c:tx>
            <c:v>x2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'f1 с дробл.шг'!$K$4:$K$104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'f1 с дробл.шг'!$M$4:$M$104</c:f>
              <c:numCache>
                <c:formatCode>General</c:formatCode>
                <c:ptCount val="101"/>
                <c:pt idx="0">
                  <c:v>6.9177831354709998</c:v>
                </c:pt>
                <c:pt idx="1">
                  <c:v>7.1013826771126318</c:v>
                </c:pt>
                <c:pt idx="2">
                  <c:v>7.149226064176788</c:v>
                </c:pt>
                <c:pt idx="3">
                  <c:v>7.2017696970523568</c:v>
                </c:pt>
                <c:pt idx="4">
                  <c:v>7.2596833755447756</c:v>
                </c:pt>
                <c:pt idx="5">
                  <c:v>7.3233447634265518</c:v>
                </c:pt>
                <c:pt idx="6">
                  <c:v>7.3923482573535875</c:v>
                </c:pt>
                <c:pt idx="7">
                  <c:v>7.4651038717546712</c:v>
                </c:pt>
                <c:pt idx="8">
                  <c:v>7.5393665379121622</c:v>
                </c:pt>
                <c:pt idx="9">
                  <c:v>7.6137305282363679</c:v>
                </c:pt>
                <c:pt idx="10">
                  <c:v>7.6833287858323835</c:v>
                </c:pt>
                <c:pt idx="11">
                  <c:v>7.6315651576137009</c:v>
                </c:pt>
                <c:pt idx="12">
                  <c:v>7.6205722044779591</c:v>
                </c:pt>
                <c:pt idx="13">
                  <c:v>7.6207033824905688</c:v>
                </c:pt>
                <c:pt idx="14">
                  <c:v>7.6207770971374549</c:v>
                </c:pt>
                <c:pt idx="15">
                  <c:v>7.6207770357196987</c:v>
                </c:pt>
                <c:pt idx="16">
                  <c:v>7.6207770012063918</c:v>
                </c:pt>
                <c:pt idx="17">
                  <c:v>7.6207770012351306</c:v>
                </c:pt>
                <c:pt idx="18">
                  <c:v>7.6207770012512803</c:v>
                </c:pt>
                <c:pt idx="19">
                  <c:v>7.620777001251267</c:v>
                </c:pt>
                <c:pt idx="20">
                  <c:v>7.620777001251259</c:v>
                </c:pt>
                <c:pt idx="21">
                  <c:v>7.620777001251259</c:v>
                </c:pt>
                <c:pt idx="22">
                  <c:v>7.620777001251259</c:v>
                </c:pt>
                <c:pt idx="23">
                  <c:v>7.620777001251259</c:v>
                </c:pt>
                <c:pt idx="24">
                  <c:v>7.620777001251259</c:v>
                </c:pt>
                <c:pt idx="25">
                  <c:v>7.620777001251259</c:v>
                </c:pt>
                <c:pt idx="26">
                  <c:v>7.620777001251259</c:v>
                </c:pt>
                <c:pt idx="27">
                  <c:v>7.620777001251259</c:v>
                </c:pt>
                <c:pt idx="28">
                  <c:v>7.620777001251259</c:v>
                </c:pt>
                <c:pt idx="29">
                  <c:v>7.620777001251259</c:v>
                </c:pt>
                <c:pt idx="30">
                  <c:v>7.620777001251259</c:v>
                </c:pt>
                <c:pt idx="31">
                  <c:v>7.620777001251259</c:v>
                </c:pt>
                <c:pt idx="32">
                  <c:v>7.620777001251259</c:v>
                </c:pt>
                <c:pt idx="33">
                  <c:v>7.620777001251259</c:v>
                </c:pt>
                <c:pt idx="34">
                  <c:v>7.620777001251259</c:v>
                </c:pt>
                <c:pt idx="35">
                  <c:v>7.620777001251259</c:v>
                </c:pt>
                <c:pt idx="36">
                  <c:v>7.620777001251259</c:v>
                </c:pt>
                <c:pt idx="37">
                  <c:v>7.620777001251259</c:v>
                </c:pt>
                <c:pt idx="38">
                  <c:v>7.620777001251259</c:v>
                </c:pt>
                <c:pt idx="39">
                  <c:v>7.620777001251259</c:v>
                </c:pt>
                <c:pt idx="40">
                  <c:v>7.620777001251259</c:v>
                </c:pt>
                <c:pt idx="41">
                  <c:v>7.620777001251259</c:v>
                </c:pt>
                <c:pt idx="42">
                  <c:v>7.620777001251259</c:v>
                </c:pt>
                <c:pt idx="43">
                  <c:v>7.620777001251259</c:v>
                </c:pt>
                <c:pt idx="44">
                  <c:v>7.620777001251259</c:v>
                </c:pt>
                <c:pt idx="45">
                  <c:v>7.620777001251259</c:v>
                </c:pt>
                <c:pt idx="46">
                  <c:v>7.620777001251259</c:v>
                </c:pt>
                <c:pt idx="47">
                  <c:v>7.620777001251259</c:v>
                </c:pt>
                <c:pt idx="48">
                  <c:v>7.620777001251259</c:v>
                </c:pt>
                <c:pt idx="49">
                  <c:v>7.620777001251259</c:v>
                </c:pt>
                <c:pt idx="50">
                  <c:v>7.620777001251259</c:v>
                </c:pt>
                <c:pt idx="51">
                  <c:v>7.620777001251259</c:v>
                </c:pt>
                <c:pt idx="52">
                  <c:v>7.620777001251259</c:v>
                </c:pt>
                <c:pt idx="53">
                  <c:v>7.620777001251259</c:v>
                </c:pt>
                <c:pt idx="54">
                  <c:v>7.620777001251259</c:v>
                </c:pt>
                <c:pt idx="55">
                  <c:v>7.620777001251259</c:v>
                </c:pt>
                <c:pt idx="56">
                  <c:v>7.620777001251259</c:v>
                </c:pt>
                <c:pt idx="57">
                  <c:v>7.620777001251259</c:v>
                </c:pt>
                <c:pt idx="58">
                  <c:v>7.620777001251259</c:v>
                </c:pt>
                <c:pt idx="59">
                  <c:v>7.620777001251259</c:v>
                </c:pt>
                <c:pt idx="60">
                  <c:v>7.620777001251259</c:v>
                </c:pt>
                <c:pt idx="61">
                  <c:v>7.620777001251259</c:v>
                </c:pt>
                <c:pt idx="62">
                  <c:v>7.620777001251259</c:v>
                </c:pt>
                <c:pt idx="63">
                  <c:v>7.620777001251259</c:v>
                </c:pt>
                <c:pt idx="64">
                  <c:v>7.620777001251259</c:v>
                </c:pt>
                <c:pt idx="65">
                  <c:v>7.620777001251259</c:v>
                </c:pt>
                <c:pt idx="66">
                  <c:v>7.620777001251259</c:v>
                </c:pt>
                <c:pt idx="67">
                  <c:v>7.620777001251259</c:v>
                </c:pt>
                <c:pt idx="68">
                  <c:v>7.620777001251259</c:v>
                </c:pt>
                <c:pt idx="69">
                  <c:v>7.620777001251259</c:v>
                </c:pt>
                <c:pt idx="70">
                  <c:v>7.620777001251259</c:v>
                </c:pt>
                <c:pt idx="71">
                  <c:v>7.620777001251259</c:v>
                </c:pt>
                <c:pt idx="72">
                  <c:v>7.620777001251259</c:v>
                </c:pt>
                <c:pt idx="73">
                  <c:v>7.620777001251259</c:v>
                </c:pt>
                <c:pt idx="74">
                  <c:v>7.620777001251259</c:v>
                </c:pt>
                <c:pt idx="75">
                  <c:v>7.620777001251259</c:v>
                </c:pt>
                <c:pt idx="76">
                  <c:v>7.620777001251259</c:v>
                </c:pt>
                <c:pt idx="77">
                  <c:v>7.620777001251259</c:v>
                </c:pt>
                <c:pt idx="78">
                  <c:v>7.620777001251259</c:v>
                </c:pt>
                <c:pt idx="79">
                  <c:v>7.620777001251259</c:v>
                </c:pt>
                <c:pt idx="80">
                  <c:v>7.620777001251259</c:v>
                </c:pt>
                <c:pt idx="81">
                  <c:v>7.620777001251259</c:v>
                </c:pt>
                <c:pt idx="82">
                  <c:v>7.620777001251259</c:v>
                </c:pt>
                <c:pt idx="83">
                  <c:v>7.620777001251259</c:v>
                </c:pt>
                <c:pt idx="84">
                  <c:v>7.620777001251259</c:v>
                </c:pt>
                <c:pt idx="85">
                  <c:v>7.620777001251259</c:v>
                </c:pt>
                <c:pt idx="86">
                  <c:v>7.620777001251259</c:v>
                </c:pt>
                <c:pt idx="87">
                  <c:v>7.620777001251259</c:v>
                </c:pt>
                <c:pt idx="88">
                  <c:v>7.620777001251259</c:v>
                </c:pt>
                <c:pt idx="89">
                  <c:v>7.620777001251259</c:v>
                </c:pt>
                <c:pt idx="90">
                  <c:v>7.620777001251259</c:v>
                </c:pt>
                <c:pt idx="91">
                  <c:v>7.620777001251259</c:v>
                </c:pt>
                <c:pt idx="92">
                  <c:v>7.620777001251259</c:v>
                </c:pt>
                <c:pt idx="93">
                  <c:v>7.620777001251259</c:v>
                </c:pt>
                <c:pt idx="94">
                  <c:v>7.620777001251259</c:v>
                </c:pt>
                <c:pt idx="95">
                  <c:v>7.620777001251259</c:v>
                </c:pt>
                <c:pt idx="96">
                  <c:v>7.620777001251259</c:v>
                </c:pt>
                <c:pt idx="97">
                  <c:v>7.620777001251259</c:v>
                </c:pt>
                <c:pt idx="98">
                  <c:v>7.620777001251259</c:v>
                </c:pt>
                <c:pt idx="99">
                  <c:v>7.620777001251259</c:v>
                </c:pt>
                <c:pt idx="100">
                  <c:v>7.620777001251259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35-40F6-8707-6B9E588EA6E0}"/>
            </c:ext>
          </c:extLst>
        </c:ser>
        <c:ser>
          <c:idx val="2"/>
          <c:order val="2"/>
          <c:tx>
            <c:v>x1_opt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'f1 с дробл.шг'!$K$4:$K$104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('f1 с дробл.шг'!$F$5,'f1 с дробл.шг'!$F$5,'f1 с дробл.шг'!$F$5,'f1 с дробл.шг'!$F$5,'f1 с дробл.шг'!$F$5,'f1 с дробл.шг'!$F$5,'f1 с дробл.шг'!$F$5,'f1 с дробл.шг'!$F$5,'f1 с дробл.шг'!$F$5,'f1 с дробл.шг'!$F$5,'f1 с дробл.шг'!$F$5,'f1 с дробл.шг'!$F$5,'f1 с дробл.шг'!$F$5,'f1 с дробл.шг'!$F$5,'f1 с дробл.шг'!$F$5,'f1 с дробл.шг'!$F$5,'f1 с дробл.шг'!$F$5)</c:f>
              <c:numCache>
                <c:formatCode>General</c:formatCode>
                <c:ptCount val="17"/>
                <c:pt idx="0">
                  <c:v>6.9012725628661</c:v>
                </c:pt>
                <c:pt idx="1">
                  <c:v>6.9012725628661</c:v>
                </c:pt>
                <c:pt idx="2">
                  <c:v>6.9012725628661</c:v>
                </c:pt>
                <c:pt idx="3">
                  <c:v>6.9012725628661</c:v>
                </c:pt>
                <c:pt idx="4">
                  <c:v>6.9012725628661</c:v>
                </c:pt>
                <c:pt idx="5">
                  <c:v>6.9012725628661</c:v>
                </c:pt>
                <c:pt idx="6">
                  <c:v>6.9012725628661</c:v>
                </c:pt>
                <c:pt idx="7">
                  <c:v>6.9012725628661</c:v>
                </c:pt>
                <c:pt idx="8">
                  <c:v>6.9012725628661</c:v>
                </c:pt>
                <c:pt idx="9">
                  <c:v>6.9012725628661</c:v>
                </c:pt>
                <c:pt idx="10">
                  <c:v>6.9012725628661</c:v>
                </c:pt>
                <c:pt idx="11">
                  <c:v>6.9012725628661</c:v>
                </c:pt>
                <c:pt idx="12">
                  <c:v>6.9012725628661</c:v>
                </c:pt>
                <c:pt idx="13">
                  <c:v>6.9012725628661</c:v>
                </c:pt>
                <c:pt idx="14">
                  <c:v>6.9012725628661</c:v>
                </c:pt>
                <c:pt idx="15">
                  <c:v>6.9012725628661</c:v>
                </c:pt>
                <c:pt idx="16">
                  <c:v>6.9012725628661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35-40F6-8707-6B9E588EA6E0}"/>
            </c:ext>
          </c:extLst>
        </c:ser>
        <c:ser>
          <c:idx val="3"/>
          <c:order val="3"/>
          <c:tx>
            <c:v>x2_opt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'f1 с дробл.шг'!$K$4:$K$104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('f1 с дробл.шг'!$F$6,'f1 с дробл.шг'!$F$6,'f1 с дробл.шг'!$F$6,'f1 с дробл.шг'!$F$6,'f1 с дробл.шг'!$F$6,'f1 с дробл.шг'!$F$6,'f1 с дробл.шг'!$F$6,'f1 с дробл.шг'!$F$6,'f1 с дробл.шг'!$F$6,'f1 с дробл.шг'!$F$6,'f1 с дробл.шг'!$F$6,'f1 с дробл.шг'!$F$6,'f1 с дробл.шг'!$F$6)</c:f>
              <c:numCache>
                <c:formatCode>General</c:formatCode>
                <c:ptCount val="13"/>
                <c:pt idx="0">
                  <c:v>7.6207772837098702</c:v>
                </c:pt>
                <c:pt idx="1">
                  <c:v>7.6207772837098702</c:v>
                </c:pt>
                <c:pt idx="2">
                  <c:v>7.6207772837098702</c:v>
                </c:pt>
                <c:pt idx="3">
                  <c:v>7.6207772837098702</c:v>
                </c:pt>
                <c:pt idx="4">
                  <c:v>7.6207772837098702</c:v>
                </c:pt>
                <c:pt idx="5">
                  <c:v>7.6207772837098702</c:v>
                </c:pt>
                <c:pt idx="6">
                  <c:v>7.6207772837098702</c:v>
                </c:pt>
                <c:pt idx="7">
                  <c:v>7.6207772837098702</c:v>
                </c:pt>
                <c:pt idx="8">
                  <c:v>7.6207772837098702</c:v>
                </c:pt>
                <c:pt idx="9">
                  <c:v>7.6207772837098702</c:v>
                </c:pt>
                <c:pt idx="10">
                  <c:v>7.6207772837098702</c:v>
                </c:pt>
                <c:pt idx="11">
                  <c:v>7.6207772837098702</c:v>
                </c:pt>
                <c:pt idx="12">
                  <c:v>7.6207772837098702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35-40F6-8707-6B9E588EA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334047"/>
        <c:axId val="1963328767"/>
      </c:scatterChart>
      <c:valAx>
        <c:axId val="196333404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3328767"/>
        <c:crosses val="autoZero"/>
        <c:crossBetween val="midCat"/>
      </c:valAx>
      <c:valAx>
        <c:axId val="196332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3334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'f1 c пост.шг'!$W$8:$W$20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'f1 c пост.шг'!$X$8:$X$20</c:f>
              <c:numCache>
                <c:formatCode>General</c:formatCode>
                <c:ptCount val="13"/>
                <c:pt idx="0">
                  <c:v>11.304431794424326</c:v>
                </c:pt>
                <c:pt idx="1">
                  <c:v>14.041282278050369</c:v>
                </c:pt>
                <c:pt idx="2">
                  <c:v>15.605552358132812</c:v>
                </c:pt>
                <c:pt idx="3">
                  <c:v>16.630247635347359</c:v>
                </c:pt>
                <c:pt idx="4">
                  <c:v>17.288489183031206</c:v>
                </c:pt>
                <c:pt idx="5">
                  <c:v>17.652672668030903</c:v>
                </c:pt>
                <c:pt idx="6">
                  <c:v>17.754551057588188</c:v>
                </c:pt>
                <c:pt idx="7">
                  <c:v>17.602159505541032</c:v>
                </c:pt>
                <c:pt idx="8">
                  <c:v>17.183349400209391</c:v>
                </c:pt>
                <c:pt idx="9">
                  <c:v>16.460333505398353</c:v>
                </c:pt>
                <c:pt idx="10">
                  <c:v>15.348189350221766</c:v>
                </c:pt>
                <c:pt idx="11">
                  <c:v>13.634778842650537</c:v>
                </c:pt>
                <c:pt idx="12">
                  <c:v>10.360066836592775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6F-427D-8D0B-EFA3173201C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'f1 c пост.шг'!$W$8:$W$20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'f1 c пост.шг'!$Y$8:$Y$20</c:f>
              <c:numCache>
                <c:formatCode>General</c:formatCode>
                <c:ptCount val="13"/>
                <c:pt idx="0">
                  <c:v>3.937122208078192</c:v>
                </c:pt>
                <c:pt idx="1">
                  <c:v>1.2002717244521488</c:v>
                </c:pt>
                <c:pt idx="2">
                  <c:v>-0.36399835563029281</c:v>
                </c:pt>
                <c:pt idx="3">
                  <c:v>-1.3886936328448396</c:v>
                </c:pt>
                <c:pt idx="4">
                  <c:v>-2.0469351805286884</c:v>
                </c:pt>
                <c:pt idx="5">
                  <c:v>-2.4111186655283863</c:v>
                </c:pt>
                <c:pt idx="6">
                  <c:v>-2.512997055085668</c:v>
                </c:pt>
                <c:pt idx="7">
                  <c:v>-2.3606055030385118</c:v>
                </c:pt>
                <c:pt idx="8">
                  <c:v>-1.9417953977068727</c:v>
                </c:pt>
                <c:pt idx="9">
                  <c:v>-1.2187795028958348</c:v>
                </c:pt>
                <c:pt idx="10">
                  <c:v>-0.10663534771924699</c:v>
                </c:pt>
                <c:pt idx="11">
                  <c:v>1.6067751598519804</c:v>
                </c:pt>
                <c:pt idx="12">
                  <c:v>4.8814871659097427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6F-427D-8D0B-EFA3173201C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'f1 c пост.шг'!$W$10:$W$18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numCache>
            </c:numRef>
          </c:xVal>
          <c:yVal>
            <c:numRef>
              <c:f>'f1 c пост.шг'!$Z$10:$Z$18</c:f>
              <c:numCache>
                <c:formatCode>General</c:formatCode>
                <c:ptCount val="9"/>
                <c:pt idx="0">
                  <c:v>12.063129619257611</c:v>
                </c:pt>
                <c:pt idx="1">
                  <c:v>13.715727402155679</c:v>
                </c:pt>
                <c:pt idx="2">
                  <c:v>14.652314394494745</c:v>
                </c:pt>
                <c:pt idx="3">
                  <c:v>15.145189931971981</c:v>
                </c:pt>
                <c:pt idx="4">
                  <c:v>15.280492133534729</c:v>
                </c:pt>
                <c:pt idx="5">
                  <c:v>15.077710417863408</c:v>
                </c:pt>
                <c:pt idx="6">
                  <c:v>14.507042329290897</c:v>
                </c:pt>
                <c:pt idx="7">
                  <c:v>13.461634684233626</c:v>
                </c:pt>
                <c:pt idx="8">
                  <c:v>11.581933510891702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6F-427D-8D0B-EFA3173201C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'f1 c пост.шг'!$W$10:$W$18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numCache>
            </c:numRef>
          </c:xVal>
          <c:yVal>
            <c:numRef>
              <c:f>'f1 c пост.шг'!$AA$10:$AA$18</c:f>
              <c:numCache>
                <c:formatCode>General</c:formatCode>
                <c:ptCount val="9"/>
                <c:pt idx="0">
                  <c:v>3.1784243832449075</c:v>
                </c:pt>
                <c:pt idx="1">
                  <c:v>1.5258266003468393</c:v>
                </c:pt>
                <c:pt idx="2">
                  <c:v>0.58923960800777397</c:v>
                </c:pt>
                <c:pt idx="3">
                  <c:v>9.6364070530538193E-2</c:v>
                </c:pt>
                <c:pt idx="4">
                  <c:v>-3.8938131032210777E-2</c:v>
                </c:pt>
                <c:pt idx="5">
                  <c:v>0.16384358463911042</c:v>
                </c:pt>
                <c:pt idx="6">
                  <c:v>0.73451167321162103</c:v>
                </c:pt>
                <c:pt idx="7">
                  <c:v>1.7799193182688908</c:v>
                </c:pt>
                <c:pt idx="8">
                  <c:v>3.6596204916108173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6F-427D-8D0B-EFA3173201C6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'f1 c пост.шг'!$W$12:$W$16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</c:numCache>
            </c:numRef>
          </c:xVal>
          <c:yVal>
            <c:numRef>
              <c:f>'f1 c пост.шг'!$AB$12:$AB$16</c:f>
              <c:numCache>
                <c:formatCode>General</c:formatCode>
                <c:ptCount val="5"/>
                <c:pt idx="0">
                  <c:v>9.9489473978129777</c:v>
                </c:pt>
                <c:pt idx="1">
                  <c:v>11.169671087419816</c:v>
                </c:pt>
                <c:pt idx="2">
                  <c:v>11.44819064372281</c:v>
                </c:pt>
                <c:pt idx="3">
                  <c:v>11.02426275304043</c:v>
                </c:pt>
                <c:pt idx="4">
                  <c:v>9.464281666557488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F6F-427D-8D0B-EFA3173201C6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'f1 c пост.шг'!$W$12:$W$16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</c:numCache>
            </c:numRef>
          </c:xVal>
          <c:yVal>
            <c:numRef>
              <c:f>'f1 c пост.шг'!$AC$12:$AC$16</c:f>
              <c:numCache>
                <c:formatCode>General</c:formatCode>
                <c:ptCount val="5"/>
                <c:pt idx="0">
                  <c:v>5.2926066046895404</c:v>
                </c:pt>
                <c:pt idx="1">
                  <c:v>4.0718829150827016</c:v>
                </c:pt>
                <c:pt idx="2">
                  <c:v>3.793363358779708</c:v>
                </c:pt>
                <c:pt idx="3">
                  <c:v>4.2172912494620878</c:v>
                </c:pt>
                <c:pt idx="4">
                  <c:v>5.77727233594503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F6F-427D-8D0B-EFA3173201C6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'f1 наиск.спск'!$L$4:$L$104</c:f>
              <c:numCache>
                <c:formatCode>General</c:formatCode>
                <c:ptCount val="101"/>
                <c:pt idx="0">
                  <c:v>7.6300851466413997</c:v>
                </c:pt>
                <c:pt idx="1">
                  <c:v>7.1428247878812368</c:v>
                </c:pt>
                <c:pt idx="2">
                  <c:v>7.0858659853135091</c:v>
                </c:pt>
                <c:pt idx="3">
                  <c:v>7.033211816248202</c:v>
                </c:pt>
                <c:pt idx="4">
                  <c:v>6.9865288352037433</c:v>
                </c:pt>
                <c:pt idx="5">
                  <c:v>6.948051275916729</c:v>
                </c:pt>
                <c:pt idx="6">
                  <c:v>6.9202697586511208</c:v>
                </c:pt>
                <c:pt idx="7">
                  <c:v>6.9047805543837502</c:v>
                </c:pt>
                <c:pt idx="8">
                  <c:v>6.9004967137126139</c:v>
                </c:pt>
                <c:pt idx="9">
                  <c:v>6.9023110507199386</c:v>
                </c:pt>
                <c:pt idx="10">
                  <c:v>6.8760550530175646</c:v>
                </c:pt>
                <c:pt idx="11">
                  <c:v>6.9294762255002675</c:v>
                </c:pt>
                <c:pt idx="12">
                  <c:v>6.8559068714385596</c:v>
                </c:pt>
                <c:pt idx="13">
                  <c:v>6.930292875955832</c:v>
                </c:pt>
                <c:pt idx="14">
                  <c:v>6.8559067922985681</c:v>
                </c:pt>
                <c:pt idx="15">
                  <c:v>6.9302929124804331</c:v>
                </c:pt>
                <c:pt idx="16">
                  <c:v>6.8559067922985504</c:v>
                </c:pt>
                <c:pt idx="17">
                  <c:v>6.9302929124804411</c:v>
                </c:pt>
                <c:pt idx="18">
                  <c:v>6.8559067922985504</c:v>
                </c:pt>
                <c:pt idx="19">
                  <c:v>6.9302929124804411</c:v>
                </c:pt>
                <c:pt idx="20">
                  <c:v>6.8559067922985504</c:v>
                </c:pt>
                <c:pt idx="21">
                  <c:v>6.9302929124804411</c:v>
                </c:pt>
                <c:pt idx="22">
                  <c:v>6.8559067922985504</c:v>
                </c:pt>
                <c:pt idx="23">
                  <c:v>6.9302929124804411</c:v>
                </c:pt>
                <c:pt idx="24">
                  <c:v>6.8559067922985504</c:v>
                </c:pt>
                <c:pt idx="25">
                  <c:v>6.9302929124804411</c:v>
                </c:pt>
                <c:pt idx="26">
                  <c:v>6.8559067922985504</c:v>
                </c:pt>
                <c:pt idx="27">
                  <c:v>6.9302929124804411</c:v>
                </c:pt>
                <c:pt idx="28">
                  <c:v>6.8559067922985504</c:v>
                </c:pt>
                <c:pt idx="29">
                  <c:v>6.9302929124804411</c:v>
                </c:pt>
                <c:pt idx="30">
                  <c:v>6.8559067922985504</c:v>
                </c:pt>
                <c:pt idx="31">
                  <c:v>6.9302929124804411</c:v>
                </c:pt>
                <c:pt idx="32">
                  <c:v>6.8559067922985504</c:v>
                </c:pt>
                <c:pt idx="33">
                  <c:v>6.9302929124804411</c:v>
                </c:pt>
                <c:pt idx="34">
                  <c:v>6.8559067922985504</c:v>
                </c:pt>
                <c:pt idx="35">
                  <c:v>6.9302929124804411</c:v>
                </c:pt>
                <c:pt idx="36">
                  <c:v>6.8559067922985504</c:v>
                </c:pt>
                <c:pt idx="37">
                  <c:v>6.9302929124804411</c:v>
                </c:pt>
                <c:pt idx="38">
                  <c:v>6.8559067922985504</c:v>
                </c:pt>
                <c:pt idx="39">
                  <c:v>6.9302929124804411</c:v>
                </c:pt>
                <c:pt idx="40">
                  <c:v>6.8559067922985504</c:v>
                </c:pt>
                <c:pt idx="41">
                  <c:v>6.9302929124804411</c:v>
                </c:pt>
                <c:pt idx="42">
                  <c:v>6.8559067922985504</c:v>
                </c:pt>
                <c:pt idx="43">
                  <c:v>6.9302929124804411</c:v>
                </c:pt>
                <c:pt idx="44">
                  <c:v>6.8559067922985504</c:v>
                </c:pt>
                <c:pt idx="45">
                  <c:v>6.9302929124804411</c:v>
                </c:pt>
                <c:pt idx="46">
                  <c:v>6.8559067922985504</c:v>
                </c:pt>
                <c:pt idx="47">
                  <c:v>6.9302929124804411</c:v>
                </c:pt>
                <c:pt idx="48">
                  <c:v>6.8559067922985504</c:v>
                </c:pt>
                <c:pt idx="49">
                  <c:v>6.9302929124804411</c:v>
                </c:pt>
                <c:pt idx="50">
                  <c:v>6.8559067922985504</c:v>
                </c:pt>
                <c:pt idx="51">
                  <c:v>6.9302929124804411</c:v>
                </c:pt>
                <c:pt idx="52">
                  <c:v>6.8559067922985504</c:v>
                </c:pt>
                <c:pt idx="53">
                  <c:v>6.9302929124804411</c:v>
                </c:pt>
                <c:pt idx="54">
                  <c:v>6.8559067922985504</c:v>
                </c:pt>
                <c:pt idx="55">
                  <c:v>6.9302929124804411</c:v>
                </c:pt>
                <c:pt idx="56">
                  <c:v>6.8559067922985504</c:v>
                </c:pt>
                <c:pt idx="57">
                  <c:v>6.9302929124804411</c:v>
                </c:pt>
                <c:pt idx="58">
                  <c:v>6.8559067922985504</c:v>
                </c:pt>
                <c:pt idx="59">
                  <c:v>6.9302929124804411</c:v>
                </c:pt>
                <c:pt idx="60">
                  <c:v>6.8559067922985504</c:v>
                </c:pt>
                <c:pt idx="61">
                  <c:v>6.9302929124804411</c:v>
                </c:pt>
                <c:pt idx="62">
                  <c:v>6.8559067922985504</c:v>
                </c:pt>
                <c:pt idx="63">
                  <c:v>6.9302929124804411</c:v>
                </c:pt>
                <c:pt idx="64">
                  <c:v>6.8559067922985504</c:v>
                </c:pt>
                <c:pt idx="65">
                  <c:v>6.9302929124804411</c:v>
                </c:pt>
                <c:pt idx="66">
                  <c:v>6.8559067922985504</c:v>
                </c:pt>
                <c:pt idx="67">
                  <c:v>6.9302929124804411</c:v>
                </c:pt>
                <c:pt idx="68">
                  <c:v>6.8559067922985504</c:v>
                </c:pt>
                <c:pt idx="69">
                  <c:v>6.9302929124804411</c:v>
                </c:pt>
                <c:pt idx="70">
                  <c:v>6.8559067922985504</c:v>
                </c:pt>
                <c:pt idx="71">
                  <c:v>6.9302929124804411</c:v>
                </c:pt>
                <c:pt idx="72">
                  <c:v>6.8559067922985504</c:v>
                </c:pt>
                <c:pt idx="73">
                  <c:v>6.9302929124804411</c:v>
                </c:pt>
                <c:pt idx="74">
                  <c:v>6.8559067922985504</c:v>
                </c:pt>
                <c:pt idx="75">
                  <c:v>6.9302929124804411</c:v>
                </c:pt>
                <c:pt idx="76">
                  <c:v>6.8559067922985504</c:v>
                </c:pt>
                <c:pt idx="77">
                  <c:v>6.9302929124804411</c:v>
                </c:pt>
                <c:pt idx="78">
                  <c:v>6.8559067922985504</c:v>
                </c:pt>
                <c:pt idx="79">
                  <c:v>6.9302929124804411</c:v>
                </c:pt>
                <c:pt idx="80">
                  <c:v>6.8559067922985504</c:v>
                </c:pt>
                <c:pt idx="81">
                  <c:v>6.9302929124804411</c:v>
                </c:pt>
                <c:pt idx="82">
                  <c:v>6.8559067922985504</c:v>
                </c:pt>
                <c:pt idx="83">
                  <c:v>6.9302929124804411</c:v>
                </c:pt>
                <c:pt idx="84">
                  <c:v>6.8559067922985504</c:v>
                </c:pt>
                <c:pt idx="85">
                  <c:v>6.9302929124804411</c:v>
                </c:pt>
                <c:pt idx="86">
                  <c:v>6.8559067922985504</c:v>
                </c:pt>
                <c:pt idx="87">
                  <c:v>6.9302929124804411</c:v>
                </c:pt>
                <c:pt idx="88">
                  <c:v>6.8559067922985504</c:v>
                </c:pt>
                <c:pt idx="89">
                  <c:v>6.9302929124804411</c:v>
                </c:pt>
                <c:pt idx="90">
                  <c:v>6.8559067922985504</c:v>
                </c:pt>
                <c:pt idx="91">
                  <c:v>6.9302929124804411</c:v>
                </c:pt>
                <c:pt idx="92">
                  <c:v>6.8559067922985504</c:v>
                </c:pt>
                <c:pt idx="93">
                  <c:v>6.9302929124804411</c:v>
                </c:pt>
                <c:pt idx="94">
                  <c:v>6.8559067922985504</c:v>
                </c:pt>
                <c:pt idx="95">
                  <c:v>6.9302929124804411</c:v>
                </c:pt>
                <c:pt idx="96">
                  <c:v>6.8559067922985504</c:v>
                </c:pt>
                <c:pt idx="97">
                  <c:v>6.9302929124804411</c:v>
                </c:pt>
                <c:pt idx="98">
                  <c:v>6.8559067922985504</c:v>
                </c:pt>
                <c:pt idx="99">
                  <c:v>6.9302929124804411</c:v>
                </c:pt>
                <c:pt idx="100">
                  <c:v>6.8559067922985504</c:v>
                </c:pt>
              </c:numCache>
            </c:numRef>
          </c:xVal>
          <c:yVal>
            <c:numRef>
              <c:f>'f1 наиск.спск'!$M$4:$M$104</c:f>
              <c:numCache>
                <c:formatCode>General</c:formatCode>
                <c:ptCount val="101"/>
                <c:pt idx="0">
                  <c:v>6.9177831354716002</c:v>
                </c:pt>
                <c:pt idx="1">
                  <c:v>7.1013826771130066</c:v>
                </c:pt>
                <c:pt idx="2">
                  <c:v>7.1492260641771059</c:v>
                </c:pt>
                <c:pt idx="3">
                  <c:v>7.2017696970526188</c:v>
                </c:pt>
                <c:pt idx="4">
                  <c:v>7.259683375544987</c:v>
                </c:pt>
                <c:pt idx="5">
                  <c:v>7.3233447634267241</c:v>
                </c:pt>
                <c:pt idx="6">
                  <c:v>7.3923482573537376</c:v>
                </c:pt>
                <c:pt idx="7">
                  <c:v>7.465103871754815</c:v>
                </c:pt>
                <c:pt idx="8">
                  <c:v>7.539366537912306</c:v>
                </c:pt>
                <c:pt idx="9">
                  <c:v>7.6137305282365109</c:v>
                </c:pt>
                <c:pt idx="10">
                  <c:v>7.6833287858322841</c:v>
                </c:pt>
                <c:pt idx="11">
                  <c:v>7.6315651576143173</c:v>
                </c:pt>
                <c:pt idx="12">
                  <c:v>7.620572204477984</c:v>
                </c:pt>
                <c:pt idx="13">
                  <c:v>7.6207033824905777</c:v>
                </c:pt>
                <c:pt idx="14">
                  <c:v>7.620777097137454</c:v>
                </c:pt>
                <c:pt idx="15">
                  <c:v>7.6207770357196987</c:v>
                </c:pt>
                <c:pt idx="16">
                  <c:v>7.6207770012063918</c:v>
                </c:pt>
                <c:pt idx="17">
                  <c:v>7.6207770012351306</c:v>
                </c:pt>
                <c:pt idx="18">
                  <c:v>7.6207770012512803</c:v>
                </c:pt>
                <c:pt idx="19">
                  <c:v>7.620777001251267</c:v>
                </c:pt>
                <c:pt idx="20">
                  <c:v>7.620777001251259</c:v>
                </c:pt>
                <c:pt idx="21">
                  <c:v>7.620777001251259</c:v>
                </c:pt>
                <c:pt idx="22">
                  <c:v>7.620777001251259</c:v>
                </c:pt>
                <c:pt idx="23">
                  <c:v>7.620777001251259</c:v>
                </c:pt>
                <c:pt idx="24">
                  <c:v>7.620777001251259</c:v>
                </c:pt>
                <c:pt idx="25">
                  <c:v>7.620777001251259</c:v>
                </c:pt>
                <c:pt idx="26">
                  <c:v>7.620777001251259</c:v>
                </c:pt>
                <c:pt idx="27">
                  <c:v>7.620777001251259</c:v>
                </c:pt>
                <c:pt idx="28">
                  <c:v>7.620777001251259</c:v>
                </c:pt>
                <c:pt idx="29">
                  <c:v>7.620777001251259</c:v>
                </c:pt>
                <c:pt idx="30">
                  <c:v>7.620777001251259</c:v>
                </c:pt>
                <c:pt idx="31">
                  <c:v>7.620777001251259</c:v>
                </c:pt>
                <c:pt idx="32">
                  <c:v>7.620777001251259</c:v>
                </c:pt>
                <c:pt idx="33">
                  <c:v>7.620777001251259</c:v>
                </c:pt>
                <c:pt idx="34">
                  <c:v>7.620777001251259</c:v>
                </c:pt>
                <c:pt idx="35">
                  <c:v>7.620777001251259</c:v>
                </c:pt>
                <c:pt idx="36">
                  <c:v>7.620777001251259</c:v>
                </c:pt>
                <c:pt idx="37">
                  <c:v>7.620777001251259</c:v>
                </c:pt>
                <c:pt idx="38">
                  <c:v>7.620777001251259</c:v>
                </c:pt>
                <c:pt idx="39">
                  <c:v>7.620777001251259</c:v>
                </c:pt>
                <c:pt idx="40">
                  <c:v>7.620777001251259</c:v>
                </c:pt>
                <c:pt idx="41">
                  <c:v>7.620777001251259</c:v>
                </c:pt>
                <c:pt idx="42">
                  <c:v>7.620777001251259</c:v>
                </c:pt>
                <c:pt idx="43">
                  <c:v>7.620777001251259</c:v>
                </c:pt>
                <c:pt idx="44">
                  <c:v>7.620777001251259</c:v>
                </c:pt>
                <c:pt idx="45">
                  <c:v>7.620777001251259</c:v>
                </c:pt>
                <c:pt idx="46">
                  <c:v>7.620777001251259</c:v>
                </c:pt>
                <c:pt idx="47">
                  <c:v>7.620777001251259</c:v>
                </c:pt>
                <c:pt idx="48">
                  <c:v>7.620777001251259</c:v>
                </c:pt>
                <c:pt idx="49">
                  <c:v>7.620777001251259</c:v>
                </c:pt>
                <c:pt idx="50">
                  <c:v>7.620777001251259</c:v>
                </c:pt>
                <c:pt idx="51">
                  <c:v>7.620777001251259</c:v>
                </c:pt>
                <c:pt idx="52">
                  <c:v>7.620777001251259</c:v>
                </c:pt>
                <c:pt idx="53">
                  <c:v>7.620777001251259</c:v>
                </c:pt>
                <c:pt idx="54">
                  <c:v>7.620777001251259</c:v>
                </c:pt>
                <c:pt idx="55">
                  <c:v>7.620777001251259</c:v>
                </c:pt>
                <c:pt idx="56">
                  <c:v>7.620777001251259</c:v>
                </c:pt>
                <c:pt idx="57">
                  <c:v>7.620777001251259</c:v>
                </c:pt>
                <c:pt idx="58">
                  <c:v>7.620777001251259</c:v>
                </c:pt>
                <c:pt idx="59">
                  <c:v>7.620777001251259</c:v>
                </c:pt>
                <c:pt idx="60">
                  <c:v>7.620777001251259</c:v>
                </c:pt>
                <c:pt idx="61">
                  <c:v>7.620777001251259</c:v>
                </c:pt>
                <c:pt idx="62">
                  <c:v>7.620777001251259</c:v>
                </c:pt>
                <c:pt idx="63">
                  <c:v>7.620777001251259</c:v>
                </c:pt>
                <c:pt idx="64">
                  <c:v>7.620777001251259</c:v>
                </c:pt>
                <c:pt idx="65">
                  <c:v>7.620777001251259</c:v>
                </c:pt>
                <c:pt idx="66">
                  <c:v>7.620777001251259</c:v>
                </c:pt>
                <c:pt idx="67">
                  <c:v>7.620777001251259</c:v>
                </c:pt>
                <c:pt idx="68">
                  <c:v>7.620777001251259</c:v>
                </c:pt>
                <c:pt idx="69">
                  <c:v>7.620777001251259</c:v>
                </c:pt>
                <c:pt idx="70">
                  <c:v>7.620777001251259</c:v>
                </c:pt>
                <c:pt idx="71">
                  <c:v>7.620777001251259</c:v>
                </c:pt>
                <c:pt idx="72">
                  <c:v>7.620777001251259</c:v>
                </c:pt>
                <c:pt idx="73">
                  <c:v>7.620777001251259</c:v>
                </c:pt>
                <c:pt idx="74">
                  <c:v>7.620777001251259</c:v>
                </c:pt>
                <c:pt idx="75">
                  <c:v>7.620777001251259</c:v>
                </c:pt>
                <c:pt idx="76">
                  <c:v>7.620777001251259</c:v>
                </c:pt>
                <c:pt idx="77">
                  <c:v>7.620777001251259</c:v>
                </c:pt>
                <c:pt idx="78">
                  <c:v>7.620777001251259</c:v>
                </c:pt>
                <c:pt idx="79">
                  <c:v>7.620777001251259</c:v>
                </c:pt>
                <c:pt idx="80">
                  <c:v>7.620777001251259</c:v>
                </c:pt>
                <c:pt idx="81">
                  <c:v>7.620777001251259</c:v>
                </c:pt>
                <c:pt idx="82">
                  <c:v>7.620777001251259</c:v>
                </c:pt>
                <c:pt idx="83">
                  <c:v>7.620777001251259</c:v>
                </c:pt>
                <c:pt idx="84">
                  <c:v>7.620777001251259</c:v>
                </c:pt>
                <c:pt idx="85">
                  <c:v>7.620777001251259</c:v>
                </c:pt>
                <c:pt idx="86">
                  <c:v>7.620777001251259</c:v>
                </c:pt>
                <c:pt idx="87">
                  <c:v>7.620777001251259</c:v>
                </c:pt>
                <c:pt idx="88">
                  <c:v>7.620777001251259</c:v>
                </c:pt>
                <c:pt idx="89">
                  <c:v>7.620777001251259</c:v>
                </c:pt>
                <c:pt idx="90">
                  <c:v>7.620777001251259</c:v>
                </c:pt>
                <c:pt idx="91">
                  <c:v>7.620777001251259</c:v>
                </c:pt>
                <c:pt idx="92">
                  <c:v>7.620777001251259</c:v>
                </c:pt>
                <c:pt idx="93">
                  <c:v>7.620777001251259</c:v>
                </c:pt>
                <c:pt idx="94">
                  <c:v>7.620777001251259</c:v>
                </c:pt>
                <c:pt idx="95">
                  <c:v>7.620777001251259</c:v>
                </c:pt>
                <c:pt idx="96">
                  <c:v>7.620777001251259</c:v>
                </c:pt>
                <c:pt idx="97">
                  <c:v>7.620777001251259</c:v>
                </c:pt>
                <c:pt idx="98">
                  <c:v>7.620777001251259</c:v>
                </c:pt>
                <c:pt idx="99">
                  <c:v>7.620777001251259</c:v>
                </c:pt>
                <c:pt idx="100">
                  <c:v>7.620777001251259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FB-4D35-B390-83959A545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330431"/>
        <c:axId val="1951330911"/>
      </c:scatterChart>
      <c:valAx>
        <c:axId val="1951330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1330911"/>
        <c:crosses val="autoZero"/>
        <c:crossBetween val="midCat"/>
      </c:valAx>
      <c:valAx>
        <c:axId val="195133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1330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10</xdr:row>
      <xdr:rowOff>166686</xdr:rowOff>
    </xdr:from>
    <xdr:to>
      <xdr:col>9</xdr:col>
      <xdr:colOff>361951</xdr:colOff>
      <xdr:row>33</xdr:row>
      <xdr:rowOff>95249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5729AC6-AF32-CEC9-936A-4F3F3EF72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271462</xdr:colOff>
      <xdr:row>34</xdr:row>
      <xdr:rowOff>90487</xdr:rowOff>
    </xdr:from>
    <xdr:to>
      <xdr:col>9</xdr:col>
      <xdr:colOff>400050</xdr:colOff>
      <xdr:row>50</xdr:row>
      <xdr:rowOff>142875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2E9B6B6-7CDD-B94D-BFDD-166AAFB7B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557212</xdr:colOff>
      <xdr:row>27</xdr:row>
      <xdr:rowOff>185737</xdr:rowOff>
    </xdr:from>
    <xdr:to>
      <xdr:col>29</xdr:col>
      <xdr:colOff>252412</xdr:colOff>
      <xdr:row>42</xdr:row>
      <xdr:rowOff>71437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BACCCEB-82E6-2162-97B3-0DF4EECE1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12</xdr:row>
      <xdr:rowOff>52386</xdr:rowOff>
    </xdr:from>
    <xdr:to>
      <xdr:col>9</xdr:col>
      <xdr:colOff>333376</xdr:colOff>
      <xdr:row>34</xdr:row>
      <xdr:rowOff>171449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40196A5-9971-44DD-86B5-4A0D843BB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271462</xdr:colOff>
      <xdr:row>34</xdr:row>
      <xdr:rowOff>90487</xdr:rowOff>
    </xdr:from>
    <xdr:to>
      <xdr:col>9</xdr:col>
      <xdr:colOff>400050</xdr:colOff>
      <xdr:row>50</xdr:row>
      <xdr:rowOff>142875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6AD25C2-6737-424D-9FAC-442FD2381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557212</xdr:colOff>
      <xdr:row>27</xdr:row>
      <xdr:rowOff>185737</xdr:rowOff>
    </xdr:from>
    <xdr:to>
      <xdr:col>29</xdr:col>
      <xdr:colOff>252412</xdr:colOff>
      <xdr:row>42</xdr:row>
      <xdr:rowOff>71437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6569BB2-EBE9-4DC3-8306-92436D4BE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12</xdr:row>
      <xdr:rowOff>52386</xdr:rowOff>
    </xdr:from>
    <xdr:to>
      <xdr:col>9</xdr:col>
      <xdr:colOff>333376</xdr:colOff>
      <xdr:row>34</xdr:row>
      <xdr:rowOff>171449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E65AC3A-2F35-4F38-9212-77435DFB8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271462</xdr:colOff>
      <xdr:row>34</xdr:row>
      <xdr:rowOff>90487</xdr:rowOff>
    </xdr:from>
    <xdr:to>
      <xdr:col>9</xdr:col>
      <xdr:colOff>400050</xdr:colOff>
      <xdr:row>50</xdr:row>
      <xdr:rowOff>142875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EC484DD-52F7-47B5-BD39-5DE77FE81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557212</xdr:colOff>
      <xdr:row>27</xdr:row>
      <xdr:rowOff>185736</xdr:rowOff>
    </xdr:from>
    <xdr:to>
      <xdr:col>29</xdr:col>
      <xdr:colOff>252412</xdr:colOff>
      <xdr:row>46</xdr:row>
      <xdr:rowOff>66675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DECF0F8-15C1-4091-B4A5-F3BE068FF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12</xdr:row>
      <xdr:rowOff>52386</xdr:rowOff>
    </xdr:from>
    <xdr:to>
      <xdr:col>9</xdr:col>
      <xdr:colOff>333376</xdr:colOff>
      <xdr:row>34</xdr:row>
      <xdr:rowOff>171449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70FB970-779B-4E1E-9EE7-FD7A1A81D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271462</xdr:colOff>
      <xdr:row>34</xdr:row>
      <xdr:rowOff>90487</xdr:rowOff>
    </xdr:from>
    <xdr:to>
      <xdr:col>9</xdr:col>
      <xdr:colOff>400050</xdr:colOff>
      <xdr:row>50</xdr:row>
      <xdr:rowOff>142875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42F1880-B704-436A-95CC-9CA6E67FB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557212</xdr:colOff>
      <xdr:row>27</xdr:row>
      <xdr:rowOff>185737</xdr:rowOff>
    </xdr:from>
    <xdr:to>
      <xdr:col>29</xdr:col>
      <xdr:colOff>252412</xdr:colOff>
      <xdr:row>42</xdr:row>
      <xdr:rowOff>71437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98DD7EC-01F4-4B8C-9731-B1F27F9E2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12</xdr:row>
      <xdr:rowOff>52386</xdr:rowOff>
    </xdr:from>
    <xdr:to>
      <xdr:col>9</xdr:col>
      <xdr:colOff>333376</xdr:colOff>
      <xdr:row>34</xdr:row>
      <xdr:rowOff>171449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7757823-8A8A-441F-9AC8-124D9D535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271462</xdr:colOff>
      <xdr:row>34</xdr:row>
      <xdr:rowOff>90487</xdr:rowOff>
    </xdr:from>
    <xdr:to>
      <xdr:col>9</xdr:col>
      <xdr:colOff>400050</xdr:colOff>
      <xdr:row>50</xdr:row>
      <xdr:rowOff>142875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7A1D4D8-A0D5-4834-A3CE-D6078C091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557212</xdr:colOff>
      <xdr:row>27</xdr:row>
      <xdr:rowOff>185737</xdr:rowOff>
    </xdr:from>
    <xdr:to>
      <xdr:col>33</xdr:col>
      <xdr:colOff>252412</xdr:colOff>
      <xdr:row>42</xdr:row>
      <xdr:rowOff>71437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6A42ABA-271D-48EE-B5EA-1F6BBE6038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4"/>
  <sheetViews>
    <sheetView topLeftCell="I19" workbookViewId="0">
      <selection activeCell="AB12" sqref="AB12"/>
    </sheetView>
  </sheetViews>
  <sheetFormatPr defaultRowHeight="15" x14ac:dyDescent="0.25"/>
  <cols>
    <col min="17" max="17" width="19.85546875" bestFit="1" customWidth="1"/>
    <col min="33" max="33" width="12" bestFit="1" customWidth="1"/>
  </cols>
  <sheetData>
    <row r="1" spans="1:35" x14ac:dyDescent="0.25">
      <c r="A1" t="s">
        <v>0</v>
      </c>
      <c r="K1" t="s">
        <v>13</v>
      </c>
    </row>
    <row r="2" spans="1:35" x14ac:dyDescent="0.25">
      <c r="K2" t="s">
        <v>25</v>
      </c>
      <c r="L2" t="s">
        <v>26</v>
      </c>
      <c r="N2" t="s">
        <v>27</v>
      </c>
      <c r="P2" t="s">
        <v>28</v>
      </c>
      <c r="Q2" t="s">
        <v>29</v>
      </c>
      <c r="R2" s="1" t="s">
        <v>30</v>
      </c>
      <c r="T2" t="s">
        <v>31</v>
      </c>
    </row>
    <row r="3" spans="1:35" x14ac:dyDescent="0.25">
      <c r="A3" t="s">
        <v>1</v>
      </c>
      <c r="E3" t="s">
        <v>9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X3" t="s">
        <v>20</v>
      </c>
      <c r="Y3">
        <v>350</v>
      </c>
      <c r="Z3" t="s">
        <v>20</v>
      </c>
      <c r="AA3">
        <v>200</v>
      </c>
      <c r="AB3" t="s">
        <v>20</v>
      </c>
      <c r="AC3">
        <v>50</v>
      </c>
    </row>
    <row r="4" spans="1:35" x14ac:dyDescent="0.25">
      <c r="A4" t="s">
        <v>2</v>
      </c>
      <c r="B4">
        <v>8.7225867488631863</v>
      </c>
      <c r="E4" t="s">
        <v>10</v>
      </c>
      <c r="F4">
        <f>B4*(F5-B6)^2+B5*(F6-B7)^2</f>
        <v>3.0219201650390697E-13</v>
      </c>
      <c r="K4">
        <v>0</v>
      </c>
      <c r="L4">
        <f>$B$8</f>
        <v>7.6300851466414379</v>
      </c>
      <c r="M4">
        <f>$B$9</f>
        <v>6.9177831354716632</v>
      </c>
      <c r="N4">
        <f>2*$B$4*(L4-$B$6)</f>
        <v>12.714260942387259</v>
      </c>
      <c r="O4">
        <f>2*$B$5*(M4-$B$7)</f>
        <v>-4.7907293079841899</v>
      </c>
      <c r="P4" s="2">
        <f>$B$10</f>
        <v>3.0837855159154031E-2</v>
      </c>
      <c r="Q4">
        <f>$B$4*(L4-$B$6)^2+$B$5*(M4-$B$7)^2</f>
        <v>6.3170829672317561</v>
      </c>
      <c r="T4">
        <f>ABS(Q4-$F$4)</f>
        <v>6.3170829672314541</v>
      </c>
      <c r="U4">
        <f>SQRT(($F$5-L4)^2+($F$6-M4)^2)</f>
        <v>1.0126048364127271</v>
      </c>
      <c r="X4" s="1">
        <v>1</v>
      </c>
      <c r="Y4" s="1">
        <v>1</v>
      </c>
      <c r="Z4" s="1">
        <v>2</v>
      </c>
      <c r="AA4" s="1">
        <v>2</v>
      </c>
      <c r="AB4" s="1">
        <v>3</v>
      </c>
      <c r="AC4" s="1">
        <v>3</v>
      </c>
      <c r="AG4">
        <f>$F$4</f>
        <v>3.0219201650390697E-13</v>
      </c>
      <c r="AH4">
        <f>$F$5</f>
        <v>6.9012725628661</v>
      </c>
      <c r="AI4">
        <f>$F$6</f>
        <v>7.6207772837098702</v>
      </c>
    </row>
    <row r="5" spans="1:35" x14ac:dyDescent="0.25">
      <c r="A5" t="s">
        <v>3</v>
      </c>
      <c r="B5">
        <v>3.4073763237403485</v>
      </c>
      <c r="E5" t="s">
        <v>11</v>
      </c>
      <c r="F5">
        <v>6.9012725628661</v>
      </c>
      <c r="K5">
        <v>1</v>
      </c>
      <c r="L5">
        <f>L4-$P4*N4</f>
        <v>7.2380046092444106</v>
      </c>
      <c r="M5">
        <f>M4-$P4*O4</f>
        <v>7.0655189519779942</v>
      </c>
      <c r="N5">
        <f t="shared" ref="N5:N68" si="0">2*$B$4*(L5-$B$6)</f>
        <v>5.8743479424143255</v>
      </c>
      <c r="O5">
        <f t="shared" ref="O5:O68" si="1">2*$B$5*(M5-$B$7)</f>
        <v>-3.7839462613199486</v>
      </c>
      <c r="P5" s="2">
        <f t="shared" ref="P5:P68" si="2">$B$10</f>
        <v>3.0837855159154031E-2</v>
      </c>
      <c r="Q5">
        <f t="shared" ref="Q5:Q68" si="3">$B$4*(L5-$B$6)^2+$B$5*(M5-$B$7)^2</f>
        <v>2.0395737384696577</v>
      </c>
      <c r="R5">
        <f>ABS(Q5-Q4)</f>
        <v>4.2775092287620984</v>
      </c>
      <c r="S5">
        <f>SQRT((L4-L5)^2+(M4-M5)^2)</f>
        <v>0.41899047636471881</v>
      </c>
      <c r="T5">
        <f t="shared" ref="T5:T68" si="4">ABS(Q5-$F$4)</f>
        <v>2.0395737384693557</v>
      </c>
      <c r="U5">
        <f t="shared" ref="U5:U68" si="5">SQRT(($F$5-L5)^2+($F$6-M5)^2)</f>
        <v>0.64938454402287005</v>
      </c>
      <c r="W5" t="s">
        <v>15</v>
      </c>
      <c r="X5" s="1" t="s">
        <v>32</v>
      </c>
      <c r="Y5" s="1" t="s">
        <v>33</v>
      </c>
      <c r="Z5" s="1" t="s">
        <v>32</v>
      </c>
      <c r="AA5" s="1" t="s">
        <v>33</v>
      </c>
      <c r="AB5" s="1" t="s">
        <v>32</v>
      </c>
      <c r="AC5" s="1" t="s">
        <v>33</v>
      </c>
      <c r="AG5">
        <f t="shared" ref="AG5:AG68" si="6">$F$4</f>
        <v>3.0219201650390697E-13</v>
      </c>
      <c r="AH5">
        <f t="shared" ref="AH5:AH68" si="7">$F$5</f>
        <v>6.9012725628661</v>
      </c>
      <c r="AI5">
        <f t="shared" ref="AI5:AI68" si="8">$F$6</f>
        <v>7.6207772837098702</v>
      </c>
    </row>
    <row r="6" spans="1:35" x14ac:dyDescent="0.25">
      <c r="A6" t="s">
        <v>4</v>
      </c>
      <c r="B6">
        <v>6.9012726218451492</v>
      </c>
      <c r="E6" t="s">
        <v>12</v>
      </c>
      <c r="F6">
        <v>7.6207772837098702</v>
      </c>
      <c r="K6">
        <v>2</v>
      </c>
      <c r="L6">
        <f t="shared" ref="L6:L69" si="9">L5-$P5*N5</f>
        <v>7.0568523182417628</v>
      </c>
      <c r="M6">
        <f t="shared" ref="M6:M69" si="10">M5-$P5*O5</f>
        <v>7.1822077387146015</v>
      </c>
      <c r="N6">
        <f t="shared" si="0"/>
        <v>2.714114796362519</v>
      </c>
      <c r="O6">
        <f t="shared" si="1"/>
        <v>-2.9887410429753438</v>
      </c>
      <c r="P6" s="2">
        <f t="shared" si="2"/>
        <v>3.0837855159154031E-2</v>
      </c>
      <c r="Q6">
        <f t="shared" si="3"/>
        <v>0.86651555556718729</v>
      </c>
      <c r="R6">
        <f t="shared" ref="R6:R69" si="11">ABS(Q6-Q5)</f>
        <v>1.1730581829024704</v>
      </c>
      <c r="S6">
        <f t="shared" ref="S6:S69" si="12">SQRT((L5-L6)^2+(M5-M6)^2)</f>
        <v>0.21548184490942476</v>
      </c>
      <c r="T6">
        <f t="shared" si="4"/>
        <v>0.86651555556688509</v>
      </c>
      <c r="U6">
        <f t="shared" si="5"/>
        <v>0.46534751109263289</v>
      </c>
      <c r="W6">
        <v>-1</v>
      </c>
      <c r="X6" t="e">
        <f>$B$7+SQRT(($Y$3-$B$4*($W6-$B$6)^2)/$B$5)</f>
        <v>#NUM!</v>
      </c>
      <c r="Y6" t="e">
        <f>$B$7-SQRT(($Y$3-$B$4*($W6-$B$6)^2)/$B$5)</f>
        <v>#NUM!</v>
      </c>
      <c r="Z6" t="e">
        <f>$B$7+SQRT(($AA$3-$B$4*($W6-$B$6)^2)/$B$5)</f>
        <v>#NUM!</v>
      </c>
      <c r="AA6" t="e">
        <f>$B$7-SQRT(($AA$3-$B$4*($W6-$B$6)^2)/$B$5)</f>
        <v>#NUM!</v>
      </c>
      <c r="AB6" t="e">
        <f>$B$7+SQRT(($AC$3-$B$4*($W6-$B$6)^2)/$B$5)</f>
        <v>#NUM!</v>
      </c>
      <c r="AC6" t="e">
        <f>$B$7-SQRT(($AC$3-$B$4*($W6-$B$6)^2)/$B$5)</f>
        <v>#NUM!</v>
      </c>
      <c r="AG6">
        <f t="shared" si="6"/>
        <v>3.0219201650390697E-13</v>
      </c>
      <c r="AH6">
        <f t="shared" si="7"/>
        <v>6.9012725628661</v>
      </c>
      <c r="AI6">
        <f t="shared" si="8"/>
        <v>7.6207772837098702</v>
      </c>
    </row>
    <row r="7" spans="1:35" x14ac:dyDescent="0.25">
      <c r="A7" t="s">
        <v>5</v>
      </c>
      <c r="B7">
        <v>7.620777001251259</v>
      </c>
      <c r="K7">
        <v>3</v>
      </c>
      <c r="L7">
        <f t="shared" si="9"/>
        <v>6.9731548392662184</v>
      </c>
      <c r="M7">
        <f t="shared" si="10"/>
        <v>7.2743741021060941</v>
      </c>
      <c r="N7">
        <f t="shared" si="0"/>
        <v>1.2539977543118406</v>
      </c>
      <c r="O7">
        <f t="shared" si="1"/>
        <v>-2.3606500740445013</v>
      </c>
      <c r="P7" s="2">
        <f t="shared" si="2"/>
        <v>3.0837855159154031E-2</v>
      </c>
      <c r="Q7">
        <f t="shared" si="3"/>
        <v>0.45393808436861977</v>
      </c>
      <c r="R7">
        <f t="shared" si="11"/>
        <v>0.41257747119856752</v>
      </c>
      <c r="S7">
        <f t="shared" si="12"/>
        <v>0.12449862058542811</v>
      </c>
      <c r="T7">
        <f t="shared" si="4"/>
        <v>0.45393808436831756</v>
      </c>
      <c r="U7">
        <f t="shared" si="5"/>
        <v>0.3537827382528459</v>
      </c>
      <c r="W7">
        <v>0</v>
      </c>
      <c r="X7" t="e">
        <f t="shared" ref="X7:X27" si="13">$B$7+SQRT(($Y$3-$B$4*($W7-$B$6)^2)/$B$5)</f>
        <v>#NUM!</v>
      </c>
      <c r="Y7" t="e">
        <f t="shared" ref="Y7:Y27" si="14">$B$7-SQRT(($Y$3-$B$4*($W7-$B$6)^2)/$B$5)</f>
        <v>#NUM!</v>
      </c>
      <c r="Z7" t="e">
        <f t="shared" ref="Z7:Z27" si="15">$B$7+SQRT(($AA$3-$B$4*($W7-$B$6)^2)/$B$5)</f>
        <v>#NUM!</v>
      </c>
      <c r="AA7" t="e">
        <f t="shared" ref="AA7:AA27" si="16">$B$7-SQRT(($AA$3-$B$4*($W7-$B$6)^2)/$B$5)</f>
        <v>#NUM!</v>
      </c>
      <c r="AB7" t="e">
        <f t="shared" ref="AB7:AB27" si="17">$B$7+SQRT(($AC$3-$B$4*($W7-$B$6)^2)/$B$5)</f>
        <v>#NUM!</v>
      </c>
      <c r="AC7" t="e">
        <f t="shared" ref="AC7:AC27" si="18">$B$7-SQRT(($AC$3-$B$4*($W7-$B$6)^2)/$B$5)</f>
        <v>#NUM!</v>
      </c>
      <c r="AG7">
        <f t="shared" si="6"/>
        <v>3.0219201650390697E-13</v>
      </c>
      <c r="AH7">
        <f t="shared" si="7"/>
        <v>6.9012725628661</v>
      </c>
      <c r="AI7">
        <f t="shared" si="8"/>
        <v>7.6207772837098702</v>
      </c>
    </row>
    <row r="8" spans="1:35" x14ac:dyDescent="0.25">
      <c r="A8" t="s">
        <v>6</v>
      </c>
      <c r="B8">
        <v>7.6300851466414379</v>
      </c>
      <c r="K8">
        <v>4</v>
      </c>
      <c r="L8">
        <f t="shared" si="9"/>
        <v>6.9344842381488458</v>
      </c>
      <c r="M8">
        <f t="shared" si="10"/>
        <v>7.3471714871709244</v>
      </c>
      <c r="N8">
        <f t="shared" si="0"/>
        <v>0.57938240855790546</v>
      </c>
      <c r="O8">
        <f t="shared" si="1"/>
        <v>-1.8645539014442776</v>
      </c>
      <c r="P8" s="2">
        <f t="shared" si="2"/>
        <v>3.0837855159154031E-2</v>
      </c>
      <c r="Q8">
        <f t="shared" si="3"/>
        <v>0.26469722749064595</v>
      </c>
      <c r="R8">
        <f t="shared" si="11"/>
        <v>0.18924085687797382</v>
      </c>
      <c r="S8">
        <f t="shared" si="12"/>
        <v>8.2431029734294253E-2</v>
      </c>
      <c r="T8">
        <f t="shared" si="4"/>
        <v>0.26469722749034374</v>
      </c>
      <c r="U8">
        <f t="shared" si="5"/>
        <v>0.27561412749494091</v>
      </c>
      <c r="W8">
        <v>1</v>
      </c>
      <c r="X8">
        <f t="shared" si="13"/>
        <v>11.304431794424326</v>
      </c>
      <c r="Y8">
        <f t="shared" si="14"/>
        <v>3.937122208078192</v>
      </c>
      <c r="Z8" t="e">
        <f t="shared" si="15"/>
        <v>#NUM!</v>
      </c>
      <c r="AA8" t="e">
        <f t="shared" si="16"/>
        <v>#NUM!</v>
      </c>
      <c r="AB8" t="e">
        <f t="shared" si="17"/>
        <v>#NUM!</v>
      </c>
      <c r="AC8" t="e">
        <f t="shared" si="18"/>
        <v>#NUM!</v>
      </c>
      <c r="AG8">
        <f t="shared" si="6"/>
        <v>3.0219201650390697E-13</v>
      </c>
      <c r="AH8">
        <f t="shared" si="7"/>
        <v>6.9012725628661</v>
      </c>
      <c r="AI8">
        <f t="shared" si="8"/>
        <v>7.6207772837098702</v>
      </c>
    </row>
    <row r="9" spans="1:35" x14ac:dyDescent="0.25">
      <c r="A9" t="s">
        <v>7</v>
      </c>
      <c r="B9">
        <v>6.9177831354716632</v>
      </c>
      <c r="K9">
        <v>5</v>
      </c>
      <c r="L9">
        <f t="shared" si="9"/>
        <v>6.9166173273519753</v>
      </c>
      <c r="M9">
        <f t="shared" si="10"/>
        <v>7.4046703303200987</v>
      </c>
      <c r="N9">
        <f t="shared" si="0"/>
        <v>0.26769104983809849</v>
      </c>
      <c r="O9">
        <f t="shared" si="1"/>
        <v>-1.4727135078663645</v>
      </c>
      <c r="P9" s="2">
        <f t="shared" si="2"/>
        <v>3.0837855159154031E-2</v>
      </c>
      <c r="Q9">
        <f t="shared" si="3"/>
        <v>0.16118542687346496</v>
      </c>
      <c r="R9">
        <f t="shared" si="11"/>
        <v>0.10351180061718099</v>
      </c>
      <c r="S9">
        <f t="shared" si="12"/>
        <v>6.0210825147282925E-2</v>
      </c>
      <c r="T9">
        <f t="shared" si="4"/>
        <v>0.16118542687316276</v>
      </c>
      <c r="U9">
        <f t="shared" si="5"/>
        <v>0.21665104915632383</v>
      </c>
      <c r="W9">
        <v>2</v>
      </c>
      <c r="X9">
        <f t="shared" si="13"/>
        <v>14.041282278050369</v>
      </c>
      <c r="Y9">
        <f t="shared" si="14"/>
        <v>1.2002717244521488</v>
      </c>
      <c r="Z9" t="e">
        <f t="shared" si="15"/>
        <v>#NUM!</v>
      </c>
      <c r="AA9" t="e">
        <f t="shared" si="16"/>
        <v>#NUM!</v>
      </c>
      <c r="AB9" t="e">
        <f t="shared" si="17"/>
        <v>#NUM!</v>
      </c>
      <c r="AC9" t="e">
        <f t="shared" si="18"/>
        <v>#NUM!</v>
      </c>
      <c r="AG9">
        <f t="shared" si="6"/>
        <v>3.0219201650390697E-13</v>
      </c>
      <c r="AH9">
        <f t="shared" si="7"/>
        <v>6.9012725628661</v>
      </c>
      <c r="AI9">
        <f t="shared" si="8"/>
        <v>7.6207772837098702</v>
      </c>
    </row>
    <row r="10" spans="1:35" x14ac:dyDescent="0.25">
      <c r="A10" t="s">
        <v>8</v>
      </c>
      <c r="B10">
        <v>3.0837855159154031E-2</v>
      </c>
      <c r="K10">
        <v>6</v>
      </c>
      <c r="L10">
        <f t="shared" si="9"/>
        <v>6.9083623095296662</v>
      </c>
      <c r="M10">
        <f t="shared" si="10"/>
        <v>7.4500856561666113</v>
      </c>
      <c r="N10">
        <f t="shared" si="0"/>
        <v>0.12368083170109319</v>
      </c>
      <c r="O10">
        <f t="shared" si="1"/>
        <v>-1.1632192958176439</v>
      </c>
      <c r="P10" s="2">
        <f t="shared" si="2"/>
        <v>3.0837855159154031E-2</v>
      </c>
      <c r="Q10">
        <f t="shared" si="3"/>
        <v>9.9714162350426197E-2</v>
      </c>
      <c r="R10">
        <f t="shared" si="11"/>
        <v>6.1471264523038763E-2</v>
      </c>
      <c r="S10">
        <f t="shared" si="12"/>
        <v>4.6159475094411116E-2</v>
      </c>
      <c r="T10">
        <f t="shared" si="4"/>
        <v>9.9714162350124008E-2</v>
      </c>
      <c r="U10">
        <f t="shared" si="5"/>
        <v>0.17083880186046771</v>
      </c>
      <c r="W10">
        <v>3</v>
      </c>
      <c r="X10">
        <f t="shared" si="13"/>
        <v>15.605552358132812</v>
      </c>
      <c r="Y10">
        <f t="shared" si="14"/>
        <v>-0.36399835563029281</v>
      </c>
      <c r="Z10">
        <f t="shared" si="15"/>
        <v>12.063129619257611</v>
      </c>
      <c r="AA10">
        <f t="shared" si="16"/>
        <v>3.1784243832449075</v>
      </c>
      <c r="AB10" t="e">
        <f t="shared" si="17"/>
        <v>#NUM!</v>
      </c>
      <c r="AC10" t="e">
        <f t="shared" si="18"/>
        <v>#NUM!</v>
      </c>
      <c r="AG10">
        <f t="shared" si="6"/>
        <v>3.0219201650390697E-13</v>
      </c>
      <c r="AH10">
        <f t="shared" si="7"/>
        <v>6.9012725628661</v>
      </c>
      <c r="AI10">
        <f t="shared" si="8"/>
        <v>7.6207772837098702</v>
      </c>
    </row>
    <row r="11" spans="1:35" x14ac:dyDescent="0.25">
      <c r="K11">
        <v>7</v>
      </c>
      <c r="L11">
        <f t="shared" si="9"/>
        <v>6.904548257955704</v>
      </c>
      <c r="M11">
        <f t="shared" si="10"/>
        <v>7.4859568443293689</v>
      </c>
      <c r="N11">
        <f t="shared" si="0"/>
        <v>5.7144040264046334E-2</v>
      </c>
      <c r="O11">
        <f t="shared" si="1"/>
        <v>-0.91876602131721352</v>
      </c>
      <c r="P11" s="2">
        <f t="shared" si="2"/>
        <v>3.0837855159154031E-2</v>
      </c>
      <c r="Q11">
        <f t="shared" si="3"/>
        <v>6.2027681125139622E-2</v>
      </c>
      <c r="R11">
        <f t="shared" si="11"/>
        <v>3.7686481225286575E-2</v>
      </c>
      <c r="S11">
        <f t="shared" si="12"/>
        <v>3.6073385336239286E-2</v>
      </c>
      <c r="T11">
        <f t="shared" si="4"/>
        <v>6.2027681124837433E-2</v>
      </c>
      <c r="U11">
        <f t="shared" si="5"/>
        <v>0.13486022784005472</v>
      </c>
      <c r="W11">
        <v>4</v>
      </c>
      <c r="X11">
        <f t="shared" si="13"/>
        <v>16.630247635347359</v>
      </c>
      <c r="Y11">
        <f t="shared" si="14"/>
        <v>-1.3886936328448396</v>
      </c>
      <c r="Z11">
        <f t="shared" si="15"/>
        <v>13.715727402155679</v>
      </c>
      <c r="AA11">
        <f t="shared" si="16"/>
        <v>1.5258266003468393</v>
      </c>
      <c r="AB11" t="e">
        <f t="shared" si="17"/>
        <v>#NUM!</v>
      </c>
      <c r="AC11" t="e">
        <f t="shared" si="18"/>
        <v>#NUM!</v>
      </c>
      <c r="AG11">
        <f t="shared" si="6"/>
        <v>3.0219201650390697E-13</v>
      </c>
      <c r="AH11">
        <f t="shared" si="7"/>
        <v>6.9012725628661</v>
      </c>
      <c r="AI11">
        <f t="shared" si="8"/>
        <v>7.6207772837098702</v>
      </c>
    </row>
    <row r="12" spans="1:35" x14ac:dyDescent="0.25">
      <c r="K12">
        <v>8</v>
      </c>
      <c r="L12">
        <f t="shared" si="9"/>
        <v>6.9027860583188323</v>
      </c>
      <c r="M12">
        <f t="shared" si="10"/>
        <v>7.5142896178199017</v>
      </c>
      <c r="N12">
        <f t="shared" si="0"/>
        <v>2.6402161861188381E-2</v>
      </c>
      <c r="O12">
        <f t="shared" si="1"/>
        <v>-0.72568517816213451</v>
      </c>
      <c r="P12" s="2">
        <f t="shared" si="2"/>
        <v>3.0837855159154031E-2</v>
      </c>
      <c r="Q12">
        <f t="shared" si="3"/>
        <v>3.8658136906074433E-2</v>
      </c>
      <c r="R12">
        <f t="shared" si="11"/>
        <v>2.3369544219065189E-2</v>
      </c>
      <c r="S12">
        <f t="shared" si="12"/>
        <v>2.8387521928235068E-2</v>
      </c>
      <c r="T12">
        <f t="shared" si="4"/>
        <v>3.8658136905772245E-2</v>
      </c>
      <c r="U12">
        <f t="shared" si="5"/>
        <v>0.10649842090462656</v>
      </c>
      <c r="W12">
        <v>5</v>
      </c>
      <c r="X12">
        <f t="shared" si="13"/>
        <v>17.288489183031206</v>
      </c>
      <c r="Y12">
        <f t="shared" si="14"/>
        <v>-2.0469351805286884</v>
      </c>
      <c r="Z12">
        <f t="shared" si="15"/>
        <v>14.652314394494745</v>
      </c>
      <c r="AA12">
        <f t="shared" si="16"/>
        <v>0.58923960800777397</v>
      </c>
      <c r="AB12">
        <f t="shared" si="17"/>
        <v>9.9489473978129777</v>
      </c>
      <c r="AC12">
        <f t="shared" si="18"/>
        <v>5.2926066046895404</v>
      </c>
      <c r="AG12">
        <f t="shared" si="6"/>
        <v>3.0219201650390697E-13</v>
      </c>
      <c r="AH12">
        <f t="shared" si="7"/>
        <v>6.9012725628661</v>
      </c>
      <c r="AI12">
        <f t="shared" si="8"/>
        <v>7.6207772837098702</v>
      </c>
    </row>
    <row r="13" spans="1:35" x14ac:dyDescent="0.25">
      <c r="K13">
        <v>9</v>
      </c>
      <c r="L13">
        <f t="shared" si="9"/>
        <v>6.9019718722754684</v>
      </c>
      <c r="M13">
        <f t="shared" si="10"/>
        <v>7.5366681922352106</v>
      </c>
      <c r="N13">
        <f t="shared" si="0"/>
        <v>1.2198545075277463E-2</v>
      </c>
      <c r="O13">
        <f t="shared" si="1"/>
        <v>-0.57318072891856442</v>
      </c>
      <c r="P13" s="2">
        <f t="shared" si="2"/>
        <v>3.0837855159154031E-2</v>
      </c>
      <c r="Q13">
        <f t="shared" si="3"/>
        <v>2.4109039149092067E-2</v>
      </c>
      <c r="R13">
        <f t="shared" si="11"/>
        <v>1.4549097756982366E-2</v>
      </c>
      <c r="S13">
        <f t="shared" si="12"/>
        <v>2.2393380534763526E-2</v>
      </c>
      <c r="T13">
        <f t="shared" si="4"/>
        <v>2.4109039148789875E-2</v>
      </c>
      <c r="U13">
        <f t="shared" si="5"/>
        <v>8.4111998563478979E-2</v>
      </c>
      <c r="W13">
        <v>6</v>
      </c>
      <c r="X13">
        <f t="shared" si="13"/>
        <v>17.652672668030903</v>
      </c>
      <c r="Y13">
        <f t="shared" si="14"/>
        <v>-2.4111186655283863</v>
      </c>
      <c r="Z13">
        <f t="shared" si="15"/>
        <v>15.145189931971981</v>
      </c>
      <c r="AA13">
        <f t="shared" si="16"/>
        <v>9.6364070530538193E-2</v>
      </c>
      <c r="AB13">
        <f t="shared" si="17"/>
        <v>11.169671087419816</v>
      </c>
      <c r="AC13">
        <f t="shared" si="18"/>
        <v>4.0718829150827016</v>
      </c>
      <c r="AG13">
        <f t="shared" si="6"/>
        <v>3.0219201650390697E-13</v>
      </c>
      <c r="AH13">
        <f t="shared" si="7"/>
        <v>6.9012725628661</v>
      </c>
      <c r="AI13">
        <f t="shared" si="8"/>
        <v>7.6207772837098702</v>
      </c>
    </row>
    <row r="14" spans="1:35" x14ac:dyDescent="0.25">
      <c r="K14">
        <v>10</v>
      </c>
      <c r="L14">
        <f t="shared" si="9"/>
        <v>6.9015956953092843</v>
      </c>
      <c r="M14">
        <f t="shared" si="10"/>
        <v>7.5543438565336194</v>
      </c>
      <c r="N14">
        <f t="shared" si="0"/>
        <v>5.6360726343477885E-3</v>
      </c>
      <c r="O14">
        <f t="shared" si="1"/>
        <v>-0.45272544884500282</v>
      </c>
      <c r="P14" s="2">
        <f t="shared" si="2"/>
        <v>3.0837855159154031E-2</v>
      </c>
      <c r="Q14">
        <f t="shared" si="3"/>
        <v>1.5038898062994259E-2</v>
      </c>
      <c r="R14">
        <f t="shared" si="11"/>
        <v>9.070141086097808E-3</v>
      </c>
      <c r="S14">
        <f t="shared" si="12"/>
        <v>1.767966678136022E-2</v>
      </c>
      <c r="T14">
        <f t="shared" si="4"/>
        <v>1.5038898062692067E-2</v>
      </c>
      <c r="U14">
        <f t="shared" si="5"/>
        <v>6.6434213030320863E-2</v>
      </c>
      <c r="W14">
        <v>7</v>
      </c>
      <c r="X14">
        <f t="shared" si="13"/>
        <v>17.754551057588188</v>
      </c>
      <c r="Y14">
        <f t="shared" si="14"/>
        <v>-2.512997055085668</v>
      </c>
      <c r="Z14">
        <f t="shared" si="15"/>
        <v>15.280492133534729</v>
      </c>
      <c r="AA14">
        <f t="shared" si="16"/>
        <v>-3.8938131032210777E-2</v>
      </c>
      <c r="AB14">
        <f t="shared" si="17"/>
        <v>11.44819064372281</v>
      </c>
      <c r="AC14">
        <f t="shared" si="18"/>
        <v>3.793363358779708</v>
      </c>
      <c r="AG14">
        <f t="shared" si="6"/>
        <v>3.0219201650390697E-13</v>
      </c>
      <c r="AH14">
        <f t="shared" si="7"/>
        <v>6.9012725628661</v>
      </c>
      <c r="AI14">
        <f t="shared" si="8"/>
        <v>7.6207772837098702</v>
      </c>
    </row>
    <row r="15" spans="1:35" x14ac:dyDescent="0.25">
      <c r="K15">
        <v>11</v>
      </c>
      <c r="L15">
        <f t="shared" si="9"/>
        <v>6.9014218909177201</v>
      </c>
      <c r="M15">
        <f t="shared" si="10"/>
        <v>7.5683049383519645</v>
      </c>
      <c r="N15">
        <f t="shared" si="0"/>
        <v>2.6040248688431111E-3</v>
      </c>
      <c r="O15">
        <f t="shared" si="1"/>
        <v>-0.35758412956174096</v>
      </c>
      <c r="P15" s="2">
        <f t="shared" si="2"/>
        <v>3.0837855159154031E-2</v>
      </c>
      <c r="Q15">
        <f t="shared" si="3"/>
        <v>9.3817828192651366E-3</v>
      </c>
      <c r="R15">
        <f t="shared" si="11"/>
        <v>5.6571152437291227E-3</v>
      </c>
      <c r="S15">
        <f t="shared" si="12"/>
        <v>1.3962163639817905E-2</v>
      </c>
      <c r="T15">
        <f t="shared" si="4"/>
        <v>9.3817828189629443E-3</v>
      </c>
      <c r="U15">
        <f t="shared" si="5"/>
        <v>5.2472557839563401E-2</v>
      </c>
      <c r="W15">
        <v>8</v>
      </c>
      <c r="X15">
        <f t="shared" si="13"/>
        <v>17.602159505541032</v>
      </c>
      <c r="Y15">
        <f t="shared" si="14"/>
        <v>-2.3606055030385118</v>
      </c>
      <c r="Z15">
        <f t="shared" si="15"/>
        <v>15.077710417863408</v>
      </c>
      <c r="AA15">
        <f t="shared" si="16"/>
        <v>0.16384358463911042</v>
      </c>
      <c r="AB15">
        <f t="shared" si="17"/>
        <v>11.02426275304043</v>
      </c>
      <c r="AC15">
        <f t="shared" si="18"/>
        <v>4.2172912494620878</v>
      </c>
      <c r="AG15">
        <f t="shared" si="6"/>
        <v>3.0219201650390697E-13</v>
      </c>
      <c r="AH15">
        <f t="shared" si="7"/>
        <v>6.9012725628661</v>
      </c>
      <c r="AI15">
        <f t="shared" si="8"/>
        <v>7.6207772837098702</v>
      </c>
    </row>
    <row r="16" spans="1:35" x14ac:dyDescent="0.25">
      <c r="K16" s="6">
        <v>12</v>
      </c>
      <c r="L16">
        <f t="shared" si="9"/>
        <v>6.9013415883759839</v>
      </c>
      <c r="M16">
        <f t="shared" si="10"/>
        <v>7.5793320659466019</v>
      </c>
      <c r="N16">
        <f t="shared" si="0"/>
        <v>1.2031330959468983E-3</v>
      </c>
      <c r="O16">
        <f t="shared" si="1"/>
        <v>-0.28243698259207811</v>
      </c>
      <c r="P16" s="2">
        <f t="shared" si="2"/>
        <v>3.0837855159154031E-2</v>
      </c>
      <c r="Q16">
        <f t="shared" si="3"/>
        <v>5.8528327235434999E-3</v>
      </c>
      <c r="R16" s="6">
        <f t="shared" si="11"/>
        <v>3.5289500957216367E-3</v>
      </c>
      <c r="S16">
        <f t="shared" si="12"/>
        <v>1.1027419983233764E-2</v>
      </c>
      <c r="T16">
        <f t="shared" si="4"/>
        <v>5.8528327232413076E-3</v>
      </c>
      <c r="U16">
        <f t="shared" si="5"/>
        <v>4.144527524297241E-2</v>
      </c>
      <c r="W16">
        <v>9</v>
      </c>
      <c r="X16">
        <f t="shared" si="13"/>
        <v>17.183349400209391</v>
      </c>
      <c r="Y16">
        <f t="shared" si="14"/>
        <v>-1.9417953977068727</v>
      </c>
      <c r="Z16">
        <f t="shared" si="15"/>
        <v>14.507042329290897</v>
      </c>
      <c r="AA16">
        <f t="shared" si="16"/>
        <v>0.73451167321162103</v>
      </c>
      <c r="AB16">
        <f t="shared" si="17"/>
        <v>9.464281666557488</v>
      </c>
      <c r="AC16">
        <f t="shared" si="18"/>
        <v>5.77727233594503</v>
      </c>
      <c r="AG16">
        <f t="shared" si="6"/>
        <v>3.0219201650390697E-13</v>
      </c>
      <c r="AH16">
        <f t="shared" si="7"/>
        <v>6.9012725628661</v>
      </c>
      <c r="AI16">
        <f t="shared" si="8"/>
        <v>7.6207772837098702</v>
      </c>
    </row>
    <row r="17" spans="11:35" x14ac:dyDescent="0.25">
      <c r="K17">
        <v>13</v>
      </c>
      <c r="L17">
        <f t="shared" si="9"/>
        <v>6.901304486331834</v>
      </c>
      <c r="M17">
        <f t="shared" si="10"/>
        <v>7.5880418167073653</v>
      </c>
      <c r="N17">
        <f t="shared" si="0"/>
        <v>5.5588149863226041E-4</v>
      </c>
      <c r="O17">
        <f t="shared" si="1"/>
        <v>-0.22308218553626866</v>
      </c>
      <c r="P17" s="2">
        <f t="shared" si="2"/>
        <v>3.0837855159154031E-2</v>
      </c>
      <c r="Q17">
        <f t="shared" si="3"/>
        <v>3.6513271124317477E-3</v>
      </c>
      <c r="R17">
        <f t="shared" si="11"/>
        <v>2.2015056111117522E-3</v>
      </c>
      <c r="S17">
        <f t="shared" si="12"/>
        <v>8.7098297845766733E-3</v>
      </c>
      <c r="T17">
        <f t="shared" si="4"/>
        <v>3.6513271121295559E-3</v>
      </c>
      <c r="U17">
        <f t="shared" si="5"/>
        <v>3.2735482568304199E-2</v>
      </c>
      <c r="W17">
        <v>10</v>
      </c>
      <c r="X17">
        <f t="shared" si="13"/>
        <v>16.460333505398353</v>
      </c>
      <c r="Y17">
        <f t="shared" si="14"/>
        <v>-1.2187795028958348</v>
      </c>
      <c r="Z17">
        <f t="shared" si="15"/>
        <v>13.461634684233626</v>
      </c>
      <c r="AA17">
        <f t="shared" si="16"/>
        <v>1.7799193182688908</v>
      </c>
      <c r="AB17" t="e">
        <f t="shared" si="17"/>
        <v>#NUM!</v>
      </c>
      <c r="AC17" t="e">
        <f t="shared" si="18"/>
        <v>#NUM!</v>
      </c>
      <c r="AG17">
        <f t="shared" si="6"/>
        <v>3.0219201650390697E-13</v>
      </c>
      <c r="AH17">
        <f t="shared" si="7"/>
        <v>6.9012725628661</v>
      </c>
      <c r="AI17">
        <f t="shared" si="8"/>
        <v>7.6207772837098702</v>
      </c>
    </row>
    <row r="18" spans="11:35" x14ac:dyDescent="0.25">
      <c r="K18">
        <v>14</v>
      </c>
      <c r="L18">
        <f t="shared" si="9"/>
        <v>6.9012873441386935</v>
      </c>
      <c r="M18">
        <f t="shared" si="10"/>
        <v>7.5949211928335201</v>
      </c>
      <c r="N18">
        <f t="shared" si="0"/>
        <v>2.5683296516419506E-4</v>
      </c>
      <c r="O18">
        <f t="shared" si="1"/>
        <v>-0.1762009388675401</v>
      </c>
      <c r="P18" s="2">
        <f t="shared" si="2"/>
        <v>3.0837855159154031E-2</v>
      </c>
      <c r="Q18">
        <f t="shared" si="3"/>
        <v>2.2779107497775757E-3</v>
      </c>
      <c r="R18">
        <f t="shared" si="11"/>
        <v>1.373416362654172E-3</v>
      </c>
      <c r="S18">
        <f t="shared" si="12"/>
        <v>6.8793974837839935E-3</v>
      </c>
      <c r="T18">
        <f t="shared" si="4"/>
        <v>2.2779107494753838E-3</v>
      </c>
      <c r="U18">
        <f t="shared" si="5"/>
        <v>2.5856095101389431E-2</v>
      </c>
      <c r="W18">
        <v>11</v>
      </c>
      <c r="X18">
        <f t="shared" si="13"/>
        <v>15.348189350221766</v>
      </c>
      <c r="Y18">
        <f t="shared" si="14"/>
        <v>-0.10663534771924699</v>
      </c>
      <c r="Z18">
        <f t="shared" si="15"/>
        <v>11.581933510891702</v>
      </c>
      <c r="AA18">
        <f t="shared" si="16"/>
        <v>3.6596204916108173</v>
      </c>
      <c r="AB18" t="e">
        <f t="shared" si="17"/>
        <v>#NUM!</v>
      </c>
      <c r="AC18" t="e">
        <f t="shared" si="18"/>
        <v>#NUM!</v>
      </c>
      <c r="AG18">
        <f t="shared" si="6"/>
        <v>3.0219201650390697E-13</v>
      </c>
      <c r="AH18">
        <f t="shared" si="7"/>
        <v>6.9012725628661</v>
      </c>
      <c r="AI18">
        <f t="shared" si="8"/>
        <v>7.6207772837098702</v>
      </c>
    </row>
    <row r="19" spans="11:35" x14ac:dyDescent="0.25">
      <c r="K19" s="6">
        <v>15</v>
      </c>
      <c r="L19">
        <f t="shared" si="9"/>
        <v>6.9012794239609141</v>
      </c>
      <c r="M19">
        <f t="shared" si="10"/>
        <v>7.600354851865224</v>
      </c>
      <c r="N19">
        <f t="shared" si="0"/>
        <v>1.1866408966977878E-4</v>
      </c>
      <c r="O19">
        <f t="shared" si="1"/>
        <v>-0.13917189659572857</v>
      </c>
      <c r="P19" s="2">
        <f t="shared" si="2"/>
        <v>3.0837855159154031E-2</v>
      </c>
      <c r="Q19">
        <f t="shared" si="3"/>
        <v>1.4210950348913325E-3</v>
      </c>
      <c r="R19">
        <f t="shared" si="11"/>
        <v>8.5681571488624322E-4</v>
      </c>
      <c r="S19" s="6">
        <f t="shared" si="12"/>
        <v>5.4336648039820593E-3</v>
      </c>
      <c r="T19">
        <f t="shared" si="4"/>
        <v>1.4210950345891404E-3</v>
      </c>
      <c r="U19">
        <f t="shared" si="5"/>
        <v>2.0422432997168616E-2</v>
      </c>
      <c r="W19">
        <v>12</v>
      </c>
      <c r="X19">
        <f t="shared" si="13"/>
        <v>13.634778842650537</v>
      </c>
      <c r="Y19">
        <f t="shared" si="14"/>
        <v>1.6067751598519804</v>
      </c>
      <c r="Z19" t="e">
        <f t="shared" si="15"/>
        <v>#NUM!</v>
      </c>
      <c r="AA19" t="e">
        <f t="shared" si="16"/>
        <v>#NUM!</v>
      </c>
      <c r="AB19" t="e">
        <f t="shared" si="17"/>
        <v>#NUM!</v>
      </c>
      <c r="AC19" t="e">
        <f t="shared" si="18"/>
        <v>#NUM!</v>
      </c>
      <c r="AG19">
        <f t="shared" si="6"/>
        <v>3.0219201650390697E-13</v>
      </c>
      <c r="AH19">
        <f t="shared" si="7"/>
        <v>6.9012725628661</v>
      </c>
      <c r="AI19">
        <f t="shared" si="8"/>
        <v>7.6207772837098702</v>
      </c>
    </row>
    <row r="20" spans="11:35" x14ac:dyDescent="0.25">
      <c r="K20">
        <v>16</v>
      </c>
      <c r="L20">
        <f t="shared" si="9"/>
        <v>6.9012757646149039</v>
      </c>
      <c r="M20">
        <f t="shared" si="10"/>
        <v>7.6046466146546674</v>
      </c>
      <c r="N20">
        <f t="shared" si="0"/>
        <v>5.4826163633458237E-5</v>
      </c>
      <c r="O20">
        <f t="shared" si="1"/>
        <v>-0.1099245947640098</v>
      </c>
      <c r="P20" s="2">
        <f t="shared" si="2"/>
        <v>3.0837855159154031E-2</v>
      </c>
      <c r="Q20">
        <f t="shared" si="3"/>
        <v>8.8656319116157804E-4</v>
      </c>
      <c r="R20">
        <f t="shared" si="11"/>
        <v>5.3453184372975445E-4</v>
      </c>
      <c r="S20">
        <f t="shared" si="12"/>
        <v>4.2917643495029509E-3</v>
      </c>
      <c r="T20">
        <f t="shared" si="4"/>
        <v>8.8656319085938606E-4</v>
      </c>
      <c r="U20">
        <f t="shared" si="5"/>
        <v>1.6130669372957582E-2</v>
      </c>
      <c r="W20">
        <v>13</v>
      </c>
      <c r="X20">
        <f t="shared" si="13"/>
        <v>10.360066836592775</v>
      </c>
      <c r="Y20">
        <f t="shared" si="14"/>
        <v>4.8814871659097427</v>
      </c>
      <c r="Z20" t="e">
        <f t="shared" si="15"/>
        <v>#NUM!</v>
      </c>
      <c r="AA20" t="e">
        <f t="shared" si="16"/>
        <v>#NUM!</v>
      </c>
      <c r="AB20" t="e">
        <f t="shared" si="17"/>
        <v>#NUM!</v>
      </c>
      <c r="AC20" t="e">
        <f t="shared" si="18"/>
        <v>#NUM!</v>
      </c>
      <c r="AG20">
        <f t="shared" si="6"/>
        <v>3.0219201650390697E-13</v>
      </c>
      <c r="AH20">
        <f t="shared" si="7"/>
        <v>6.9012725628661</v>
      </c>
      <c r="AI20">
        <f t="shared" si="8"/>
        <v>7.6207772837098702</v>
      </c>
    </row>
    <row r="21" spans="11:35" x14ac:dyDescent="0.25">
      <c r="K21">
        <v>17</v>
      </c>
      <c r="L21">
        <f t="shared" si="9"/>
        <v>6.9012740738936111</v>
      </c>
      <c r="M21">
        <f t="shared" si="10"/>
        <v>7.6080364533864282</v>
      </c>
      <c r="N21">
        <f t="shared" si="0"/>
        <v>2.533123734519726E-5</v>
      </c>
      <c r="O21">
        <f t="shared" si="1"/>
        <v>-8.6823682292210297E-2</v>
      </c>
      <c r="P21" s="2">
        <f t="shared" si="2"/>
        <v>3.0837855159154031E-2</v>
      </c>
      <c r="Q21" s="5">
        <f t="shared" si="3"/>
        <v>5.5309065841347631E-4</v>
      </c>
      <c r="R21">
        <f t="shared" si="11"/>
        <v>3.3347253274810173E-4</v>
      </c>
      <c r="S21">
        <f t="shared" si="12"/>
        <v>3.3898391533941754E-3</v>
      </c>
      <c r="T21">
        <f t="shared" si="4"/>
        <v>5.5309065811128433E-4</v>
      </c>
      <c r="U21">
        <f t="shared" si="5"/>
        <v>1.2740830413043833E-2</v>
      </c>
      <c r="W21">
        <v>14</v>
      </c>
      <c r="X21" t="e">
        <f>$B$7+SQRT(($Y$3-$B$4*($W21-$B$6)^2)/$B$5)</f>
        <v>#NUM!</v>
      </c>
      <c r="Y21" t="e">
        <f t="shared" si="14"/>
        <v>#NUM!</v>
      </c>
      <c r="Z21" t="e">
        <f t="shared" si="15"/>
        <v>#NUM!</v>
      </c>
      <c r="AA21" t="e">
        <f t="shared" si="16"/>
        <v>#NUM!</v>
      </c>
      <c r="AB21" t="e">
        <f t="shared" si="17"/>
        <v>#NUM!</v>
      </c>
      <c r="AC21" t="e">
        <f t="shared" si="18"/>
        <v>#NUM!</v>
      </c>
      <c r="AG21">
        <f t="shared" si="6"/>
        <v>3.0219201650390697E-13</v>
      </c>
      <c r="AH21">
        <f t="shared" si="7"/>
        <v>6.9012725628661</v>
      </c>
      <c r="AI21">
        <f t="shared" si="8"/>
        <v>7.6207772837098702</v>
      </c>
    </row>
    <row r="22" spans="11:35" x14ac:dyDescent="0.25">
      <c r="K22">
        <v>18</v>
      </c>
      <c r="L22">
        <f t="shared" si="9"/>
        <v>6.9012732927325828</v>
      </c>
      <c r="M22">
        <f t="shared" si="10"/>
        <v>7.61071390952534</v>
      </c>
      <c r="N22">
        <f t="shared" si="0"/>
        <v>1.1703747676718367E-5</v>
      </c>
      <c r="O22">
        <f t="shared" si="1"/>
        <v>-6.8577480981047712E-2</v>
      </c>
      <c r="P22" s="2">
        <f t="shared" si="2"/>
        <v>3.0837855159154031E-2</v>
      </c>
      <c r="Q22" s="5">
        <f t="shared" si="3"/>
        <v>3.4505074464832354E-4</v>
      </c>
      <c r="R22">
        <f t="shared" si="11"/>
        <v>2.0803991376515277E-4</v>
      </c>
      <c r="S22">
        <f t="shared" si="12"/>
        <v>2.6774562528655817E-3</v>
      </c>
      <c r="T22">
        <f t="shared" si="4"/>
        <v>3.4505074434613151E-4</v>
      </c>
      <c r="U22">
        <f t="shared" si="5"/>
        <v>1.00633742109977E-2</v>
      </c>
      <c r="W22">
        <v>15</v>
      </c>
      <c r="X22" t="e">
        <f t="shared" si="13"/>
        <v>#NUM!</v>
      </c>
      <c r="Y22" t="e">
        <f t="shared" si="14"/>
        <v>#NUM!</v>
      </c>
      <c r="Z22" t="e">
        <f t="shared" si="15"/>
        <v>#NUM!</v>
      </c>
      <c r="AA22" t="e">
        <f t="shared" si="16"/>
        <v>#NUM!</v>
      </c>
      <c r="AB22" t="e">
        <f t="shared" si="17"/>
        <v>#NUM!</v>
      </c>
      <c r="AC22" t="e">
        <f t="shared" si="18"/>
        <v>#NUM!</v>
      </c>
      <c r="AG22">
        <f t="shared" si="6"/>
        <v>3.0219201650390697E-13</v>
      </c>
      <c r="AH22">
        <f t="shared" si="7"/>
        <v>6.9012725628661</v>
      </c>
      <c r="AI22">
        <f t="shared" si="8"/>
        <v>7.6207772837098702</v>
      </c>
    </row>
    <row r="23" spans="11:35" x14ac:dyDescent="0.25">
      <c r="K23">
        <v>19</v>
      </c>
      <c r="L23">
        <f t="shared" si="9"/>
        <v>6.9012729318141073</v>
      </c>
      <c r="M23">
        <f t="shared" si="10"/>
        <v>7.6128286919510133</v>
      </c>
      <c r="N23">
        <f t="shared" si="0"/>
        <v>5.407462252206373E-6</v>
      </c>
      <c r="O23">
        <f t="shared" si="1"/>
        <v>-5.4165761846844858E-2</v>
      </c>
      <c r="P23" s="2">
        <f t="shared" si="2"/>
        <v>3.0837855159154031E-2</v>
      </c>
      <c r="Q23">
        <f t="shared" si="3"/>
        <v>2.1526311515915819E-4</v>
      </c>
      <c r="R23">
        <f t="shared" si="11"/>
        <v>1.2978762948916535E-4</v>
      </c>
      <c r="S23">
        <f t="shared" si="12"/>
        <v>2.1147824564713134E-3</v>
      </c>
      <c r="T23">
        <f t="shared" si="4"/>
        <v>2.1526311485696616E-4</v>
      </c>
      <c r="U23">
        <f t="shared" si="5"/>
        <v>7.9485917674195598E-3</v>
      </c>
      <c r="W23">
        <v>16</v>
      </c>
      <c r="X23" t="e">
        <f t="shared" si="13"/>
        <v>#NUM!</v>
      </c>
      <c r="Y23" t="e">
        <f t="shared" si="14"/>
        <v>#NUM!</v>
      </c>
      <c r="Z23" t="e">
        <f t="shared" si="15"/>
        <v>#NUM!</v>
      </c>
      <c r="AA23" t="e">
        <f t="shared" si="16"/>
        <v>#NUM!</v>
      </c>
      <c r="AB23" t="e">
        <f t="shared" si="17"/>
        <v>#NUM!</v>
      </c>
      <c r="AC23" t="e">
        <f t="shared" si="18"/>
        <v>#NUM!</v>
      </c>
      <c r="AG23">
        <f t="shared" si="6"/>
        <v>3.0219201650390697E-13</v>
      </c>
      <c r="AH23">
        <f t="shared" si="7"/>
        <v>6.9012725628661</v>
      </c>
      <c r="AI23">
        <f t="shared" si="8"/>
        <v>7.6207772837098702</v>
      </c>
    </row>
    <row r="24" spans="11:35" x14ac:dyDescent="0.25">
      <c r="K24">
        <v>20</v>
      </c>
      <c r="L24">
        <f t="shared" si="9"/>
        <v>6.90127276505957</v>
      </c>
      <c r="M24">
        <f t="shared" si="10"/>
        <v>7.6144990478694314</v>
      </c>
      <c r="N24">
        <f t="shared" si="0"/>
        <v>2.4984004176553746E-6</v>
      </c>
      <c r="O24">
        <f t="shared" si="1"/>
        <v>-4.2782699429569845E-2</v>
      </c>
      <c r="P24" s="2">
        <f t="shared" si="2"/>
        <v>3.0837855159154031E-2</v>
      </c>
      <c r="Q24">
        <f t="shared" si="3"/>
        <v>1.3429389646269377E-4</v>
      </c>
      <c r="R24">
        <f t="shared" si="11"/>
        <v>8.0969218696464411E-5</v>
      </c>
      <c r="S24">
        <f t="shared" si="12"/>
        <v>1.6703559267418294E-3</v>
      </c>
      <c r="T24">
        <f t="shared" si="4"/>
        <v>1.3429389616050175E-4</v>
      </c>
      <c r="U24">
        <f t="shared" si="5"/>
        <v>6.2782358436946064E-3</v>
      </c>
      <c r="W24">
        <v>17</v>
      </c>
      <c r="X24" t="e">
        <f t="shared" si="13"/>
        <v>#NUM!</v>
      </c>
      <c r="Y24" t="e">
        <f t="shared" si="14"/>
        <v>#NUM!</v>
      </c>
      <c r="Z24" t="e">
        <f t="shared" si="15"/>
        <v>#NUM!</v>
      </c>
      <c r="AA24" t="e">
        <f t="shared" si="16"/>
        <v>#NUM!</v>
      </c>
      <c r="AB24" t="e">
        <f t="shared" si="17"/>
        <v>#NUM!</v>
      </c>
      <c r="AC24" t="e">
        <f t="shared" si="18"/>
        <v>#NUM!</v>
      </c>
      <c r="AG24">
        <f t="shared" si="6"/>
        <v>3.0219201650390697E-13</v>
      </c>
      <c r="AH24">
        <f t="shared" si="7"/>
        <v>6.9012725628661</v>
      </c>
      <c r="AI24">
        <f t="shared" si="8"/>
        <v>7.6207772837098702</v>
      </c>
    </row>
    <row r="25" spans="11:35" x14ac:dyDescent="0.25">
      <c r="K25">
        <v>21</v>
      </c>
      <c r="L25">
        <f t="shared" si="9"/>
        <v>6.9012726880142594</v>
      </c>
      <c r="M25">
        <f t="shared" si="10"/>
        <v>7.6158183745577581</v>
      </c>
      <c r="N25">
        <f t="shared" si="0"/>
        <v>1.1543316074736222E-6</v>
      </c>
      <c r="O25">
        <f t="shared" si="1"/>
        <v>-3.379181438740364E-2</v>
      </c>
      <c r="P25" s="2">
        <f t="shared" si="2"/>
        <v>3.0837855159154031E-2</v>
      </c>
      <c r="Q25">
        <f t="shared" si="3"/>
        <v>8.3780496459794093E-5</v>
      </c>
      <c r="R25">
        <f t="shared" si="11"/>
        <v>5.0513400002899682E-5</v>
      </c>
      <c r="S25">
        <f t="shared" si="12"/>
        <v>1.3193266905763077E-3</v>
      </c>
      <c r="T25">
        <f t="shared" si="4"/>
        <v>8.3780496157602078E-5</v>
      </c>
      <c r="U25">
        <f t="shared" si="5"/>
        <v>4.9589091536912403E-3</v>
      </c>
      <c r="W25">
        <v>18</v>
      </c>
      <c r="X25" t="e">
        <f t="shared" si="13"/>
        <v>#NUM!</v>
      </c>
      <c r="Y25" t="e">
        <f t="shared" si="14"/>
        <v>#NUM!</v>
      </c>
      <c r="Z25" t="e">
        <f t="shared" si="15"/>
        <v>#NUM!</v>
      </c>
      <c r="AA25" t="e">
        <f t="shared" si="16"/>
        <v>#NUM!</v>
      </c>
      <c r="AB25" t="e">
        <f t="shared" si="17"/>
        <v>#NUM!</v>
      </c>
      <c r="AC25" t="e">
        <f t="shared" si="18"/>
        <v>#NUM!</v>
      </c>
      <c r="AG25">
        <f t="shared" si="6"/>
        <v>3.0219201650390697E-13</v>
      </c>
      <c r="AH25">
        <f t="shared" si="7"/>
        <v>6.9012725628661</v>
      </c>
      <c r="AI25">
        <f t="shared" si="8"/>
        <v>7.6207772837098702</v>
      </c>
    </row>
    <row r="26" spans="11:35" x14ac:dyDescent="0.25">
      <c r="K26">
        <v>22</v>
      </c>
      <c r="L26">
        <f t="shared" si="9"/>
        <v>6.9012726524171484</v>
      </c>
      <c r="M26">
        <f t="shared" si="10"/>
        <v>7.616860441635402</v>
      </c>
      <c r="N26">
        <f t="shared" si="0"/>
        <v>5.3333382942190959E-7</v>
      </c>
      <c r="O26">
        <f t="shared" si="1"/>
        <v>-2.6690385011177598E-2</v>
      </c>
      <c r="P26" s="2">
        <f t="shared" si="2"/>
        <v>3.0837855159154031E-2</v>
      </c>
      <c r="Q26">
        <f t="shared" si="3"/>
        <v>5.2267242041379357E-5</v>
      </c>
      <c r="R26">
        <f t="shared" si="11"/>
        <v>3.1513254418414736E-5</v>
      </c>
      <c r="S26">
        <f t="shared" si="12"/>
        <v>1.0420670782518716E-3</v>
      </c>
      <c r="T26">
        <f t="shared" si="4"/>
        <v>5.2267241739187342E-5</v>
      </c>
      <c r="U26">
        <f t="shared" si="5"/>
        <v>3.9168420754918916E-3</v>
      </c>
      <c r="W26">
        <v>19</v>
      </c>
      <c r="X26" t="e">
        <f t="shared" si="13"/>
        <v>#NUM!</v>
      </c>
      <c r="Y26" t="e">
        <f t="shared" si="14"/>
        <v>#NUM!</v>
      </c>
      <c r="Z26" t="e">
        <f t="shared" si="15"/>
        <v>#NUM!</v>
      </c>
      <c r="AA26" t="e">
        <f t="shared" si="16"/>
        <v>#NUM!</v>
      </c>
      <c r="AB26" t="e">
        <f t="shared" si="17"/>
        <v>#NUM!</v>
      </c>
      <c r="AC26" t="e">
        <f t="shared" si="18"/>
        <v>#NUM!</v>
      </c>
      <c r="AG26">
        <f t="shared" si="6"/>
        <v>3.0219201650390697E-13</v>
      </c>
      <c r="AH26">
        <f t="shared" si="7"/>
        <v>6.9012725628661</v>
      </c>
      <c r="AI26">
        <f t="shared" si="8"/>
        <v>7.6207772837098702</v>
      </c>
    </row>
    <row r="27" spans="11:35" x14ac:dyDescent="0.25">
      <c r="K27">
        <v>23</v>
      </c>
      <c r="L27">
        <f t="shared" si="9"/>
        <v>6.901272635970277</v>
      </c>
      <c r="M27">
        <f t="shared" si="10"/>
        <v>7.6176835158625185</v>
      </c>
      <c r="N27">
        <f t="shared" si="0"/>
        <v>2.4641530399948889E-7</v>
      </c>
      <c r="O27">
        <f t="shared" si="1"/>
        <v>-2.1081337742862492E-2</v>
      </c>
      <c r="P27" s="2">
        <f t="shared" si="2"/>
        <v>3.0837855159154031E-2</v>
      </c>
      <c r="Q27">
        <f t="shared" si="3"/>
        <v>3.2607405143065189E-5</v>
      </c>
      <c r="R27">
        <f t="shared" si="11"/>
        <v>1.9659836898314168E-5</v>
      </c>
      <c r="S27">
        <f t="shared" si="12"/>
        <v>8.2307422728079415E-4</v>
      </c>
      <c r="T27">
        <f t="shared" si="4"/>
        <v>3.2607404840873174E-5</v>
      </c>
      <c r="U27">
        <f t="shared" si="5"/>
        <v>3.0937678482154214E-3</v>
      </c>
      <c r="W27">
        <v>20</v>
      </c>
      <c r="X27" t="e">
        <f t="shared" si="13"/>
        <v>#NUM!</v>
      </c>
      <c r="Y27" t="e">
        <f t="shared" si="14"/>
        <v>#NUM!</v>
      </c>
      <c r="Z27" t="e">
        <f t="shared" si="15"/>
        <v>#NUM!</v>
      </c>
      <c r="AA27" t="e">
        <f t="shared" si="16"/>
        <v>#NUM!</v>
      </c>
      <c r="AB27" t="e">
        <f t="shared" si="17"/>
        <v>#NUM!</v>
      </c>
      <c r="AC27" t="e">
        <f t="shared" si="18"/>
        <v>#NUM!</v>
      </c>
      <c r="AG27">
        <f t="shared" si="6"/>
        <v>3.0219201650390697E-13</v>
      </c>
      <c r="AH27">
        <f t="shared" si="7"/>
        <v>6.9012725628661</v>
      </c>
      <c r="AI27">
        <f t="shared" si="8"/>
        <v>7.6207772837098702</v>
      </c>
    </row>
    <row r="28" spans="11:35" x14ac:dyDescent="0.25">
      <c r="K28">
        <v>24</v>
      </c>
      <c r="L28">
        <f t="shared" si="9"/>
        <v>6.9012726283713572</v>
      </c>
      <c r="M28">
        <f t="shared" si="10"/>
        <v>7.618333619102394</v>
      </c>
      <c r="N28">
        <f t="shared" si="0"/>
        <v>1.138508311639825E-7</v>
      </c>
      <c r="O28">
        <f t="shared" si="1"/>
        <v>-1.6651044967784627E-2</v>
      </c>
      <c r="P28" s="2">
        <f t="shared" si="2"/>
        <v>3.0837855159154031E-2</v>
      </c>
      <c r="Q28">
        <f t="shared" si="3"/>
        <v>2.0342433017487934E-5</v>
      </c>
      <c r="R28">
        <f t="shared" si="11"/>
        <v>1.2264972125577255E-5</v>
      </c>
      <c r="S28">
        <f t="shared" si="12"/>
        <v>6.5010323991998792E-4</v>
      </c>
      <c r="T28">
        <f t="shared" si="4"/>
        <v>2.0342432715295916E-5</v>
      </c>
      <c r="U28">
        <f t="shared" si="5"/>
        <v>2.4436646083541092E-3</v>
      </c>
      <c r="AG28">
        <f t="shared" si="6"/>
        <v>3.0219201650390697E-13</v>
      </c>
      <c r="AH28">
        <f t="shared" si="7"/>
        <v>6.9012725628661</v>
      </c>
      <c r="AI28">
        <f t="shared" si="8"/>
        <v>7.6207772837098702</v>
      </c>
    </row>
    <row r="29" spans="11:35" x14ac:dyDescent="0.25">
      <c r="K29">
        <v>25</v>
      </c>
      <c r="L29">
        <f t="shared" si="9"/>
        <v>6.9012726248604421</v>
      </c>
      <c r="M29">
        <f t="shared" si="10"/>
        <v>7.6188471016153594</v>
      </c>
      <c r="N29">
        <f t="shared" si="0"/>
        <v>5.2602307861130823E-8</v>
      </c>
      <c r="O29">
        <f t="shared" si="1"/>
        <v>-1.3151788653118992E-2</v>
      </c>
      <c r="P29" s="2">
        <f t="shared" si="2"/>
        <v>3.0837855159154031E-2</v>
      </c>
      <c r="Q29">
        <f t="shared" si="3"/>
        <v>1.2690816066620875E-5</v>
      </c>
      <c r="R29" s="2">
        <f t="shared" si="11"/>
        <v>7.6516169508670589E-6</v>
      </c>
      <c r="S29">
        <f t="shared" si="12"/>
        <v>5.1348251297734929E-4</v>
      </c>
      <c r="T29">
        <f t="shared" si="4"/>
        <v>1.2690815764428859E-5</v>
      </c>
      <c r="U29">
        <f t="shared" si="5"/>
        <v>1.9301820955063699E-3</v>
      </c>
      <c r="AG29">
        <f t="shared" si="6"/>
        <v>3.0219201650390697E-13</v>
      </c>
      <c r="AH29">
        <f t="shared" si="7"/>
        <v>6.9012725628661</v>
      </c>
      <c r="AI29">
        <f t="shared" si="8"/>
        <v>7.6207772837098702</v>
      </c>
    </row>
    <row r="30" spans="11:35" x14ac:dyDescent="0.25">
      <c r="K30">
        <v>26</v>
      </c>
      <c r="L30">
        <f t="shared" si="9"/>
        <v>6.9012726232382997</v>
      </c>
      <c r="M30">
        <f t="shared" si="10"/>
        <v>7.6192526745689282</v>
      </c>
      <c r="N30">
        <f t="shared" si="0"/>
        <v>2.4303751899445298E-8</v>
      </c>
      <c r="O30">
        <f t="shared" si="1"/>
        <v>-1.0387909294039445E-2</v>
      </c>
      <c r="P30" s="2">
        <f t="shared" si="2"/>
        <v>3.0837855159154031E-2</v>
      </c>
      <c r="Q30" s="2">
        <f t="shared" si="3"/>
        <v>7.9172836552852655E-6</v>
      </c>
      <c r="R30">
        <f t="shared" si="11"/>
        <v>4.7735324113356098E-6</v>
      </c>
      <c r="S30">
        <f t="shared" si="12"/>
        <v>4.0557295357204412E-4</v>
      </c>
      <c r="T30" s="2">
        <f t="shared" si="4"/>
        <v>7.9172833530932495E-6</v>
      </c>
      <c r="U30">
        <f t="shared" si="5"/>
        <v>1.524609142137314E-3</v>
      </c>
      <c r="AG30">
        <f t="shared" si="6"/>
        <v>3.0219201650390697E-13</v>
      </c>
      <c r="AH30">
        <f t="shared" si="7"/>
        <v>6.9012725628661</v>
      </c>
      <c r="AI30">
        <f t="shared" si="8"/>
        <v>7.6207772837098702</v>
      </c>
    </row>
    <row r="31" spans="11:35" x14ac:dyDescent="0.25">
      <c r="K31">
        <v>27</v>
      </c>
      <c r="L31">
        <f t="shared" si="9"/>
        <v>6.9012726224888246</v>
      </c>
      <c r="M31">
        <f t="shared" si="10"/>
        <v>7.6195730154111443</v>
      </c>
      <c r="N31">
        <f t="shared" si="0"/>
        <v>1.1229027899722927E-8</v>
      </c>
      <c r="O31">
        <f t="shared" si="1"/>
        <v>-8.2048656914510496E-3</v>
      </c>
      <c r="P31" s="2">
        <f t="shared" si="2"/>
        <v>3.0837855159154031E-2</v>
      </c>
      <c r="Q31">
        <f t="shared" si="3"/>
        <v>4.939271056278675E-6</v>
      </c>
      <c r="R31">
        <f t="shared" si="11"/>
        <v>2.9780125990065905E-6</v>
      </c>
      <c r="S31">
        <f t="shared" si="12"/>
        <v>3.2034084221698144E-4</v>
      </c>
      <c r="T31">
        <f t="shared" si="4"/>
        <v>4.9392707540866581E-6</v>
      </c>
      <c r="U31">
        <f t="shared" si="5"/>
        <v>1.2042683002018314E-3</v>
      </c>
      <c r="AG31">
        <f t="shared" si="6"/>
        <v>3.0219201650390697E-13</v>
      </c>
      <c r="AH31">
        <f t="shared" si="7"/>
        <v>6.9012725628661</v>
      </c>
      <c r="AI31">
        <f t="shared" si="8"/>
        <v>7.6207772837098702</v>
      </c>
    </row>
    <row r="32" spans="11:35" x14ac:dyDescent="0.25">
      <c r="K32">
        <v>28</v>
      </c>
      <c r="L32">
        <f t="shared" si="9"/>
        <v>6.9012726221425451</v>
      </c>
      <c r="M32">
        <f t="shared" si="10"/>
        <v>7.619826035870938</v>
      </c>
      <c r="N32">
        <f t="shared" si="0"/>
        <v>5.1881228234688801E-9</v>
      </c>
      <c r="O32">
        <f t="shared" si="1"/>
        <v>-6.4805938432051773E-3</v>
      </c>
      <c r="P32" s="2">
        <f t="shared" si="2"/>
        <v>3.0837855159154031E-2</v>
      </c>
      <c r="Q32">
        <f t="shared" si="3"/>
        <v>3.0814101944056163E-6</v>
      </c>
      <c r="R32">
        <f t="shared" si="11"/>
        <v>1.8578608618730587E-6</v>
      </c>
      <c r="S32">
        <f t="shared" si="12"/>
        <v>2.5302045979393276E-4</v>
      </c>
      <c r="T32">
        <f t="shared" si="4"/>
        <v>3.0814098922135998E-6</v>
      </c>
      <c r="U32">
        <f t="shared" si="5"/>
        <v>9.512478407790781E-4</v>
      </c>
      <c r="AG32">
        <f t="shared" si="6"/>
        <v>3.0219201650390697E-13</v>
      </c>
      <c r="AH32">
        <f t="shared" si="7"/>
        <v>6.9012725628661</v>
      </c>
      <c r="AI32">
        <f t="shared" si="8"/>
        <v>7.6207772837098702</v>
      </c>
    </row>
    <row r="33" spans="11:35" x14ac:dyDescent="0.25">
      <c r="K33">
        <v>29</v>
      </c>
      <c r="L33">
        <f t="shared" si="9"/>
        <v>6.9012726219825549</v>
      </c>
      <c r="M33">
        <f t="shared" si="10"/>
        <v>7.6200258834852201</v>
      </c>
      <c r="N33">
        <f t="shared" si="0"/>
        <v>2.3970652715783546E-9</v>
      </c>
      <c r="O33">
        <f t="shared" si="1"/>
        <v>-5.1186817846831543E-3</v>
      </c>
      <c r="P33" s="2">
        <f t="shared" si="2"/>
        <v>3.0837855159154031E-2</v>
      </c>
      <c r="Q33">
        <f t="shared" si="3"/>
        <v>1.9223664135876901E-6</v>
      </c>
      <c r="R33">
        <f t="shared" si="11"/>
        <v>1.1590437808179262E-6</v>
      </c>
      <c r="S33">
        <f t="shared" si="12"/>
        <v>1.9984761428221994E-4</v>
      </c>
      <c r="T33">
        <f t="shared" si="4"/>
        <v>1.9223661113956737E-6</v>
      </c>
      <c r="U33">
        <f t="shared" si="5"/>
        <v>7.5140022697552913E-4</v>
      </c>
      <c r="AG33">
        <f t="shared" si="6"/>
        <v>3.0219201650390697E-13</v>
      </c>
      <c r="AH33">
        <f t="shared" si="7"/>
        <v>6.9012725628661</v>
      </c>
      <c r="AI33">
        <f t="shared" si="8"/>
        <v>7.6207772837098702</v>
      </c>
    </row>
    <row r="34" spans="11:35" x14ac:dyDescent="0.25">
      <c r="K34">
        <v>30</v>
      </c>
      <c r="L34">
        <f t="shared" si="9"/>
        <v>6.9012726219086344</v>
      </c>
      <c r="M34">
        <f t="shared" si="10"/>
        <v>7.620183732652702</v>
      </c>
      <c r="N34">
        <f t="shared" si="0"/>
        <v>1.1075106265594365E-9</v>
      </c>
      <c r="O34">
        <f t="shared" si="1"/>
        <v>-4.0429787526835969E-3</v>
      </c>
      <c r="P34" s="2">
        <f t="shared" si="2"/>
        <v>3.0837855159154031E-2</v>
      </c>
      <c r="Q34">
        <f t="shared" si="3"/>
        <v>1.1992861693002332E-6</v>
      </c>
      <c r="R34">
        <f t="shared" si="11"/>
        <v>7.2308024428745696E-7</v>
      </c>
      <c r="S34">
        <f t="shared" si="12"/>
        <v>1.578491674818667E-4</v>
      </c>
      <c r="T34">
        <f t="shared" si="4"/>
        <v>1.1992858671082167E-6</v>
      </c>
      <c r="U34">
        <f t="shared" si="5"/>
        <v>5.9355106010476502E-4</v>
      </c>
      <c r="AG34">
        <f t="shared" si="6"/>
        <v>3.0219201650390697E-13</v>
      </c>
      <c r="AH34">
        <f t="shared" si="7"/>
        <v>6.9012725628661</v>
      </c>
      <c r="AI34">
        <f t="shared" si="8"/>
        <v>7.6207772837098702</v>
      </c>
    </row>
    <row r="35" spans="11:35" x14ac:dyDescent="0.25">
      <c r="K35">
        <v>31</v>
      </c>
      <c r="L35">
        <f t="shared" si="9"/>
        <v>6.9012726218744813</v>
      </c>
      <c r="M35">
        <f t="shared" si="10"/>
        <v>7.6203084094458884</v>
      </c>
      <c r="N35">
        <f t="shared" si="0"/>
        <v>5.1170343940968392E-10</v>
      </c>
      <c r="O35">
        <f t="shared" si="1"/>
        <v>-3.1933372462372039E-3</v>
      </c>
      <c r="P35" s="2">
        <f t="shared" si="2"/>
        <v>3.0837855159154031E-2</v>
      </c>
      <c r="Q35">
        <f t="shared" si="3"/>
        <v>7.4818583268577804E-7</v>
      </c>
      <c r="R35">
        <f t="shared" si="11"/>
        <v>4.5110033661445513E-7</v>
      </c>
      <c r="S35">
        <f t="shared" si="12"/>
        <v>1.2467679318640037E-4</v>
      </c>
      <c r="T35">
        <f t="shared" si="4"/>
        <v>7.4818553049376157E-7</v>
      </c>
      <c r="U35">
        <f t="shared" si="5"/>
        <v>4.6887426769492621E-4</v>
      </c>
      <c r="AG35">
        <f t="shared" si="6"/>
        <v>3.0219201650390697E-13</v>
      </c>
      <c r="AH35">
        <f t="shared" si="7"/>
        <v>6.9012725628661</v>
      </c>
      <c r="AI35">
        <f t="shared" si="8"/>
        <v>7.6207772837098702</v>
      </c>
    </row>
    <row r="36" spans="11:35" x14ac:dyDescent="0.25">
      <c r="K36">
        <v>32</v>
      </c>
      <c r="L36">
        <f t="shared" si="9"/>
        <v>6.9012726218587011</v>
      </c>
      <c r="M36">
        <f t="shared" si="10"/>
        <v>7.6204068851173625</v>
      </c>
      <c r="N36">
        <f t="shared" si="0"/>
        <v>2.3641396149925687E-10</v>
      </c>
      <c r="O36">
        <f t="shared" si="1"/>
        <v>-2.5222499033463633E-3</v>
      </c>
      <c r="P36" s="2">
        <f t="shared" si="2"/>
        <v>3.0837855159154031E-2</v>
      </c>
      <c r="Q36">
        <f t="shared" si="3"/>
        <v>4.6676269147366596E-7</v>
      </c>
      <c r="R36">
        <f t="shared" si="11"/>
        <v>2.8142314121211208E-7</v>
      </c>
      <c r="S36">
        <f t="shared" si="12"/>
        <v>9.8475671474142085E-5</v>
      </c>
      <c r="T36">
        <f t="shared" si="4"/>
        <v>4.6676238928164943E-7</v>
      </c>
      <c r="U36">
        <f t="shared" si="5"/>
        <v>3.7039859720546149E-4</v>
      </c>
      <c r="AG36">
        <f t="shared" si="6"/>
        <v>3.0219201650390697E-13</v>
      </c>
      <c r="AH36">
        <f t="shared" si="7"/>
        <v>6.9012725628661</v>
      </c>
      <c r="AI36">
        <f t="shared" si="8"/>
        <v>7.6207772837098702</v>
      </c>
    </row>
    <row r="37" spans="11:35" x14ac:dyDescent="0.25">
      <c r="K37">
        <v>33</v>
      </c>
      <c r="L37">
        <f t="shared" si="9"/>
        <v>6.9012726218514109</v>
      </c>
      <c r="M37">
        <f t="shared" si="10"/>
        <v>7.6204846658945575</v>
      </c>
      <c r="N37">
        <f t="shared" si="0"/>
        <v>1.0923570773166607E-10</v>
      </c>
      <c r="O37">
        <f t="shared" si="1"/>
        <v>-1.9921931460336151E-3</v>
      </c>
      <c r="P37" s="2">
        <f t="shared" si="2"/>
        <v>3.0837855159154031E-2</v>
      </c>
      <c r="Q37">
        <f t="shared" si="3"/>
        <v>2.9119424698198917E-7</v>
      </c>
      <c r="R37">
        <f t="shared" si="11"/>
        <v>1.7556844449167679E-7</v>
      </c>
      <c r="S37">
        <f t="shared" si="12"/>
        <v>7.7780777195002654E-5</v>
      </c>
      <c r="T37">
        <f t="shared" si="4"/>
        <v>2.9119394478997264E-7</v>
      </c>
      <c r="U37">
        <f t="shared" si="5"/>
        <v>2.9261782125771587E-4</v>
      </c>
      <c r="AG37">
        <f t="shared" si="6"/>
        <v>3.0219201650390697E-13</v>
      </c>
      <c r="AH37">
        <f t="shared" si="7"/>
        <v>6.9012725628661</v>
      </c>
      <c r="AI37">
        <f t="shared" si="8"/>
        <v>7.6207772837098702</v>
      </c>
    </row>
    <row r="38" spans="11:35" x14ac:dyDescent="0.25">
      <c r="K38">
        <v>34</v>
      </c>
      <c r="L38">
        <f t="shared" si="9"/>
        <v>6.901272621848042</v>
      </c>
      <c r="M38">
        <f t="shared" si="10"/>
        <v>7.6205461008582436</v>
      </c>
      <c r="N38">
        <f t="shared" si="0"/>
        <v>5.0465347529366864E-11</v>
      </c>
      <c r="O38">
        <f t="shared" si="1"/>
        <v>-1.5735290646062476E-3</v>
      </c>
      <c r="P38" s="2">
        <f t="shared" si="2"/>
        <v>3.0837855159154031E-2</v>
      </c>
      <c r="Q38">
        <f t="shared" si="3"/>
        <v>1.8166423971939382E-7</v>
      </c>
      <c r="R38">
        <f t="shared" si="11"/>
        <v>1.0953000726259536E-7</v>
      </c>
      <c r="S38">
        <f t="shared" si="12"/>
        <v>6.1434963686046823E-5</v>
      </c>
      <c r="T38">
        <f t="shared" si="4"/>
        <v>1.8166393752737731E-7</v>
      </c>
      <c r="U38">
        <f t="shared" si="5"/>
        <v>2.3118285915066361E-4</v>
      </c>
      <c r="AG38">
        <f t="shared" si="6"/>
        <v>3.0219201650390697E-13</v>
      </c>
      <c r="AH38">
        <f t="shared" si="7"/>
        <v>6.9012725628661</v>
      </c>
      <c r="AI38">
        <f t="shared" si="8"/>
        <v>7.6207772837098702</v>
      </c>
    </row>
    <row r="39" spans="11:35" x14ac:dyDescent="0.25">
      <c r="K39">
        <v>35</v>
      </c>
      <c r="L39">
        <f t="shared" si="9"/>
        <v>6.9012726218464859</v>
      </c>
      <c r="M39">
        <f t="shared" si="10"/>
        <v>7.6205946251196268</v>
      </c>
      <c r="N39">
        <f t="shared" si="0"/>
        <v>2.3319112076050699E-11</v>
      </c>
      <c r="O39">
        <f t="shared" si="1"/>
        <v>-1.2428482258777496E-3</v>
      </c>
      <c r="P39" s="2">
        <f t="shared" si="2"/>
        <v>3.0837855159154031E-2</v>
      </c>
      <c r="Q39">
        <f t="shared" si="3"/>
        <v>1.1333292582075669E-7</v>
      </c>
      <c r="R39">
        <f t="shared" si="11"/>
        <v>6.8331313898637121E-8</v>
      </c>
      <c r="S39">
        <f t="shared" si="12"/>
        <v>4.8524261383242644E-5</v>
      </c>
      <c r="T39">
        <f t="shared" si="4"/>
        <v>1.1333262362874019E-7</v>
      </c>
      <c r="U39">
        <f t="shared" si="5"/>
        <v>1.8265859976572768E-4</v>
      </c>
      <c r="AG39">
        <f t="shared" si="6"/>
        <v>3.0219201650390697E-13</v>
      </c>
      <c r="AH39">
        <f t="shared" si="7"/>
        <v>6.9012725628661</v>
      </c>
      <c r="AI39">
        <f t="shared" si="8"/>
        <v>7.6207772837098702</v>
      </c>
    </row>
    <row r="40" spans="11:35" x14ac:dyDescent="0.25">
      <c r="K40">
        <v>36</v>
      </c>
      <c r="L40">
        <f t="shared" si="9"/>
        <v>6.9012726218457665</v>
      </c>
      <c r="M40">
        <f t="shared" si="10"/>
        <v>7.6206329518932012</v>
      </c>
      <c r="N40">
        <f t="shared" si="0"/>
        <v>1.0768626506880555E-11</v>
      </c>
      <c r="O40">
        <f t="shared" si="1"/>
        <v>-9.8166074419218561E-4</v>
      </c>
      <c r="P40" s="2">
        <f t="shared" si="2"/>
        <v>3.0837855159154031E-2</v>
      </c>
      <c r="Q40">
        <f t="shared" si="3"/>
        <v>7.0703800015705948E-8</v>
      </c>
      <c r="R40">
        <f t="shared" si="11"/>
        <v>4.2629125805050746E-8</v>
      </c>
      <c r="S40">
        <f t="shared" si="12"/>
        <v>3.8326773574404178E-5</v>
      </c>
      <c r="T40">
        <f t="shared" si="4"/>
        <v>7.0703497823689445E-8</v>
      </c>
      <c r="U40">
        <f t="shared" si="5"/>
        <v>1.4433182871965939E-4</v>
      </c>
      <c r="AG40">
        <f t="shared" si="6"/>
        <v>3.0219201650390697E-13</v>
      </c>
      <c r="AH40">
        <f t="shared" si="7"/>
        <v>6.9012725628661</v>
      </c>
      <c r="AI40">
        <f t="shared" si="8"/>
        <v>7.6207772837098702</v>
      </c>
    </row>
    <row r="41" spans="11:35" x14ac:dyDescent="0.25">
      <c r="K41">
        <v>37</v>
      </c>
      <c r="L41">
        <f t="shared" si="9"/>
        <v>6.9012726218454343</v>
      </c>
      <c r="M41">
        <f t="shared" si="10"/>
        <v>7.620663224205046</v>
      </c>
      <c r="N41">
        <f t="shared" si="0"/>
        <v>4.9737109477822423E-12</v>
      </c>
      <c r="O41">
        <f t="shared" si="1"/>
        <v>-7.7536242690229924E-4</v>
      </c>
      <c r="P41" s="2">
        <f t="shared" si="2"/>
        <v>3.0837855159154031E-2</v>
      </c>
      <c r="Q41">
        <f t="shared" si="3"/>
        <v>4.4109223338727651E-8</v>
      </c>
      <c r="R41">
        <f t="shared" si="11"/>
        <v>2.6594576676978296E-8</v>
      </c>
      <c r="S41">
        <f t="shared" si="12"/>
        <v>3.0272311844825595E-5</v>
      </c>
      <c r="T41">
        <f t="shared" si="4"/>
        <v>4.4108921146711148E-8</v>
      </c>
      <c r="U41">
        <f t="shared" si="5"/>
        <v>1.1405952007301644E-4</v>
      </c>
      <c r="AG41">
        <f t="shared" si="6"/>
        <v>3.0219201650390697E-13</v>
      </c>
      <c r="AH41">
        <f t="shared" si="7"/>
        <v>6.9012725628661</v>
      </c>
      <c r="AI41">
        <f t="shared" si="8"/>
        <v>7.6207772837098702</v>
      </c>
    </row>
    <row r="42" spans="11:35" x14ac:dyDescent="0.25">
      <c r="K42">
        <v>38</v>
      </c>
      <c r="L42">
        <f t="shared" si="9"/>
        <v>6.9012726218452807</v>
      </c>
      <c r="M42">
        <f t="shared" si="10"/>
        <v>7.6206871347192626</v>
      </c>
      <c r="N42">
        <f t="shared" si="0"/>
        <v>2.293175141033557E-12</v>
      </c>
      <c r="O42">
        <f t="shared" si="1"/>
        <v>-6.1241818684227612E-4</v>
      </c>
      <c r="P42" s="2">
        <f t="shared" si="2"/>
        <v>3.0837855159154031E-2</v>
      </c>
      <c r="Q42">
        <f t="shared" si="3"/>
        <v>2.7517949291514868E-8</v>
      </c>
      <c r="R42">
        <f t="shared" si="11"/>
        <v>1.6591274047212783E-8</v>
      </c>
      <c r="S42">
        <f t="shared" si="12"/>
        <v>2.3910514216574086E-5</v>
      </c>
      <c r="T42">
        <f t="shared" si="4"/>
        <v>2.7517647099498365E-8</v>
      </c>
      <c r="U42">
        <f t="shared" si="5"/>
        <v>9.0149009900854408E-5</v>
      </c>
      <c r="AG42">
        <f t="shared" si="6"/>
        <v>3.0219201650390697E-13</v>
      </c>
      <c r="AH42">
        <f t="shared" si="7"/>
        <v>6.9012725628661</v>
      </c>
      <c r="AI42">
        <f t="shared" si="8"/>
        <v>7.6207772837098702</v>
      </c>
    </row>
    <row r="43" spans="11:35" x14ac:dyDescent="0.25">
      <c r="K43">
        <v>39</v>
      </c>
      <c r="L43">
        <f t="shared" si="9"/>
        <v>6.9012726218452096</v>
      </c>
      <c r="M43">
        <f t="shared" si="10"/>
        <v>7.6207060203826051</v>
      </c>
      <c r="N43">
        <f t="shared" si="0"/>
        <v>1.0536210107451479E-12</v>
      </c>
      <c r="O43">
        <f t="shared" si="1"/>
        <v>-4.837170625794356E-4</v>
      </c>
      <c r="P43" s="2">
        <f t="shared" si="2"/>
        <v>3.0837855159154031E-2</v>
      </c>
      <c r="Q43">
        <f t="shared" si="3"/>
        <v>1.7167328642293202E-8</v>
      </c>
      <c r="R43">
        <f t="shared" si="11"/>
        <v>1.0350620649221666E-8</v>
      </c>
      <c r="S43">
        <f t="shared" si="12"/>
        <v>1.8885663342516068E-5</v>
      </c>
      <c r="T43">
        <f t="shared" si="4"/>
        <v>1.7167026450276699E-8</v>
      </c>
      <c r="U43">
        <f t="shared" si="5"/>
        <v>7.1263351671241659E-5</v>
      </c>
      <c r="AG43">
        <f t="shared" si="6"/>
        <v>3.0219201650390697E-13</v>
      </c>
      <c r="AH43">
        <f t="shared" si="7"/>
        <v>6.9012725628661</v>
      </c>
      <c r="AI43">
        <f t="shared" si="8"/>
        <v>7.6207772837098702</v>
      </c>
    </row>
    <row r="44" spans="11:35" x14ac:dyDescent="0.25">
      <c r="K44">
        <v>40</v>
      </c>
      <c r="L44">
        <f t="shared" si="9"/>
        <v>6.9012726218451768</v>
      </c>
      <c r="M44">
        <f t="shared" si="10"/>
        <v>7.6207209371793185</v>
      </c>
      <c r="N44">
        <f t="shared" si="0"/>
        <v>4.8032722548675858E-13</v>
      </c>
      <c r="O44">
        <f t="shared" si="1"/>
        <v>-3.8206278268490649E-4</v>
      </c>
      <c r="P44" s="2">
        <f t="shared" si="2"/>
        <v>3.0837855159154031E-2</v>
      </c>
      <c r="Q44">
        <f t="shared" si="3"/>
        <v>1.0709997667112507E-8</v>
      </c>
      <c r="R44">
        <f t="shared" si="11"/>
        <v>6.4573309751806947E-9</v>
      </c>
      <c r="S44">
        <f t="shared" si="12"/>
        <v>1.491679671339341E-5</v>
      </c>
      <c r="T44">
        <f t="shared" si="4"/>
        <v>1.0709695475096004E-8</v>
      </c>
      <c r="U44">
        <f t="shared" si="5"/>
        <v>5.6346561418943201E-5</v>
      </c>
      <c r="AG44">
        <f t="shared" si="6"/>
        <v>3.0219201650390697E-13</v>
      </c>
      <c r="AH44">
        <f t="shared" si="7"/>
        <v>6.9012725628661</v>
      </c>
      <c r="AI44">
        <f t="shared" si="8"/>
        <v>7.6207772837098702</v>
      </c>
    </row>
    <row r="45" spans="11:35" x14ac:dyDescent="0.25">
      <c r="K45">
        <v>41</v>
      </c>
      <c r="L45">
        <f t="shared" si="9"/>
        <v>6.9012726218451617</v>
      </c>
      <c r="M45">
        <f t="shared" si="10"/>
        <v>7.6207327191760728</v>
      </c>
      <c r="N45">
        <f t="shared" si="0"/>
        <v>2.1692197280047162E-13</v>
      </c>
      <c r="O45">
        <f t="shared" si="1"/>
        <v>-3.0177138911145497E-4</v>
      </c>
      <c r="P45" s="2">
        <f t="shared" si="2"/>
        <v>3.0837855159154031E-2</v>
      </c>
      <c r="Q45">
        <f t="shared" si="3"/>
        <v>6.6815316708466855E-9</v>
      </c>
      <c r="R45">
        <f t="shared" si="11"/>
        <v>4.0284659962658216E-9</v>
      </c>
      <c r="S45">
        <f t="shared" si="12"/>
        <v>1.1781996754223201E-5</v>
      </c>
      <c r="T45">
        <f t="shared" si="4"/>
        <v>6.6812294788301816E-9</v>
      </c>
      <c r="U45">
        <f t="shared" si="5"/>
        <v>4.4564572825407952E-5</v>
      </c>
      <c r="AG45">
        <f t="shared" si="6"/>
        <v>3.0219201650390697E-13</v>
      </c>
      <c r="AH45">
        <f t="shared" si="7"/>
        <v>6.9012725628661</v>
      </c>
      <c r="AI45">
        <f t="shared" si="8"/>
        <v>7.6207772837098702</v>
      </c>
    </row>
    <row r="46" spans="11:35" x14ac:dyDescent="0.25">
      <c r="K46">
        <v>42</v>
      </c>
      <c r="L46">
        <f t="shared" si="9"/>
        <v>6.9012726218451546</v>
      </c>
      <c r="M46">
        <f t="shared" si="10"/>
        <v>7.620742025158461</v>
      </c>
      <c r="N46">
        <f t="shared" si="0"/>
        <v>9.2966559771630695E-14</v>
      </c>
      <c r="O46">
        <f t="shared" si="1"/>
        <v>-2.3835342099377867E-4</v>
      </c>
      <c r="P46" s="2">
        <f t="shared" si="2"/>
        <v>3.0837855159154031E-2</v>
      </c>
      <c r="Q46">
        <f t="shared" si="3"/>
        <v>4.1683356857009407E-9</v>
      </c>
      <c r="R46">
        <f t="shared" si="11"/>
        <v>2.5131959851457448E-9</v>
      </c>
      <c r="S46" s="2">
        <f t="shared" si="12"/>
        <v>9.3059823882413184E-6</v>
      </c>
      <c r="T46">
        <f t="shared" si="4"/>
        <v>4.1680334936844367E-9</v>
      </c>
      <c r="U46">
        <f t="shared" si="5"/>
        <v>3.525860073801228E-5</v>
      </c>
      <c r="AG46">
        <f t="shared" si="6"/>
        <v>3.0219201650390697E-13</v>
      </c>
      <c r="AH46">
        <f t="shared" si="7"/>
        <v>6.9012725628661</v>
      </c>
      <c r="AI46">
        <f t="shared" si="8"/>
        <v>7.6207772837098702</v>
      </c>
    </row>
    <row r="47" spans="11:35" x14ac:dyDescent="0.25">
      <c r="K47">
        <v>43</v>
      </c>
      <c r="L47">
        <f t="shared" si="9"/>
        <v>6.9012726218451519</v>
      </c>
      <c r="M47">
        <f t="shared" si="10"/>
        <v>7.6207493754667341</v>
      </c>
      <c r="N47">
        <f t="shared" si="0"/>
        <v>4.6483279885815348E-14</v>
      </c>
      <c r="O47">
        <f t="shared" si="1"/>
        <v>-1.882628882295556E-4</v>
      </c>
      <c r="P47" s="2">
        <f t="shared" si="2"/>
        <v>3.0837855159154031E-2</v>
      </c>
      <c r="Q47">
        <f t="shared" si="3"/>
        <v>2.6004549921292305E-9</v>
      </c>
      <c r="R47">
        <f t="shared" si="11"/>
        <v>1.5678806935717102E-9</v>
      </c>
      <c r="S47">
        <f t="shared" si="12"/>
        <v>7.350308273146311E-6</v>
      </c>
      <c r="T47">
        <f t="shared" si="4"/>
        <v>2.6001528001127265E-9</v>
      </c>
      <c r="U47">
        <f t="shared" si="5"/>
        <v>2.7908305456771277E-5</v>
      </c>
      <c r="AG47">
        <f t="shared" si="6"/>
        <v>3.0219201650390697E-13</v>
      </c>
      <c r="AH47">
        <f t="shared" si="7"/>
        <v>6.9012725628661</v>
      </c>
      <c r="AI47">
        <f t="shared" si="8"/>
        <v>7.6207772837098702</v>
      </c>
    </row>
    <row r="48" spans="11:35" x14ac:dyDescent="0.25">
      <c r="K48">
        <v>44</v>
      </c>
      <c r="L48">
        <f t="shared" si="9"/>
        <v>6.9012726218451501</v>
      </c>
      <c r="M48">
        <f t="shared" si="10"/>
        <v>7.6207551810904128</v>
      </c>
      <c r="N48">
        <f t="shared" si="0"/>
        <v>1.5494426628605116E-14</v>
      </c>
      <c r="O48">
        <f t="shared" si="1"/>
        <v>-1.4869899889492872E-4</v>
      </c>
      <c r="P48" s="2">
        <f t="shared" si="2"/>
        <v>3.0837855159154031E-2</v>
      </c>
      <c r="Q48">
        <f t="shared" si="3"/>
        <v>1.6223180367763047E-9</v>
      </c>
      <c r="R48">
        <f t="shared" si="11"/>
        <v>9.7813695535292579E-10</v>
      </c>
      <c r="S48">
        <f t="shared" si="12"/>
        <v>5.805623678689642E-6</v>
      </c>
      <c r="T48">
        <f t="shared" si="4"/>
        <v>1.6220158447598008E-9</v>
      </c>
      <c r="U48">
        <f t="shared" si="5"/>
        <v>2.2102698147611956E-5</v>
      </c>
      <c r="AG48">
        <f t="shared" si="6"/>
        <v>3.0219201650390697E-13</v>
      </c>
      <c r="AH48">
        <f t="shared" si="7"/>
        <v>6.9012725628661</v>
      </c>
      <c r="AI48">
        <f t="shared" si="8"/>
        <v>7.6207772837098702</v>
      </c>
    </row>
    <row r="49" spans="11:35" x14ac:dyDescent="0.25">
      <c r="K49">
        <v>45</v>
      </c>
      <c r="L49">
        <f t="shared" si="9"/>
        <v>6.9012726218451492</v>
      </c>
      <c r="M49">
        <f t="shared" si="10"/>
        <v>7.6207597666486029</v>
      </c>
      <c r="N49">
        <f t="shared" si="0"/>
        <v>0</v>
      </c>
      <c r="O49">
        <f t="shared" si="1"/>
        <v>-1.1744955407910099E-4</v>
      </c>
      <c r="P49" s="2">
        <f t="shared" si="2"/>
        <v>3.0837855159154031E-2</v>
      </c>
      <c r="Q49">
        <f t="shared" si="3"/>
        <v>1.0120981983461447E-9</v>
      </c>
      <c r="R49">
        <f t="shared" si="11"/>
        <v>6.1021983843015999E-10</v>
      </c>
      <c r="S49">
        <f t="shared" si="12"/>
        <v>4.5855581900511311E-6</v>
      </c>
      <c r="T49">
        <f t="shared" si="4"/>
        <v>1.0117960063296408E-9</v>
      </c>
      <c r="U49">
        <f t="shared" si="5"/>
        <v>1.7517160556730859E-5</v>
      </c>
      <c r="AG49">
        <f t="shared" si="6"/>
        <v>3.0219201650390697E-13</v>
      </c>
      <c r="AH49">
        <f t="shared" si="7"/>
        <v>6.9012725628661</v>
      </c>
      <c r="AI49">
        <f t="shared" si="8"/>
        <v>7.6207772837098702</v>
      </c>
    </row>
    <row r="50" spans="11:35" x14ac:dyDescent="0.25">
      <c r="K50">
        <v>46</v>
      </c>
      <c r="L50">
        <f t="shared" si="9"/>
        <v>6.9012726218451492</v>
      </c>
      <c r="M50">
        <f t="shared" si="10"/>
        <v>7.62076338854094</v>
      </c>
      <c r="N50">
        <f t="shared" si="0"/>
        <v>0</v>
      </c>
      <c r="O50">
        <f t="shared" si="1"/>
        <v>-9.2767253685564703E-5</v>
      </c>
      <c r="P50" s="2">
        <f t="shared" si="2"/>
        <v>3.0837855159154031E-2</v>
      </c>
      <c r="Q50">
        <f t="shared" si="3"/>
        <v>6.3140687575383454E-10</v>
      </c>
      <c r="R50">
        <f t="shared" si="11"/>
        <v>3.8069132259231015E-10</v>
      </c>
      <c r="S50">
        <f t="shared" si="12"/>
        <v>3.6218923371578171E-6</v>
      </c>
      <c r="T50">
        <f t="shared" si="4"/>
        <v>6.3110468373733062E-10</v>
      </c>
      <c r="U50">
        <f t="shared" si="5"/>
        <v>1.389529409998925E-5</v>
      </c>
      <c r="AG50">
        <f t="shared" si="6"/>
        <v>3.0219201650390697E-13</v>
      </c>
      <c r="AH50">
        <f t="shared" si="7"/>
        <v>6.9012725628661</v>
      </c>
      <c r="AI50">
        <f t="shared" si="8"/>
        <v>7.6207772837098702</v>
      </c>
    </row>
    <row r="51" spans="11:35" x14ac:dyDescent="0.25">
      <c r="K51">
        <v>47</v>
      </c>
      <c r="L51">
        <f t="shared" si="9"/>
        <v>6.9012726218451492</v>
      </c>
      <c r="M51">
        <f t="shared" si="10"/>
        <v>7.6207662492840731</v>
      </c>
      <c r="N51">
        <f t="shared" si="0"/>
        <v>0</v>
      </c>
      <c r="O51">
        <f t="shared" si="1"/>
        <v>-7.3271996845860113E-5</v>
      </c>
      <c r="P51" s="2">
        <f t="shared" si="2"/>
        <v>3.0837855159154031E-2</v>
      </c>
      <c r="Q51">
        <f t="shared" si="3"/>
        <v>3.9390905286668669E-10</v>
      </c>
      <c r="R51">
        <f t="shared" si="11"/>
        <v>2.3749782288714785E-10</v>
      </c>
      <c r="S51">
        <f t="shared" si="12"/>
        <v>2.8607431330485156E-6</v>
      </c>
      <c r="T51">
        <f t="shared" si="4"/>
        <v>3.9360686085018277E-10</v>
      </c>
      <c r="U51">
        <f t="shared" si="5"/>
        <v>1.103458341758412E-5</v>
      </c>
      <c r="AG51">
        <f t="shared" si="6"/>
        <v>3.0219201650390697E-13</v>
      </c>
      <c r="AH51">
        <f t="shared" si="7"/>
        <v>6.9012725628661</v>
      </c>
      <c r="AI51">
        <f t="shared" si="8"/>
        <v>7.6207772837098702</v>
      </c>
    </row>
    <row r="52" spans="11:35" x14ac:dyDescent="0.25">
      <c r="K52">
        <v>48</v>
      </c>
      <c r="L52">
        <f t="shared" si="9"/>
        <v>6.9012726218451492</v>
      </c>
      <c r="M52">
        <f t="shared" si="10"/>
        <v>7.6207685088352992</v>
      </c>
      <c r="N52">
        <f t="shared" si="0"/>
        <v>0</v>
      </c>
      <c r="O52">
        <f t="shared" si="1"/>
        <v>-5.7873714145508171E-5</v>
      </c>
      <c r="P52" s="2">
        <f t="shared" si="2"/>
        <v>3.0837855159154031E-2</v>
      </c>
      <c r="Q52">
        <f t="shared" si="3"/>
        <v>2.4574382683091212E-10</v>
      </c>
      <c r="R52">
        <f t="shared" si="11"/>
        <v>1.4816522603577457E-10</v>
      </c>
      <c r="S52">
        <f t="shared" si="12"/>
        <v>2.2595512261247563E-6</v>
      </c>
      <c r="T52">
        <f t="shared" si="4"/>
        <v>2.454416348144082E-10</v>
      </c>
      <c r="U52" s="2">
        <f t="shared" si="5"/>
        <v>8.7750727782925883E-6</v>
      </c>
      <c r="AG52">
        <f t="shared" si="6"/>
        <v>3.0219201650390697E-13</v>
      </c>
      <c r="AH52">
        <f t="shared" si="7"/>
        <v>6.9012725628661</v>
      </c>
      <c r="AI52">
        <f t="shared" si="8"/>
        <v>7.6207772837098702</v>
      </c>
    </row>
    <row r="53" spans="11:35" x14ac:dyDescent="0.25">
      <c r="K53">
        <v>49</v>
      </c>
      <c r="L53">
        <f t="shared" si="9"/>
        <v>6.9012726218451492</v>
      </c>
      <c r="M53">
        <f t="shared" si="10"/>
        <v>7.6207702935365136</v>
      </c>
      <c r="N53">
        <f t="shared" si="0"/>
        <v>0</v>
      </c>
      <c r="O53">
        <f t="shared" si="1"/>
        <v>-4.5711416819924865E-5</v>
      </c>
      <c r="P53" s="2">
        <f t="shared" si="2"/>
        <v>3.0837855159154031E-2</v>
      </c>
      <c r="Q53">
        <f t="shared" si="3"/>
        <v>1.5330957231862087E-10</v>
      </c>
      <c r="R53">
        <f t="shared" si="11"/>
        <v>9.2434254512291252E-11</v>
      </c>
      <c r="S53">
        <f t="shared" si="12"/>
        <v>1.7847012143690222E-6</v>
      </c>
      <c r="T53">
        <f t="shared" si="4"/>
        <v>1.5300738030211697E-10</v>
      </c>
      <c r="U53">
        <f t="shared" si="5"/>
        <v>6.9904221677552642E-6</v>
      </c>
      <c r="AG53">
        <f t="shared" si="6"/>
        <v>3.0219201650390697E-13</v>
      </c>
      <c r="AH53">
        <f t="shared" si="7"/>
        <v>6.9012725628661</v>
      </c>
      <c r="AI53">
        <f t="shared" si="8"/>
        <v>7.6207772837098702</v>
      </c>
    </row>
    <row r="54" spans="11:35" x14ac:dyDescent="0.25">
      <c r="K54">
        <v>50</v>
      </c>
      <c r="L54">
        <f t="shared" si="9"/>
        <v>6.9012726218451492</v>
      </c>
      <c r="M54">
        <f t="shared" si="10"/>
        <v>7.6207717031785647</v>
      </c>
      <c r="N54">
        <f t="shared" si="0"/>
        <v>0</v>
      </c>
      <c r="O54">
        <f t="shared" si="1"/>
        <v>-3.6105054920281417E-5</v>
      </c>
      <c r="P54" s="2">
        <f t="shared" si="2"/>
        <v>3.0837855159154031E-2</v>
      </c>
      <c r="Q54">
        <f t="shared" si="3"/>
        <v>9.5643602800348738E-11</v>
      </c>
      <c r="R54">
        <f t="shared" si="11"/>
        <v>5.7665969518272132E-11</v>
      </c>
      <c r="S54">
        <f t="shared" si="12"/>
        <v>1.4096420510867347E-6</v>
      </c>
      <c r="T54">
        <f t="shared" si="4"/>
        <v>9.534141078384483E-11</v>
      </c>
      <c r="U54">
        <f t="shared" si="5"/>
        <v>5.5808429632056173E-6</v>
      </c>
      <c r="AG54">
        <f t="shared" si="6"/>
        <v>3.0219201650390697E-13</v>
      </c>
      <c r="AH54">
        <f t="shared" si="7"/>
        <v>6.9012725628661</v>
      </c>
      <c r="AI54">
        <f t="shared" si="8"/>
        <v>7.6207772837098702</v>
      </c>
    </row>
    <row r="55" spans="11:35" x14ac:dyDescent="0.25">
      <c r="K55">
        <v>51</v>
      </c>
      <c r="L55">
        <f t="shared" si="9"/>
        <v>6.9012726218451492</v>
      </c>
      <c r="M55">
        <f t="shared" si="10"/>
        <v>7.6207728165810185</v>
      </c>
      <c r="N55">
        <f t="shared" si="0"/>
        <v>0</v>
      </c>
      <c r="O55">
        <f t="shared" si="1"/>
        <v>-2.8517492600607597E-5</v>
      </c>
      <c r="P55" s="2">
        <f t="shared" si="2"/>
        <v>3.0837855159154031E-2</v>
      </c>
      <c r="Q55">
        <f t="shared" si="3"/>
        <v>5.9668151310404008E-11</v>
      </c>
      <c r="R55">
        <f t="shared" si="11"/>
        <v>3.597545148994473E-11</v>
      </c>
      <c r="S55">
        <f t="shared" si="12"/>
        <v>1.1134024537895471E-6</v>
      </c>
      <c r="T55">
        <f t="shared" si="4"/>
        <v>5.93659592939001E-11</v>
      </c>
      <c r="U55">
        <f t="shared" si="5"/>
        <v>4.4675181819517844E-6</v>
      </c>
      <c r="AG55">
        <f t="shared" si="6"/>
        <v>3.0219201650390697E-13</v>
      </c>
      <c r="AH55">
        <f t="shared" si="7"/>
        <v>6.9012725628661</v>
      </c>
      <c r="AI55">
        <f t="shared" si="8"/>
        <v>7.6207772837098702</v>
      </c>
    </row>
    <row r="56" spans="11:35" x14ac:dyDescent="0.25">
      <c r="K56">
        <v>52</v>
      </c>
      <c r="L56">
        <f t="shared" si="9"/>
        <v>6.9012726218451492</v>
      </c>
      <c r="M56">
        <f t="shared" si="10"/>
        <v>7.6207736959993246</v>
      </c>
      <c r="N56">
        <f t="shared" si="0"/>
        <v>0</v>
      </c>
      <c r="O56">
        <f t="shared" si="1"/>
        <v>-2.2524474370347212E-5</v>
      </c>
      <c r="P56" s="2">
        <f t="shared" si="2"/>
        <v>3.0837855159154031E-2</v>
      </c>
      <c r="Q56">
        <f t="shared" si="3"/>
        <v>3.7224531241642948E-11</v>
      </c>
      <c r="R56">
        <f t="shared" si="11"/>
        <v>2.244362006876106E-11</v>
      </c>
      <c r="S56">
        <f t="shared" si="12"/>
        <v>8.7941830617666028E-7</v>
      </c>
      <c r="T56">
        <f t="shared" si="4"/>
        <v>3.692233922513904E-11</v>
      </c>
      <c r="U56">
        <f t="shared" si="5"/>
        <v>3.5881952966375851E-6</v>
      </c>
      <c r="AG56">
        <f t="shared" si="6"/>
        <v>3.0219201650390697E-13</v>
      </c>
      <c r="AH56">
        <f t="shared" si="7"/>
        <v>6.9012725628661</v>
      </c>
      <c r="AI56">
        <f t="shared" si="8"/>
        <v>7.6207772837098702</v>
      </c>
    </row>
    <row r="57" spans="11:35" x14ac:dyDescent="0.25">
      <c r="K57">
        <v>53</v>
      </c>
      <c r="L57">
        <f t="shared" si="9"/>
        <v>6.9012726218451492</v>
      </c>
      <c r="M57">
        <f t="shared" si="10"/>
        <v>7.6207743906058028</v>
      </c>
      <c r="N57">
        <f t="shared" si="0"/>
        <v>0</v>
      </c>
      <c r="O57">
        <f t="shared" si="1"/>
        <v>-1.7790903034667647E-5</v>
      </c>
      <c r="P57" s="2">
        <f t="shared" si="2"/>
        <v>3.0837855159154031E-2</v>
      </c>
      <c r="Q57">
        <f t="shared" si="3"/>
        <v>2.3222870085090862E-11</v>
      </c>
      <c r="R57">
        <f t="shared" si="11"/>
        <v>1.4001661156552086E-11</v>
      </c>
      <c r="S57">
        <f t="shared" si="12"/>
        <v>6.9460647811325771E-7</v>
      </c>
      <c r="T57">
        <f t="shared" si="4"/>
        <v>2.2920678068586954E-11</v>
      </c>
      <c r="U57">
        <f t="shared" si="5"/>
        <v>2.8937051807667839E-6</v>
      </c>
      <c r="AG57">
        <f t="shared" si="6"/>
        <v>3.0219201650390697E-13</v>
      </c>
      <c r="AH57">
        <f t="shared" si="7"/>
        <v>6.9012725628661</v>
      </c>
      <c r="AI57">
        <f t="shared" si="8"/>
        <v>7.6207772837098702</v>
      </c>
    </row>
    <row r="58" spans="11:35" x14ac:dyDescent="0.25">
      <c r="K58">
        <v>54</v>
      </c>
      <c r="L58">
        <f t="shared" si="9"/>
        <v>6.9012726218451492</v>
      </c>
      <c r="M58">
        <f t="shared" si="10"/>
        <v>7.6207749392390935</v>
      </c>
      <c r="N58">
        <f t="shared" si="0"/>
        <v>0</v>
      </c>
      <c r="O58">
        <f t="shared" si="1"/>
        <v>-1.4052102863707324E-5</v>
      </c>
      <c r="P58" s="2">
        <f t="shared" si="2"/>
        <v>3.0837855159154031E-2</v>
      </c>
      <c r="Q58">
        <f t="shared" si="3"/>
        <v>1.4487803527631329E-11</v>
      </c>
      <c r="R58">
        <f t="shared" si="11"/>
        <v>8.7350665574595332E-12</v>
      </c>
      <c r="S58">
        <f t="shared" si="12"/>
        <v>5.4863329079779533E-7</v>
      </c>
      <c r="T58">
        <f t="shared" si="4"/>
        <v>1.4185611511127422E-11</v>
      </c>
      <c r="U58">
        <f t="shared" si="5"/>
        <v>2.3452125171728557E-6</v>
      </c>
      <c r="AG58">
        <f t="shared" si="6"/>
        <v>3.0219201650390697E-13</v>
      </c>
      <c r="AH58">
        <f t="shared" si="7"/>
        <v>6.9012725628661</v>
      </c>
      <c r="AI58">
        <f t="shared" si="8"/>
        <v>7.6207772837098702</v>
      </c>
    </row>
    <row r="59" spans="11:35" x14ac:dyDescent="0.25">
      <c r="K59">
        <v>55</v>
      </c>
      <c r="L59">
        <f t="shared" si="9"/>
        <v>6.9012726218451492</v>
      </c>
      <c r="M59">
        <f t="shared" si="10"/>
        <v>7.6207753725758067</v>
      </c>
      <c r="N59">
        <f t="shared" si="0"/>
        <v>0</v>
      </c>
      <c r="O59">
        <f t="shared" si="1"/>
        <v>-1.1099020350318485E-5</v>
      </c>
      <c r="P59" s="2">
        <f t="shared" si="2"/>
        <v>3.0837855159154031E-2</v>
      </c>
      <c r="Q59">
        <f t="shared" si="3"/>
        <v>9.0383509944652634E-12</v>
      </c>
      <c r="R59">
        <f t="shared" si="11"/>
        <v>5.4494525331660654E-12</v>
      </c>
      <c r="S59">
        <f t="shared" si="12"/>
        <v>4.3333671317924427E-7</v>
      </c>
      <c r="T59">
        <f t="shared" si="4"/>
        <v>8.7361589779613571E-12</v>
      </c>
      <c r="U59">
        <f t="shared" si="5"/>
        <v>1.9120439160009509E-6</v>
      </c>
      <c r="AG59">
        <f t="shared" si="6"/>
        <v>3.0219201650390697E-13</v>
      </c>
      <c r="AH59">
        <f t="shared" si="7"/>
        <v>6.9012725628661</v>
      </c>
      <c r="AI59">
        <f t="shared" si="8"/>
        <v>7.6207772837098702</v>
      </c>
    </row>
    <row r="60" spans="11:35" x14ac:dyDescent="0.25">
      <c r="K60">
        <v>56</v>
      </c>
      <c r="L60">
        <f t="shared" si="9"/>
        <v>6.9012726218451492</v>
      </c>
      <c r="M60">
        <f t="shared" si="10"/>
        <v>7.6207757148457889</v>
      </c>
      <c r="N60">
        <f t="shared" si="0"/>
        <v>0</v>
      </c>
      <c r="O60">
        <f t="shared" si="1"/>
        <v>-8.7665350834158052E-6</v>
      </c>
      <c r="P60" s="2">
        <f t="shared" si="2"/>
        <v>3.0837855159154031E-2</v>
      </c>
      <c r="Q60">
        <f t="shared" si="3"/>
        <v>5.6386593427694795E-12</v>
      </c>
      <c r="R60">
        <f t="shared" si="11"/>
        <v>3.3996916516957838E-12</v>
      </c>
      <c r="S60">
        <f t="shared" si="12"/>
        <v>3.4226998213426896E-7</v>
      </c>
      <c r="T60">
        <f t="shared" si="4"/>
        <v>5.3364673262655725E-12</v>
      </c>
      <c r="U60">
        <f t="shared" si="5"/>
        <v>1.5699723035395513E-6</v>
      </c>
      <c r="AG60">
        <f t="shared" si="6"/>
        <v>3.0219201650390697E-13</v>
      </c>
      <c r="AH60">
        <f t="shared" si="7"/>
        <v>6.9012725628661</v>
      </c>
      <c r="AI60">
        <f t="shared" si="8"/>
        <v>7.6207772837098702</v>
      </c>
    </row>
    <row r="61" spans="11:35" x14ac:dyDescent="0.25">
      <c r="K61">
        <v>57</v>
      </c>
      <c r="L61">
        <f t="shared" si="9"/>
        <v>6.9012726218451492</v>
      </c>
      <c r="M61">
        <f t="shared" si="10"/>
        <v>7.6207759851869277</v>
      </c>
      <c r="N61">
        <f t="shared" si="0"/>
        <v>0</v>
      </c>
      <c r="O61">
        <f t="shared" si="1"/>
        <v>-6.9242270919989591E-6</v>
      </c>
      <c r="P61" s="2">
        <f t="shared" si="2"/>
        <v>3.0837855159154031E-2</v>
      </c>
      <c r="Q61">
        <f t="shared" si="3"/>
        <v>3.5177300851335238E-12</v>
      </c>
      <c r="R61">
        <f t="shared" si="11"/>
        <v>2.1209292576359558E-12</v>
      </c>
      <c r="S61">
        <f t="shared" si="12"/>
        <v>2.7034113880830546E-7</v>
      </c>
      <c r="T61">
        <f t="shared" si="4"/>
        <v>3.2155380686296167E-12</v>
      </c>
      <c r="U61">
        <f t="shared" si="5"/>
        <v>1.2998616697394356E-6</v>
      </c>
      <c r="AG61">
        <f t="shared" si="6"/>
        <v>3.0219201650390697E-13</v>
      </c>
      <c r="AH61">
        <f t="shared" si="7"/>
        <v>6.9012725628661</v>
      </c>
      <c r="AI61">
        <f t="shared" si="8"/>
        <v>7.6207772837098702</v>
      </c>
    </row>
    <row r="62" spans="11:35" x14ac:dyDescent="0.25">
      <c r="K62">
        <v>58</v>
      </c>
      <c r="L62">
        <f t="shared" si="9"/>
        <v>6.9012726218451492</v>
      </c>
      <c r="M62">
        <f t="shared" si="10"/>
        <v>7.62077619871524</v>
      </c>
      <c r="N62">
        <f t="shared" si="0"/>
        <v>0</v>
      </c>
      <c r="O62">
        <f t="shared" si="1"/>
        <v>-5.4690844599975883E-6</v>
      </c>
      <c r="P62" s="2">
        <f t="shared" si="2"/>
        <v>3.0837855159154031E-2</v>
      </c>
      <c r="Q62">
        <f t="shared" si="3"/>
        <v>2.1945686349778722E-12</v>
      </c>
      <c r="R62">
        <f t="shared" si="11"/>
        <v>1.3231614501556515E-12</v>
      </c>
      <c r="S62">
        <f t="shared" si="12"/>
        <v>2.135283123649856E-7</v>
      </c>
      <c r="T62">
        <f t="shared" si="4"/>
        <v>1.8923766184739652E-12</v>
      </c>
      <c r="U62">
        <f t="shared" si="5"/>
        <v>1.0865964640465129E-6</v>
      </c>
      <c r="AG62">
        <f t="shared" si="6"/>
        <v>3.0219201650390697E-13</v>
      </c>
      <c r="AH62">
        <f t="shared" si="7"/>
        <v>6.9012725628661</v>
      </c>
      <c r="AI62">
        <f t="shared" si="8"/>
        <v>7.6207772837098702</v>
      </c>
    </row>
    <row r="63" spans="11:35" x14ac:dyDescent="0.25">
      <c r="K63">
        <v>59</v>
      </c>
      <c r="L63">
        <f t="shared" si="9"/>
        <v>6.9012726218451492</v>
      </c>
      <c r="M63">
        <f t="shared" si="10"/>
        <v>7.6207763673700741</v>
      </c>
      <c r="N63">
        <f t="shared" si="0"/>
        <v>0</v>
      </c>
      <c r="O63">
        <f t="shared" si="1"/>
        <v>-4.3197434828147765E-6</v>
      </c>
      <c r="P63" s="2">
        <f t="shared" si="2"/>
        <v>3.0837855159154031E-2</v>
      </c>
      <c r="Q63">
        <f t="shared" si="3"/>
        <v>1.3691020586212403E-12</v>
      </c>
      <c r="R63">
        <f t="shared" si="11"/>
        <v>8.254665763566319E-13</v>
      </c>
      <c r="S63">
        <f t="shared" si="12"/>
        <v>1.6865483409844728E-7</v>
      </c>
      <c r="T63">
        <f t="shared" si="4"/>
        <v>1.0669100421173335E-12</v>
      </c>
      <c r="U63">
        <f t="shared" si="5"/>
        <v>9.182358902019873E-7</v>
      </c>
      <c r="AG63">
        <f t="shared" si="6"/>
        <v>3.0219201650390697E-13</v>
      </c>
      <c r="AH63">
        <f t="shared" si="7"/>
        <v>6.9012725628661</v>
      </c>
      <c r="AI63">
        <f t="shared" si="8"/>
        <v>7.6207772837098702</v>
      </c>
    </row>
    <row r="64" spans="11:35" x14ac:dyDescent="0.25">
      <c r="K64">
        <v>60</v>
      </c>
      <c r="L64">
        <f t="shared" si="9"/>
        <v>6.9012726218451492</v>
      </c>
      <c r="M64">
        <f t="shared" si="10"/>
        <v>7.6207765005816981</v>
      </c>
      <c r="N64">
        <f t="shared" si="0"/>
        <v>0</v>
      </c>
      <c r="O64">
        <f t="shared" si="1"/>
        <v>-3.4119392158000404E-6</v>
      </c>
      <c r="P64" s="2">
        <f t="shared" si="2"/>
        <v>3.0837855159154031E-2</v>
      </c>
      <c r="Q64">
        <f t="shared" si="3"/>
        <v>8.5412705453203819E-13</v>
      </c>
      <c r="R64">
        <f t="shared" si="11"/>
        <v>5.1497500408920213E-13</v>
      </c>
      <c r="S64">
        <f t="shared" si="12"/>
        <v>1.33211623953855E-7</v>
      </c>
      <c r="T64">
        <f t="shared" si="4"/>
        <v>5.5193503802813123E-13</v>
      </c>
      <c r="U64">
        <f t="shared" si="5"/>
        <v>7.85345950624839E-7</v>
      </c>
      <c r="AG64">
        <f t="shared" si="6"/>
        <v>3.0219201650390697E-13</v>
      </c>
      <c r="AH64">
        <f t="shared" si="7"/>
        <v>6.9012725628661</v>
      </c>
      <c r="AI64">
        <f t="shared" si="8"/>
        <v>7.6207772837098702</v>
      </c>
    </row>
    <row r="65" spans="11:35" x14ac:dyDescent="0.25">
      <c r="K65">
        <v>61</v>
      </c>
      <c r="L65">
        <f t="shared" si="9"/>
        <v>6.9012726218451492</v>
      </c>
      <c r="M65">
        <f t="shared" si="10"/>
        <v>7.6207766057985857</v>
      </c>
      <c r="N65">
        <f t="shared" si="0"/>
        <v>0</v>
      </c>
      <c r="O65">
        <f t="shared" si="1"/>
        <v>-2.6949121521481383E-6</v>
      </c>
      <c r="P65" s="2">
        <f t="shared" si="2"/>
        <v>3.0837855159154031E-2</v>
      </c>
      <c r="Q65">
        <f t="shared" si="3"/>
        <v>5.3285510740294863E-13</v>
      </c>
      <c r="R65">
        <f t="shared" si="11"/>
        <v>3.2127194712908956E-13</v>
      </c>
      <c r="S65">
        <f t="shared" si="12"/>
        <v>1.0521688764697501E-7</v>
      </c>
      <c r="T65">
        <f t="shared" si="4"/>
        <v>2.3066309089904166E-13</v>
      </c>
      <c r="U65">
        <f t="shared" si="5"/>
        <v>6.8047206982900247E-7</v>
      </c>
      <c r="AG65">
        <f t="shared" si="6"/>
        <v>3.0219201650390697E-13</v>
      </c>
      <c r="AH65">
        <f t="shared" si="7"/>
        <v>6.9012725628661</v>
      </c>
      <c r="AI65">
        <f t="shared" si="8"/>
        <v>7.6207772837098702</v>
      </c>
    </row>
    <row r="66" spans="11:35" x14ac:dyDescent="0.25">
      <c r="K66">
        <v>62</v>
      </c>
      <c r="L66">
        <f t="shared" si="9"/>
        <v>6.9012726218451492</v>
      </c>
      <c r="M66">
        <f t="shared" si="10"/>
        <v>7.6207766889038959</v>
      </c>
      <c r="N66">
        <f t="shared" si="0"/>
        <v>0</v>
      </c>
      <c r="O66">
        <f t="shared" si="1"/>
        <v>-2.128570019517477E-6</v>
      </c>
      <c r="P66" s="2">
        <f t="shared" si="2"/>
        <v>3.0837855159154031E-2</v>
      </c>
      <c r="Q66">
        <f t="shared" si="3"/>
        <v>3.3242661636909146E-13</v>
      </c>
      <c r="R66">
        <f t="shared" si="11"/>
        <v>2.0042849103385716E-13</v>
      </c>
      <c r="S66">
        <f t="shared" si="12"/>
        <v>8.3105310189068859E-8</v>
      </c>
      <c r="T66">
        <f t="shared" si="4"/>
        <v>3.0234599865184498E-14</v>
      </c>
      <c r="U66">
        <f t="shared" si="5"/>
        <v>5.9772290842050124E-7</v>
      </c>
      <c r="AG66">
        <f t="shared" si="6"/>
        <v>3.0219201650390697E-13</v>
      </c>
      <c r="AH66">
        <f t="shared" si="7"/>
        <v>6.9012725628661</v>
      </c>
      <c r="AI66">
        <f t="shared" si="8"/>
        <v>7.6207772837098702</v>
      </c>
    </row>
    <row r="67" spans="11:35" x14ac:dyDescent="0.25">
      <c r="K67">
        <v>63</v>
      </c>
      <c r="L67">
        <f t="shared" si="9"/>
        <v>6.9012726218451492</v>
      </c>
      <c r="M67">
        <f t="shared" si="10"/>
        <v>7.6207767545444298</v>
      </c>
      <c r="N67">
        <f t="shared" si="0"/>
        <v>0</v>
      </c>
      <c r="O67">
        <f t="shared" si="1"/>
        <v>-1.6812460173592299E-6</v>
      </c>
      <c r="P67" s="2">
        <f t="shared" si="2"/>
        <v>3.0837855159154031E-2</v>
      </c>
      <c r="Q67">
        <f t="shared" si="3"/>
        <v>2.0738743701366887E-13</v>
      </c>
      <c r="R67">
        <f t="shared" si="11"/>
        <v>1.250391793554226E-13</v>
      </c>
      <c r="S67">
        <f t="shared" si="12"/>
        <v>6.5640533897237674E-8</v>
      </c>
      <c r="T67">
        <f t="shared" si="4"/>
        <v>9.4804579490238102E-14</v>
      </c>
      <c r="U67">
        <f t="shared" si="5"/>
        <v>5.3244210155716834E-7</v>
      </c>
      <c r="AG67">
        <f t="shared" si="6"/>
        <v>3.0219201650390697E-13</v>
      </c>
      <c r="AH67">
        <f t="shared" si="7"/>
        <v>6.9012725628661</v>
      </c>
      <c r="AI67">
        <f t="shared" si="8"/>
        <v>7.6207772837098702</v>
      </c>
    </row>
    <row r="68" spans="11:35" x14ac:dyDescent="0.25">
      <c r="K68">
        <v>64</v>
      </c>
      <c r="L68">
        <f t="shared" si="9"/>
        <v>6.9012726218451492</v>
      </c>
      <c r="M68">
        <f t="shared" si="10"/>
        <v>7.6207768063904506</v>
      </c>
      <c r="N68">
        <f t="shared" si="0"/>
        <v>0</v>
      </c>
      <c r="O68">
        <f t="shared" si="1"/>
        <v>-1.327928209783789E-6</v>
      </c>
      <c r="P68" s="2">
        <f t="shared" si="2"/>
        <v>3.0837855159154031E-2</v>
      </c>
      <c r="Q68">
        <f t="shared" si="3"/>
        <v>1.2938058221316928E-13</v>
      </c>
      <c r="R68">
        <f t="shared" si="11"/>
        <v>7.8006854800499581E-14</v>
      </c>
      <c r="S68">
        <f t="shared" si="12"/>
        <v>5.1846020809875881E-8</v>
      </c>
      <c r="T68">
        <f t="shared" si="4"/>
        <v>1.7281143429073768E-13</v>
      </c>
      <c r="U68">
        <f t="shared" si="5"/>
        <v>4.8094943239327134E-7</v>
      </c>
      <c r="AG68">
        <f t="shared" si="6"/>
        <v>3.0219201650390697E-13</v>
      </c>
      <c r="AH68">
        <f t="shared" si="7"/>
        <v>6.9012725628661</v>
      </c>
      <c r="AI68">
        <f t="shared" si="8"/>
        <v>7.6207772837098702</v>
      </c>
    </row>
    <row r="69" spans="11:35" x14ac:dyDescent="0.25">
      <c r="K69">
        <v>65</v>
      </c>
      <c r="L69">
        <f t="shared" si="9"/>
        <v>6.9012726218451492</v>
      </c>
      <c r="M69">
        <f t="shared" si="10"/>
        <v>7.6207768473409088</v>
      </c>
      <c r="N69">
        <f t="shared" ref="N69:N104" si="19">2*$B$4*(L69-$B$6)</f>
        <v>0</v>
      </c>
      <c r="O69">
        <f t="shared" ref="O69:O104" si="20">2*$B$5*(M69-$B$7)</f>
        <v>-1.0488609667888722E-6</v>
      </c>
      <c r="P69" s="2">
        <f t="shared" ref="P69:P104" si="21">$B$10</f>
        <v>3.0837855159154031E-2</v>
      </c>
      <c r="Q69">
        <f t="shared" ref="Q69:Q104" si="22">$B$4*(L69-$B$6)^2+$B$5*(M69-$B$7)^2</f>
        <v>8.0715279377013054E-14</v>
      </c>
      <c r="R69">
        <f t="shared" si="11"/>
        <v>4.866530283615623E-14</v>
      </c>
      <c r="S69">
        <f t="shared" si="12"/>
        <v>4.0950458135569079E-8</v>
      </c>
      <c r="T69">
        <f t="shared" ref="T69:T104" si="23">ABS(Q69-$F$4)</f>
        <v>2.214767371268939E-13</v>
      </c>
      <c r="U69">
        <f t="shared" ref="U69:U104" si="24">SQRT(($F$5-L69)^2+($F$6-M69)^2)</f>
        <v>4.4033668791752026E-7</v>
      </c>
      <c r="AG69">
        <f t="shared" ref="AG69:AG103" si="25">$F$4</f>
        <v>3.0219201650390697E-13</v>
      </c>
      <c r="AH69">
        <f t="shared" ref="AH69:AH103" si="26">$F$5</f>
        <v>6.9012725628661</v>
      </c>
      <c r="AI69">
        <f t="shared" ref="AI69:AI103" si="27">$F$6</f>
        <v>7.6207772837098702</v>
      </c>
    </row>
    <row r="70" spans="11:35" x14ac:dyDescent="0.25">
      <c r="K70">
        <v>66</v>
      </c>
      <c r="L70">
        <f t="shared" ref="L70:L104" si="28">L69-$P69*N69</f>
        <v>6.9012726218451492</v>
      </c>
      <c r="M70">
        <f t="shared" ref="M70:M104" si="29">M69-$P69*O69</f>
        <v>7.6207768796855317</v>
      </c>
      <c r="N70">
        <f t="shared" si="19"/>
        <v>0</v>
      </c>
      <c r="O70">
        <f t="shared" si="20"/>
        <v>-8.2844036170440516E-7</v>
      </c>
      <c r="P70" s="2">
        <f t="shared" si="21"/>
        <v>3.0837855159154031E-2</v>
      </c>
      <c r="Q70">
        <f t="shared" si="22"/>
        <v>5.0354977532063805E-14</v>
      </c>
      <c r="R70">
        <f t="shared" ref="R70:R104" si="30">ABS(Q70-Q69)</f>
        <v>3.0360301844949249E-14</v>
      </c>
      <c r="S70">
        <f t="shared" ref="S70:S104" si="31">SQRT((L69-L70)^2+(M69-M70)^2)</f>
        <v>3.2344622979962878E-8</v>
      </c>
      <c r="T70">
        <f t="shared" si="23"/>
        <v>2.5183703897184317E-13</v>
      </c>
      <c r="U70">
        <f t="shared" si="24"/>
        <v>4.0830649552510095E-7</v>
      </c>
      <c r="AG70">
        <f t="shared" si="25"/>
        <v>3.0219201650390697E-13</v>
      </c>
      <c r="AH70">
        <f t="shared" si="26"/>
        <v>6.9012725628661</v>
      </c>
      <c r="AI70">
        <f t="shared" si="27"/>
        <v>7.6207772837098702</v>
      </c>
    </row>
    <row r="71" spans="11:35" x14ac:dyDescent="0.25">
      <c r="K71">
        <v>67</v>
      </c>
      <c r="L71">
        <f t="shared" si="28"/>
        <v>6.9012726218451492</v>
      </c>
      <c r="M71">
        <f t="shared" si="29"/>
        <v>7.620776905232856</v>
      </c>
      <c r="N71">
        <f t="shared" si="19"/>
        <v>0</v>
      </c>
      <c r="O71">
        <f t="shared" si="20"/>
        <v>-6.5434166609422879E-7</v>
      </c>
      <c r="P71" s="2">
        <f t="shared" si="21"/>
        <v>3.0837855159154031E-2</v>
      </c>
      <c r="Q71">
        <f t="shared" si="22"/>
        <v>3.1414420899433236E-14</v>
      </c>
      <c r="R71">
        <f t="shared" si="30"/>
        <v>1.8940556632630569E-14</v>
      </c>
      <c r="S71">
        <f t="shared" si="31"/>
        <v>2.5547324256081083E-8</v>
      </c>
      <c r="T71">
        <f t="shared" si="23"/>
        <v>2.7077759560447371E-13</v>
      </c>
      <c r="U71">
        <f t="shared" si="24"/>
        <v>3.830448779219181E-7</v>
      </c>
      <c r="AG71">
        <f t="shared" si="25"/>
        <v>3.0219201650390697E-13</v>
      </c>
      <c r="AH71">
        <f t="shared" si="26"/>
        <v>6.9012725628661</v>
      </c>
      <c r="AI71">
        <f t="shared" si="27"/>
        <v>7.6207772837098702</v>
      </c>
    </row>
    <row r="72" spans="11:35" x14ac:dyDescent="0.25">
      <c r="K72">
        <v>68</v>
      </c>
      <c r="L72">
        <f t="shared" si="28"/>
        <v>6.9012726218451492</v>
      </c>
      <c r="M72">
        <f t="shared" si="29"/>
        <v>7.6207769254113495</v>
      </c>
      <c r="N72">
        <f t="shared" si="19"/>
        <v>0</v>
      </c>
      <c r="O72">
        <f t="shared" si="20"/>
        <v>-5.1683022380164174E-7</v>
      </c>
      <c r="P72" s="2">
        <f t="shared" si="21"/>
        <v>3.0837855159154031E-2</v>
      </c>
      <c r="Q72">
        <f t="shared" si="22"/>
        <v>1.9598178690579662E-14</v>
      </c>
      <c r="R72">
        <f t="shared" si="30"/>
        <v>1.1816242208853574E-14</v>
      </c>
      <c r="S72">
        <f t="shared" si="31"/>
        <v>2.0178493542744036E-8</v>
      </c>
      <c r="T72">
        <f t="shared" si="23"/>
        <v>2.8259383781332733E-13</v>
      </c>
      <c r="U72">
        <f t="shared" si="24"/>
        <v>3.6312030806706245E-7</v>
      </c>
      <c r="AG72">
        <f t="shared" si="25"/>
        <v>3.0219201650390697E-13</v>
      </c>
      <c r="AH72">
        <f t="shared" si="26"/>
        <v>6.9012725628661</v>
      </c>
      <c r="AI72">
        <f t="shared" si="27"/>
        <v>7.6207772837098702</v>
      </c>
    </row>
    <row r="73" spans="11:35" x14ac:dyDescent="0.25">
      <c r="K73">
        <v>69</v>
      </c>
      <c r="L73">
        <f t="shared" si="28"/>
        <v>6.9012726218451492</v>
      </c>
      <c r="M73">
        <f t="shared" si="29"/>
        <v>7.620776941349285</v>
      </c>
      <c r="N73">
        <f t="shared" si="19"/>
        <v>0</v>
      </c>
      <c r="O73">
        <f t="shared" si="20"/>
        <v>-4.0821713623091561E-7</v>
      </c>
      <c r="P73" s="2">
        <f t="shared" si="21"/>
        <v>3.0837855159154031E-2</v>
      </c>
      <c r="Q73">
        <f t="shared" si="22"/>
        <v>1.222650615016632E-14</v>
      </c>
      <c r="R73">
        <f t="shared" si="30"/>
        <v>7.3716725404133423E-15</v>
      </c>
      <c r="S73">
        <f t="shared" si="31"/>
        <v>1.5937935415877291E-8</v>
      </c>
      <c r="T73">
        <f t="shared" si="23"/>
        <v>2.8996551035374067E-13</v>
      </c>
      <c r="U73">
        <f t="shared" si="24"/>
        <v>3.4740365362673547E-7</v>
      </c>
      <c r="AG73">
        <f t="shared" si="25"/>
        <v>3.0219201650390697E-13</v>
      </c>
      <c r="AH73">
        <f t="shared" si="26"/>
        <v>6.9012725628661</v>
      </c>
      <c r="AI73">
        <f t="shared" si="27"/>
        <v>7.6207772837098702</v>
      </c>
    </row>
    <row r="74" spans="11:35" x14ac:dyDescent="0.25">
      <c r="K74">
        <v>70</v>
      </c>
      <c r="L74">
        <f t="shared" si="28"/>
        <v>6.9012726218451492</v>
      </c>
      <c r="M74">
        <f t="shared" si="29"/>
        <v>7.6207769539378258</v>
      </c>
      <c r="N74">
        <f t="shared" si="19"/>
        <v>0</v>
      </c>
      <c r="O74">
        <f t="shared" si="20"/>
        <v>-3.2242934396569089E-7</v>
      </c>
      <c r="P74" s="2">
        <f t="shared" si="21"/>
        <v>3.0837855159154031E-2</v>
      </c>
      <c r="Q74" s="5">
        <f t="shared" si="22"/>
        <v>7.627619609097506E-15</v>
      </c>
      <c r="R74">
        <f t="shared" si="30"/>
        <v>4.5988865410688141E-15</v>
      </c>
      <c r="S74">
        <f t="shared" si="31"/>
        <v>1.2588540876379284E-8</v>
      </c>
      <c r="T74">
        <f t="shared" si="23"/>
        <v>2.9456439689480944E-13</v>
      </c>
      <c r="U74">
        <f t="shared" si="24"/>
        <v>3.3500467082075764E-7</v>
      </c>
      <c r="AG74">
        <f t="shared" si="25"/>
        <v>3.0219201650390697E-13</v>
      </c>
      <c r="AH74">
        <f t="shared" si="26"/>
        <v>6.9012725628661</v>
      </c>
      <c r="AI74">
        <f t="shared" si="27"/>
        <v>7.6207772837098702</v>
      </c>
    </row>
    <row r="75" spans="11:35" x14ac:dyDescent="0.25">
      <c r="K75">
        <v>71</v>
      </c>
      <c r="L75">
        <f t="shared" si="28"/>
        <v>6.9012726218451492</v>
      </c>
      <c r="M75">
        <f t="shared" si="29"/>
        <v>7.6207769638808553</v>
      </c>
      <c r="N75">
        <f t="shared" si="19"/>
        <v>0</v>
      </c>
      <c r="O75">
        <f t="shared" si="20"/>
        <v>-2.5467005728264397E-7</v>
      </c>
      <c r="P75" s="2">
        <f t="shared" si="21"/>
        <v>3.0837855159154031E-2</v>
      </c>
      <c r="Q75">
        <f t="shared" si="22"/>
        <v>4.758561420444342E-15</v>
      </c>
      <c r="R75">
        <f t="shared" si="30"/>
        <v>2.869058188653164E-15</v>
      </c>
      <c r="S75">
        <f t="shared" si="31"/>
        <v>9.9430295108504652E-9</v>
      </c>
      <c r="T75">
        <f t="shared" si="23"/>
        <v>2.9743345508346264E-13</v>
      </c>
      <c r="U75">
        <f t="shared" si="24"/>
        <v>3.2522165821198898E-7</v>
      </c>
      <c r="AG75">
        <f t="shared" si="25"/>
        <v>3.0219201650390697E-13</v>
      </c>
      <c r="AH75">
        <f t="shared" si="26"/>
        <v>6.9012725628661</v>
      </c>
      <c r="AI75">
        <f t="shared" si="27"/>
        <v>7.6207772837098702</v>
      </c>
    </row>
    <row r="76" spans="11:35" x14ac:dyDescent="0.25">
      <c r="K76">
        <v>72</v>
      </c>
      <c r="L76">
        <f t="shared" si="28"/>
        <v>6.9012726218451492</v>
      </c>
      <c r="M76">
        <f t="shared" si="29"/>
        <v>7.6207769717343341</v>
      </c>
      <c r="N76">
        <f t="shared" si="19"/>
        <v>0</v>
      </c>
      <c r="O76">
        <f t="shared" si="20"/>
        <v>-2.0115054213687307E-7</v>
      </c>
      <c r="P76" s="2">
        <f t="shared" si="21"/>
        <v>3.0837855159154031E-2</v>
      </c>
      <c r="Q76">
        <f t="shared" si="22"/>
        <v>2.9686727233537902E-15</v>
      </c>
      <c r="R76">
        <f t="shared" si="30"/>
        <v>1.7898886970905518E-15</v>
      </c>
      <c r="S76">
        <f t="shared" si="31"/>
        <v>7.853478756203458E-9</v>
      </c>
      <c r="T76">
        <f t="shared" si="23"/>
        <v>2.992233437805532E-13</v>
      </c>
      <c r="U76">
        <f t="shared" si="24"/>
        <v>3.1750159582527669E-7</v>
      </c>
      <c r="AG76">
        <f t="shared" si="25"/>
        <v>3.0219201650390697E-13</v>
      </c>
      <c r="AH76">
        <f t="shared" si="26"/>
        <v>6.9012725628661</v>
      </c>
      <c r="AI76">
        <f t="shared" si="27"/>
        <v>7.6207772837098702</v>
      </c>
    </row>
    <row r="77" spans="11:35" x14ac:dyDescent="0.25">
      <c r="K77">
        <v>73</v>
      </c>
      <c r="L77">
        <f t="shared" si="28"/>
        <v>6.9012726218451492</v>
      </c>
      <c r="M77">
        <f t="shared" si="29"/>
        <v>7.6207769779373855</v>
      </c>
      <c r="N77">
        <f t="shared" si="19"/>
        <v>0</v>
      </c>
      <c r="O77">
        <f t="shared" si="20"/>
        <v>-1.5887828114631635E-7</v>
      </c>
      <c r="P77" s="2">
        <f t="shared" si="21"/>
        <v>3.0837855159154031E-2</v>
      </c>
      <c r="Q77">
        <f t="shared" si="22"/>
        <v>1.8520340741449808E-15</v>
      </c>
      <c r="R77">
        <f t="shared" si="30"/>
        <v>1.1166386492088094E-15</v>
      </c>
      <c r="S77">
        <f t="shared" si="31"/>
        <v>6.2030514058619701E-9</v>
      </c>
      <c r="T77">
        <f t="shared" si="23"/>
        <v>3.0033998242976201E-13</v>
      </c>
      <c r="U77">
        <f t="shared" si="24"/>
        <v>3.1140863928782751E-7</v>
      </c>
      <c r="AG77">
        <f t="shared" si="25"/>
        <v>3.0219201650390697E-13</v>
      </c>
      <c r="AH77">
        <f t="shared" si="26"/>
        <v>6.9012725628661</v>
      </c>
      <c r="AI77">
        <f t="shared" si="27"/>
        <v>7.6207772837098702</v>
      </c>
    </row>
    <row r="78" spans="11:35" x14ac:dyDescent="0.25">
      <c r="K78">
        <v>74</v>
      </c>
      <c r="L78">
        <f t="shared" si="28"/>
        <v>6.9012726218451492</v>
      </c>
      <c r="M78">
        <f t="shared" si="29"/>
        <v>7.6207769828368512</v>
      </c>
      <c r="N78">
        <f t="shared" si="19"/>
        <v>0</v>
      </c>
      <c r="O78">
        <f t="shared" si="20"/>
        <v>-1.2548963414594535E-7</v>
      </c>
      <c r="P78" s="2">
        <f t="shared" si="21"/>
        <v>3.0837855159154031E-2</v>
      </c>
      <c r="Q78">
        <f t="shared" si="22"/>
        <v>1.1554086474367389E-15</v>
      </c>
      <c r="R78">
        <f t="shared" si="30"/>
        <v>6.9662542670824188E-16</v>
      </c>
      <c r="S78">
        <f t="shared" si="31"/>
        <v>4.8994657220191584E-9</v>
      </c>
      <c r="T78">
        <f t="shared" si="23"/>
        <v>3.0103660785647023E-13</v>
      </c>
      <c r="U78">
        <f t="shared" si="24"/>
        <v>3.0659925272698619E-7</v>
      </c>
      <c r="AG78">
        <f t="shared" si="25"/>
        <v>3.0219201650390697E-13</v>
      </c>
      <c r="AH78">
        <f t="shared" si="26"/>
        <v>6.9012725628661</v>
      </c>
      <c r="AI78">
        <f t="shared" si="27"/>
        <v>7.6207772837098702</v>
      </c>
    </row>
    <row r="79" spans="11:35" x14ac:dyDescent="0.25">
      <c r="K79">
        <v>75</v>
      </c>
      <c r="L79">
        <f t="shared" si="28"/>
        <v>6.9012726218451492</v>
      </c>
      <c r="M79">
        <f t="shared" si="29"/>
        <v>7.6207769867066828</v>
      </c>
      <c r="N79">
        <f t="shared" si="19"/>
        <v>0</v>
      </c>
      <c r="O79">
        <f t="shared" si="20"/>
        <v>-9.9117689234160628E-8</v>
      </c>
      <c r="P79" s="2">
        <f t="shared" si="21"/>
        <v>3.0837855159154031E-2</v>
      </c>
      <c r="Q79">
        <f t="shared" si="22"/>
        <v>7.2081239241687894E-16</v>
      </c>
      <c r="R79">
        <f t="shared" si="30"/>
        <v>4.3459625501985995E-16</v>
      </c>
      <c r="S79">
        <f t="shared" si="31"/>
        <v>3.8698315663054927E-9</v>
      </c>
      <c r="T79">
        <f t="shared" si="23"/>
        <v>3.0147120411149009E-13</v>
      </c>
      <c r="U79">
        <f t="shared" si="24"/>
        <v>3.0280261154221107E-7</v>
      </c>
      <c r="AG79">
        <f t="shared" si="25"/>
        <v>3.0219201650390697E-13</v>
      </c>
      <c r="AH79">
        <f t="shared" si="26"/>
        <v>6.9012725628661</v>
      </c>
      <c r="AI79">
        <f t="shared" si="27"/>
        <v>7.6207772837098702</v>
      </c>
    </row>
    <row r="80" spans="11:35" x14ac:dyDescent="0.25">
      <c r="K80">
        <v>76</v>
      </c>
      <c r="L80">
        <f t="shared" si="28"/>
        <v>6.9012726218451492</v>
      </c>
      <c r="M80">
        <f t="shared" si="29"/>
        <v>7.62077698976326</v>
      </c>
      <c r="N80">
        <f t="shared" si="19"/>
        <v>0</v>
      </c>
      <c r="O80">
        <f t="shared" si="20"/>
        <v>-7.8287871575850626E-8</v>
      </c>
      <c r="P80" s="2">
        <f t="shared" si="21"/>
        <v>3.0837855159154031E-2</v>
      </c>
      <c r="Q80">
        <f t="shared" si="22"/>
        <v>4.4968549505187612E-16</v>
      </c>
      <c r="R80">
        <f t="shared" si="30"/>
        <v>2.7112689736500282E-16</v>
      </c>
      <c r="S80">
        <f t="shared" si="31"/>
        <v>3.056577213556011E-9</v>
      </c>
      <c r="T80">
        <f t="shared" si="23"/>
        <v>3.0174233100885511E-13</v>
      </c>
      <c r="U80">
        <f t="shared" si="24"/>
        <v>2.9980516651863099E-7</v>
      </c>
      <c r="AG80">
        <f t="shared" si="25"/>
        <v>3.0219201650390697E-13</v>
      </c>
      <c r="AH80">
        <f t="shared" si="26"/>
        <v>6.9012725628661</v>
      </c>
      <c r="AI80">
        <f t="shared" si="27"/>
        <v>7.6207772837098702</v>
      </c>
    </row>
    <row r="81" spans="11:35" x14ac:dyDescent="0.25">
      <c r="K81">
        <v>77</v>
      </c>
      <c r="L81">
        <f t="shared" si="28"/>
        <v>6.9012726218451492</v>
      </c>
      <c r="M81">
        <f t="shared" si="29"/>
        <v>7.6207769921774897</v>
      </c>
      <c r="N81">
        <f t="shared" si="19"/>
        <v>0</v>
      </c>
      <c r="O81">
        <f t="shared" si="20"/>
        <v>-6.18354933018102E-8</v>
      </c>
      <c r="P81" s="2">
        <f t="shared" si="21"/>
        <v>3.0837855159154031E-2</v>
      </c>
      <c r="Q81">
        <f t="shared" si="22"/>
        <v>2.8054050012304902E-16</v>
      </c>
      <c r="R81">
        <f t="shared" si="30"/>
        <v>1.6914499492882711E-16</v>
      </c>
      <c r="S81">
        <f t="shared" si="31"/>
        <v>2.4142297050389061E-9</v>
      </c>
      <c r="T81">
        <f t="shared" si="23"/>
        <v>3.0191147600378394E-13</v>
      </c>
      <c r="U81">
        <f t="shared" si="24"/>
        <v>2.9743849297027341E-7</v>
      </c>
      <c r="AG81">
        <f t="shared" si="25"/>
        <v>3.0219201650390697E-13</v>
      </c>
      <c r="AH81">
        <f t="shared" si="26"/>
        <v>6.9012725628661</v>
      </c>
      <c r="AI81">
        <f t="shared" si="27"/>
        <v>7.6207772837098702</v>
      </c>
    </row>
    <row r="82" spans="11:35" x14ac:dyDescent="0.25">
      <c r="K82">
        <v>78</v>
      </c>
      <c r="L82">
        <f t="shared" si="28"/>
        <v>6.9012726218451492</v>
      </c>
      <c r="M82">
        <f t="shared" si="29"/>
        <v>7.6207769940843635</v>
      </c>
      <c r="N82">
        <f t="shared" si="19"/>
        <v>0</v>
      </c>
      <c r="O82">
        <f t="shared" si="20"/>
        <v>-4.8840620229313258E-8</v>
      </c>
      <c r="P82" s="2">
        <f t="shared" si="21"/>
        <v>3.0837855159154031E-2</v>
      </c>
      <c r="Q82">
        <f t="shared" si="22"/>
        <v>1.750178111942074E-16</v>
      </c>
      <c r="R82">
        <f t="shared" si="30"/>
        <v>1.0552268892884162E-16</v>
      </c>
      <c r="S82">
        <f t="shared" si="31"/>
        <v>1.9068737699967642E-9</v>
      </c>
      <c r="T82">
        <f t="shared" si="23"/>
        <v>3.0201699869271278E-13</v>
      </c>
      <c r="U82">
        <f t="shared" si="24"/>
        <v>2.9556972505518811E-7</v>
      </c>
      <c r="AG82">
        <f t="shared" si="25"/>
        <v>3.0219201650390697E-13</v>
      </c>
      <c r="AH82">
        <f t="shared" si="26"/>
        <v>6.9012725628661</v>
      </c>
      <c r="AI82">
        <f t="shared" si="27"/>
        <v>7.6207772837098702</v>
      </c>
    </row>
    <row r="83" spans="11:35" x14ac:dyDescent="0.25">
      <c r="K83">
        <v>79</v>
      </c>
      <c r="L83">
        <f t="shared" si="28"/>
        <v>6.9012726218451492</v>
      </c>
      <c r="M83">
        <f t="shared" si="29"/>
        <v>7.6207769955905036</v>
      </c>
      <c r="N83">
        <f t="shared" si="19"/>
        <v>0</v>
      </c>
      <c r="O83">
        <f t="shared" si="20"/>
        <v>-3.8576647984962487E-8</v>
      </c>
      <c r="P83" s="2">
        <f t="shared" si="21"/>
        <v>3.0837855159154031E-2</v>
      </c>
      <c r="Q83">
        <f t="shared" si="22"/>
        <v>1.0918648458252246E-16</v>
      </c>
      <c r="R83">
        <f t="shared" si="30"/>
        <v>6.5831326611684945E-17</v>
      </c>
      <c r="S83">
        <f t="shared" si="31"/>
        <v>1.5061401015259435E-9</v>
      </c>
      <c r="T83">
        <f t="shared" si="23"/>
        <v>3.0208283001932446E-13</v>
      </c>
      <c r="U83">
        <f t="shared" si="24"/>
        <v>2.9409402858117981E-7</v>
      </c>
      <c r="AG83">
        <f t="shared" si="25"/>
        <v>3.0219201650390697E-13</v>
      </c>
      <c r="AH83">
        <f t="shared" si="26"/>
        <v>6.9012725628661</v>
      </c>
      <c r="AI83">
        <f t="shared" si="27"/>
        <v>7.6207772837098702</v>
      </c>
    </row>
    <row r="84" spans="11:35" x14ac:dyDescent="0.25">
      <c r="K84">
        <v>80</v>
      </c>
      <c r="L84">
        <f t="shared" si="28"/>
        <v>6.9012726218451492</v>
      </c>
      <c r="M84">
        <f t="shared" si="29"/>
        <v>7.6207769967801244</v>
      </c>
      <c r="N84">
        <f t="shared" si="19"/>
        <v>0</v>
      </c>
      <c r="O84">
        <f t="shared" si="20"/>
        <v>-3.0469676173306048E-8</v>
      </c>
      <c r="P84" s="2">
        <f t="shared" si="21"/>
        <v>3.0837855159154031E-2</v>
      </c>
      <c r="Q84">
        <f t="shared" si="22"/>
        <v>6.8117011293825112E-17</v>
      </c>
      <c r="R84">
        <f t="shared" si="30"/>
        <v>4.1069473288697343E-17</v>
      </c>
      <c r="S84">
        <f t="shared" si="31"/>
        <v>1.1896208462758295E-9</v>
      </c>
      <c r="T84">
        <f t="shared" si="23"/>
        <v>3.0212389949261316E-13</v>
      </c>
      <c r="U84">
        <f t="shared" si="24"/>
        <v>2.9292867260725779E-7</v>
      </c>
      <c r="AG84">
        <f t="shared" si="25"/>
        <v>3.0219201650390697E-13</v>
      </c>
      <c r="AH84">
        <f t="shared" si="26"/>
        <v>6.9012725628661</v>
      </c>
      <c r="AI84">
        <f t="shared" si="27"/>
        <v>7.6207772837098702</v>
      </c>
    </row>
    <row r="85" spans="11:35" x14ac:dyDescent="0.25">
      <c r="K85">
        <v>81</v>
      </c>
      <c r="L85">
        <f t="shared" si="28"/>
        <v>6.9012726218451492</v>
      </c>
      <c r="M85">
        <f t="shared" si="29"/>
        <v>7.6207769977197435</v>
      </c>
      <c r="N85">
        <f t="shared" si="19"/>
        <v>0</v>
      </c>
      <c r="O85">
        <f t="shared" si="20"/>
        <v>-2.4066404769916052E-8</v>
      </c>
      <c r="P85" s="2">
        <f t="shared" si="21"/>
        <v>3.0837855159154031E-2</v>
      </c>
      <c r="Q85">
        <f t="shared" si="22"/>
        <v>4.2495441031418502E-17</v>
      </c>
      <c r="R85">
        <f t="shared" si="30"/>
        <v>2.562157026240661E-17</v>
      </c>
      <c r="S85">
        <f t="shared" si="31"/>
        <v>9.3961904923389739E-10</v>
      </c>
      <c r="T85">
        <f t="shared" si="23"/>
        <v>3.0214952106287556E-13</v>
      </c>
      <c r="U85">
        <f t="shared" si="24"/>
        <v>2.9200835743113215E-7</v>
      </c>
      <c r="AG85">
        <f t="shared" si="25"/>
        <v>3.0219201650390697E-13</v>
      </c>
      <c r="AH85">
        <f t="shared" si="26"/>
        <v>6.9012725628661</v>
      </c>
      <c r="AI85">
        <f t="shared" si="27"/>
        <v>7.6207772837098702</v>
      </c>
    </row>
    <row r="86" spans="11:35" x14ac:dyDescent="0.25">
      <c r="K86">
        <v>82</v>
      </c>
      <c r="L86">
        <f t="shared" si="28"/>
        <v>6.9012726218451492</v>
      </c>
      <c r="M86">
        <f t="shared" si="29"/>
        <v>7.6207769984619</v>
      </c>
      <c r="N86">
        <f t="shared" si="19"/>
        <v>0</v>
      </c>
      <c r="O86">
        <f t="shared" si="20"/>
        <v>-1.900879139850387E-8</v>
      </c>
      <c r="P86" s="2">
        <f t="shared" si="21"/>
        <v>3.0837855159154031E-2</v>
      </c>
      <c r="Q86">
        <f t="shared" si="22"/>
        <v>2.6511171360373153E-17</v>
      </c>
      <c r="R86">
        <f t="shared" si="30"/>
        <v>1.5984269671045349E-17</v>
      </c>
      <c r="S86">
        <f t="shared" si="31"/>
        <v>7.4215655843090644E-10</v>
      </c>
      <c r="T86">
        <f t="shared" si="23"/>
        <v>3.0216550533254658E-13</v>
      </c>
      <c r="U86">
        <f t="shared" si="24"/>
        <v>2.9128153513335465E-7</v>
      </c>
      <c r="AG86">
        <f t="shared" si="25"/>
        <v>3.0219201650390697E-13</v>
      </c>
      <c r="AH86">
        <f t="shared" si="26"/>
        <v>6.9012725628661</v>
      </c>
      <c r="AI86">
        <f t="shared" si="27"/>
        <v>7.6207772837098702</v>
      </c>
    </row>
    <row r="87" spans="11:35" x14ac:dyDescent="0.25">
      <c r="K87">
        <v>83</v>
      </c>
      <c r="L87">
        <f t="shared" si="28"/>
        <v>6.9012726218451492</v>
      </c>
      <c r="M87">
        <f t="shared" si="29"/>
        <v>7.6207769990480907</v>
      </c>
      <c r="N87">
        <f t="shared" si="19"/>
        <v>0</v>
      </c>
      <c r="O87">
        <f t="shared" si="20"/>
        <v>-1.5014047103756579E-8</v>
      </c>
      <c r="P87" s="2">
        <f t="shared" si="21"/>
        <v>3.0837855159154031E-2</v>
      </c>
      <c r="Q87">
        <f t="shared" si="22"/>
        <v>1.6539236425342306E-17</v>
      </c>
      <c r="R87">
        <f t="shared" si="30"/>
        <v>9.9719349350308471E-18</v>
      </c>
      <c r="S87">
        <f t="shared" si="31"/>
        <v>5.8619065157472505E-10</v>
      </c>
      <c r="T87">
        <f t="shared" si="23"/>
        <v>3.0217547726748164E-13</v>
      </c>
      <c r="U87">
        <f t="shared" si="24"/>
        <v>2.9070751098342511E-7</v>
      </c>
      <c r="AG87">
        <f t="shared" si="25"/>
        <v>3.0219201650390697E-13</v>
      </c>
      <c r="AH87">
        <f t="shared" si="26"/>
        <v>6.9012725628661</v>
      </c>
      <c r="AI87">
        <f t="shared" si="27"/>
        <v>7.6207772837098702</v>
      </c>
    </row>
    <row r="88" spans="11:35" x14ac:dyDescent="0.25">
      <c r="K88">
        <v>84</v>
      </c>
      <c r="L88">
        <f t="shared" si="28"/>
        <v>6.9012726218451492</v>
      </c>
      <c r="M88">
        <f t="shared" si="29"/>
        <v>7.6207769995110919</v>
      </c>
      <c r="N88">
        <f t="shared" si="19"/>
        <v>0</v>
      </c>
      <c r="O88">
        <f t="shared" si="20"/>
        <v>-1.1858808498376968E-8</v>
      </c>
      <c r="P88" s="2">
        <f t="shared" si="21"/>
        <v>3.0837855159154031E-2</v>
      </c>
      <c r="Q88">
        <f t="shared" si="22"/>
        <v>1.03181543245863E-17</v>
      </c>
      <c r="R88">
        <f t="shared" si="30"/>
        <v>6.221082100756006E-18</v>
      </c>
      <c r="S88">
        <f t="shared" si="31"/>
        <v>4.6300119294073738E-10</v>
      </c>
      <c r="T88">
        <f t="shared" si="23"/>
        <v>3.0218169834958238E-13</v>
      </c>
      <c r="U88">
        <f t="shared" si="24"/>
        <v>2.902541538467859E-7</v>
      </c>
      <c r="AG88">
        <f t="shared" si="25"/>
        <v>3.0219201650390697E-13</v>
      </c>
      <c r="AH88">
        <f t="shared" si="26"/>
        <v>6.9012725628661</v>
      </c>
      <c r="AI88">
        <f t="shared" si="27"/>
        <v>7.6207772837098702</v>
      </c>
    </row>
    <row r="89" spans="11:35" x14ac:dyDescent="0.25">
      <c r="K89">
        <v>85</v>
      </c>
      <c r="L89">
        <f t="shared" si="28"/>
        <v>6.9012726218451492</v>
      </c>
      <c r="M89">
        <f t="shared" si="29"/>
        <v>7.6207769998767922</v>
      </c>
      <c r="N89">
        <f t="shared" si="19"/>
        <v>0</v>
      </c>
      <c r="O89">
        <f t="shared" si="20"/>
        <v>-9.3666510094864365E-9</v>
      </c>
      <c r="P89" s="2">
        <f t="shared" si="21"/>
        <v>3.0837855159154031E-2</v>
      </c>
      <c r="Q89">
        <f t="shared" si="22"/>
        <v>6.4370752448327788E-18</v>
      </c>
      <c r="R89">
        <f t="shared" si="30"/>
        <v>3.8810790797535212E-18</v>
      </c>
      <c r="S89">
        <f t="shared" si="31"/>
        <v>3.6570035888416896E-10</v>
      </c>
      <c r="T89">
        <f t="shared" si="23"/>
        <v>3.0218557942866211E-13</v>
      </c>
      <c r="U89">
        <f t="shared" si="24"/>
        <v>2.8989609237041628E-7</v>
      </c>
      <c r="AG89">
        <f t="shared" si="25"/>
        <v>3.0219201650390697E-13</v>
      </c>
      <c r="AH89">
        <f t="shared" si="26"/>
        <v>6.9012725628661</v>
      </c>
      <c r="AI89">
        <f t="shared" si="27"/>
        <v>7.6207772837098702</v>
      </c>
    </row>
    <row r="90" spans="11:35" x14ac:dyDescent="0.25">
      <c r="K90">
        <v>86</v>
      </c>
      <c r="L90">
        <f t="shared" si="28"/>
        <v>6.9012726218451492</v>
      </c>
      <c r="M90">
        <f t="shared" si="29"/>
        <v>7.6207770001656394</v>
      </c>
      <c r="N90">
        <f t="shared" si="19"/>
        <v>0</v>
      </c>
      <c r="O90">
        <f t="shared" si="20"/>
        <v>-7.3982290038747751E-9</v>
      </c>
      <c r="P90" s="2">
        <f t="shared" si="21"/>
        <v>3.0837855159154031E-2</v>
      </c>
      <c r="Q90">
        <f t="shared" si="22"/>
        <v>4.015831184570444E-18</v>
      </c>
      <c r="R90">
        <f t="shared" si="30"/>
        <v>2.4212440602623348E-18</v>
      </c>
      <c r="S90">
        <f t="shared" si="31"/>
        <v>2.8884716840593683E-10</v>
      </c>
      <c r="T90">
        <f t="shared" si="23"/>
        <v>3.0218800067272241E-13</v>
      </c>
      <c r="U90">
        <f t="shared" si="24"/>
        <v>2.8961329224088403E-7</v>
      </c>
      <c r="AG90">
        <f t="shared" si="25"/>
        <v>3.0219201650390697E-13</v>
      </c>
      <c r="AH90">
        <f t="shared" si="26"/>
        <v>6.9012725628661</v>
      </c>
      <c r="AI90">
        <f t="shared" si="27"/>
        <v>7.6207772837098702</v>
      </c>
    </row>
    <row r="91" spans="11:35" x14ac:dyDescent="0.25">
      <c r="K91">
        <v>87</v>
      </c>
      <c r="L91">
        <f t="shared" si="28"/>
        <v>6.9012726218451492</v>
      </c>
      <c r="M91">
        <f t="shared" si="29"/>
        <v>7.6207770003937849</v>
      </c>
      <c r="N91">
        <f t="shared" si="19"/>
        <v>0</v>
      </c>
      <c r="O91">
        <f t="shared" si="20"/>
        <v>-5.8434738367705649E-9</v>
      </c>
      <c r="P91" s="2">
        <f t="shared" si="21"/>
        <v>3.0837855159154031E-2</v>
      </c>
      <c r="Q91">
        <f t="shared" si="22"/>
        <v>2.5053137103696194E-18</v>
      </c>
      <c r="R91">
        <f t="shared" si="30"/>
        <v>1.5105174742008246E-18</v>
      </c>
      <c r="S91">
        <f t="shared" si="31"/>
        <v>2.2814550248995147E-10</v>
      </c>
      <c r="T91">
        <f t="shared" si="23"/>
        <v>3.0218951119019658E-13</v>
      </c>
      <c r="U91">
        <f t="shared" si="24"/>
        <v>2.8938993142637779E-7</v>
      </c>
      <c r="AG91">
        <f t="shared" si="25"/>
        <v>3.0219201650390697E-13</v>
      </c>
      <c r="AH91">
        <f t="shared" si="26"/>
        <v>6.9012725628661</v>
      </c>
      <c r="AI91">
        <f t="shared" si="27"/>
        <v>7.6207772837098702</v>
      </c>
    </row>
    <row r="92" spans="11:35" x14ac:dyDescent="0.25">
      <c r="K92">
        <v>88</v>
      </c>
      <c r="L92">
        <f t="shared" si="28"/>
        <v>6.9012726218451492</v>
      </c>
      <c r="M92">
        <f t="shared" si="29"/>
        <v>7.6207770005739848</v>
      </c>
      <c r="N92">
        <f t="shared" si="19"/>
        <v>0</v>
      </c>
      <c r="O92">
        <f t="shared" si="20"/>
        <v>-4.6154563975767655E-9</v>
      </c>
      <c r="P92" s="2">
        <f t="shared" si="21"/>
        <v>3.0837855159154031E-2</v>
      </c>
      <c r="Q92">
        <f t="shared" si="22"/>
        <v>1.5629648543302197E-18</v>
      </c>
      <c r="R92">
        <f t="shared" si="30"/>
        <v>9.4234885603939978E-19</v>
      </c>
      <c r="S92">
        <f t="shared" si="31"/>
        <v>1.8019985503769931E-10</v>
      </c>
      <c r="T92">
        <f t="shared" si="23"/>
        <v>3.0219045353905262E-13</v>
      </c>
      <c r="U92">
        <f t="shared" si="24"/>
        <v>2.8921351601881337E-7</v>
      </c>
      <c r="AG92">
        <f t="shared" si="25"/>
        <v>3.0219201650390697E-13</v>
      </c>
      <c r="AH92">
        <f t="shared" si="26"/>
        <v>6.9012725628661</v>
      </c>
      <c r="AI92">
        <f t="shared" si="27"/>
        <v>7.6207772837098702</v>
      </c>
    </row>
    <row r="93" spans="11:35" x14ac:dyDescent="0.25">
      <c r="K93">
        <v>89</v>
      </c>
      <c r="L93">
        <f t="shared" si="28"/>
        <v>6.9012726218451492</v>
      </c>
      <c r="M93">
        <f t="shared" si="29"/>
        <v>7.6207770007163154</v>
      </c>
      <c r="N93">
        <f t="shared" si="19"/>
        <v>0</v>
      </c>
      <c r="O93">
        <f t="shared" si="20"/>
        <v>-3.6455086205836299E-9</v>
      </c>
      <c r="P93" s="2">
        <f t="shared" si="21"/>
        <v>3.0837855159154031E-2</v>
      </c>
      <c r="Q93">
        <f t="shared" si="22"/>
        <v>9.7507083457112386E-19</v>
      </c>
      <c r="R93">
        <f t="shared" si="30"/>
        <v>5.878940197590958E-19</v>
      </c>
      <c r="S93">
        <f t="shared" si="31"/>
        <v>1.4233059175694507E-10</v>
      </c>
      <c r="T93">
        <f t="shared" si="23"/>
        <v>3.021910414330724E-13</v>
      </c>
      <c r="U93">
        <f t="shared" si="24"/>
        <v>2.8907417786742462E-7</v>
      </c>
      <c r="AG93">
        <f t="shared" si="25"/>
        <v>3.0219201650390697E-13</v>
      </c>
      <c r="AH93">
        <f t="shared" si="26"/>
        <v>6.9012725628661</v>
      </c>
      <c r="AI93">
        <f t="shared" si="27"/>
        <v>7.6207772837098702</v>
      </c>
    </row>
    <row r="94" spans="11:35" x14ac:dyDescent="0.25">
      <c r="K94">
        <v>90</v>
      </c>
      <c r="L94">
        <f t="shared" si="28"/>
        <v>6.9012726218451492</v>
      </c>
      <c r="M94">
        <f t="shared" si="29"/>
        <v>7.6207770008287348</v>
      </c>
      <c r="N94">
        <f t="shared" si="19"/>
        <v>0</v>
      </c>
      <c r="O94">
        <f t="shared" si="20"/>
        <v>-2.8793981683068611E-9</v>
      </c>
      <c r="P94" s="2">
        <f t="shared" si="21"/>
        <v>3.0837855159154031E-2</v>
      </c>
      <c r="Q94">
        <f t="shared" si="22"/>
        <v>6.083077582217111E-19</v>
      </c>
      <c r="R94">
        <f t="shared" si="30"/>
        <v>3.6676307634941276E-19</v>
      </c>
      <c r="S94">
        <f t="shared" si="31"/>
        <v>1.1241940711670395E-10</v>
      </c>
      <c r="T94">
        <f t="shared" si="23"/>
        <v>3.0219140819614873E-13</v>
      </c>
      <c r="U94">
        <f t="shared" si="24"/>
        <v>2.8896412409250891E-7</v>
      </c>
      <c r="AG94">
        <f t="shared" si="25"/>
        <v>3.0219201650390697E-13</v>
      </c>
      <c r="AH94">
        <f t="shared" si="26"/>
        <v>6.9012725628661</v>
      </c>
      <c r="AI94">
        <f t="shared" si="27"/>
        <v>7.6207772837098702</v>
      </c>
    </row>
    <row r="95" spans="11:35" x14ac:dyDescent="0.25">
      <c r="K95">
        <v>91</v>
      </c>
      <c r="L95">
        <f t="shared" si="28"/>
        <v>6.9012726218451492</v>
      </c>
      <c r="M95">
        <f t="shared" si="29"/>
        <v>7.6207770009175295</v>
      </c>
      <c r="N95">
        <f t="shared" si="19"/>
        <v>0</v>
      </c>
      <c r="O95">
        <f t="shared" si="20"/>
        <v>-2.2742839152203604E-9</v>
      </c>
      <c r="P95" s="2">
        <f t="shared" si="21"/>
        <v>3.0837855159154031E-2</v>
      </c>
      <c r="Q95">
        <f t="shared" si="22"/>
        <v>3.7949780385221988E-19</v>
      </c>
      <c r="R95">
        <f t="shared" si="30"/>
        <v>2.2880995436949122E-19</v>
      </c>
      <c r="S95">
        <f t="shared" si="31"/>
        <v>8.879474933110032E-11</v>
      </c>
      <c r="T95">
        <f t="shared" si="23"/>
        <v>3.0219163700610313E-13</v>
      </c>
      <c r="U95">
        <f t="shared" si="24"/>
        <v>2.8887719913146632E-7</v>
      </c>
      <c r="AG95">
        <f t="shared" si="25"/>
        <v>3.0219201650390697E-13</v>
      </c>
      <c r="AH95">
        <f t="shared" si="26"/>
        <v>6.9012725628661</v>
      </c>
      <c r="AI95">
        <f t="shared" si="27"/>
        <v>7.6207772837098702</v>
      </c>
    </row>
    <row r="96" spans="11:35" x14ac:dyDescent="0.25">
      <c r="K96">
        <v>92</v>
      </c>
      <c r="L96">
        <f t="shared" si="28"/>
        <v>6.9012726218451492</v>
      </c>
      <c r="M96">
        <f t="shared" si="29"/>
        <v>7.6207770009876636</v>
      </c>
      <c r="N96">
        <f t="shared" si="19"/>
        <v>0</v>
      </c>
      <c r="O96">
        <f t="shared" si="20"/>
        <v>-1.7963372302750503E-9</v>
      </c>
      <c r="P96" s="2">
        <f t="shared" si="21"/>
        <v>3.0837855159154031E-2</v>
      </c>
      <c r="Q96">
        <f t="shared" si="22"/>
        <v>2.3675308641357249E-19</v>
      </c>
      <c r="R96">
        <f t="shared" si="30"/>
        <v>1.427447174386474E-19</v>
      </c>
      <c r="S96">
        <f t="shared" si="31"/>
        <v>7.0134120733200689E-11</v>
      </c>
      <c r="T96">
        <f t="shared" si="23"/>
        <v>3.0219177975082053E-13</v>
      </c>
      <c r="U96">
        <f t="shared" si="24"/>
        <v>2.8880854265847437E-7</v>
      </c>
      <c r="AG96">
        <f t="shared" si="25"/>
        <v>3.0219201650390697E-13</v>
      </c>
      <c r="AH96">
        <f t="shared" si="26"/>
        <v>6.9012725628661</v>
      </c>
      <c r="AI96">
        <f t="shared" si="27"/>
        <v>7.6207772837098702</v>
      </c>
    </row>
    <row r="97" spans="11:35" x14ac:dyDescent="0.25">
      <c r="K97">
        <v>93</v>
      </c>
      <c r="L97">
        <f t="shared" si="28"/>
        <v>6.9012726218451492</v>
      </c>
      <c r="M97">
        <f t="shared" si="29"/>
        <v>7.6207770010430584</v>
      </c>
      <c r="N97">
        <f t="shared" si="19"/>
        <v>0</v>
      </c>
      <c r="O97">
        <f t="shared" si="20"/>
        <v>-1.4188353712841928E-9</v>
      </c>
      <c r="P97" s="2">
        <f t="shared" si="21"/>
        <v>3.0837855159154031E-2</v>
      </c>
      <c r="Q97">
        <f t="shared" si="22"/>
        <v>1.4770116502697727E-19</v>
      </c>
      <c r="R97">
        <f t="shared" si="30"/>
        <v>8.9051921386595212E-20</v>
      </c>
      <c r="S97">
        <f t="shared" si="31"/>
        <v>5.5394799858277111E-11</v>
      </c>
      <c r="T97">
        <f t="shared" si="23"/>
        <v>3.0219186880274192E-13</v>
      </c>
      <c r="U97">
        <f t="shared" si="24"/>
        <v>2.8875431546732366E-7</v>
      </c>
      <c r="AG97">
        <f t="shared" si="25"/>
        <v>3.0219201650390697E-13</v>
      </c>
      <c r="AH97">
        <f t="shared" si="26"/>
        <v>6.9012725628661</v>
      </c>
      <c r="AI97">
        <f t="shared" si="27"/>
        <v>7.6207772837098702</v>
      </c>
    </row>
    <row r="98" spans="11:35" x14ac:dyDescent="0.25">
      <c r="K98">
        <v>94</v>
      </c>
      <c r="L98">
        <f t="shared" si="28"/>
        <v>6.9012726218451492</v>
      </c>
      <c r="M98">
        <f t="shared" si="29"/>
        <v>7.6207770010868119</v>
      </c>
      <c r="N98">
        <f t="shared" si="19"/>
        <v>0</v>
      </c>
      <c r="O98">
        <f t="shared" si="20"/>
        <v>-1.1206664640128303E-9</v>
      </c>
      <c r="P98" s="2">
        <f t="shared" si="21"/>
        <v>3.0837855159154031E-2</v>
      </c>
      <c r="Q98">
        <f t="shared" si="22"/>
        <v>9.2145187692711323E-20</v>
      </c>
      <c r="R98">
        <f t="shared" si="30"/>
        <v>5.5555977334265952E-20</v>
      </c>
      <c r="S98">
        <f t="shared" si="31"/>
        <v>4.3753445311267569E-11</v>
      </c>
      <c r="T98">
        <f t="shared" si="23"/>
        <v>3.0219192435871929E-13</v>
      </c>
      <c r="U98">
        <f t="shared" si="24"/>
        <v>2.887114845682269E-7</v>
      </c>
      <c r="AG98">
        <f t="shared" si="25"/>
        <v>3.0219201650390697E-13</v>
      </c>
      <c r="AH98">
        <f t="shared" si="26"/>
        <v>6.9012725628661</v>
      </c>
      <c r="AI98">
        <f t="shared" si="27"/>
        <v>7.6207772837098702</v>
      </c>
    </row>
    <row r="99" spans="11:35" x14ac:dyDescent="0.25">
      <c r="K99">
        <v>95</v>
      </c>
      <c r="L99">
        <f t="shared" si="28"/>
        <v>6.9012726218451492</v>
      </c>
      <c r="M99">
        <f t="shared" si="29"/>
        <v>7.6207770011213709</v>
      </c>
      <c r="N99">
        <f t="shared" si="19"/>
        <v>0</v>
      </c>
      <c r="O99">
        <f t="shared" si="20"/>
        <v>-8.8515527522778881E-10</v>
      </c>
      <c r="P99" s="2">
        <f t="shared" si="21"/>
        <v>3.0837855159154031E-2</v>
      </c>
      <c r="Q99">
        <f t="shared" si="22"/>
        <v>5.7485568574028121E-20</v>
      </c>
      <c r="R99">
        <f t="shared" si="30"/>
        <v>3.4659619118683201E-20</v>
      </c>
      <c r="S99">
        <f t="shared" si="31"/>
        <v>3.4559022310531873E-11</v>
      </c>
      <c r="T99">
        <f t="shared" si="23"/>
        <v>3.0219195901833841E-13</v>
      </c>
      <c r="U99">
        <f t="shared" si="24"/>
        <v>2.8867765442230154E-7</v>
      </c>
      <c r="AG99">
        <f t="shared" si="25"/>
        <v>3.0219201650390697E-13</v>
      </c>
      <c r="AH99">
        <f t="shared" si="26"/>
        <v>6.9012725628661</v>
      </c>
      <c r="AI99">
        <f t="shared" si="27"/>
        <v>7.6207772837098702</v>
      </c>
    </row>
    <row r="100" spans="11:35" x14ac:dyDescent="0.25">
      <c r="K100">
        <v>96</v>
      </c>
      <c r="L100">
        <f t="shared" si="28"/>
        <v>6.9012726218451492</v>
      </c>
      <c r="M100">
        <f t="shared" si="29"/>
        <v>7.6207770011486673</v>
      </c>
      <c r="N100">
        <f t="shared" si="19"/>
        <v>0</v>
      </c>
      <c r="O100">
        <f t="shared" si="20"/>
        <v>-6.9913714711340482E-10</v>
      </c>
      <c r="P100" s="2">
        <f t="shared" si="21"/>
        <v>3.0837855159154031E-2</v>
      </c>
      <c r="Q100">
        <f t="shared" si="22"/>
        <v>3.5862838738143291E-20</v>
      </c>
      <c r="R100">
        <f t="shared" si="30"/>
        <v>2.162272983588483E-20</v>
      </c>
      <c r="S100">
        <f t="shared" si="31"/>
        <v>2.7296387372643949E-11</v>
      </c>
      <c r="T100">
        <f t="shared" si="23"/>
        <v>3.0219198064106823E-13</v>
      </c>
      <c r="U100">
        <f t="shared" si="24"/>
        <v>2.8865093385881912E-7</v>
      </c>
      <c r="AG100">
        <f t="shared" si="25"/>
        <v>3.0219201650390697E-13</v>
      </c>
      <c r="AH100">
        <f t="shared" si="26"/>
        <v>6.9012725628661</v>
      </c>
      <c r="AI100">
        <f t="shared" si="27"/>
        <v>7.6207772837098702</v>
      </c>
    </row>
    <row r="101" spans="11:35" x14ac:dyDescent="0.25">
      <c r="K101">
        <v>97</v>
      </c>
      <c r="L101">
        <f t="shared" si="28"/>
        <v>6.9012726218451492</v>
      </c>
      <c r="M101">
        <f t="shared" si="29"/>
        <v>7.6207770011702269</v>
      </c>
      <c r="N101">
        <f t="shared" si="19"/>
        <v>0</v>
      </c>
      <c r="O101">
        <f t="shared" si="20"/>
        <v>-5.5221351317436342E-10</v>
      </c>
      <c r="P101" s="2">
        <f t="shared" si="21"/>
        <v>3.0837855159154031E-2</v>
      </c>
      <c r="Q101">
        <f t="shared" si="22"/>
        <v>2.2373502011485633E-20</v>
      </c>
      <c r="R101">
        <f t="shared" si="30"/>
        <v>1.3489336726657658E-20</v>
      </c>
      <c r="S101">
        <f t="shared" si="31"/>
        <v>2.155964295980084E-11</v>
      </c>
      <c r="T101">
        <f t="shared" si="23"/>
        <v>3.0219199413040497E-13</v>
      </c>
      <c r="U101">
        <f t="shared" si="24"/>
        <v>2.8862982909791185E-7</v>
      </c>
      <c r="AG101">
        <f t="shared" si="25"/>
        <v>3.0219201650390697E-13</v>
      </c>
      <c r="AH101">
        <f t="shared" si="26"/>
        <v>6.9012725628661</v>
      </c>
      <c r="AI101">
        <f t="shared" si="27"/>
        <v>7.6207772837098702</v>
      </c>
    </row>
    <row r="102" spans="11:35" x14ac:dyDescent="0.25">
      <c r="K102">
        <v>98</v>
      </c>
      <c r="L102">
        <f t="shared" si="28"/>
        <v>6.9012726218451492</v>
      </c>
      <c r="M102">
        <f t="shared" si="29"/>
        <v>7.620777001187256</v>
      </c>
      <c r="N102">
        <f t="shared" si="19"/>
        <v>0</v>
      </c>
      <c r="O102">
        <f t="shared" si="20"/>
        <v>-4.3616478476070108E-10</v>
      </c>
      <c r="P102" s="2">
        <f t="shared" si="21"/>
        <v>3.0837855159154031E-2</v>
      </c>
      <c r="Q102">
        <f t="shared" si="22"/>
        <v>1.3957932833826129E-20</v>
      </c>
      <c r="R102">
        <f t="shared" si="30"/>
        <v>8.4155691776595047E-21</v>
      </c>
      <c r="S102">
        <f t="shared" si="31"/>
        <v>1.7029044840910501E-11</v>
      </c>
      <c r="T102">
        <f t="shared" si="23"/>
        <v>3.0219200254597412E-13</v>
      </c>
      <c r="U102">
        <f t="shared" si="24"/>
        <v>2.8861315939258581E-7</v>
      </c>
      <c r="AG102">
        <f t="shared" si="25"/>
        <v>3.0219201650390697E-13</v>
      </c>
      <c r="AH102">
        <f t="shared" si="26"/>
        <v>6.9012725628661</v>
      </c>
      <c r="AI102">
        <f t="shared" si="27"/>
        <v>7.6207772837098702</v>
      </c>
    </row>
    <row r="103" spans="11:35" x14ac:dyDescent="0.25">
      <c r="K103">
        <v>99</v>
      </c>
      <c r="L103">
        <f t="shared" si="28"/>
        <v>6.9012726218451492</v>
      </c>
      <c r="M103">
        <f t="shared" si="29"/>
        <v>7.6207770012007066</v>
      </c>
      <c r="N103">
        <f t="shared" si="19"/>
        <v>0</v>
      </c>
      <c r="O103">
        <f t="shared" si="20"/>
        <v>-3.4450245006626084E-10</v>
      </c>
      <c r="P103" s="2">
        <f t="shared" si="21"/>
        <v>3.0837855159154031E-2</v>
      </c>
      <c r="Q103">
        <f t="shared" si="22"/>
        <v>8.7077216328263467E-21</v>
      </c>
      <c r="R103">
        <f t="shared" si="30"/>
        <v>5.2502112009997818E-21</v>
      </c>
      <c r="S103">
        <f t="shared" si="31"/>
        <v>1.3450573987938697E-11</v>
      </c>
      <c r="T103">
        <f t="shared" si="23"/>
        <v>3.0219200779618534E-13</v>
      </c>
      <c r="U103">
        <f t="shared" si="24"/>
        <v>2.88599992676433E-7</v>
      </c>
      <c r="AG103">
        <f t="shared" si="25"/>
        <v>3.0219201650390697E-13</v>
      </c>
      <c r="AH103">
        <f t="shared" si="26"/>
        <v>6.9012725628661</v>
      </c>
      <c r="AI103">
        <f t="shared" si="27"/>
        <v>7.6207772837098702</v>
      </c>
    </row>
    <row r="104" spans="11:35" x14ac:dyDescent="0.25">
      <c r="K104">
        <v>100</v>
      </c>
      <c r="L104">
        <f t="shared" si="28"/>
        <v>6.9012726218451492</v>
      </c>
      <c r="M104">
        <f t="shared" si="29"/>
        <v>7.6207770012113301</v>
      </c>
      <c r="N104">
        <f t="shared" si="19"/>
        <v>0</v>
      </c>
      <c r="O104">
        <f t="shared" si="20"/>
        <v>-2.7210591115446743E-10</v>
      </c>
      <c r="P104" s="2">
        <f t="shared" si="21"/>
        <v>3.0837855159154031E-2</v>
      </c>
      <c r="Q104" s="5">
        <f t="shared" si="22"/>
        <v>5.4324515294458198E-21</v>
      </c>
      <c r="R104">
        <f t="shared" si="30"/>
        <v>3.2752701033805269E-21</v>
      </c>
      <c r="S104">
        <f t="shared" si="31"/>
        <v>1.0623502078033198E-11</v>
      </c>
      <c r="T104">
        <f t="shared" si="23"/>
        <v>3.0219201107145545E-13</v>
      </c>
      <c r="U104">
        <f t="shared" si="24"/>
        <v>2.8858959338881647E-7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349D-C7C5-47B2-8B4C-4ADCF99B830F}">
  <dimension ref="A1:AI104"/>
  <sheetViews>
    <sheetView workbookViewId="0">
      <selection activeCell="AD19" sqref="AD19"/>
    </sheetView>
  </sheetViews>
  <sheetFormatPr defaultRowHeight="15" x14ac:dyDescent="0.25"/>
  <cols>
    <col min="17" max="17" width="19.85546875" bestFit="1" customWidth="1"/>
  </cols>
  <sheetData>
    <row r="1" spans="1:35" x14ac:dyDescent="0.25">
      <c r="A1" t="s">
        <v>0</v>
      </c>
      <c r="K1" t="s">
        <v>13</v>
      </c>
    </row>
    <row r="2" spans="1:35" x14ac:dyDescent="0.25">
      <c r="K2" t="s">
        <v>25</v>
      </c>
      <c r="L2" t="s">
        <v>26</v>
      </c>
      <c r="N2" t="s">
        <v>27</v>
      </c>
      <c r="P2" t="s">
        <v>28</v>
      </c>
      <c r="Q2" t="s">
        <v>29</v>
      </c>
      <c r="R2" s="1" t="s">
        <v>30</v>
      </c>
      <c r="T2" t="s">
        <v>31</v>
      </c>
    </row>
    <row r="3" spans="1:35" x14ac:dyDescent="0.25">
      <c r="A3" t="s">
        <v>1</v>
      </c>
      <c r="E3" t="s">
        <v>9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X3" t="s">
        <v>20</v>
      </c>
      <c r="Y3">
        <v>350</v>
      </c>
      <c r="Z3" t="s">
        <v>20</v>
      </c>
      <c r="AA3">
        <v>200</v>
      </c>
      <c r="AB3" t="s">
        <v>20</v>
      </c>
      <c r="AC3">
        <v>50</v>
      </c>
    </row>
    <row r="4" spans="1:35" x14ac:dyDescent="0.25">
      <c r="A4" t="s">
        <v>2</v>
      </c>
      <c r="B4">
        <v>8.7225867488631863</v>
      </c>
      <c r="E4" t="s">
        <v>10</v>
      </c>
      <c r="F4">
        <f>B4*(F5-B6)^2+B5*(F6-B7)^2</f>
        <v>3.0219201650390697E-13</v>
      </c>
      <c r="K4">
        <v>0</v>
      </c>
      <c r="L4">
        <f>$B$8</f>
        <v>7.6300851466414379</v>
      </c>
      <c r="M4">
        <f>$B$9</f>
        <v>6.9177831354716632</v>
      </c>
      <c r="N4">
        <f>(($B$4*(L4+$B$11-$B$6)^2+$B$5*(M4-$B$7)^2)-($B$4*(L4-$B$6)^2+$B$5*(M4-$B$7)^2))/$B$11</f>
        <v>12.722983529140919</v>
      </c>
      <c r="O4">
        <f>(($B$4*(L4-$B$6)^2+$B$5*(M4+$B$11-$B$7)^2)-($B$4*(L4-$B$6)^2+$B$5*(M4-$B$7)^2))/$B$11</f>
        <v>-4.7873219316620919</v>
      </c>
      <c r="P4" s="2">
        <f>$B$10</f>
        <v>3.0837855159154031E-2</v>
      </c>
      <c r="Q4">
        <f>$B$4*(L4-$B$6)^2+$B$5*(M4-$B$7)^2</f>
        <v>6.3170829672317561</v>
      </c>
      <c r="T4">
        <f>ABS(Q4-$F$4)</f>
        <v>6.3170829672314541</v>
      </c>
      <c r="U4">
        <f>SQRT(($F$5-L4)^2+($F$6-M4)^2)</f>
        <v>1.0126048364127271</v>
      </c>
      <c r="X4" s="1">
        <v>1</v>
      </c>
      <c r="Y4" s="1">
        <v>1</v>
      </c>
      <c r="Z4" s="1">
        <v>2</v>
      </c>
      <c r="AA4" s="1">
        <v>2</v>
      </c>
      <c r="AB4" s="1">
        <v>3</v>
      </c>
      <c r="AC4" s="1">
        <v>3</v>
      </c>
      <c r="AG4">
        <f>$F$4</f>
        <v>3.0219201650390697E-13</v>
      </c>
      <c r="AH4">
        <f>$F$5</f>
        <v>6.9012725628661</v>
      </c>
      <c r="AI4">
        <f>$F$6</f>
        <v>7.6207772837098702</v>
      </c>
    </row>
    <row r="5" spans="1:35" x14ac:dyDescent="0.25">
      <c r="A5" t="s">
        <v>3</v>
      </c>
      <c r="B5">
        <v>3.4073763237403485</v>
      </c>
      <c r="E5" t="s">
        <v>11</v>
      </c>
      <c r="F5">
        <v>6.9012725628661</v>
      </c>
      <c r="K5">
        <v>1</v>
      </c>
      <c r="L5">
        <f>L4-$P4*N4</f>
        <v>7.2377356233774881</v>
      </c>
      <c r="M5">
        <f>M4-$P4*O4</f>
        <v>7.0654138758005001</v>
      </c>
      <c r="N5">
        <f t="shared" ref="N5:N68" si="0">(($B$4*(L5+$B$11-$B$6)^2+$B$5*(M5-$B$7)^2)-($B$4*(L5-$B$6)^2+$B$5*(M5-$B$7)^2))/$B$11</f>
        <v>5.8783780240481143</v>
      </c>
      <c r="O5">
        <f t="shared" ref="O5:O68" si="1">(($B$4*(L5-$B$6)^2+$B$5*(M5+$B$11-$B$7)^2)-($B$4*(L5-$B$6)^2+$B$5*(M5-$B$7)^2))/$B$11</f>
        <v>-3.7812549531559547</v>
      </c>
      <c r="P5" s="2">
        <f t="shared" ref="P5:P68" si="2">$B$10</f>
        <v>3.0837855159154031E-2</v>
      </c>
      <c r="Q5">
        <f t="shared" ref="Q5:Q68" si="3">$B$4*(L5-$B$6)^2+$B$5*(M5-$B$7)^2</f>
        <v>2.0383918932343765</v>
      </c>
      <c r="R5">
        <f>ABS(Q5-Q4)</f>
        <v>4.2786910739973791</v>
      </c>
      <c r="S5">
        <f>SQRT((L4-L5)^2+(M4-M5)^2)</f>
        <v>0.41920518114103639</v>
      </c>
      <c r="T5">
        <f t="shared" ref="T5:T68" si="4">ABS(Q5-$F$4)</f>
        <v>2.0383918932340745</v>
      </c>
      <c r="U5">
        <f t="shared" ref="U5:U68" si="5">SQRT(($F$5-L5)^2+($F$6-M5)^2)</f>
        <v>0.6493349720547934</v>
      </c>
      <c r="W5" t="s">
        <v>15</v>
      </c>
      <c r="X5" s="1" t="s">
        <v>32</v>
      </c>
      <c r="Y5" s="1" t="s">
        <v>33</v>
      </c>
      <c r="Z5" s="1" t="s">
        <v>32</v>
      </c>
      <c r="AA5" s="1" t="s">
        <v>33</v>
      </c>
      <c r="AB5" s="1" t="s">
        <v>32</v>
      </c>
      <c r="AC5" s="1" t="s">
        <v>33</v>
      </c>
      <c r="AG5">
        <f t="shared" ref="AG5:AG68" si="6">$F$4</f>
        <v>3.0219201650390697E-13</v>
      </c>
      <c r="AH5">
        <f t="shared" ref="AH5:AH68" si="7">$F$5</f>
        <v>6.9012725628661</v>
      </c>
      <c r="AI5">
        <f t="shared" ref="AI5:AI68" si="8">$F$6</f>
        <v>7.6207772837098702</v>
      </c>
    </row>
    <row r="6" spans="1:35" x14ac:dyDescent="0.25">
      <c r="A6" t="s">
        <v>4</v>
      </c>
      <c r="B6">
        <v>6.9012726218451492</v>
      </c>
      <c r="E6" t="s">
        <v>12</v>
      </c>
      <c r="F6">
        <v>7.6207772837098702</v>
      </c>
      <c r="K6">
        <v>2</v>
      </c>
      <c r="L6">
        <f t="shared" ref="L6:M69" si="9">L5-$P5*N5</f>
        <v>7.056459053301138</v>
      </c>
      <c r="M6">
        <f t="shared" si="9"/>
        <v>7.1820196683657569</v>
      </c>
      <c r="N6">
        <f t="shared" si="0"/>
        <v>2.7159768079926261</v>
      </c>
      <c r="O6">
        <f t="shared" si="1"/>
        <v>-2.9866153195603484</v>
      </c>
      <c r="P6" s="2">
        <f t="shared" si="2"/>
        <v>3.0837855159154031E-2</v>
      </c>
      <c r="Q6">
        <f t="shared" si="3"/>
        <v>0.86601175247579354</v>
      </c>
      <c r="R6">
        <f t="shared" ref="R6:R69" si="10">ABS(Q6-Q5)</f>
        <v>1.172380140758583</v>
      </c>
      <c r="S6">
        <f t="shared" ref="S6:S69" si="11">SQRT((L5-L6)^2+(M5-M6)^2)</f>
        <v>0.21554142459958264</v>
      </c>
      <c r="T6">
        <f t="shared" si="4"/>
        <v>0.86601175247549134</v>
      </c>
      <c r="U6">
        <f t="shared" si="5"/>
        <v>0.46539348065480785</v>
      </c>
      <c r="W6">
        <v>-1</v>
      </c>
      <c r="X6" t="e">
        <f>$B$7+SQRT(($Y$3-$B$4*($W6-$B$6)^2)/$B$5)</f>
        <v>#NUM!</v>
      </c>
      <c r="Y6" t="e">
        <f>$B$7-SQRT(($Y$3-$B$4*($W6-$B$6)^2)/$B$5)</f>
        <v>#NUM!</v>
      </c>
      <c r="Z6" t="e">
        <f>$B$7+SQRT(($AA$3-$B$4*($W6-$B$6)^2)/$B$5)</f>
        <v>#NUM!</v>
      </c>
      <c r="AA6" t="e">
        <f>$B$7-SQRT(($AA$3-$B$4*($W6-$B$6)^2)/$B$5)</f>
        <v>#NUM!</v>
      </c>
      <c r="AB6" t="e">
        <f>$B$7+SQRT(($AC$3-$B$4*($W6-$B$6)^2)/$B$5)</f>
        <v>#NUM!</v>
      </c>
      <c r="AC6" t="e">
        <f>$B$7-SQRT(($AC$3-$B$4*($W6-$B$6)^2)/$B$5)</f>
        <v>#NUM!</v>
      </c>
      <c r="AG6">
        <f t="shared" si="6"/>
        <v>3.0219201650390697E-13</v>
      </c>
      <c r="AH6">
        <f t="shared" si="7"/>
        <v>6.9012725628661</v>
      </c>
      <c r="AI6">
        <f t="shared" si="8"/>
        <v>7.6207772837098702</v>
      </c>
    </row>
    <row r="7" spans="1:35" x14ac:dyDescent="0.25">
      <c r="A7" t="s">
        <v>5</v>
      </c>
      <c r="B7">
        <v>7.620777001251259</v>
      </c>
      <c r="K7">
        <v>3</v>
      </c>
      <c r="L7">
        <f t="shared" si="9"/>
        <v>6.97270415388064</v>
      </c>
      <c r="M7">
        <f t="shared" si="9"/>
        <v>7.2741204790064691</v>
      </c>
      <c r="N7">
        <f t="shared" si="0"/>
        <v>1.2548580563168099</v>
      </c>
      <c r="O7">
        <f t="shared" si="1"/>
        <v>-2.3589710764111982</v>
      </c>
      <c r="P7" s="2">
        <f t="shared" si="2"/>
        <v>3.0837855159154031E-2</v>
      </c>
      <c r="Q7">
        <f t="shared" si="3"/>
        <v>0.4539736321829087</v>
      </c>
      <c r="R7">
        <f t="shared" si="10"/>
        <v>0.41203812029288484</v>
      </c>
      <c r="S7">
        <f t="shared" si="11"/>
        <v>0.1244887243794154</v>
      </c>
      <c r="T7">
        <f t="shared" si="4"/>
        <v>0.4539736321826065</v>
      </c>
      <c r="U7">
        <f t="shared" si="5"/>
        <v>0.35393984297058234</v>
      </c>
      <c r="W7">
        <v>0</v>
      </c>
      <c r="X7" t="e">
        <f t="shared" ref="X7:X27" si="12">$B$7+SQRT(($Y$3-$B$4*($W7-$B$6)^2)/$B$5)</f>
        <v>#NUM!</v>
      </c>
      <c r="Y7" t="e">
        <f t="shared" ref="Y7:Y27" si="13">$B$7-SQRT(($Y$3-$B$4*($W7-$B$6)^2)/$B$5)</f>
        <v>#NUM!</v>
      </c>
      <c r="Z7" t="e">
        <f t="shared" ref="Z7:Z27" si="14">$B$7+SQRT(($AA$3-$B$4*($W7-$B$6)^2)/$B$5)</f>
        <v>#NUM!</v>
      </c>
      <c r="AA7" t="e">
        <f t="shared" ref="AA7:AA27" si="15">$B$7-SQRT(($AA$3-$B$4*($W7-$B$6)^2)/$B$5)</f>
        <v>#NUM!</v>
      </c>
      <c r="AB7" t="e">
        <f t="shared" ref="AB7:AB27" si="16">$B$7+SQRT(($AC$3-$B$4*($W7-$B$6)^2)/$B$5)</f>
        <v>#NUM!</v>
      </c>
      <c r="AC7" t="e">
        <f t="shared" ref="AC7:AC27" si="17">$B$7-SQRT(($AC$3-$B$4*($W7-$B$6)^2)/$B$5)</f>
        <v>#NUM!</v>
      </c>
      <c r="AG7">
        <f t="shared" si="6"/>
        <v>3.0219201650390697E-13</v>
      </c>
      <c r="AH7">
        <f t="shared" si="7"/>
        <v>6.9012725628661</v>
      </c>
      <c r="AI7">
        <f t="shared" si="8"/>
        <v>7.6207772837098702</v>
      </c>
    </row>
    <row r="8" spans="1:35" x14ac:dyDescent="0.25">
      <c r="A8" t="s">
        <v>6</v>
      </c>
      <c r="B8">
        <v>7.6300851466414379</v>
      </c>
      <c r="K8">
        <v>4</v>
      </c>
      <c r="L8">
        <f t="shared" si="9"/>
        <v>6.9340070228946447</v>
      </c>
      <c r="M8">
        <f t="shared" si="9"/>
        <v>7.3468660873854716</v>
      </c>
      <c r="N8">
        <f t="shared" si="0"/>
        <v>0.57977989240171057</v>
      </c>
      <c r="O8">
        <f t="shared" si="1"/>
        <v>-1.8632277491175686</v>
      </c>
      <c r="P8" s="2">
        <f t="shared" si="2"/>
        <v>3.0837855159154031E-2</v>
      </c>
      <c r="Q8">
        <f t="shared" si="3"/>
        <v>0.26499247596446296</v>
      </c>
      <c r="R8">
        <f t="shared" si="10"/>
        <v>0.18898115621844574</v>
      </c>
      <c r="S8">
        <f t="shared" si="11"/>
        <v>8.2397763834818311E-2</v>
      </c>
      <c r="T8">
        <f t="shared" si="4"/>
        <v>0.26499247596416076</v>
      </c>
      <c r="U8">
        <f t="shared" si="5"/>
        <v>0.27586026960260801</v>
      </c>
      <c r="W8">
        <v>1</v>
      </c>
      <c r="X8">
        <f t="shared" si="12"/>
        <v>11.304431794424326</v>
      </c>
      <c r="Y8">
        <f t="shared" si="13"/>
        <v>3.937122208078192</v>
      </c>
      <c r="Z8" t="e">
        <f t="shared" si="14"/>
        <v>#NUM!</v>
      </c>
      <c r="AA8" t="e">
        <f t="shared" si="15"/>
        <v>#NUM!</v>
      </c>
      <c r="AB8" t="e">
        <f t="shared" si="16"/>
        <v>#NUM!</v>
      </c>
      <c r="AC8" t="e">
        <f t="shared" si="17"/>
        <v>#NUM!</v>
      </c>
      <c r="AG8">
        <f t="shared" si="6"/>
        <v>3.0219201650390697E-13</v>
      </c>
      <c r="AH8">
        <f t="shared" si="7"/>
        <v>6.9012725628661</v>
      </c>
      <c r="AI8">
        <f t="shared" si="8"/>
        <v>7.6207772837098702</v>
      </c>
    </row>
    <row r="9" spans="1:35" x14ac:dyDescent="0.25">
      <c r="A9" t="s">
        <v>7</v>
      </c>
      <c r="B9">
        <v>6.9177831354716632</v>
      </c>
      <c r="K9">
        <v>5</v>
      </c>
      <c r="L9">
        <f t="shared" si="9"/>
        <v>6.9161278545485709</v>
      </c>
      <c r="M9">
        <f t="shared" si="9"/>
        <v>7.4043240348412755</v>
      </c>
      <c r="N9">
        <f t="shared" si="0"/>
        <v>0.26787469860925506</v>
      </c>
      <c r="O9">
        <f t="shared" si="1"/>
        <v>-1.4716660495742162</v>
      </c>
      <c r="P9" s="2">
        <f t="shared" si="2"/>
        <v>3.0837855159154031E-2</v>
      </c>
      <c r="Q9">
        <f t="shared" si="3"/>
        <v>0.16156689181765768</v>
      </c>
      <c r="R9">
        <f t="shared" si="10"/>
        <v>0.10342558414680528</v>
      </c>
      <c r="S9">
        <f t="shared" si="11"/>
        <v>6.0175413472457064E-2</v>
      </c>
      <c r="T9">
        <f t="shared" si="4"/>
        <v>0.16156689181735548</v>
      </c>
      <c r="U9">
        <f t="shared" si="5"/>
        <v>0.21696241295842247</v>
      </c>
      <c r="W9">
        <v>2</v>
      </c>
      <c r="X9">
        <f t="shared" si="12"/>
        <v>14.041282278050369</v>
      </c>
      <c r="Y9">
        <f t="shared" si="13"/>
        <v>1.2002717244521488</v>
      </c>
      <c r="Z9" t="e">
        <f t="shared" si="14"/>
        <v>#NUM!</v>
      </c>
      <c r="AA9" t="e">
        <f t="shared" si="15"/>
        <v>#NUM!</v>
      </c>
      <c r="AB9" t="e">
        <f t="shared" si="16"/>
        <v>#NUM!</v>
      </c>
      <c r="AC9" t="e">
        <f t="shared" si="17"/>
        <v>#NUM!</v>
      </c>
      <c r="AG9">
        <f t="shared" si="6"/>
        <v>3.0219201650390697E-13</v>
      </c>
      <c r="AH9">
        <f t="shared" si="7"/>
        <v>6.9012725628661</v>
      </c>
      <c r="AI9">
        <f t="shared" si="8"/>
        <v>7.6207772837098702</v>
      </c>
    </row>
    <row r="10" spans="1:35" x14ac:dyDescent="0.25">
      <c r="A10" t="s">
        <v>8</v>
      </c>
      <c r="B10">
        <v>3.0837855159154031E-2</v>
      </c>
      <c r="K10">
        <v>6</v>
      </c>
      <c r="L10">
        <f t="shared" si="9"/>
        <v>6.9078671733920567</v>
      </c>
      <c r="M10">
        <f t="shared" si="9"/>
        <v>7.4497070593206898</v>
      </c>
      <c r="N10">
        <f t="shared" si="0"/>
        <v>0.12376568262441323</v>
      </c>
      <c r="O10">
        <f t="shared" si="1"/>
        <v>-1.1623919633523687</v>
      </c>
      <c r="P10" s="2">
        <f t="shared" si="2"/>
        <v>3.0837855159154031E-2</v>
      </c>
      <c r="Q10">
        <f t="shared" si="3"/>
        <v>0.10009594148344374</v>
      </c>
      <c r="R10">
        <f t="shared" si="10"/>
        <v>6.1470950334213945E-2</v>
      </c>
      <c r="S10">
        <f t="shared" si="11"/>
        <v>4.6128708675495136E-2</v>
      </c>
      <c r="T10">
        <f t="shared" si="4"/>
        <v>0.10009594148314155</v>
      </c>
      <c r="U10">
        <f t="shared" si="5"/>
        <v>0.17119728549411523</v>
      </c>
      <c r="W10">
        <v>3</v>
      </c>
      <c r="X10">
        <f t="shared" si="12"/>
        <v>15.605552358132812</v>
      </c>
      <c r="Y10">
        <f t="shared" si="13"/>
        <v>-0.36399835563029281</v>
      </c>
      <c r="Z10">
        <f t="shared" si="14"/>
        <v>12.063129619257611</v>
      </c>
      <c r="AA10">
        <f t="shared" si="15"/>
        <v>3.1784243832449075</v>
      </c>
      <c r="AB10" t="e">
        <f t="shared" si="16"/>
        <v>#NUM!</v>
      </c>
      <c r="AC10" t="e">
        <f t="shared" si="17"/>
        <v>#NUM!</v>
      </c>
      <c r="AG10">
        <f t="shared" si="6"/>
        <v>3.0219201650390697E-13</v>
      </c>
      <c r="AH10">
        <f t="shared" si="7"/>
        <v>6.9012725628661</v>
      </c>
      <c r="AI10">
        <f t="shared" si="8"/>
        <v>7.6207772837098702</v>
      </c>
    </row>
    <row r="11" spans="1:35" x14ac:dyDescent="0.25">
      <c r="A11" t="s">
        <v>34</v>
      </c>
      <c r="B11">
        <v>1E-3</v>
      </c>
      <c r="K11">
        <v>7</v>
      </c>
      <c r="L11">
        <f t="shared" si="9"/>
        <v>6.9040505051976115</v>
      </c>
      <c r="M11">
        <f t="shared" si="9"/>
        <v>7.485552734324715</v>
      </c>
      <c r="N11">
        <f t="shared" si="0"/>
        <v>5.7183243789032945E-2</v>
      </c>
      <c r="O11">
        <f t="shared" si="1"/>
        <v>-0.91811255471787445</v>
      </c>
      <c r="P11" s="2">
        <f t="shared" si="2"/>
        <v>3.0837855159154031E-2</v>
      </c>
      <c r="Q11">
        <f t="shared" si="3"/>
        <v>6.2373237592850336E-2</v>
      </c>
      <c r="R11">
        <f t="shared" si="10"/>
        <v>3.7722703890593401E-2</v>
      </c>
      <c r="S11">
        <f t="shared" si="11"/>
        <v>3.6048292228629771E-2</v>
      </c>
      <c r="T11">
        <f t="shared" si="4"/>
        <v>6.2373237592548147E-2</v>
      </c>
      <c r="U11">
        <f t="shared" si="5"/>
        <v>0.13525308026072999</v>
      </c>
      <c r="W11">
        <v>4</v>
      </c>
      <c r="X11">
        <f t="shared" si="12"/>
        <v>16.630247635347359</v>
      </c>
      <c r="Y11">
        <f t="shared" si="13"/>
        <v>-1.3886936328448396</v>
      </c>
      <c r="Z11">
        <f t="shared" si="14"/>
        <v>13.715727402155679</v>
      </c>
      <c r="AA11">
        <f t="shared" si="15"/>
        <v>1.5258266003468393</v>
      </c>
      <c r="AB11" t="e">
        <f t="shared" si="16"/>
        <v>#NUM!</v>
      </c>
      <c r="AC11" t="e">
        <f t="shared" si="17"/>
        <v>#NUM!</v>
      </c>
      <c r="AG11">
        <f t="shared" si="6"/>
        <v>3.0219201650390697E-13</v>
      </c>
      <c r="AH11">
        <f t="shared" si="7"/>
        <v>6.9012725628661</v>
      </c>
      <c r="AI11">
        <f t="shared" si="8"/>
        <v>7.6207772837098702</v>
      </c>
    </row>
    <row r="12" spans="1:35" x14ac:dyDescent="0.25">
      <c r="K12">
        <v>8</v>
      </c>
      <c r="L12">
        <f t="shared" si="9"/>
        <v>6.9022870966081147</v>
      </c>
      <c r="M12">
        <f t="shared" si="9"/>
        <v>7.5138653563069058</v>
      </c>
      <c r="N12">
        <f t="shared" si="0"/>
        <v>2.6420274997877857E-2</v>
      </c>
      <c r="O12">
        <f t="shared" si="1"/>
        <v>-0.72516903910754826</v>
      </c>
      <c r="P12" s="2">
        <f t="shared" si="2"/>
        <v>3.0837855159154031E-2</v>
      </c>
      <c r="Q12">
        <f t="shared" si="3"/>
        <v>3.8955628449742589E-2</v>
      </c>
      <c r="R12">
        <f t="shared" si="10"/>
        <v>2.3417609143107747E-2</v>
      </c>
      <c r="S12">
        <f t="shared" si="11"/>
        <v>2.8367484438348467E-2</v>
      </c>
      <c r="T12">
        <f t="shared" si="4"/>
        <v>3.8955628449440401E-2</v>
      </c>
      <c r="U12">
        <f t="shared" si="5"/>
        <v>0.10691674097039441</v>
      </c>
      <c r="W12">
        <v>5</v>
      </c>
      <c r="X12">
        <f t="shared" si="12"/>
        <v>17.288489183031206</v>
      </c>
      <c r="Y12">
        <f t="shared" si="13"/>
        <v>-2.0469351805286884</v>
      </c>
      <c r="Z12">
        <f t="shared" si="14"/>
        <v>14.652314394494745</v>
      </c>
      <c r="AA12">
        <f t="shared" si="15"/>
        <v>0.58923960800777397</v>
      </c>
      <c r="AB12">
        <f t="shared" si="16"/>
        <v>9.9489473978129777</v>
      </c>
      <c r="AC12">
        <f t="shared" si="17"/>
        <v>5.2926066046895404</v>
      </c>
      <c r="AG12">
        <f t="shared" si="6"/>
        <v>3.0219201650390697E-13</v>
      </c>
      <c r="AH12">
        <f t="shared" si="7"/>
        <v>6.9012725628661</v>
      </c>
      <c r="AI12">
        <f t="shared" si="8"/>
        <v>7.6207772837098702</v>
      </c>
    </row>
    <row r="13" spans="1:35" x14ac:dyDescent="0.25">
      <c r="K13">
        <v>9</v>
      </c>
      <c r="L13">
        <f t="shared" si="9"/>
        <v>6.9014723519944647</v>
      </c>
      <c r="M13">
        <f t="shared" si="9"/>
        <v>7.5362280141008071</v>
      </c>
      <c r="N13">
        <f t="shared" si="0"/>
        <v>1.2206913856404461E-2</v>
      </c>
      <c r="O13">
        <f t="shared" si="1"/>
        <v>-0.57277305770180031</v>
      </c>
      <c r="P13" s="2">
        <f t="shared" si="2"/>
        <v>3.0837855159154031E-2</v>
      </c>
      <c r="Q13">
        <f t="shared" si="3"/>
        <v>2.4358084018962427E-2</v>
      </c>
      <c r="R13">
        <f t="shared" si="10"/>
        <v>1.4597544430780162E-2</v>
      </c>
      <c r="S13">
        <f t="shared" si="11"/>
        <v>2.237749477471971E-2</v>
      </c>
      <c r="T13">
        <f t="shared" si="4"/>
        <v>2.4358084018660235E-2</v>
      </c>
      <c r="U13">
        <f t="shared" si="5"/>
        <v>8.4549505658648577E-2</v>
      </c>
      <c r="W13">
        <v>6</v>
      </c>
      <c r="X13">
        <f t="shared" si="12"/>
        <v>17.652672668030903</v>
      </c>
      <c r="Y13">
        <f t="shared" si="13"/>
        <v>-2.4111186655283863</v>
      </c>
      <c r="Z13">
        <f t="shared" si="14"/>
        <v>15.145189931971981</v>
      </c>
      <c r="AA13">
        <f t="shared" si="15"/>
        <v>9.6364070530538193E-2</v>
      </c>
      <c r="AB13">
        <f t="shared" si="16"/>
        <v>11.169671087419816</v>
      </c>
      <c r="AC13">
        <f t="shared" si="17"/>
        <v>4.0718829150827016</v>
      </c>
      <c r="AG13">
        <f t="shared" si="6"/>
        <v>3.0219201650390697E-13</v>
      </c>
      <c r="AH13">
        <f t="shared" si="7"/>
        <v>6.9012725628661</v>
      </c>
      <c r="AI13">
        <f t="shared" si="8"/>
        <v>7.6207772837098702</v>
      </c>
    </row>
    <row r="14" spans="1:35" x14ac:dyDescent="0.25">
      <c r="K14">
        <v>10</v>
      </c>
      <c r="L14">
        <f t="shared" si="9"/>
        <v>6.9010959169530208</v>
      </c>
      <c r="M14">
        <f t="shared" si="9"/>
        <v>7.553891106693281</v>
      </c>
      <c r="N14">
        <f t="shared" si="0"/>
        <v>5.6399392477906457E-3</v>
      </c>
      <c r="O14">
        <f t="shared" si="1"/>
        <v>-0.45240345069450655</v>
      </c>
      <c r="P14" s="2">
        <f t="shared" si="2"/>
        <v>3.0837855159154031E-2</v>
      </c>
      <c r="Q14">
        <f t="shared" si="3"/>
        <v>1.5243929816605611E-2</v>
      </c>
      <c r="R14">
        <f t="shared" si="10"/>
        <v>9.1141542023568164E-3</v>
      </c>
      <c r="S14">
        <f t="shared" si="11"/>
        <v>1.7667103420502553E-2</v>
      </c>
      <c r="T14">
        <f t="shared" si="4"/>
        <v>1.5243929816303419E-2</v>
      </c>
      <c r="U14">
        <f t="shared" si="5"/>
        <v>6.6886410276476252E-2</v>
      </c>
      <c r="W14">
        <v>7</v>
      </c>
      <c r="X14">
        <f t="shared" si="12"/>
        <v>17.754551057588188</v>
      </c>
      <c r="Y14">
        <f t="shared" si="13"/>
        <v>-2.512997055085668</v>
      </c>
      <c r="Z14">
        <f t="shared" si="14"/>
        <v>15.280492133534729</v>
      </c>
      <c r="AA14">
        <f t="shared" si="15"/>
        <v>-3.8938131032210777E-2</v>
      </c>
      <c r="AB14">
        <f t="shared" si="16"/>
        <v>11.44819064372281</v>
      </c>
      <c r="AC14">
        <f t="shared" si="17"/>
        <v>3.793363358779708</v>
      </c>
      <c r="AG14">
        <f t="shared" si="6"/>
        <v>3.0219201650390697E-13</v>
      </c>
      <c r="AH14">
        <f t="shared" si="7"/>
        <v>6.9012725628661</v>
      </c>
      <c r="AI14">
        <f t="shared" si="8"/>
        <v>7.6207772837098702</v>
      </c>
    </row>
    <row r="15" spans="1:35" x14ac:dyDescent="0.25">
      <c r="K15">
        <v>11</v>
      </c>
      <c r="L15">
        <f t="shared" si="9"/>
        <v>6.900921993323391</v>
      </c>
      <c r="M15">
        <f t="shared" si="9"/>
        <v>7.5678422587792999</v>
      </c>
      <c r="N15">
        <f t="shared" si="0"/>
        <v>2.605811353542653E-3</v>
      </c>
      <c r="O15">
        <f t="shared" si="1"/>
        <v>-0.35732980008087134</v>
      </c>
      <c r="P15" s="2">
        <f t="shared" si="2"/>
        <v>3.0837855159154031E-2</v>
      </c>
      <c r="Q15">
        <f t="shared" si="3"/>
        <v>9.5488371244741178E-3</v>
      </c>
      <c r="R15">
        <f t="shared" si="10"/>
        <v>5.6950926921314933E-3</v>
      </c>
      <c r="S15">
        <f t="shared" si="11"/>
        <v>1.3952236163288455E-2</v>
      </c>
      <c r="T15">
        <f t="shared" si="4"/>
        <v>9.5488371241719255E-3</v>
      </c>
      <c r="U15">
        <f t="shared" si="5"/>
        <v>5.2936185765545735E-2</v>
      </c>
      <c r="W15">
        <v>8</v>
      </c>
      <c r="X15">
        <f t="shared" si="12"/>
        <v>17.602159505541032</v>
      </c>
      <c r="Y15">
        <f t="shared" si="13"/>
        <v>-2.3606055030385118</v>
      </c>
      <c r="Z15">
        <f t="shared" si="14"/>
        <v>15.077710417863408</v>
      </c>
      <c r="AA15">
        <f t="shared" si="15"/>
        <v>0.16384358463911042</v>
      </c>
      <c r="AB15">
        <f t="shared" si="16"/>
        <v>11.02426275304043</v>
      </c>
      <c r="AC15">
        <f t="shared" si="17"/>
        <v>4.2172912494620878</v>
      </c>
      <c r="AG15">
        <f t="shared" si="6"/>
        <v>3.0219201650390697E-13</v>
      </c>
      <c r="AH15">
        <f t="shared" si="7"/>
        <v>6.9012725628661</v>
      </c>
      <c r="AI15">
        <f t="shared" si="8"/>
        <v>7.6207772837098702</v>
      </c>
    </row>
    <row r="16" spans="1:35" x14ac:dyDescent="0.25">
      <c r="K16" s="6">
        <v>12</v>
      </c>
      <c r="L16">
        <f t="shared" si="9"/>
        <v>6.9008416356902984</v>
      </c>
      <c r="M16">
        <f t="shared" si="9"/>
        <v>7.5788615433982436</v>
      </c>
      <c r="N16">
        <f t="shared" si="0"/>
        <v>1.2039585023755281E-3</v>
      </c>
      <c r="O16">
        <f t="shared" si="1"/>
        <v>-0.28223610105055502</v>
      </c>
      <c r="P16" s="2">
        <f t="shared" si="2"/>
        <v>3.0837855159154031E-2</v>
      </c>
      <c r="Q16">
        <f t="shared" si="3"/>
        <v>5.9880587807724277E-3</v>
      </c>
      <c r="R16" s="6">
        <f t="shared" si="10"/>
        <v>3.5607783437016901E-3</v>
      </c>
      <c r="S16">
        <f t="shared" si="11"/>
        <v>1.1019577617244865E-2</v>
      </c>
      <c r="T16">
        <f t="shared" si="4"/>
        <v>5.9880587804702354E-3</v>
      </c>
      <c r="U16">
        <f t="shared" si="5"/>
        <v>4.1917955390292631E-2</v>
      </c>
      <c r="W16">
        <v>9</v>
      </c>
      <c r="X16">
        <f t="shared" si="12"/>
        <v>17.183349400209391</v>
      </c>
      <c r="Y16">
        <f t="shared" si="13"/>
        <v>-1.9417953977068727</v>
      </c>
      <c r="Z16">
        <f t="shared" si="14"/>
        <v>14.507042329290897</v>
      </c>
      <c r="AA16">
        <f t="shared" si="15"/>
        <v>0.73451167321162103</v>
      </c>
      <c r="AB16">
        <f t="shared" si="16"/>
        <v>9.464281666557488</v>
      </c>
      <c r="AC16">
        <f t="shared" si="17"/>
        <v>5.77727233594503</v>
      </c>
      <c r="AG16">
        <f t="shared" si="6"/>
        <v>3.0219201650390697E-13</v>
      </c>
      <c r="AH16">
        <f t="shared" si="7"/>
        <v>6.9012725628661</v>
      </c>
      <c r="AI16">
        <f t="shared" si="8"/>
        <v>7.6207772837098702</v>
      </c>
    </row>
    <row r="17" spans="11:35" x14ac:dyDescent="0.25">
      <c r="K17" s="6">
        <v>13</v>
      </c>
      <c r="L17">
        <f t="shared" si="9"/>
        <v>6.9008045081923841</v>
      </c>
      <c r="M17">
        <f t="shared" si="9"/>
        <v>7.5875650994031254</v>
      </c>
      <c r="N17">
        <f t="shared" si="0"/>
        <v>5.5626285972451908E-4</v>
      </c>
      <c r="O17">
        <f t="shared" si="1"/>
        <v>-0.22292351972376998</v>
      </c>
      <c r="P17" s="2">
        <f t="shared" si="2"/>
        <v>3.0837855159154031E-2</v>
      </c>
      <c r="Q17">
        <f t="shared" si="3"/>
        <v>3.7603511362165176E-3</v>
      </c>
      <c r="R17">
        <f t="shared" si="10"/>
        <v>2.2277076445559102E-3</v>
      </c>
      <c r="S17">
        <f t="shared" si="11"/>
        <v>8.7036351934818446E-3</v>
      </c>
      <c r="T17">
        <f t="shared" si="4"/>
        <v>3.7603511359143257E-3</v>
      </c>
      <c r="U17">
        <f t="shared" si="5"/>
        <v>3.3215482257567347E-2</v>
      </c>
      <c r="W17">
        <v>10</v>
      </c>
      <c r="X17">
        <f t="shared" si="12"/>
        <v>16.460333505398353</v>
      </c>
      <c r="Y17">
        <f t="shared" si="13"/>
        <v>-1.2187795028958348</v>
      </c>
      <c r="Z17">
        <f t="shared" si="14"/>
        <v>13.461634684233626</v>
      </c>
      <c r="AA17">
        <f t="shared" si="15"/>
        <v>1.7799193182688908</v>
      </c>
      <c r="AB17" t="e">
        <f t="shared" si="16"/>
        <v>#NUM!</v>
      </c>
      <c r="AC17" t="e">
        <f t="shared" si="17"/>
        <v>#NUM!</v>
      </c>
      <c r="AG17">
        <f t="shared" si="6"/>
        <v>3.0219201650390697E-13</v>
      </c>
      <c r="AH17">
        <f t="shared" si="7"/>
        <v>6.9012725628661</v>
      </c>
      <c r="AI17">
        <f t="shared" si="8"/>
        <v>7.6207772837098702</v>
      </c>
    </row>
    <row r="18" spans="11:35" x14ac:dyDescent="0.25">
      <c r="K18" s="6">
        <v>14</v>
      </c>
      <c r="L18">
        <f t="shared" si="9"/>
        <v>6.9007873542388856</v>
      </c>
      <c r="M18">
        <f t="shared" si="9"/>
        <v>7.5944395826159354</v>
      </c>
      <c r="N18">
        <f t="shared" si="0"/>
        <v>2.570091647701063E-4</v>
      </c>
      <c r="O18">
        <f t="shared" si="1"/>
        <v>-0.17607561704919594</v>
      </c>
      <c r="P18" s="2">
        <f t="shared" si="2"/>
        <v>3.0837855159154031E-2</v>
      </c>
      <c r="Q18">
        <f t="shared" si="3"/>
        <v>2.3656134024761942E-3</v>
      </c>
      <c r="R18">
        <f t="shared" si="10"/>
        <v>1.3947377337403233E-3</v>
      </c>
      <c r="S18">
        <f t="shared" si="11"/>
        <v>6.8745046149760927E-3</v>
      </c>
      <c r="T18">
        <f t="shared" si="4"/>
        <v>2.3656134021740024E-3</v>
      </c>
      <c r="U18">
        <f t="shared" si="5"/>
        <v>2.6342170114198538E-2</v>
      </c>
      <c r="W18">
        <v>11</v>
      </c>
      <c r="X18">
        <f t="shared" si="12"/>
        <v>15.348189350221766</v>
      </c>
      <c r="Y18">
        <f t="shared" si="13"/>
        <v>-0.10663534771924699</v>
      </c>
      <c r="Z18">
        <f t="shared" si="14"/>
        <v>11.581933510891702</v>
      </c>
      <c r="AA18">
        <f t="shared" si="15"/>
        <v>3.6596204916108173</v>
      </c>
      <c r="AB18" t="e">
        <f t="shared" si="16"/>
        <v>#NUM!</v>
      </c>
      <c r="AC18" t="e">
        <f t="shared" si="17"/>
        <v>#NUM!</v>
      </c>
      <c r="AG18">
        <f t="shared" si="6"/>
        <v>3.0219201650390697E-13</v>
      </c>
      <c r="AH18">
        <f t="shared" si="7"/>
        <v>6.9012725628661</v>
      </c>
      <c r="AI18">
        <f t="shared" si="8"/>
        <v>7.6207772837098702</v>
      </c>
    </row>
    <row r="19" spans="11:35" x14ac:dyDescent="0.25">
      <c r="K19" s="6">
        <v>15</v>
      </c>
      <c r="L19">
        <f t="shared" si="9"/>
        <v>6.9007794286274882</v>
      </c>
      <c r="M19">
        <f t="shared" si="9"/>
        <v>7.5998693769915571</v>
      </c>
      <c r="N19">
        <f t="shared" si="0"/>
        <v>1.18745498866972E-4</v>
      </c>
      <c r="O19">
        <f t="shared" si="1"/>
        <v>-0.13907291145264042</v>
      </c>
      <c r="P19" s="2">
        <f t="shared" si="2"/>
        <v>3.0837855159154031E-2</v>
      </c>
      <c r="Q19">
        <f t="shared" si="3"/>
        <v>1.4915838386960784E-3</v>
      </c>
      <c r="R19">
        <f t="shared" si="10"/>
        <v>8.7402956378011582E-4</v>
      </c>
      <c r="S19" s="6">
        <f t="shared" si="11"/>
        <v>5.4298001599366744E-3</v>
      </c>
      <c r="T19">
        <f t="shared" si="4"/>
        <v>1.4915838383938863E-3</v>
      </c>
      <c r="U19">
        <f t="shared" si="5"/>
        <v>2.0913721445954415E-2</v>
      </c>
      <c r="W19">
        <v>12</v>
      </c>
      <c r="X19">
        <f t="shared" si="12"/>
        <v>13.634778842650537</v>
      </c>
      <c r="Y19">
        <f t="shared" si="13"/>
        <v>1.6067751598519804</v>
      </c>
      <c r="Z19" t="e">
        <f t="shared" si="14"/>
        <v>#NUM!</v>
      </c>
      <c r="AA19" t="e">
        <f t="shared" si="15"/>
        <v>#NUM!</v>
      </c>
      <c r="AB19" t="e">
        <f t="shared" si="16"/>
        <v>#NUM!</v>
      </c>
      <c r="AC19" t="e">
        <f t="shared" si="17"/>
        <v>#NUM!</v>
      </c>
      <c r="AG19">
        <f t="shared" si="6"/>
        <v>3.0219201650390697E-13</v>
      </c>
      <c r="AH19">
        <f t="shared" si="7"/>
        <v>6.9012725628661</v>
      </c>
      <c r="AI19">
        <f t="shared" si="8"/>
        <v>7.6207772837098702</v>
      </c>
    </row>
    <row r="20" spans="11:35" x14ac:dyDescent="0.25">
      <c r="K20">
        <v>16</v>
      </c>
      <c r="L20">
        <f t="shared" si="9"/>
        <v>6.9007757667709937</v>
      </c>
      <c r="M20">
        <f t="shared" si="9"/>
        <v>7.6041580872914958</v>
      </c>
      <c r="N20">
        <f t="shared" si="0"/>
        <v>5.4863776997068729E-5</v>
      </c>
      <c r="O20">
        <f t="shared" si="1"/>
        <v>-0.10984641158184556</v>
      </c>
      <c r="P20" s="2">
        <f t="shared" si="2"/>
        <v>3.0837855159154031E-2</v>
      </c>
      <c r="Q20">
        <f t="shared" si="3"/>
        <v>9.4323077947978116E-4</v>
      </c>
      <c r="R20">
        <f t="shared" si="10"/>
        <v>5.4835305921629724E-4</v>
      </c>
      <c r="S20">
        <f t="shared" si="11"/>
        <v>4.2887118632514119E-3</v>
      </c>
      <c r="T20">
        <f t="shared" si="4"/>
        <v>9.4323077917758918E-4</v>
      </c>
      <c r="U20">
        <f t="shared" si="5"/>
        <v>1.6626620100087124E-2</v>
      </c>
      <c r="W20">
        <v>13</v>
      </c>
      <c r="X20">
        <f t="shared" si="12"/>
        <v>10.360066836592775</v>
      </c>
      <c r="Y20">
        <f t="shared" si="13"/>
        <v>4.8814871659097427</v>
      </c>
      <c r="Z20" t="e">
        <f t="shared" si="14"/>
        <v>#NUM!</v>
      </c>
      <c r="AA20" t="e">
        <f t="shared" si="15"/>
        <v>#NUM!</v>
      </c>
      <c r="AB20" t="e">
        <f t="shared" si="16"/>
        <v>#NUM!</v>
      </c>
      <c r="AC20" t="e">
        <f t="shared" si="17"/>
        <v>#NUM!</v>
      </c>
      <c r="AG20">
        <f t="shared" si="6"/>
        <v>3.0219201650390697E-13</v>
      </c>
      <c r="AH20">
        <f t="shared" si="7"/>
        <v>6.9012725628661</v>
      </c>
      <c r="AI20">
        <f t="shared" si="8"/>
        <v>7.6207772837098702</v>
      </c>
    </row>
    <row r="21" spans="11:35" x14ac:dyDescent="0.25">
      <c r="K21">
        <v>17</v>
      </c>
      <c r="L21">
        <f t="shared" si="9"/>
        <v>6.9007740748897852</v>
      </c>
      <c r="M21">
        <f t="shared" si="9"/>
        <v>7.6075455150216094</v>
      </c>
      <c r="N21">
        <f t="shared" si="0"/>
        <v>2.5348615777915327E-5</v>
      </c>
      <c r="O21">
        <f t="shared" si="1"/>
        <v>-8.6761929489896805E-2</v>
      </c>
      <c r="P21" s="2">
        <f t="shared" si="2"/>
        <v>3.0837855159154031E-2</v>
      </c>
      <c r="Q21" s="5">
        <f t="shared" si="3"/>
        <v>5.9870495490058312E-4</v>
      </c>
      <c r="R21">
        <f t="shared" si="10"/>
        <v>3.4452582457919804E-4</v>
      </c>
      <c r="S21">
        <f t="shared" si="11"/>
        <v>3.3874281526261865E-3</v>
      </c>
      <c r="T21">
        <f t="shared" si="4"/>
        <v>5.9870495459839114E-4</v>
      </c>
      <c r="U21">
        <f t="shared" si="5"/>
        <v>1.3241155269921492E-2</v>
      </c>
      <c r="W21">
        <v>14</v>
      </c>
      <c r="X21" t="e">
        <f>$B$7+SQRT(($Y$3-$B$4*($W21-$B$6)^2)/$B$5)</f>
        <v>#NUM!</v>
      </c>
      <c r="Y21" t="e">
        <f t="shared" si="13"/>
        <v>#NUM!</v>
      </c>
      <c r="Z21" t="e">
        <f t="shared" si="14"/>
        <v>#NUM!</v>
      </c>
      <c r="AA21" t="e">
        <f t="shared" si="15"/>
        <v>#NUM!</v>
      </c>
      <c r="AB21" t="e">
        <f t="shared" si="16"/>
        <v>#NUM!</v>
      </c>
      <c r="AC21" t="e">
        <f t="shared" si="17"/>
        <v>#NUM!</v>
      </c>
      <c r="AG21">
        <f t="shared" si="6"/>
        <v>3.0219201650390697E-13</v>
      </c>
      <c r="AH21">
        <f t="shared" si="7"/>
        <v>6.9012725628661</v>
      </c>
      <c r="AI21">
        <f t="shared" si="8"/>
        <v>7.6207772837098702</v>
      </c>
    </row>
    <row r="22" spans="11:35" x14ac:dyDescent="0.25">
      <c r="K22">
        <v>18</v>
      </c>
      <c r="L22">
        <f t="shared" si="9"/>
        <v>6.9007732931928434</v>
      </c>
      <c r="M22">
        <f t="shared" si="9"/>
        <v>7.610221066836548</v>
      </c>
      <c r="N22">
        <f t="shared" si="0"/>
        <v>1.1711777004805302E-5</v>
      </c>
      <c r="O22">
        <f t="shared" si="1"/>
        <v>-6.8528705675566043E-2</v>
      </c>
      <c r="P22" s="2">
        <f t="shared" si="2"/>
        <v>3.0837855159154031E-2</v>
      </c>
      <c r="Q22" s="5">
        <f t="shared" si="3"/>
        <v>3.8185107654791368E-4</v>
      </c>
      <c r="R22">
        <f t="shared" si="10"/>
        <v>2.1685387835266944E-4</v>
      </c>
      <c r="S22">
        <f t="shared" si="11"/>
        <v>2.6755519291300298E-3</v>
      </c>
      <c r="T22">
        <f t="shared" si="4"/>
        <v>3.8185107624572165E-4</v>
      </c>
      <c r="U22">
        <f t="shared" si="5"/>
        <v>1.0568017074326011E-2</v>
      </c>
      <c r="W22">
        <v>15</v>
      </c>
      <c r="X22" t="e">
        <f t="shared" si="12"/>
        <v>#NUM!</v>
      </c>
      <c r="Y22" t="e">
        <f t="shared" si="13"/>
        <v>#NUM!</v>
      </c>
      <c r="Z22" t="e">
        <f t="shared" si="14"/>
        <v>#NUM!</v>
      </c>
      <c r="AA22" t="e">
        <f t="shared" si="15"/>
        <v>#NUM!</v>
      </c>
      <c r="AB22" t="e">
        <f t="shared" si="16"/>
        <v>#NUM!</v>
      </c>
      <c r="AC22" t="e">
        <f t="shared" si="17"/>
        <v>#NUM!</v>
      </c>
      <c r="AG22">
        <f t="shared" si="6"/>
        <v>3.0219201650390697E-13</v>
      </c>
      <c r="AH22">
        <f t="shared" si="7"/>
        <v>6.9012725628661</v>
      </c>
      <c r="AI22">
        <f t="shared" si="8"/>
        <v>7.6207772837098702</v>
      </c>
    </row>
    <row r="23" spans="11:35" x14ac:dyDescent="0.25">
      <c r="K23">
        <v>19</v>
      </c>
      <c r="L23">
        <f t="shared" si="9"/>
        <v>6.9007729320267606</v>
      </c>
      <c r="M23">
        <f t="shared" si="9"/>
        <v>7.6123343451364152</v>
      </c>
      <c r="N23">
        <f t="shared" si="0"/>
        <v>5.4111720285783191E-6</v>
      </c>
      <c r="O23">
        <f t="shared" si="1"/>
        <v>-5.4127236786677781E-2</v>
      </c>
      <c r="P23" s="2">
        <f t="shared" si="2"/>
        <v>3.0837855159154031E-2</v>
      </c>
      <c r="Q23">
        <f t="shared" si="3"/>
        <v>2.4505041853627798E-4</v>
      </c>
      <c r="R23">
        <f t="shared" si="10"/>
        <v>1.368006580116357E-4</v>
      </c>
      <c r="S23">
        <f t="shared" si="11"/>
        <v>2.1132783307294071E-3</v>
      </c>
      <c r="T23">
        <f t="shared" si="4"/>
        <v>2.4505041823408595E-4</v>
      </c>
      <c r="U23">
        <f t="shared" si="5"/>
        <v>8.4577090710637286E-3</v>
      </c>
      <c r="W23">
        <v>16</v>
      </c>
      <c r="X23" t="e">
        <f t="shared" si="12"/>
        <v>#NUM!</v>
      </c>
      <c r="Y23" t="e">
        <f t="shared" si="13"/>
        <v>#NUM!</v>
      </c>
      <c r="Z23" t="e">
        <f t="shared" si="14"/>
        <v>#NUM!</v>
      </c>
      <c r="AA23" t="e">
        <f t="shared" si="15"/>
        <v>#NUM!</v>
      </c>
      <c r="AB23" t="e">
        <f t="shared" si="16"/>
        <v>#NUM!</v>
      </c>
      <c r="AC23" t="e">
        <f t="shared" si="17"/>
        <v>#NUM!</v>
      </c>
      <c r="AG23">
        <f t="shared" si="6"/>
        <v>3.0219201650390697E-13</v>
      </c>
      <c r="AH23">
        <f t="shared" si="7"/>
        <v>6.9012725628661</v>
      </c>
      <c r="AI23">
        <f t="shared" si="8"/>
        <v>7.6207772837098702</v>
      </c>
    </row>
    <row r="24" spans="11:35" x14ac:dyDescent="0.25">
      <c r="K24">
        <v>20</v>
      </c>
      <c r="L24">
        <f t="shared" si="9"/>
        <v>6.9007727651578215</v>
      </c>
      <c r="M24">
        <f t="shared" si="9"/>
        <v>7.614003513024608</v>
      </c>
      <c r="N24">
        <f t="shared" si="0"/>
        <v>2.5001144343531675E-6</v>
      </c>
      <c r="O24">
        <f t="shared" si="1"/>
        <v>-4.2752270501522222E-2</v>
      </c>
      <c r="P24" s="2">
        <f t="shared" si="2"/>
        <v>3.0837855159154031E-2</v>
      </c>
      <c r="Q24">
        <f t="shared" si="3"/>
        <v>1.5851030896774725E-4</v>
      </c>
      <c r="R24">
        <f t="shared" si="10"/>
        <v>8.654010956853073E-5</v>
      </c>
      <c r="S24">
        <f t="shared" si="11"/>
        <v>1.6691678965338793E-3</v>
      </c>
      <c r="T24">
        <f t="shared" si="4"/>
        <v>1.5851030866555522E-4</v>
      </c>
      <c r="U24">
        <f t="shared" si="5"/>
        <v>6.7921842617613033E-3</v>
      </c>
      <c r="W24">
        <v>17</v>
      </c>
      <c r="X24" t="e">
        <f t="shared" si="12"/>
        <v>#NUM!</v>
      </c>
      <c r="Y24" t="e">
        <f t="shared" si="13"/>
        <v>#NUM!</v>
      </c>
      <c r="Z24" t="e">
        <f t="shared" si="14"/>
        <v>#NUM!</v>
      </c>
      <c r="AA24" t="e">
        <f t="shared" si="15"/>
        <v>#NUM!</v>
      </c>
      <c r="AB24" t="e">
        <f t="shared" si="16"/>
        <v>#NUM!</v>
      </c>
      <c r="AC24" t="e">
        <f t="shared" si="17"/>
        <v>#NUM!</v>
      </c>
      <c r="AG24">
        <f t="shared" si="6"/>
        <v>3.0219201650390697E-13</v>
      </c>
      <c r="AH24">
        <f t="shared" si="7"/>
        <v>6.9012725628661</v>
      </c>
      <c r="AI24">
        <f t="shared" si="8"/>
        <v>7.6207772837098702</v>
      </c>
    </row>
    <row r="25" spans="11:35" x14ac:dyDescent="0.25">
      <c r="K25">
        <v>21</v>
      </c>
      <c r="L25">
        <f t="shared" si="9"/>
        <v>6.9007726880596545</v>
      </c>
      <c r="M25">
        <f t="shared" si="9"/>
        <v>7.6153219013500593</v>
      </c>
      <c r="N25">
        <f t="shared" si="0"/>
        <v>1.1551235353705978E-6</v>
      </c>
      <c r="O25">
        <f t="shared" si="1"/>
        <v>-3.3767780170242442E-2</v>
      </c>
      <c r="P25" s="2">
        <f t="shared" si="2"/>
        <v>3.0837855159154031E-2</v>
      </c>
      <c r="Q25">
        <f t="shared" si="3"/>
        <v>1.0357716542237017E-4</v>
      </c>
      <c r="R25">
        <f t="shared" si="10"/>
        <v>5.493314354537708E-5</v>
      </c>
      <c r="S25">
        <f t="shared" si="11"/>
        <v>1.3183883277055966E-3</v>
      </c>
      <c r="T25">
        <f t="shared" si="4"/>
        <v>1.0357716512017815E-4</v>
      </c>
      <c r="U25">
        <f t="shared" si="5"/>
        <v>5.4782361681343233E-3</v>
      </c>
      <c r="W25">
        <v>18</v>
      </c>
      <c r="X25" t="e">
        <f t="shared" si="12"/>
        <v>#NUM!</v>
      </c>
      <c r="Y25" t="e">
        <f t="shared" si="13"/>
        <v>#NUM!</v>
      </c>
      <c r="Z25" t="e">
        <f t="shared" si="14"/>
        <v>#NUM!</v>
      </c>
      <c r="AA25" t="e">
        <f t="shared" si="15"/>
        <v>#NUM!</v>
      </c>
      <c r="AB25" t="e">
        <f t="shared" si="16"/>
        <v>#NUM!</v>
      </c>
      <c r="AC25" t="e">
        <f t="shared" si="17"/>
        <v>#NUM!</v>
      </c>
      <c r="AG25">
        <f t="shared" si="6"/>
        <v>3.0219201650390697E-13</v>
      </c>
      <c r="AH25">
        <f t="shared" si="7"/>
        <v>6.9012725628661</v>
      </c>
      <c r="AI25">
        <f t="shared" si="8"/>
        <v>7.6207772837098702</v>
      </c>
    </row>
    <row r="26" spans="11:35" x14ac:dyDescent="0.25">
      <c r="K26">
        <v>22</v>
      </c>
      <c r="L26">
        <f t="shared" si="9"/>
        <v>6.9007726524381221</v>
      </c>
      <c r="M26">
        <f t="shared" si="9"/>
        <v>7.616363227263995</v>
      </c>
      <c r="N26">
        <f t="shared" si="0"/>
        <v>5.3369972255869289E-7</v>
      </c>
      <c r="O26">
        <f t="shared" si="1"/>
        <v>-2.6671401641356583E-2</v>
      </c>
      <c r="P26" s="2">
        <f t="shared" si="2"/>
        <v>3.0837855159154031E-2</v>
      </c>
      <c r="Q26">
        <f t="shared" si="3"/>
        <v>6.8560843721020656E-5</v>
      </c>
      <c r="R26">
        <f t="shared" si="10"/>
        <v>3.5016321701349511E-5</v>
      </c>
      <c r="S26">
        <f t="shared" si="11"/>
        <v>1.041325914544955E-3</v>
      </c>
      <c r="T26">
        <f t="shared" si="4"/>
        <v>6.8560843418828641E-5</v>
      </c>
      <c r="U26">
        <f t="shared" si="5"/>
        <v>4.44227472623809E-3</v>
      </c>
      <c r="W26">
        <v>19</v>
      </c>
      <c r="X26" t="e">
        <f t="shared" si="12"/>
        <v>#NUM!</v>
      </c>
      <c r="Y26" t="e">
        <f t="shared" si="13"/>
        <v>#NUM!</v>
      </c>
      <c r="Z26" t="e">
        <f t="shared" si="14"/>
        <v>#NUM!</v>
      </c>
      <c r="AA26" t="e">
        <f t="shared" si="15"/>
        <v>#NUM!</v>
      </c>
      <c r="AB26" t="e">
        <f t="shared" si="16"/>
        <v>#NUM!</v>
      </c>
      <c r="AC26" t="e">
        <f t="shared" si="17"/>
        <v>#NUM!</v>
      </c>
      <c r="AG26">
        <f t="shared" si="6"/>
        <v>3.0219201650390697E-13</v>
      </c>
      <c r="AH26">
        <f t="shared" si="7"/>
        <v>6.9012725628661</v>
      </c>
      <c r="AI26">
        <f t="shared" si="8"/>
        <v>7.6207772837098702</v>
      </c>
    </row>
    <row r="27" spans="11:35" x14ac:dyDescent="0.25">
      <c r="K27">
        <v>23</v>
      </c>
      <c r="L27">
        <f t="shared" si="9"/>
        <v>6.9007726359799673</v>
      </c>
      <c r="M27">
        <f t="shared" si="9"/>
        <v>7.6171857160847027</v>
      </c>
      <c r="N27">
        <f t="shared" si="0"/>
        <v>2.4658435594104725E-7</v>
      </c>
      <c r="O27">
        <f t="shared" si="1"/>
        <v>-2.1066343772913033E-2</v>
      </c>
      <c r="P27" s="2">
        <f t="shared" si="2"/>
        <v>3.0837855159154031E-2</v>
      </c>
      <c r="Q27">
        <f t="shared" si="3"/>
        <v>4.6126577373552077E-5</v>
      </c>
      <c r="R27">
        <f t="shared" si="10"/>
        <v>2.2434266347468578E-5</v>
      </c>
      <c r="S27">
        <f t="shared" si="11"/>
        <v>8.2248882087245499E-4</v>
      </c>
      <c r="T27">
        <f t="shared" si="4"/>
        <v>4.6126577071360063E-5</v>
      </c>
      <c r="U27">
        <f t="shared" si="5"/>
        <v>3.6261942719094976E-3</v>
      </c>
      <c r="W27">
        <v>20</v>
      </c>
      <c r="X27" t="e">
        <f t="shared" si="12"/>
        <v>#NUM!</v>
      </c>
      <c r="Y27" t="e">
        <f t="shared" si="13"/>
        <v>#NUM!</v>
      </c>
      <c r="Z27" t="e">
        <f t="shared" si="14"/>
        <v>#NUM!</v>
      </c>
      <c r="AA27" t="e">
        <f t="shared" si="15"/>
        <v>#NUM!</v>
      </c>
      <c r="AB27" t="e">
        <f t="shared" si="16"/>
        <v>#NUM!</v>
      </c>
      <c r="AC27" t="e">
        <f t="shared" si="17"/>
        <v>#NUM!</v>
      </c>
      <c r="AG27">
        <f t="shared" si="6"/>
        <v>3.0219201650390697E-13</v>
      </c>
      <c r="AH27">
        <f t="shared" si="7"/>
        <v>6.9012725628661</v>
      </c>
      <c r="AI27">
        <f t="shared" si="8"/>
        <v>7.6207772837098702</v>
      </c>
    </row>
    <row r="28" spans="11:35" x14ac:dyDescent="0.25">
      <c r="K28">
        <v>24</v>
      </c>
      <c r="L28">
        <f t="shared" si="9"/>
        <v>6.9007726283758348</v>
      </c>
      <c r="M28">
        <f t="shared" si="9"/>
        <v>7.6178353569427051</v>
      </c>
      <c r="N28">
        <f t="shared" si="0"/>
        <v>1.1392894631444706E-7</v>
      </c>
      <c r="O28">
        <f t="shared" si="1"/>
        <v>-1.6639202015928462E-2</v>
      </c>
      <c r="P28" s="2">
        <f t="shared" si="2"/>
        <v>3.0837855159154031E-2</v>
      </c>
      <c r="Q28">
        <f t="shared" si="3"/>
        <v>3.1665541262543191E-5</v>
      </c>
      <c r="R28">
        <f t="shared" si="10"/>
        <v>1.4461036111008887E-5</v>
      </c>
      <c r="S28">
        <f t="shared" si="11"/>
        <v>6.4964085804684641E-4</v>
      </c>
      <c r="T28">
        <f t="shared" si="4"/>
        <v>3.1665540960351176E-5</v>
      </c>
      <c r="U28">
        <f t="shared" si="5"/>
        <v>2.9841024777844303E-3</v>
      </c>
      <c r="AG28">
        <f t="shared" si="6"/>
        <v>3.0219201650390697E-13</v>
      </c>
      <c r="AH28">
        <f t="shared" si="7"/>
        <v>6.9012725628661</v>
      </c>
      <c r="AI28">
        <f t="shared" si="8"/>
        <v>7.6207772837098702</v>
      </c>
    </row>
    <row r="29" spans="11:35" x14ac:dyDescent="0.25">
      <c r="K29">
        <v>25</v>
      </c>
      <c r="L29">
        <f t="shared" si="9"/>
        <v>6.9007726248625101</v>
      </c>
      <c r="M29">
        <f t="shared" si="9"/>
        <v>7.6183484742444358</v>
      </c>
      <c r="N29">
        <f t="shared" si="0"/>
        <v>5.2638386633844332E-8</v>
      </c>
      <c r="O29">
        <f t="shared" si="1"/>
        <v>-1.3142434525489454E-2</v>
      </c>
      <c r="P29" s="2">
        <f t="shared" si="2"/>
        <v>3.0837855159154031E-2</v>
      </c>
      <c r="Q29">
        <f t="shared" si="3"/>
        <v>2.2276451670684213E-5</v>
      </c>
      <c r="R29">
        <f t="shared" si="10"/>
        <v>9.3890895918589774E-6</v>
      </c>
      <c r="S29">
        <f t="shared" si="11"/>
        <v>5.1311730174278679E-4</v>
      </c>
      <c r="T29">
        <f t="shared" si="4"/>
        <v>2.2276451368492195E-5</v>
      </c>
      <c r="U29">
        <f t="shared" si="5"/>
        <v>2.479728498609658E-3</v>
      </c>
      <c r="AG29">
        <f t="shared" si="6"/>
        <v>3.0219201650390697E-13</v>
      </c>
      <c r="AH29">
        <f t="shared" si="7"/>
        <v>6.9012725628661</v>
      </c>
      <c r="AI29">
        <f t="shared" si="8"/>
        <v>7.6207772837098702</v>
      </c>
    </row>
    <row r="30" spans="11:35" x14ac:dyDescent="0.25">
      <c r="K30">
        <v>26</v>
      </c>
      <c r="L30">
        <f t="shared" si="9"/>
        <v>6.9007726232392548</v>
      </c>
      <c r="M30">
        <f t="shared" si="9"/>
        <v>7.618753758736772</v>
      </c>
      <c r="N30">
        <f t="shared" si="0"/>
        <v>2.4320416154192471E-8</v>
      </c>
      <c r="O30">
        <f t="shared" si="1"/>
        <v>-1.0380520958358069E-2</v>
      </c>
      <c r="P30" s="2">
        <f t="shared" si="2"/>
        <v>3.0837855159154031E-2</v>
      </c>
      <c r="Q30">
        <f t="shared" si="3"/>
        <v>1.6128764510284718E-5</v>
      </c>
      <c r="R30">
        <f t="shared" si="10"/>
        <v>6.1476871603994951E-6</v>
      </c>
      <c r="S30">
        <f t="shared" si="11"/>
        <v>4.0528449233937283E-4</v>
      </c>
      <c r="T30">
        <f t="shared" si="4"/>
        <v>1.61287642080927E-5</v>
      </c>
      <c r="U30">
        <f t="shared" si="5"/>
        <v>2.0843687167203129E-3</v>
      </c>
      <c r="AG30">
        <f t="shared" si="6"/>
        <v>3.0219201650390697E-13</v>
      </c>
      <c r="AH30">
        <f t="shared" si="7"/>
        <v>6.9012725628661</v>
      </c>
      <c r="AI30">
        <f t="shared" si="8"/>
        <v>7.6207772837098702</v>
      </c>
    </row>
    <row r="31" spans="11:35" x14ac:dyDescent="0.25">
      <c r="K31">
        <v>27</v>
      </c>
      <c r="L31">
        <f t="shared" si="9"/>
        <v>6.9007726224892654</v>
      </c>
      <c r="M31">
        <f t="shared" si="9"/>
        <v>7.6190738717385624</v>
      </c>
      <c r="N31">
        <f t="shared" si="0"/>
        <v>1.1236720882313775E-8</v>
      </c>
      <c r="O31">
        <f t="shared" si="1"/>
        <v>-8.1990300319127619E-3</v>
      </c>
      <c r="P31" s="2">
        <f t="shared" si="2"/>
        <v>3.0837855159154031E-2</v>
      </c>
      <c r="Q31">
        <f t="shared" si="3"/>
        <v>1.2064247669190037E-5</v>
      </c>
      <c r="R31">
        <f t="shared" si="10"/>
        <v>4.0645168410946807E-6</v>
      </c>
      <c r="S31">
        <f t="shared" si="11"/>
        <v>3.2011300179134601E-4</v>
      </c>
      <c r="T31">
        <f t="shared" si="4"/>
        <v>1.2064247366998021E-5</v>
      </c>
      <c r="U31">
        <f t="shared" si="5"/>
        <v>1.7752613115775684E-3</v>
      </c>
      <c r="AG31">
        <f t="shared" si="6"/>
        <v>3.0219201650390697E-13</v>
      </c>
      <c r="AH31">
        <f t="shared" si="7"/>
        <v>6.9012725628661</v>
      </c>
      <c r="AI31">
        <f t="shared" si="8"/>
        <v>7.6207772837098702</v>
      </c>
    </row>
    <row r="32" spans="11:35" x14ac:dyDescent="0.25">
      <c r="K32" s="2">
        <v>28</v>
      </c>
      <c r="L32">
        <f t="shared" si="9"/>
        <v>6.9007726221427488</v>
      </c>
      <c r="M32">
        <f t="shared" si="9"/>
        <v>7.6193267122391317</v>
      </c>
      <c r="N32">
        <f t="shared" si="0"/>
        <v>5.1916787942941954E-9</v>
      </c>
      <c r="O32">
        <f t="shared" si="1"/>
        <v>-6.4759845612673084E-3</v>
      </c>
      <c r="P32" s="2">
        <f t="shared" si="2"/>
        <v>3.0837855159154031E-2</v>
      </c>
      <c r="Q32" s="2">
        <f t="shared" si="3"/>
        <v>9.347508938585525E-6</v>
      </c>
      <c r="R32" s="2">
        <f t="shared" si="10"/>
        <v>2.7167387306045124E-6</v>
      </c>
      <c r="S32">
        <f t="shared" si="11"/>
        <v>2.5284050056952208E-4</v>
      </c>
      <c r="T32" s="2">
        <f t="shared" si="4"/>
        <v>9.3475086363935089E-6</v>
      </c>
      <c r="U32">
        <f t="shared" si="5"/>
        <v>1.5343071135158384E-3</v>
      </c>
      <c r="AG32">
        <f t="shared" si="6"/>
        <v>3.0219201650390697E-13</v>
      </c>
      <c r="AH32">
        <f t="shared" si="7"/>
        <v>6.9012725628661</v>
      </c>
      <c r="AI32">
        <f t="shared" si="8"/>
        <v>7.6207772837098702</v>
      </c>
    </row>
    <row r="33" spans="11:35" x14ac:dyDescent="0.25">
      <c r="K33">
        <v>29</v>
      </c>
      <c r="L33">
        <f t="shared" si="9"/>
        <v>6.9007726219826484</v>
      </c>
      <c r="M33">
        <f t="shared" si="9"/>
        <v>7.6195264177130451</v>
      </c>
      <c r="N33">
        <f t="shared" si="0"/>
        <v>2.3986999334106281E-9</v>
      </c>
      <c r="O33">
        <f t="shared" si="1"/>
        <v>-5.1150411541994829E-3</v>
      </c>
      <c r="P33" s="2">
        <f t="shared" si="2"/>
        <v>3.0837855159154031E-2</v>
      </c>
      <c r="Q33">
        <f t="shared" si="3"/>
        <v>7.5096429897162757E-6</v>
      </c>
      <c r="R33">
        <f t="shared" si="10"/>
        <v>1.8378659488692493E-6</v>
      </c>
      <c r="S33">
        <f t="shared" si="11"/>
        <v>1.9970547391341163E-4</v>
      </c>
      <c r="T33">
        <f t="shared" si="4"/>
        <v>7.5096426875242588E-6</v>
      </c>
      <c r="U33">
        <f t="shared" si="5"/>
        <v>1.3470733569333445E-3</v>
      </c>
      <c r="AG33">
        <f t="shared" si="6"/>
        <v>3.0219201650390697E-13</v>
      </c>
      <c r="AH33">
        <f t="shared" si="7"/>
        <v>6.9012725628661</v>
      </c>
      <c r="AI33">
        <f t="shared" si="8"/>
        <v>7.6207772837098702</v>
      </c>
    </row>
    <row r="34" spans="11:35" x14ac:dyDescent="0.25">
      <c r="K34">
        <v>30</v>
      </c>
      <c r="L34">
        <f t="shared" si="9"/>
        <v>6.9007726219086774</v>
      </c>
      <c r="M34">
        <f t="shared" si="9"/>
        <v>7.6196841546112912</v>
      </c>
      <c r="N34">
        <f t="shared" si="0"/>
        <v>1.1082621060828132E-9</v>
      </c>
      <c r="O34">
        <f t="shared" si="1"/>
        <v>-4.0401032092706856E-3</v>
      </c>
      <c r="P34" s="2">
        <f t="shared" si="2"/>
        <v>3.0837855159154031E-2</v>
      </c>
      <c r="Q34">
        <f t="shared" si="3"/>
        <v>6.250122625026086E-6</v>
      </c>
      <c r="R34">
        <f t="shared" si="10"/>
        <v>1.2595203646901897E-6</v>
      </c>
      <c r="S34">
        <f t="shared" si="11"/>
        <v>1.577368982461809E-4</v>
      </c>
      <c r="T34">
        <f t="shared" si="4"/>
        <v>6.2501223228340691E-6</v>
      </c>
      <c r="U34">
        <f t="shared" si="5"/>
        <v>1.2020283636706432E-3</v>
      </c>
      <c r="AG34">
        <f t="shared" si="6"/>
        <v>3.0219201650390697E-13</v>
      </c>
      <c r="AH34">
        <f t="shared" si="7"/>
        <v>6.9012725628661</v>
      </c>
      <c r="AI34">
        <f t="shared" si="8"/>
        <v>7.6207772837098702</v>
      </c>
    </row>
    <row r="35" spans="11:35" x14ac:dyDescent="0.25">
      <c r="K35">
        <v>31</v>
      </c>
      <c r="L35">
        <f t="shared" si="9"/>
        <v>6.9007726218745011</v>
      </c>
      <c r="M35">
        <f t="shared" si="9"/>
        <v>7.6198087427288863</v>
      </c>
      <c r="N35">
        <f t="shared" si="0"/>
        <v>5.1205206389034683E-10</v>
      </c>
      <c r="O35">
        <f t="shared" si="1"/>
        <v>-3.1910660050446858E-3</v>
      </c>
      <c r="P35" s="2">
        <f t="shared" si="2"/>
        <v>3.0837855159154031E-2</v>
      </c>
      <c r="Q35">
        <f t="shared" si="3"/>
        <v>5.3751454408067016E-6</v>
      </c>
      <c r="R35">
        <f t="shared" si="10"/>
        <v>8.7497718421938441E-7</v>
      </c>
      <c r="S35">
        <f t="shared" si="11"/>
        <v>1.2458811759508606E-4</v>
      </c>
      <c r="T35">
        <f t="shared" si="4"/>
        <v>5.3751451386146847E-6</v>
      </c>
      <c r="U35">
        <f t="shared" si="5"/>
        <v>1.0899599198714025E-3</v>
      </c>
      <c r="AG35">
        <f t="shared" si="6"/>
        <v>3.0219201650390697E-13</v>
      </c>
      <c r="AH35">
        <f t="shared" si="7"/>
        <v>6.9012725628661</v>
      </c>
      <c r="AI35">
        <f t="shared" si="8"/>
        <v>7.6207772837098702</v>
      </c>
    </row>
    <row r="36" spans="11:35" x14ac:dyDescent="0.25">
      <c r="K36">
        <v>32</v>
      </c>
      <c r="L36">
        <f t="shared" si="9"/>
        <v>6.9007726218587102</v>
      </c>
      <c r="M36">
        <f t="shared" si="9"/>
        <v>7.619907148360153</v>
      </c>
      <c r="N36">
        <f t="shared" si="0"/>
        <v>2.3657665283976625E-10</v>
      </c>
      <c r="O36">
        <f t="shared" si="1"/>
        <v>-2.5204559688425106E-3</v>
      </c>
      <c r="P36" s="2">
        <f t="shared" si="2"/>
        <v>3.0837855159154031E-2</v>
      </c>
      <c r="Q36">
        <f t="shared" si="3"/>
        <v>4.7588175977763255E-6</v>
      </c>
      <c r="R36">
        <f t="shared" si="10"/>
        <v>6.1632784303037611E-7</v>
      </c>
      <c r="S36">
        <f t="shared" si="11"/>
        <v>9.8405631266730448E-5</v>
      </c>
      <c r="T36">
        <f t="shared" si="4"/>
        <v>4.7588172955843086E-6</v>
      </c>
      <c r="U36">
        <f t="shared" si="5"/>
        <v>1.0035320312263625E-3</v>
      </c>
      <c r="AG36">
        <f t="shared" si="6"/>
        <v>3.0219201650390697E-13</v>
      </c>
      <c r="AH36">
        <f t="shared" si="7"/>
        <v>6.9012725628661</v>
      </c>
      <c r="AI36">
        <f t="shared" si="8"/>
        <v>7.6207772837098702</v>
      </c>
    </row>
    <row r="37" spans="11:35" x14ac:dyDescent="0.25">
      <c r="K37">
        <v>33</v>
      </c>
      <c r="L37">
        <f t="shared" si="9"/>
        <v>6.9007726218514147</v>
      </c>
      <c r="M37">
        <f t="shared" si="9"/>
        <v>7.6199848738162554</v>
      </c>
      <c r="N37">
        <f t="shared" si="0"/>
        <v>1.0930543274700107E-10</v>
      </c>
      <c r="O37">
        <f t="shared" si="1"/>
        <v>-1.990776211091813E-3</v>
      </c>
      <c r="P37" s="2">
        <f t="shared" si="2"/>
        <v>3.0837855159154031E-2</v>
      </c>
      <c r="Q37">
        <f t="shared" si="3"/>
        <v>4.3186589931520192E-6</v>
      </c>
      <c r="R37">
        <f t="shared" si="10"/>
        <v>4.4015860462430628E-7</v>
      </c>
      <c r="S37">
        <f t="shared" si="11"/>
        <v>7.7725456102406893E-5</v>
      </c>
      <c r="T37">
        <f t="shared" si="4"/>
        <v>4.3186586909600023E-6</v>
      </c>
      <c r="U37">
        <f t="shared" si="5"/>
        <v>9.3693887616166829E-4</v>
      </c>
      <c r="AG37">
        <f t="shared" si="6"/>
        <v>3.0219201650390697E-13</v>
      </c>
      <c r="AH37">
        <f t="shared" si="7"/>
        <v>6.9012725628661</v>
      </c>
      <c r="AI37">
        <f t="shared" si="8"/>
        <v>7.6207772837098702</v>
      </c>
    </row>
    <row r="38" spans="11:35" x14ac:dyDescent="0.25">
      <c r="K38">
        <v>34</v>
      </c>
      <c r="L38">
        <f t="shared" si="9"/>
        <v>6.9007726218480441</v>
      </c>
      <c r="M38">
        <f t="shared" si="9"/>
        <v>7.6200462650847074</v>
      </c>
      <c r="N38">
        <f t="shared" si="0"/>
        <v>5.0504083676087587E-11</v>
      </c>
      <c r="O38">
        <f t="shared" si="1"/>
        <v>-1.5724099018765555E-3</v>
      </c>
      <c r="P38" s="2">
        <f t="shared" si="2"/>
        <v>3.0837855159154031E-2</v>
      </c>
      <c r="Q38">
        <f t="shared" si="3"/>
        <v>4.0001016103423527E-6</v>
      </c>
      <c r="R38">
        <f t="shared" si="10"/>
        <v>3.1855738280966651E-7</v>
      </c>
      <c r="S38">
        <f t="shared" si="11"/>
        <v>6.1391268451949183E-5</v>
      </c>
      <c r="T38">
        <f t="shared" si="4"/>
        <v>4.0001013081503358E-6</v>
      </c>
      <c r="U38">
        <f t="shared" si="5"/>
        <v>8.8562365137212994E-4</v>
      </c>
      <c r="AG38">
        <f t="shared" si="6"/>
        <v>3.0219201650390697E-13</v>
      </c>
      <c r="AH38">
        <f t="shared" si="7"/>
        <v>6.9012725628661</v>
      </c>
      <c r="AI38">
        <f t="shared" si="8"/>
        <v>7.6207772837098702</v>
      </c>
    </row>
    <row r="39" spans="11:35" x14ac:dyDescent="0.25">
      <c r="K39">
        <v>35</v>
      </c>
      <c r="L39">
        <f t="shared" si="9"/>
        <v>6.9007726218464862</v>
      </c>
      <c r="M39">
        <f t="shared" si="9"/>
        <v>7.6200947548335121</v>
      </c>
      <c r="N39">
        <f t="shared" si="0"/>
        <v>2.3326859192228594E-11</v>
      </c>
      <c r="O39">
        <f t="shared" si="1"/>
        <v>-1.2419642578341474E-3</v>
      </c>
      <c r="P39" s="2">
        <f t="shared" si="2"/>
        <v>3.0837855159154031E-2</v>
      </c>
      <c r="Q39">
        <f t="shared" si="3"/>
        <v>3.7666446538864206E-6</v>
      </c>
      <c r="R39">
        <f t="shared" si="10"/>
        <v>2.334569564559321E-7</v>
      </c>
      <c r="S39">
        <f t="shared" si="11"/>
        <v>4.8489748804669857E-5</v>
      </c>
      <c r="T39">
        <f t="shared" si="4"/>
        <v>3.7666443516944041E-6</v>
      </c>
      <c r="U39">
        <f t="shared" si="5"/>
        <v>8.4604177801995582E-4</v>
      </c>
      <c r="AG39">
        <f t="shared" si="6"/>
        <v>3.0219201650390697E-13</v>
      </c>
      <c r="AH39">
        <f t="shared" si="7"/>
        <v>6.9012725628661</v>
      </c>
      <c r="AI39">
        <f t="shared" si="8"/>
        <v>7.6207772837098702</v>
      </c>
    </row>
    <row r="40" spans="11:35" x14ac:dyDescent="0.25">
      <c r="K40">
        <v>36</v>
      </c>
      <c r="L40">
        <f t="shared" si="9"/>
        <v>6.9007726218457668</v>
      </c>
      <c r="M40">
        <f t="shared" si="9"/>
        <v>7.6201330543474084</v>
      </c>
      <c r="N40">
        <f t="shared" si="0"/>
        <v>1.0776374130343994E-11</v>
      </c>
      <c r="O40">
        <f t="shared" si="1"/>
        <v>-9.809625441117957E-4</v>
      </c>
      <c r="P40" s="2">
        <f t="shared" si="2"/>
        <v>3.0837855159154031E-2</v>
      </c>
      <c r="Q40">
        <f t="shared" si="3"/>
        <v>3.5935752953296708E-6</v>
      </c>
      <c r="R40">
        <f t="shared" si="10"/>
        <v>1.7306935855674978E-7</v>
      </c>
      <c r="S40">
        <f t="shared" si="11"/>
        <v>3.8299513896333799E-5</v>
      </c>
      <c r="T40">
        <f t="shared" si="4"/>
        <v>3.5935749931376543E-6</v>
      </c>
      <c r="U40">
        <f t="shared" si="5"/>
        <v>8.1545845710848455E-4</v>
      </c>
      <c r="AG40">
        <f t="shared" si="6"/>
        <v>3.0219201650390697E-13</v>
      </c>
      <c r="AH40">
        <f t="shared" si="7"/>
        <v>6.9012725628661</v>
      </c>
      <c r="AI40">
        <f t="shared" si="8"/>
        <v>7.6207772837098702</v>
      </c>
    </row>
    <row r="41" spans="11:35" x14ac:dyDescent="0.25">
      <c r="K41">
        <v>37</v>
      </c>
      <c r="L41">
        <f t="shared" si="9"/>
        <v>6.9007726218454346</v>
      </c>
      <c r="M41">
        <f t="shared" si="9"/>
        <v>7.6201633051282602</v>
      </c>
      <c r="N41">
        <f t="shared" si="0"/>
        <v>4.9814583610429536E-12</v>
      </c>
      <c r="O41">
        <f t="shared" si="1"/>
        <v>-7.7481095521331189E-4</v>
      </c>
      <c r="P41" s="2">
        <f t="shared" si="2"/>
        <v>3.0837855159154031E-2</v>
      </c>
      <c r="Q41">
        <f t="shared" si="3"/>
        <v>3.4639427441011218E-6</v>
      </c>
      <c r="R41">
        <f t="shared" si="10"/>
        <v>1.2963255122854899E-7</v>
      </c>
      <c r="S41">
        <f t="shared" si="11"/>
        <v>3.0250780851837081E-5</v>
      </c>
      <c r="T41">
        <f t="shared" si="4"/>
        <v>3.4639424419091053E-6</v>
      </c>
      <c r="U41">
        <f t="shared" si="5"/>
        <v>7.9177694006565737E-4</v>
      </c>
      <c r="AG41">
        <f t="shared" si="6"/>
        <v>3.0219201650390697E-13</v>
      </c>
      <c r="AH41">
        <f t="shared" si="7"/>
        <v>6.9012725628661</v>
      </c>
      <c r="AI41">
        <f t="shared" si="8"/>
        <v>7.6207772837098702</v>
      </c>
    </row>
    <row r="42" spans="11:35" x14ac:dyDescent="0.25">
      <c r="K42">
        <v>38</v>
      </c>
      <c r="L42">
        <f t="shared" si="9"/>
        <v>6.900772621845281</v>
      </c>
      <c r="M42">
        <f t="shared" si="9"/>
        <v>7.6201871986362733</v>
      </c>
      <c r="N42">
        <f t="shared" si="0"/>
        <v>2.3009226495689442E-12</v>
      </c>
      <c r="O42">
        <f t="shared" si="1"/>
        <v>-6.1198260822394436E-4</v>
      </c>
      <c r="P42" s="2">
        <f t="shared" si="2"/>
        <v>3.0837855159154031E-2</v>
      </c>
      <c r="Q42">
        <f t="shared" si="3"/>
        <v>3.3659608903865171E-6</v>
      </c>
      <c r="R42">
        <f t="shared" si="10"/>
        <v>9.7981853714604726E-8</v>
      </c>
      <c r="S42">
        <f t="shared" si="11"/>
        <v>2.3893508013017595E-5</v>
      </c>
      <c r="T42">
        <f t="shared" si="4"/>
        <v>3.3659605881945006E-6</v>
      </c>
      <c r="U42">
        <f t="shared" si="5"/>
        <v>7.7339602945677435E-4</v>
      </c>
      <c r="AG42">
        <f t="shared" si="6"/>
        <v>3.0219201650390697E-13</v>
      </c>
      <c r="AH42">
        <f t="shared" si="7"/>
        <v>6.9012725628661</v>
      </c>
      <c r="AI42">
        <f t="shared" si="8"/>
        <v>7.6207772837098702</v>
      </c>
    </row>
    <row r="43" spans="11:35" x14ac:dyDescent="0.25">
      <c r="K43">
        <v>39</v>
      </c>
      <c r="L43">
        <f t="shared" si="9"/>
        <v>6.9007726218452099</v>
      </c>
      <c r="M43">
        <f t="shared" si="9"/>
        <v>7.6202060708673054</v>
      </c>
      <c r="N43">
        <f t="shared" si="0"/>
        <v>1.061367858293423E-12</v>
      </c>
      <c r="O43">
        <f t="shared" si="1"/>
        <v>-4.8337302183375165E-4</v>
      </c>
      <c r="P43" s="2">
        <f t="shared" si="2"/>
        <v>3.0837855159154031E-2</v>
      </c>
      <c r="Q43">
        <f t="shared" si="3"/>
        <v>3.2913201955547988E-6</v>
      </c>
      <c r="R43">
        <f t="shared" si="10"/>
        <v>7.4640694831718289E-8</v>
      </c>
      <c r="S43">
        <f t="shared" si="11"/>
        <v>1.8872231032140974E-5</v>
      </c>
      <c r="T43">
        <f t="shared" si="4"/>
        <v>3.2913198933627823E-6</v>
      </c>
      <c r="U43">
        <f t="shared" si="5"/>
        <v>7.5909494523386338E-4</v>
      </c>
      <c r="AG43">
        <f t="shared" si="6"/>
        <v>3.0219201650390697E-13</v>
      </c>
      <c r="AH43">
        <f t="shared" si="7"/>
        <v>6.9012725628661</v>
      </c>
      <c r="AI43">
        <f t="shared" si="8"/>
        <v>7.6207772837098702</v>
      </c>
    </row>
    <row r="44" spans="11:35" x14ac:dyDescent="0.25">
      <c r="K44">
        <v>40</v>
      </c>
      <c r="L44">
        <f t="shared" si="9"/>
        <v>6.900772621845177</v>
      </c>
      <c r="M44">
        <f t="shared" si="9"/>
        <v>7.6202209770545402</v>
      </c>
      <c r="N44">
        <f t="shared" si="0"/>
        <v>4.8807393673508392E-13</v>
      </c>
      <c r="O44">
        <f t="shared" si="1"/>
        <v>-3.8179104291176385E-4</v>
      </c>
      <c r="P44" s="2">
        <f t="shared" si="2"/>
        <v>3.0837855159154031E-2</v>
      </c>
      <c r="Q44">
        <f t="shared" si="3"/>
        <v>3.2340810576115107E-6</v>
      </c>
      <c r="R44">
        <f t="shared" si="10"/>
        <v>5.7239137943288125E-8</v>
      </c>
      <c r="S44">
        <f t="shared" si="11"/>
        <v>1.4906187234764445E-5</v>
      </c>
      <c r="T44">
        <f t="shared" si="4"/>
        <v>3.2340807554194942E-6</v>
      </c>
      <c r="U44">
        <f t="shared" si="5"/>
        <v>7.4794259082231254E-4</v>
      </c>
      <c r="AG44">
        <f t="shared" si="6"/>
        <v>3.0219201650390697E-13</v>
      </c>
      <c r="AH44">
        <f t="shared" si="7"/>
        <v>6.9012725628661</v>
      </c>
      <c r="AI44">
        <f t="shared" si="8"/>
        <v>7.6207772837098702</v>
      </c>
    </row>
    <row r="45" spans="11:35" x14ac:dyDescent="0.25">
      <c r="K45">
        <v>41</v>
      </c>
      <c r="L45">
        <f t="shared" si="9"/>
        <v>6.9007726218451619</v>
      </c>
      <c r="M45">
        <f t="shared" si="9"/>
        <v>7.6202327506714225</v>
      </c>
      <c r="N45">
        <f t="shared" si="0"/>
        <v>2.2466913651209876E-13</v>
      </c>
      <c r="O45">
        <f t="shared" si="1"/>
        <v>-3.015567560925528E-4</v>
      </c>
      <c r="P45" s="2">
        <f t="shared" si="2"/>
        <v>3.0837855159154031E-2</v>
      </c>
      <c r="Q45">
        <f t="shared" si="3"/>
        <v>3.1899411767421838E-6</v>
      </c>
      <c r="R45">
        <f t="shared" si="10"/>
        <v>4.4139880869326813E-8</v>
      </c>
      <c r="S45">
        <f t="shared" si="11"/>
        <v>1.1773616882315707E-5</v>
      </c>
      <c r="T45">
        <f t="shared" si="4"/>
        <v>3.1899408745501674E-6</v>
      </c>
      <c r="U45">
        <f t="shared" si="5"/>
        <v>7.39227471335925E-4</v>
      </c>
      <c r="AG45">
        <f t="shared" si="6"/>
        <v>3.0219201650390697E-13</v>
      </c>
      <c r="AH45">
        <f t="shared" si="7"/>
        <v>6.9012725628661</v>
      </c>
      <c r="AI45">
        <f t="shared" si="8"/>
        <v>7.6207772837098702</v>
      </c>
    </row>
    <row r="46" spans="11:35" x14ac:dyDescent="0.25">
      <c r="K46" s="2">
        <v>42</v>
      </c>
      <c r="L46">
        <f t="shared" si="9"/>
        <v>6.9007726218451548</v>
      </c>
      <c r="M46">
        <f t="shared" si="9"/>
        <v>7.6202420500349888</v>
      </c>
      <c r="N46">
        <f t="shared" si="0"/>
        <v>1.0071391149443082E-13</v>
      </c>
      <c r="O46">
        <f t="shared" si="1"/>
        <v>-2.3818389360915943E-4</v>
      </c>
      <c r="P46" s="2">
        <f t="shared" si="2"/>
        <v>3.0837855159154031E-2</v>
      </c>
      <c r="Q46">
        <f t="shared" si="3"/>
        <v>3.1557451232959199E-6</v>
      </c>
      <c r="R46">
        <f t="shared" si="10"/>
        <v>3.4196053446263971E-8</v>
      </c>
      <c r="S46" s="2">
        <f t="shared" si="11"/>
        <v>9.2993635663063401E-6</v>
      </c>
      <c r="T46">
        <f t="shared" si="4"/>
        <v>3.1557448211039034E-6</v>
      </c>
      <c r="U46">
        <f t="shared" si="5"/>
        <v>7.3240433583558707E-4</v>
      </c>
      <c r="AG46">
        <f t="shared" si="6"/>
        <v>3.0219201650390697E-13</v>
      </c>
      <c r="AH46">
        <f t="shared" si="7"/>
        <v>6.9012725628661</v>
      </c>
      <c r="AI46">
        <f t="shared" si="8"/>
        <v>7.6207772837098702</v>
      </c>
    </row>
    <row r="47" spans="11:35" x14ac:dyDescent="0.25">
      <c r="K47">
        <v>43</v>
      </c>
      <c r="L47">
        <f t="shared" si="9"/>
        <v>6.9007726218451522</v>
      </c>
      <c r="M47">
        <f t="shared" si="9"/>
        <v>7.6202493951154011</v>
      </c>
      <c r="N47">
        <f t="shared" si="0"/>
        <v>5.4230860931482952E-14</v>
      </c>
      <c r="O47">
        <f t="shared" si="1"/>
        <v>-1.8812898742322145E-4</v>
      </c>
      <c r="P47" s="2">
        <f t="shared" si="2"/>
        <v>3.0837855159154031E-2</v>
      </c>
      <c r="Q47">
        <f t="shared" si="3"/>
        <v>3.1291520190301948E-6</v>
      </c>
      <c r="R47">
        <f t="shared" si="10"/>
        <v>2.65931042657251E-8</v>
      </c>
      <c r="S47">
        <f t="shared" si="11"/>
        <v>7.3450804123353919E-6</v>
      </c>
      <c r="T47">
        <f t="shared" si="4"/>
        <v>3.1291517168381783E-6</v>
      </c>
      <c r="U47">
        <f t="shared" si="5"/>
        <v>7.2705391312949288E-4</v>
      </c>
      <c r="AG47">
        <f t="shared" si="6"/>
        <v>3.0219201650390697E-13</v>
      </c>
      <c r="AH47">
        <f t="shared" si="7"/>
        <v>6.9012725628661</v>
      </c>
      <c r="AI47">
        <f t="shared" si="8"/>
        <v>7.6207772837098702</v>
      </c>
    </row>
    <row r="48" spans="11:35" x14ac:dyDescent="0.25">
      <c r="K48">
        <v>44</v>
      </c>
      <c r="L48">
        <f t="shared" si="9"/>
        <v>6.9007726218451504</v>
      </c>
      <c r="M48">
        <f t="shared" si="9"/>
        <v>7.6202551966098664</v>
      </c>
      <c r="N48">
        <f t="shared" si="0"/>
        <v>2.324131352323712E-14</v>
      </c>
      <c r="O48">
        <f t="shared" si="1"/>
        <v>-1.4859323765663781E-4</v>
      </c>
      <c r="P48" s="2">
        <f t="shared" si="2"/>
        <v>3.0837855159154031E-2</v>
      </c>
      <c r="Q48">
        <f t="shared" si="3"/>
        <v>3.1084073980998301E-6</v>
      </c>
      <c r="R48">
        <f t="shared" si="10"/>
        <v>2.074462093036462E-8</v>
      </c>
      <c r="S48">
        <f t="shared" si="11"/>
        <v>5.8014944652740041E-6</v>
      </c>
      <c r="T48">
        <f t="shared" si="4"/>
        <v>3.1084070959078137E-6</v>
      </c>
      <c r="U48">
        <f t="shared" si="5"/>
        <v>7.2285265747490184E-4</v>
      </c>
      <c r="AG48">
        <f t="shared" si="6"/>
        <v>3.0219201650390697E-13</v>
      </c>
      <c r="AH48">
        <f t="shared" si="7"/>
        <v>6.9012725628661</v>
      </c>
      <c r="AI48">
        <f t="shared" si="8"/>
        <v>7.6207772837098702</v>
      </c>
    </row>
    <row r="49" spans="11:35" x14ac:dyDescent="0.25">
      <c r="K49">
        <v>45</v>
      </c>
      <c r="L49">
        <f t="shared" si="9"/>
        <v>6.9007726218451495</v>
      </c>
      <c r="M49">
        <f t="shared" si="9"/>
        <v>7.6202597789066067</v>
      </c>
      <c r="N49">
        <f t="shared" si="0"/>
        <v>7.7473868520614581E-15</v>
      </c>
      <c r="O49">
        <f t="shared" si="1"/>
        <v>-1.1736601881430159E-4</v>
      </c>
      <c r="P49" s="2">
        <f t="shared" si="2"/>
        <v>3.0837855159154031E-2</v>
      </c>
      <c r="Q49">
        <f t="shared" si="3"/>
        <v>3.0921844365694231E-6</v>
      </c>
      <c r="R49">
        <f t="shared" si="10"/>
        <v>1.6222961530407072E-8</v>
      </c>
      <c r="S49">
        <f t="shared" si="11"/>
        <v>4.5822967402742165E-6</v>
      </c>
      <c r="T49">
        <f t="shared" si="4"/>
        <v>3.0921841343774066E-6</v>
      </c>
      <c r="U49">
        <f t="shared" si="5"/>
        <v>7.1955003010899712E-4</v>
      </c>
      <c r="AG49">
        <f t="shared" si="6"/>
        <v>3.0219201650390697E-13</v>
      </c>
      <c r="AH49">
        <f t="shared" si="7"/>
        <v>6.9012725628661</v>
      </c>
      <c r="AI49">
        <f t="shared" si="8"/>
        <v>7.6207772837098702</v>
      </c>
    </row>
    <row r="50" spans="11:35" x14ac:dyDescent="0.25">
      <c r="K50">
        <v>46</v>
      </c>
      <c r="L50">
        <f t="shared" si="9"/>
        <v>6.9007726218451495</v>
      </c>
      <c r="M50">
        <f t="shared" si="9"/>
        <v>7.6202633982228951</v>
      </c>
      <c r="N50">
        <f t="shared" si="0"/>
        <v>7.7469633355878309E-15</v>
      </c>
      <c r="O50">
        <f t="shared" si="1"/>
        <v>-9.2701273555507747E-5</v>
      </c>
      <c r="P50" s="2">
        <f t="shared" si="2"/>
        <v>3.0837855159154031E-2</v>
      </c>
      <c r="Q50">
        <f t="shared" si="3"/>
        <v>3.0794719139535541E-6</v>
      </c>
      <c r="R50">
        <f t="shared" si="10"/>
        <v>1.2712522615868976E-8</v>
      </c>
      <c r="S50">
        <f t="shared" si="11"/>
        <v>3.6193162884501362E-6</v>
      </c>
      <c r="T50">
        <f t="shared" si="4"/>
        <v>3.0794716117615376E-6</v>
      </c>
      <c r="U50">
        <f t="shared" si="5"/>
        <v>7.1695140571216456E-4</v>
      </c>
      <c r="AG50">
        <f t="shared" si="6"/>
        <v>3.0219201650390697E-13</v>
      </c>
      <c r="AH50">
        <f t="shared" si="7"/>
        <v>6.9012725628661</v>
      </c>
      <c r="AI50">
        <f t="shared" si="8"/>
        <v>7.6207772837098702</v>
      </c>
    </row>
    <row r="51" spans="11:35" x14ac:dyDescent="0.25">
      <c r="K51">
        <v>47</v>
      </c>
      <c r="L51">
        <f t="shared" si="9"/>
        <v>6.9007726218451495</v>
      </c>
      <c r="M51">
        <f t="shared" si="9"/>
        <v>7.620266256931342</v>
      </c>
      <c r="N51">
        <f t="shared" si="0"/>
        <v>7.7473868520614581E-15</v>
      </c>
      <c r="O51">
        <f t="shared" si="1"/>
        <v>-7.3219882598946637E-5</v>
      </c>
      <c r="P51" s="2">
        <f t="shared" si="2"/>
        <v>3.0837855159154031E-2</v>
      </c>
      <c r="Q51">
        <f t="shared" si="3"/>
        <v>3.0694940583699682E-6</v>
      </c>
      <c r="R51">
        <f t="shared" si="10"/>
        <v>9.9778555835859428E-9</v>
      </c>
      <c r="S51">
        <f t="shared" si="11"/>
        <v>2.8587084468512103E-6</v>
      </c>
      <c r="T51">
        <f t="shared" si="4"/>
        <v>3.0694937561779517E-6</v>
      </c>
      <c r="U51">
        <f t="shared" si="5"/>
        <v>7.1490516350210622E-4</v>
      </c>
      <c r="AG51">
        <f t="shared" si="6"/>
        <v>3.0219201650390697E-13</v>
      </c>
      <c r="AH51">
        <f t="shared" si="7"/>
        <v>6.9012725628661</v>
      </c>
      <c r="AI51">
        <f t="shared" si="8"/>
        <v>7.6207772837098702</v>
      </c>
    </row>
    <row r="52" spans="11:35" x14ac:dyDescent="0.25">
      <c r="K52">
        <v>48</v>
      </c>
      <c r="L52">
        <f t="shared" si="9"/>
        <v>6.9007726218451495</v>
      </c>
      <c r="M52">
        <f t="shared" si="9"/>
        <v>7.6202685148754767</v>
      </c>
      <c r="N52">
        <f t="shared" si="0"/>
        <v>7.7473868520614581E-15</v>
      </c>
      <c r="O52">
        <f t="shared" si="1"/>
        <v>-5.7832551828614343E-5</v>
      </c>
      <c r="P52" s="2">
        <f t="shared" si="2"/>
        <v>3.0837855159154031E-2</v>
      </c>
      <c r="Q52">
        <f t="shared" si="3"/>
        <v>3.0616524384469703E-6</v>
      </c>
      <c r="R52">
        <f t="shared" si="10"/>
        <v>7.8416199229978722E-9</v>
      </c>
      <c r="S52">
        <f t="shared" si="11"/>
        <v>2.2579441347758689E-6</v>
      </c>
      <c r="T52">
        <f t="shared" si="4"/>
        <v>3.0616521362549538E-6</v>
      </c>
      <c r="U52">
        <f t="shared" si="5"/>
        <v>7.1329289305243097E-4</v>
      </c>
      <c r="AG52">
        <f t="shared" si="6"/>
        <v>3.0219201650390697E-13</v>
      </c>
      <c r="AH52">
        <f t="shared" si="7"/>
        <v>6.9012725628661</v>
      </c>
      <c r="AI52">
        <f t="shared" si="8"/>
        <v>7.6207772837098702</v>
      </c>
    </row>
    <row r="53" spans="11:35" x14ac:dyDescent="0.25">
      <c r="K53">
        <v>49</v>
      </c>
      <c r="L53">
        <f t="shared" si="9"/>
        <v>6.9007726218451495</v>
      </c>
      <c r="M53">
        <f t="shared" si="9"/>
        <v>7.6202702983073332</v>
      </c>
      <c r="N53">
        <f t="shared" si="0"/>
        <v>7.7478103685350852E-15</v>
      </c>
      <c r="O53">
        <f t="shared" si="1"/>
        <v>-4.5678904863491182E-5</v>
      </c>
      <c r="P53" s="2">
        <f t="shared" si="2"/>
        <v>3.0837855159154031E-2</v>
      </c>
      <c r="Q53">
        <f t="shared" si="3"/>
        <v>3.0554833121497243E-6</v>
      </c>
      <c r="R53">
        <f t="shared" si="10"/>
        <v>6.1691262972459512E-9</v>
      </c>
      <c r="S53">
        <f t="shared" si="11"/>
        <v>1.7834318564169394E-6</v>
      </c>
      <c r="T53">
        <f t="shared" si="4"/>
        <v>3.0554830099577079E-6</v>
      </c>
      <c r="U53">
        <f t="shared" si="5"/>
        <v>7.1202192579630189E-4</v>
      </c>
      <c r="AG53">
        <f t="shared" si="6"/>
        <v>3.0219201650390697E-13</v>
      </c>
      <c r="AH53">
        <f t="shared" si="7"/>
        <v>6.9012725628661</v>
      </c>
      <c r="AI53">
        <f t="shared" si="8"/>
        <v>7.6207772837098702</v>
      </c>
    </row>
    <row r="54" spans="11:35" x14ac:dyDescent="0.25">
      <c r="K54">
        <v>50</v>
      </c>
      <c r="L54">
        <f t="shared" si="9"/>
        <v>6.9007726218451495</v>
      </c>
      <c r="M54">
        <f t="shared" si="9"/>
        <v>7.6202717069467854</v>
      </c>
      <c r="N54">
        <f t="shared" si="0"/>
        <v>7.7473868520614581E-15</v>
      </c>
      <c r="O54">
        <f t="shared" si="1"/>
        <v>-3.6079375427303765E-5</v>
      </c>
      <c r="P54" s="2">
        <f t="shared" si="2"/>
        <v>3.0837855159154031E-2</v>
      </c>
      <c r="Q54">
        <f t="shared" si="3"/>
        <v>3.05062596346205E-6</v>
      </c>
      <c r="R54">
        <f t="shared" si="10"/>
        <v>4.8573486876743062E-9</v>
      </c>
      <c r="S54">
        <f t="shared" si="11"/>
        <v>1.4086394521939383E-6</v>
      </c>
      <c r="T54">
        <f t="shared" si="4"/>
        <v>3.0506256612700336E-6</v>
      </c>
      <c r="U54">
        <f t="shared" si="5"/>
        <v>7.1101961140349751E-4</v>
      </c>
      <c r="AG54">
        <f t="shared" si="6"/>
        <v>3.0219201650390697E-13</v>
      </c>
      <c r="AH54">
        <f t="shared" si="7"/>
        <v>6.9012725628661</v>
      </c>
      <c r="AI54">
        <f t="shared" si="8"/>
        <v>7.6207772837098702</v>
      </c>
    </row>
    <row r="55" spans="11:35" x14ac:dyDescent="0.25">
      <c r="K55">
        <v>51</v>
      </c>
      <c r="L55">
        <f t="shared" si="9"/>
        <v>6.9007726218451495</v>
      </c>
      <c r="M55">
        <f t="shared" si="9"/>
        <v>7.6202728195573393</v>
      </c>
      <c r="N55">
        <f t="shared" si="0"/>
        <v>7.7473868520614581E-15</v>
      </c>
      <c r="O55">
        <f t="shared" si="1"/>
        <v>-2.8497209709424144E-5</v>
      </c>
      <c r="P55" s="2">
        <f t="shared" si="2"/>
        <v>3.0837855159154031E-2</v>
      </c>
      <c r="Q55">
        <f t="shared" si="3"/>
        <v>3.046798956308031E-6</v>
      </c>
      <c r="R55">
        <f t="shared" si="10"/>
        <v>3.8270071540190687E-9</v>
      </c>
      <c r="S55">
        <f t="shared" si="11"/>
        <v>1.1126105539105424E-6</v>
      </c>
      <c r="T55">
        <f t="shared" si="4"/>
        <v>3.0467986541160145E-6</v>
      </c>
      <c r="U55">
        <f t="shared" si="5"/>
        <v>7.1022891071666813E-4</v>
      </c>
      <c r="AG55">
        <f t="shared" si="6"/>
        <v>3.0219201650390697E-13</v>
      </c>
      <c r="AH55">
        <f t="shared" si="7"/>
        <v>6.9012725628661</v>
      </c>
      <c r="AI55">
        <f t="shared" si="8"/>
        <v>7.6207772837098702</v>
      </c>
    </row>
    <row r="56" spans="11:35" x14ac:dyDescent="0.25">
      <c r="K56">
        <v>52</v>
      </c>
      <c r="L56">
        <f t="shared" si="9"/>
        <v>6.9007726218451495</v>
      </c>
      <c r="M56">
        <f t="shared" si="9"/>
        <v>7.6202736983501644</v>
      </c>
      <c r="N56">
        <f t="shared" si="0"/>
        <v>7.7473868520614581E-15</v>
      </c>
      <c r="O56">
        <f t="shared" si="1"/>
        <v>-2.2508453977464858E-5</v>
      </c>
      <c r="P56" s="2">
        <f t="shared" si="2"/>
        <v>3.0837855159154031E-2</v>
      </c>
      <c r="Q56">
        <f t="shared" si="3"/>
        <v>3.0437821667364057E-6</v>
      </c>
      <c r="R56">
        <f t="shared" si="10"/>
        <v>3.0167895716253018E-9</v>
      </c>
      <c r="S56">
        <f t="shared" si="11"/>
        <v>8.7879282517633328E-7</v>
      </c>
      <c r="T56">
        <f t="shared" si="4"/>
        <v>3.0437818645443892E-6</v>
      </c>
      <c r="U56">
        <f t="shared" si="5"/>
        <v>7.09604987960914E-4</v>
      </c>
      <c r="AG56">
        <f t="shared" si="6"/>
        <v>3.0219201650390697E-13</v>
      </c>
      <c r="AH56">
        <f t="shared" si="7"/>
        <v>6.9012725628661</v>
      </c>
      <c r="AI56">
        <f t="shared" si="8"/>
        <v>7.6207772837098702</v>
      </c>
    </row>
    <row r="57" spans="11:35" x14ac:dyDescent="0.25">
      <c r="K57">
        <v>53</v>
      </c>
      <c r="L57">
        <f t="shared" si="9"/>
        <v>6.9007726218451495</v>
      </c>
      <c r="M57">
        <f t="shared" si="9"/>
        <v>7.6202743924626084</v>
      </c>
      <c r="N57">
        <f t="shared" si="0"/>
        <v>7.7478103685350852E-15</v>
      </c>
      <c r="O57">
        <f t="shared" si="1"/>
        <v>-1.7778249362294036E-5</v>
      </c>
      <c r="P57" s="2">
        <f t="shared" si="2"/>
        <v>3.0837855159154031E-2</v>
      </c>
      <c r="Q57">
        <f t="shared" si="3"/>
        <v>3.0414030826777629E-6</v>
      </c>
      <c r="R57">
        <f t="shared" si="10"/>
        <v>2.3790840586427491E-9</v>
      </c>
      <c r="S57">
        <f t="shared" si="11"/>
        <v>6.9411244396633265E-7</v>
      </c>
      <c r="T57">
        <f t="shared" si="4"/>
        <v>3.0414027804857464E-6</v>
      </c>
      <c r="U57">
        <f t="shared" si="5"/>
        <v>7.0911256581839791E-4</v>
      </c>
      <c r="AG57">
        <f t="shared" si="6"/>
        <v>3.0219201650390697E-13</v>
      </c>
      <c r="AH57">
        <f t="shared" si="7"/>
        <v>6.9012725628661</v>
      </c>
      <c r="AI57">
        <f t="shared" si="8"/>
        <v>7.6207772837098702</v>
      </c>
    </row>
    <row r="58" spans="11:35" x14ac:dyDescent="0.25">
      <c r="K58">
        <v>54</v>
      </c>
      <c r="L58">
        <f t="shared" si="9"/>
        <v>6.9007726218451495</v>
      </c>
      <c r="M58">
        <f t="shared" si="9"/>
        <v>7.6202749407056869</v>
      </c>
      <c r="N58">
        <f t="shared" si="0"/>
        <v>7.7469633355878309E-15</v>
      </c>
      <c r="O58">
        <f t="shared" si="1"/>
        <v>-1.4042108391684614E-5</v>
      </c>
      <c r="P58" s="2">
        <f t="shared" si="2"/>
        <v>3.0837855159154031E-2</v>
      </c>
      <c r="Q58">
        <f t="shared" si="3"/>
        <v>3.0395262895470116E-6</v>
      </c>
      <c r="R58">
        <f t="shared" si="10"/>
        <v>1.8767931307513155E-9</v>
      </c>
      <c r="S58">
        <f t="shared" si="11"/>
        <v>5.4824307849088427E-7</v>
      </c>
      <c r="T58">
        <f t="shared" si="4"/>
        <v>3.0395259873549951E-6</v>
      </c>
      <c r="U58">
        <f t="shared" si="5"/>
        <v>7.0872386603030029E-4</v>
      </c>
      <c r="AG58">
        <f t="shared" si="6"/>
        <v>3.0219201650390697E-13</v>
      </c>
      <c r="AH58">
        <f t="shared" si="7"/>
        <v>6.9012725628661</v>
      </c>
      <c r="AI58">
        <f t="shared" si="8"/>
        <v>7.6207772837098702</v>
      </c>
    </row>
    <row r="59" spans="11:35" x14ac:dyDescent="0.25">
      <c r="K59">
        <v>55</v>
      </c>
      <c r="L59">
        <f t="shared" si="9"/>
        <v>6.9007726218451495</v>
      </c>
      <c r="M59">
        <f t="shared" si="9"/>
        <v>7.6202753737341915</v>
      </c>
      <c r="N59">
        <f t="shared" si="0"/>
        <v>7.7473868520614581E-15</v>
      </c>
      <c r="O59">
        <f t="shared" si="1"/>
        <v>-1.1091126243461817E-5</v>
      </c>
      <c r="P59" s="2">
        <f t="shared" si="2"/>
        <v>3.0837855159154031E-2</v>
      </c>
      <c r="Q59">
        <f t="shared" si="3"/>
        <v>3.0380453567693949E-6</v>
      </c>
      <c r="R59">
        <f t="shared" si="10"/>
        <v>1.4809327776166682E-9</v>
      </c>
      <c r="S59">
        <f t="shared" si="11"/>
        <v>4.3302850460946729E-7</v>
      </c>
      <c r="T59">
        <f t="shared" si="4"/>
        <v>3.0380450545773784E-6</v>
      </c>
      <c r="U59">
        <f t="shared" si="5"/>
        <v>7.0841700157097851E-4</v>
      </c>
      <c r="AG59">
        <f t="shared" si="6"/>
        <v>3.0219201650390697E-13</v>
      </c>
      <c r="AH59">
        <f t="shared" si="7"/>
        <v>6.9012725628661</v>
      </c>
      <c r="AI59">
        <f t="shared" si="8"/>
        <v>7.6207772837098702</v>
      </c>
    </row>
    <row r="60" spans="11:35" x14ac:dyDescent="0.25">
      <c r="K60">
        <v>56</v>
      </c>
      <c r="L60">
        <f t="shared" si="9"/>
        <v>6.9007726218451495</v>
      </c>
      <c r="M60">
        <f t="shared" si="9"/>
        <v>7.6202757157607364</v>
      </c>
      <c r="N60">
        <f t="shared" si="0"/>
        <v>7.7478103685350852E-15</v>
      </c>
      <c r="O60">
        <f t="shared" si="1"/>
        <v>-8.760299941340649E-6</v>
      </c>
      <c r="P60" s="2">
        <f t="shared" si="2"/>
        <v>3.0837855159154031E-2</v>
      </c>
      <c r="Q60">
        <f t="shared" si="3"/>
        <v>3.0368765487609801E-6</v>
      </c>
      <c r="R60">
        <f t="shared" si="10"/>
        <v>1.1688080084148691E-9</v>
      </c>
      <c r="S60">
        <f t="shared" si="11"/>
        <v>3.4202654486392703E-7</v>
      </c>
      <c r="T60">
        <f t="shared" si="4"/>
        <v>3.0368762465689636E-6</v>
      </c>
      <c r="U60">
        <f t="shared" si="5"/>
        <v>7.0817471857398645E-4</v>
      </c>
      <c r="AG60">
        <f t="shared" si="6"/>
        <v>3.0219201650390697E-13</v>
      </c>
      <c r="AH60">
        <f t="shared" si="7"/>
        <v>6.9012725628661</v>
      </c>
      <c r="AI60">
        <f t="shared" si="8"/>
        <v>7.6207772837098702</v>
      </c>
    </row>
    <row r="61" spans="11:35" x14ac:dyDescent="0.25">
      <c r="K61">
        <v>57</v>
      </c>
      <c r="L61">
        <f t="shared" si="9"/>
        <v>6.9007726218451495</v>
      </c>
      <c r="M61">
        <f t="shared" si="9"/>
        <v>7.620275985909597</v>
      </c>
      <c r="N61">
        <f t="shared" si="0"/>
        <v>7.7473868520614581E-15</v>
      </c>
      <c r="O61">
        <f t="shared" si="1"/>
        <v>-6.9193022782505557E-6</v>
      </c>
      <c r="P61" s="2">
        <f t="shared" si="2"/>
        <v>3.0837855159154031E-2</v>
      </c>
      <c r="Q61">
        <f t="shared" si="3"/>
        <v>3.0359539320160979E-6</v>
      </c>
      <c r="R61">
        <f t="shared" si="10"/>
        <v>9.2261674488220094E-10</v>
      </c>
      <c r="S61">
        <f t="shared" si="11"/>
        <v>2.7014886061493826E-7</v>
      </c>
      <c r="T61">
        <f t="shared" si="4"/>
        <v>3.0359536298240814E-6</v>
      </c>
      <c r="U61">
        <f t="shared" si="5"/>
        <v>7.0798341010774608E-4</v>
      </c>
      <c r="AG61">
        <f t="shared" si="6"/>
        <v>3.0219201650390697E-13</v>
      </c>
      <c r="AH61">
        <f t="shared" si="7"/>
        <v>6.9012725628661</v>
      </c>
      <c r="AI61">
        <f t="shared" si="8"/>
        <v>7.6207772837098702</v>
      </c>
    </row>
    <row r="62" spans="11:35" x14ac:dyDescent="0.25">
      <c r="K62">
        <v>58</v>
      </c>
      <c r="L62">
        <f t="shared" si="9"/>
        <v>6.9007726218451495</v>
      </c>
      <c r="M62">
        <f t="shared" si="9"/>
        <v>7.6202761992860388</v>
      </c>
      <c r="N62">
        <f t="shared" si="0"/>
        <v>7.7473868520614581E-15</v>
      </c>
      <c r="O62">
        <f t="shared" si="1"/>
        <v>-5.465194606250642E-6</v>
      </c>
      <c r="P62" s="2">
        <f t="shared" si="2"/>
        <v>3.0837855159154031E-2</v>
      </c>
      <c r="Q62">
        <f t="shared" si="3"/>
        <v>3.0352255569001581E-6</v>
      </c>
      <c r="R62">
        <f t="shared" si="10"/>
        <v>7.2837511593971458E-10</v>
      </c>
      <c r="S62">
        <f t="shared" si="11"/>
        <v>2.1337644184882265E-7</v>
      </c>
      <c r="T62">
        <f t="shared" si="4"/>
        <v>3.0352252547081417E-6</v>
      </c>
      <c r="U62">
        <f t="shared" si="5"/>
        <v>7.0783234189703502E-4</v>
      </c>
      <c r="AG62">
        <f t="shared" si="6"/>
        <v>3.0219201650390697E-13</v>
      </c>
      <c r="AH62">
        <f t="shared" si="7"/>
        <v>6.9012725628661</v>
      </c>
      <c r="AI62">
        <f t="shared" si="8"/>
        <v>7.6207772837098702</v>
      </c>
    </row>
    <row r="63" spans="11:35" x14ac:dyDescent="0.25">
      <c r="K63">
        <v>59</v>
      </c>
      <c r="L63">
        <f t="shared" si="9"/>
        <v>6.9007726218451495</v>
      </c>
      <c r="M63">
        <f t="shared" si="9"/>
        <v>7.6202763678209182</v>
      </c>
      <c r="N63">
        <f t="shared" si="0"/>
        <v>7.7469633355878309E-15</v>
      </c>
      <c r="O63">
        <f t="shared" si="1"/>
        <v>-4.3166710907647908E-6</v>
      </c>
      <c r="P63" s="2">
        <f t="shared" si="2"/>
        <v>3.0837855159154031E-2</v>
      </c>
      <c r="Q63">
        <f t="shared" si="3"/>
        <v>3.0346504708496376E-6</v>
      </c>
      <c r="R63">
        <f t="shared" si="10"/>
        <v>5.7508605052052357E-10</v>
      </c>
      <c r="S63">
        <f t="shared" si="11"/>
        <v>1.6853487938561784E-7</v>
      </c>
      <c r="T63">
        <f t="shared" si="4"/>
        <v>3.0346501686576211E-6</v>
      </c>
      <c r="U63">
        <f t="shared" si="5"/>
        <v>7.0771304370739253E-4</v>
      </c>
      <c r="AG63">
        <f t="shared" si="6"/>
        <v>3.0219201650390697E-13</v>
      </c>
      <c r="AH63">
        <f t="shared" si="7"/>
        <v>6.9012725628661</v>
      </c>
      <c r="AI63">
        <f t="shared" si="8"/>
        <v>7.6207772837098702</v>
      </c>
    </row>
    <row r="64" spans="11:35" x14ac:dyDescent="0.25">
      <c r="K64">
        <v>60</v>
      </c>
      <c r="L64">
        <f t="shared" si="9"/>
        <v>6.9007726218451495</v>
      </c>
      <c r="M64">
        <f t="shared" si="9"/>
        <v>7.6202765009377957</v>
      </c>
      <c r="N64">
        <f t="shared" si="0"/>
        <v>7.7473868520614581E-15</v>
      </c>
      <c r="O64">
        <f t="shared" si="1"/>
        <v>-3.4095124972536881E-6</v>
      </c>
      <c r="P64" s="2">
        <f t="shared" si="2"/>
        <v>3.0837855159154031E-2</v>
      </c>
      <c r="Q64">
        <f t="shared" si="3"/>
        <v>3.0341963773101648E-6</v>
      </c>
      <c r="R64">
        <f t="shared" si="10"/>
        <v>4.5409353947280107E-10</v>
      </c>
      <c r="S64">
        <f t="shared" si="11"/>
        <v>1.3311687752093349E-7</v>
      </c>
      <c r="T64">
        <f t="shared" si="4"/>
        <v>3.0341960751181483E-6</v>
      </c>
      <c r="U64">
        <f t="shared" si="5"/>
        <v>7.0761883046991411E-4</v>
      </c>
      <c r="AG64">
        <f t="shared" si="6"/>
        <v>3.0219201650390697E-13</v>
      </c>
      <c r="AH64">
        <f t="shared" si="7"/>
        <v>6.9012725628661</v>
      </c>
      <c r="AI64">
        <f t="shared" si="8"/>
        <v>7.6207772837098702</v>
      </c>
    </row>
    <row r="65" spans="11:35" x14ac:dyDescent="0.25">
      <c r="K65">
        <v>61</v>
      </c>
      <c r="L65">
        <f t="shared" si="9"/>
        <v>6.9007726218451495</v>
      </c>
      <c r="M65">
        <f t="shared" si="9"/>
        <v>7.6202766060798481</v>
      </c>
      <c r="N65">
        <f t="shared" si="0"/>
        <v>7.7473868520614581E-15</v>
      </c>
      <c r="O65">
        <f t="shared" si="1"/>
        <v>-2.6929954173137487E-6</v>
      </c>
      <c r="P65" s="2">
        <f t="shared" si="2"/>
        <v>3.0837855159154031E-2</v>
      </c>
      <c r="Q65">
        <f t="shared" si="3"/>
        <v>3.0338377979550913E-6</v>
      </c>
      <c r="R65">
        <f t="shared" si="10"/>
        <v>3.5857935507347673E-10</v>
      </c>
      <c r="S65">
        <f t="shared" si="11"/>
        <v>1.0514205239786634E-7</v>
      </c>
      <c r="T65">
        <f t="shared" si="4"/>
        <v>3.0338374957630749E-6</v>
      </c>
      <c r="U65">
        <f t="shared" si="5"/>
        <v>7.0754442520137015E-4</v>
      </c>
      <c r="AG65">
        <f t="shared" si="6"/>
        <v>3.0219201650390697E-13</v>
      </c>
      <c r="AH65">
        <f t="shared" si="7"/>
        <v>6.9012725628661</v>
      </c>
      <c r="AI65">
        <f t="shared" si="8"/>
        <v>7.6207772837098702</v>
      </c>
    </row>
    <row r="66" spans="11:35" x14ac:dyDescent="0.25">
      <c r="K66">
        <v>62</v>
      </c>
      <c r="L66">
        <f t="shared" si="9"/>
        <v>6.9007726218451495</v>
      </c>
      <c r="M66">
        <f t="shared" si="9"/>
        <v>7.6202766891260509</v>
      </c>
      <c r="N66">
        <f t="shared" si="0"/>
        <v>7.7473868520614581E-15</v>
      </c>
      <c r="O66">
        <f t="shared" si="1"/>
        <v>-2.1270560868956752E-6</v>
      </c>
      <c r="P66" s="2">
        <f t="shared" si="2"/>
        <v>3.0837855159154031E-2</v>
      </c>
      <c r="Q66">
        <f t="shared" si="3"/>
        <v>3.033554628146395E-6</v>
      </c>
      <c r="R66">
        <f t="shared" si="10"/>
        <v>2.831698086962965E-10</v>
      </c>
      <c r="S66">
        <f t="shared" si="11"/>
        <v>8.3046202803416236E-8</v>
      </c>
      <c r="T66">
        <f t="shared" si="4"/>
        <v>3.0335543259543786E-6</v>
      </c>
      <c r="U66">
        <f t="shared" si="5"/>
        <v>7.0748566188878011E-4</v>
      </c>
      <c r="AG66">
        <f t="shared" si="6"/>
        <v>3.0219201650390697E-13</v>
      </c>
      <c r="AH66">
        <f t="shared" si="7"/>
        <v>6.9012725628661</v>
      </c>
      <c r="AI66">
        <f t="shared" si="8"/>
        <v>7.6207772837098702</v>
      </c>
    </row>
    <row r="67" spans="11:35" x14ac:dyDescent="0.25">
      <c r="K67">
        <v>63</v>
      </c>
      <c r="L67">
        <f t="shared" si="9"/>
        <v>6.9007726218451495</v>
      </c>
      <c r="M67">
        <f t="shared" si="9"/>
        <v>7.6202767547198986</v>
      </c>
      <c r="N67">
        <f t="shared" si="0"/>
        <v>7.7473868520614581E-15</v>
      </c>
      <c r="O67">
        <f t="shared" si="1"/>
        <v>-1.6800502397138927E-6</v>
      </c>
      <c r="P67" s="2">
        <f t="shared" si="2"/>
        <v>3.0837855159154031E-2</v>
      </c>
      <c r="Q67">
        <f t="shared" si="3"/>
        <v>3.0333310003614277E-6</v>
      </c>
      <c r="R67">
        <f t="shared" si="10"/>
        <v>2.2362778496730893E-10</v>
      </c>
      <c r="S67">
        <f t="shared" si="11"/>
        <v>6.5593847686784557E-8</v>
      </c>
      <c r="T67">
        <f t="shared" si="4"/>
        <v>3.0333306981694113E-6</v>
      </c>
      <c r="U67">
        <f t="shared" si="5"/>
        <v>7.0743925126542874E-4</v>
      </c>
      <c r="AG67">
        <f t="shared" si="6"/>
        <v>3.0219201650390697E-13</v>
      </c>
      <c r="AH67">
        <f t="shared" si="7"/>
        <v>6.9012725628661</v>
      </c>
      <c r="AI67">
        <f t="shared" si="8"/>
        <v>7.6207772837098702</v>
      </c>
    </row>
    <row r="68" spans="11:35" x14ac:dyDescent="0.25">
      <c r="K68">
        <v>64</v>
      </c>
      <c r="L68">
        <f t="shared" si="9"/>
        <v>6.9007726218451495</v>
      </c>
      <c r="M68">
        <f t="shared" si="9"/>
        <v>7.6202768065290449</v>
      </c>
      <c r="N68">
        <f t="shared" si="0"/>
        <v>7.7473868520614581E-15</v>
      </c>
      <c r="O68">
        <f t="shared" si="1"/>
        <v>-1.3269837227580074E-6</v>
      </c>
      <c r="P68" s="2">
        <f t="shared" si="2"/>
        <v>3.0837855159154031E-2</v>
      </c>
      <c r="Q68">
        <f t="shared" si="3"/>
        <v>3.0331543892070187E-6</v>
      </c>
      <c r="R68">
        <f t="shared" si="10"/>
        <v>1.7661115440900484E-10</v>
      </c>
      <c r="S68">
        <f t="shared" si="11"/>
        <v>5.1809146306425191E-8</v>
      </c>
      <c r="T68">
        <f t="shared" si="4"/>
        <v>3.0331540870150023E-6</v>
      </c>
      <c r="U68">
        <f t="shared" si="5"/>
        <v>7.0740259609068017E-4</v>
      </c>
      <c r="AG68">
        <f t="shared" si="6"/>
        <v>3.0219201650390697E-13</v>
      </c>
      <c r="AH68">
        <f t="shared" si="7"/>
        <v>6.9012725628661</v>
      </c>
      <c r="AI68">
        <f t="shared" si="8"/>
        <v>7.6207772837098702</v>
      </c>
    </row>
    <row r="69" spans="11:35" x14ac:dyDescent="0.25">
      <c r="K69">
        <v>65</v>
      </c>
      <c r="L69">
        <f t="shared" si="9"/>
        <v>6.9007726218451495</v>
      </c>
      <c r="M69">
        <f t="shared" si="9"/>
        <v>7.620276847450377</v>
      </c>
      <c r="N69">
        <f t="shared" ref="N69:N104" si="18">(($B$4*(L69+$B$11-$B$6)^2+$B$5*(M69-$B$7)^2)-($B$4*(L69-$B$6)^2+$B$5*(M69-$B$7)^2))/$B$11</f>
        <v>7.7478103685350852E-15</v>
      </c>
      <c r="O69">
        <f t="shared" ref="O69:O104" si="19">(($B$4*(L69-$B$6)^2+$B$5*(M69+$B$11-$B$7)^2)-($B$4*(L69-$B$6)^2+$B$5*(M69-$B$7)^2))/$B$11</f>
        <v>-1.0481149664865235E-6</v>
      </c>
      <c r="P69" s="2">
        <f t="shared" ref="P69:P104" si="20">$B$10</f>
        <v>3.0837855159154031E-2</v>
      </c>
      <c r="Q69">
        <f t="shared" ref="Q69:Q104" si="21">$B$4*(L69-$B$6)^2+$B$5*(M69-$B$7)^2</f>
        <v>3.0330149062327817E-6</v>
      </c>
      <c r="R69">
        <f t="shared" si="10"/>
        <v>1.3948297423704679E-10</v>
      </c>
      <c r="S69">
        <f t="shared" si="11"/>
        <v>4.0921332100651853E-8</v>
      </c>
      <c r="T69">
        <f t="shared" ref="T69:T104" si="22">ABS(Q69-$F$4)</f>
        <v>3.0330146040407652E-6</v>
      </c>
      <c r="U69">
        <f t="shared" ref="U69:U104" si="23">SQRT(($F$5-L69)^2+($F$6-M69)^2)</f>
        <v>7.0737364542689787E-4</v>
      </c>
      <c r="AG69">
        <f t="shared" ref="AG69:AG103" si="24">$F$4</f>
        <v>3.0219201650390697E-13</v>
      </c>
      <c r="AH69">
        <f t="shared" ref="AH69:AH103" si="25">$F$5</f>
        <v>6.9012725628661</v>
      </c>
      <c r="AI69">
        <f t="shared" ref="AI69:AI103" si="26">$F$6</f>
        <v>7.6207772837098702</v>
      </c>
    </row>
    <row r="70" spans="11:35" x14ac:dyDescent="0.25">
      <c r="K70">
        <v>66</v>
      </c>
      <c r="L70">
        <f t="shared" ref="L70:M104" si="27">L69-$P69*N69</f>
        <v>6.9007726218451495</v>
      </c>
      <c r="M70">
        <f t="shared" si="27"/>
        <v>7.6202768797719944</v>
      </c>
      <c r="N70">
        <f t="shared" si="18"/>
        <v>7.7473868520614581E-15</v>
      </c>
      <c r="O70">
        <f t="shared" si="19"/>
        <v>-8.2785113885789756E-7</v>
      </c>
      <c r="P70" s="2">
        <f t="shared" si="20"/>
        <v>3.0837855159154031E-2</v>
      </c>
      <c r="Q70">
        <f t="shared" si="21"/>
        <v>3.0329047440018381E-6</v>
      </c>
      <c r="R70">
        <f t="shared" ref="R70:R104" si="28">ABS(Q70-Q69)</f>
        <v>1.1016223094355724E-10</v>
      </c>
      <c r="S70">
        <f t="shared" ref="S70:S104" si="29">SQRT((L69-L70)^2+(M69-M70)^2)</f>
        <v>3.2321617382535806E-8</v>
      </c>
      <c r="T70">
        <f t="shared" si="22"/>
        <v>3.0329044418098216E-6</v>
      </c>
      <c r="U70">
        <f t="shared" si="23"/>
        <v>7.0735077964940302E-4</v>
      </c>
      <c r="AG70">
        <f t="shared" si="24"/>
        <v>3.0219201650390697E-13</v>
      </c>
      <c r="AH70">
        <f t="shared" si="25"/>
        <v>6.9012725628661</v>
      </c>
      <c r="AI70">
        <f t="shared" si="26"/>
        <v>7.6207772837098702</v>
      </c>
    </row>
    <row r="71" spans="11:35" x14ac:dyDescent="0.25">
      <c r="K71">
        <v>67</v>
      </c>
      <c r="L71">
        <f t="shared" si="27"/>
        <v>6.9007726218451495</v>
      </c>
      <c r="M71">
        <f t="shared" si="27"/>
        <v>7.6202769053011483</v>
      </c>
      <c r="N71">
        <f t="shared" si="18"/>
        <v>7.7478103685350852E-15</v>
      </c>
      <c r="O71">
        <f t="shared" si="19"/>
        <v>-6.5387626971628155E-7</v>
      </c>
      <c r="P71" s="2">
        <f t="shared" si="20"/>
        <v>3.0837855159154031E-2</v>
      </c>
      <c r="Q71">
        <f t="shared" si="21"/>
        <v>3.0328177376536438E-6</v>
      </c>
      <c r="R71">
        <f t="shared" si="28"/>
        <v>8.7006348194374497E-11</v>
      </c>
      <c r="S71">
        <f t="shared" si="29"/>
        <v>2.5529153901970858E-8</v>
      </c>
      <c r="T71">
        <f t="shared" si="22"/>
        <v>3.0328174354616273E-6</v>
      </c>
      <c r="U71">
        <f t="shared" si="23"/>
        <v>7.0733271969001242E-4</v>
      </c>
      <c r="AG71">
        <f t="shared" si="24"/>
        <v>3.0219201650390697E-13</v>
      </c>
      <c r="AH71">
        <f t="shared" si="25"/>
        <v>6.9012725628661</v>
      </c>
      <c r="AI71">
        <f t="shared" si="26"/>
        <v>7.6207772837098702</v>
      </c>
    </row>
    <row r="72" spans="11:35" x14ac:dyDescent="0.25">
      <c r="K72">
        <v>68</v>
      </c>
      <c r="L72">
        <f t="shared" si="27"/>
        <v>6.9007726218451495</v>
      </c>
      <c r="M72">
        <f t="shared" si="27"/>
        <v>7.6202769254652898</v>
      </c>
      <c r="N72">
        <f t="shared" si="18"/>
        <v>7.7473868520614581E-15</v>
      </c>
      <c r="O72">
        <f t="shared" si="19"/>
        <v>-5.1646263326558583E-7</v>
      </c>
      <c r="P72" s="2">
        <f t="shared" si="20"/>
        <v>3.0837855159154031E-2</v>
      </c>
      <c r="Q72">
        <f t="shared" si="21"/>
        <v>3.0327490190359788E-6</v>
      </c>
      <c r="R72">
        <f t="shared" si="28"/>
        <v>6.8718617664930136E-11</v>
      </c>
      <c r="S72">
        <f t="shared" si="29"/>
        <v>2.0164141467660102E-8</v>
      </c>
      <c r="T72">
        <f t="shared" si="22"/>
        <v>3.0327487168439623E-6</v>
      </c>
      <c r="U72">
        <f t="shared" si="23"/>
        <v>7.0731845539941942E-4</v>
      </c>
      <c r="AG72">
        <f t="shared" si="24"/>
        <v>3.0219201650390697E-13</v>
      </c>
      <c r="AH72">
        <f t="shared" si="25"/>
        <v>6.9012725628661</v>
      </c>
      <c r="AI72">
        <f t="shared" si="26"/>
        <v>7.6207772837098702</v>
      </c>
    </row>
    <row r="73" spans="11:35" x14ac:dyDescent="0.25">
      <c r="K73">
        <v>69</v>
      </c>
      <c r="L73">
        <f t="shared" si="27"/>
        <v>6.9007726218451495</v>
      </c>
      <c r="M73">
        <f t="shared" si="27"/>
        <v>7.6202769413918894</v>
      </c>
      <c r="N73">
        <f t="shared" si="18"/>
        <v>7.7473868520614581E-15</v>
      </c>
      <c r="O73">
        <f t="shared" si="19"/>
        <v>-4.0792679651228484E-7</v>
      </c>
      <c r="P73" s="2">
        <f t="shared" si="20"/>
        <v>3.0837855159154031E-2</v>
      </c>
      <c r="Q73">
        <f t="shared" si="21"/>
        <v>3.0326947437564122E-6</v>
      </c>
      <c r="R73">
        <f t="shared" si="28"/>
        <v>5.4275279566665314E-11</v>
      </c>
      <c r="S73">
        <f t="shared" si="29"/>
        <v>1.5926599594706659E-8</v>
      </c>
      <c r="T73">
        <f t="shared" si="22"/>
        <v>3.0326944415643957E-6</v>
      </c>
      <c r="U73">
        <f t="shared" si="23"/>
        <v>7.0730718898611962E-4</v>
      </c>
      <c r="AG73">
        <f t="shared" si="24"/>
        <v>3.0219201650390697E-13</v>
      </c>
      <c r="AH73">
        <f t="shared" si="25"/>
        <v>6.9012725628661</v>
      </c>
      <c r="AI73">
        <f t="shared" si="26"/>
        <v>7.6207772837098702</v>
      </c>
    </row>
    <row r="74" spans="11:35" x14ac:dyDescent="0.25">
      <c r="K74">
        <v>70</v>
      </c>
      <c r="L74">
        <f t="shared" si="27"/>
        <v>6.9007726218451495</v>
      </c>
      <c r="M74">
        <f t="shared" si="27"/>
        <v>7.6202769539714765</v>
      </c>
      <c r="N74">
        <f t="shared" si="18"/>
        <v>7.7478103685350852E-15</v>
      </c>
      <c r="O74">
        <f t="shared" si="19"/>
        <v>-3.2220002167925778E-7</v>
      </c>
      <c r="P74" s="2">
        <f t="shared" si="20"/>
        <v>3.0837855159154031E-2</v>
      </c>
      <c r="Q74" s="5">
        <f t="shared" si="21"/>
        <v>3.0326518757766485E-6</v>
      </c>
      <c r="R74">
        <f t="shared" si="28"/>
        <v>4.2867979763608712E-11</v>
      </c>
      <c r="S74">
        <f t="shared" si="29"/>
        <v>1.2579587149730287E-8</v>
      </c>
      <c r="T74">
        <f t="shared" si="22"/>
        <v>3.0326515735846321E-6</v>
      </c>
      <c r="U74">
        <f t="shared" si="23"/>
        <v>7.0729829036277536E-4</v>
      </c>
      <c r="AG74">
        <f t="shared" si="24"/>
        <v>3.0219201650390697E-13</v>
      </c>
      <c r="AH74">
        <f t="shared" si="25"/>
        <v>6.9012725628661</v>
      </c>
      <c r="AI74">
        <f t="shared" si="26"/>
        <v>7.6207772837098702</v>
      </c>
    </row>
    <row r="75" spans="11:35" x14ac:dyDescent="0.25">
      <c r="K75">
        <v>71</v>
      </c>
      <c r="L75">
        <f t="shared" si="27"/>
        <v>6.9007726218451495</v>
      </c>
      <c r="M75">
        <f t="shared" si="27"/>
        <v>7.6202769639074344</v>
      </c>
      <c r="N75">
        <f t="shared" si="18"/>
        <v>7.7473868520614581E-15</v>
      </c>
      <c r="O75">
        <f t="shared" si="19"/>
        <v>-2.5448892672296519E-7</v>
      </c>
      <c r="P75" s="2">
        <f t="shared" si="20"/>
        <v>3.0837855159154031E-2</v>
      </c>
      <c r="Q75">
        <f t="shared" si="21"/>
        <v>3.032618017364192E-6</v>
      </c>
      <c r="R75">
        <f t="shared" si="28"/>
        <v>3.3858412456552582E-11</v>
      </c>
      <c r="S75">
        <f t="shared" si="29"/>
        <v>9.9359578342728128E-9</v>
      </c>
      <c r="T75">
        <f t="shared" si="22"/>
        <v>3.0326177151721755E-6</v>
      </c>
      <c r="U75">
        <f t="shared" si="23"/>
        <v>7.0729126188470639E-4</v>
      </c>
      <c r="AG75">
        <f t="shared" si="24"/>
        <v>3.0219201650390697E-13</v>
      </c>
      <c r="AH75">
        <f t="shared" si="25"/>
        <v>6.9012725628661</v>
      </c>
      <c r="AI75">
        <f t="shared" si="26"/>
        <v>7.6207772837098702</v>
      </c>
    </row>
    <row r="76" spans="11:35" x14ac:dyDescent="0.25">
      <c r="K76">
        <v>72</v>
      </c>
      <c r="L76">
        <f t="shared" si="27"/>
        <v>6.9007726218451495</v>
      </c>
      <c r="M76">
        <f t="shared" si="27"/>
        <v>7.6202769717553274</v>
      </c>
      <c r="N76">
        <f t="shared" si="18"/>
        <v>7.7473868520614581E-15</v>
      </c>
      <c r="O76">
        <f t="shared" si="19"/>
        <v>-2.0100747710948089E-7</v>
      </c>
      <c r="P76" s="2">
        <f t="shared" si="20"/>
        <v>3.0837855159154031E-2</v>
      </c>
      <c r="Q76">
        <f t="shared" si="21"/>
        <v>3.0325912748520418E-6</v>
      </c>
      <c r="R76">
        <f t="shared" si="28"/>
        <v>2.6742512150234151E-11</v>
      </c>
      <c r="S76">
        <f t="shared" si="29"/>
        <v>7.8478930021219639E-9</v>
      </c>
      <c r="T76">
        <f t="shared" si="22"/>
        <v>3.0325909726600253E-6</v>
      </c>
      <c r="U76">
        <f t="shared" si="23"/>
        <v>7.0728571050707439E-4</v>
      </c>
      <c r="AG76">
        <f t="shared" si="24"/>
        <v>3.0219201650390697E-13</v>
      </c>
      <c r="AH76">
        <f t="shared" si="25"/>
        <v>6.9012725628661</v>
      </c>
      <c r="AI76">
        <f t="shared" si="26"/>
        <v>7.6207772837098702</v>
      </c>
    </row>
    <row r="77" spans="11:35" x14ac:dyDescent="0.25">
      <c r="K77">
        <v>73</v>
      </c>
      <c r="L77">
        <f t="shared" si="27"/>
        <v>6.9007726218451495</v>
      </c>
      <c r="M77">
        <f t="shared" si="27"/>
        <v>7.6202769779539672</v>
      </c>
      <c r="N77">
        <f t="shared" si="18"/>
        <v>7.7473868520614581E-15</v>
      </c>
      <c r="O77">
        <f t="shared" si="19"/>
        <v>-1.5876527996073697E-7</v>
      </c>
      <c r="P77" s="2">
        <f t="shared" si="20"/>
        <v>3.0837855159154031E-2</v>
      </c>
      <c r="Q77">
        <f t="shared" si="21"/>
        <v>3.0325701526384165E-6</v>
      </c>
      <c r="R77">
        <f t="shared" si="28"/>
        <v>2.1122213625272628E-11</v>
      </c>
      <c r="S77">
        <f t="shared" si="29"/>
        <v>6.1986398236513196E-9</v>
      </c>
      <c r="T77">
        <f t="shared" si="22"/>
        <v>3.0325698504464E-6</v>
      </c>
      <c r="U77">
        <f t="shared" si="23"/>
        <v>7.072813257952658E-4</v>
      </c>
      <c r="AG77">
        <f t="shared" si="24"/>
        <v>3.0219201650390697E-13</v>
      </c>
      <c r="AH77">
        <f t="shared" si="25"/>
        <v>6.9012725628661</v>
      </c>
      <c r="AI77">
        <f t="shared" si="26"/>
        <v>7.6207772837098702</v>
      </c>
    </row>
    <row r="78" spans="11:35" x14ac:dyDescent="0.25">
      <c r="K78">
        <v>74</v>
      </c>
      <c r="L78">
        <f t="shared" si="27"/>
        <v>6.9007726218451495</v>
      </c>
      <c r="M78">
        <f t="shared" si="27"/>
        <v>7.6202769828499477</v>
      </c>
      <c r="N78">
        <f t="shared" si="18"/>
        <v>7.7473868520614581E-15</v>
      </c>
      <c r="O78">
        <f t="shared" si="19"/>
        <v>-1.2540038381861151E-7</v>
      </c>
      <c r="P78" s="2">
        <f t="shared" si="20"/>
        <v>3.0837855159154031E-2</v>
      </c>
      <c r="Q78">
        <f t="shared" si="21"/>
        <v>3.0325534694947105E-6</v>
      </c>
      <c r="R78">
        <f t="shared" si="28"/>
        <v>1.6683143705976266E-11</v>
      </c>
      <c r="S78">
        <f t="shared" si="29"/>
        <v>4.8959805099002551E-9</v>
      </c>
      <c r="T78">
        <f t="shared" si="22"/>
        <v>3.032553167302694E-6</v>
      </c>
      <c r="U78">
        <f t="shared" si="23"/>
        <v>7.0727786256054954E-4</v>
      </c>
      <c r="AG78">
        <f t="shared" si="24"/>
        <v>3.0219201650390697E-13</v>
      </c>
      <c r="AH78">
        <f t="shared" si="25"/>
        <v>6.9012725628661</v>
      </c>
      <c r="AI78">
        <f t="shared" si="26"/>
        <v>7.6207772837098702</v>
      </c>
    </row>
    <row r="79" spans="11:35" x14ac:dyDescent="0.25">
      <c r="K79">
        <v>75</v>
      </c>
      <c r="L79">
        <f t="shared" si="27"/>
        <v>6.9007726218451495</v>
      </c>
      <c r="M79">
        <f t="shared" si="27"/>
        <v>7.6202769867170268</v>
      </c>
      <c r="N79">
        <f t="shared" si="18"/>
        <v>7.7473868520614581E-15</v>
      </c>
      <c r="O79">
        <f t="shared" si="19"/>
        <v>-9.9047196274307302E-8</v>
      </c>
      <c r="P79" s="2">
        <f t="shared" si="20"/>
        <v>3.0837855159154031E-2</v>
      </c>
      <c r="Q79">
        <f t="shared" si="21"/>
        <v>3.0325402924669602E-6</v>
      </c>
      <c r="R79">
        <f t="shared" si="28"/>
        <v>1.3177027750329662E-11</v>
      </c>
      <c r="S79">
        <f t="shared" si="29"/>
        <v>3.8670791013828421E-9</v>
      </c>
      <c r="T79">
        <f t="shared" si="22"/>
        <v>3.0325399902749437E-6</v>
      </c>
      <c r="U79">
        <f t="shared" si="23"/>
        <v>7.0727512714443338E-4</v>
      </c>
      <c r="AG79">
        <f t="shared" si="24"/>
        <v>3.0219201650390697E-13</v>
      </c>
      <c r="AH79">
        <f t="shared" si="25"/>
        <v>6.9012725628661</v>
      </c>
      <c r="AI79">
        <f t="shared" si="26"/>
        <v>7.6207772837098702</v>
      </c>
    </row>
    <row r="80" spans="11:35" x14ac:dyDescent="0.25">
      <c r="K80">
        <v>76</v>
      </c>
      <c r="L80">
        <f t="shared" si="27"/>
        <v>6.9007726218451495</v>
      </c>
      <c r="M80">
        <f t="shared" si="27"/>
        <v>7.6202769897714298</v>
      </c>
      <c r="N80">
        <f t="shared" si="18"/>
        <v>7.7473868520614581E-15</v>
      </c>
      <c r="O80">
        <f t="shared" si="19"/>
        <v>-7.82321956654879E-8</v>
      </c>
      <c r="P80" s="2">
        <f t="shared" si="20"/>
        <v>3.0837855159154031E-2</v>
      </c>
      <c r="Q80">
        <f t="shared" si="21"/>
        <v>3.0325298846959144E-6</v>
      </c>
      <c r="R80">
        <f t="shared" si="28"/>
        <v>1.0407771045785796E-11</v>
      </c>
      <c r="S80">
        <f t="shared" si="29"/>
        <v>3.0544029527845851E-9</v>
      </c>
      <c r="T80">
        <f t="shared" si="22"/>
        <v>3.0325295825038979E-6</v>
      </c>
      <c r="U80">
        <f t="shared" si="23"/>
        <v>7.0727296659018387E-4</v>
      </c>
      <c r="AG80">
        <f t="shared" si="24"/>
        <v>3.0219201650390697E-13</v>
      </c>
      <c r="AH80">
        <f t="shared" si="25"/>
        <v>6.9012725628661</v>
      </c>
      <c r="AI80">
        <f t="shared" si="26"/>
        <v>7.6207772837098702</v>
      </c>
    </row>
    <row r="81" spans="11:35" x14ac:dyDescent="0.25">
      <c r="K81">
        <v>77</v>
      </c>
      <c r="L81">
        <f t="shared" si="27"/>
        <v>6.9007726218451495</v>
      </c>
      <c r="M81">
        <f t="shared" si="27"/>
        <v>7.6202769921839426</v>
      </c>
      <c r="N81">
        <f t="shared" si="18"/>
        <v>7.7473868520614581E-15</v>
      </c>
      <c r="O81">
        <f t="shared" si="19"/>
        <v>-6.1791517292126864E-8</v>
      </c>
      <c r="P81" s="2">
        <f t="shared" si="20"/>
        <v>3.0837855159154031E-2</v>
      </c>
      <c r="Q81">
        <f t="shared" si="21"/>
        <v>3.0325216641878232E-6</v>
      </c>
      <c r="R81">
        <f t="shared" si="28"/>
        <v>8.2205080911911899E-12</v>
      </c>
      <c r="S81">
        <f t="shared" si="29"/>
        <v>2.4125128561536258E-9</v>
      </c>
      <c r="T81">
        <f t="shared" si="22"/>
        <v>3.0325213619958067E-6</v>
      </c>
      <c r="U81">
        <f t="shared" si="23"/>
        <v>7.0727126008624365E-4</v>
      </c>
      <c r="AG81">
        <f t="shared" si="24"/>
        <v>3.0219201650390697E-13</v>
      </c>
      <c r="AH81">
        <f t="shared" si="25"/>
        <v>6.9012725628661</v>
      </c>
      <c r="AI81">
        <f t="shared" si="26"/>
        <v>7.6207772837098702</v>
      </c>
    </row>
    <row r="82" spans="11:35" x14ac:dyDescent="0.25">
      <c r="K82">
        <v>78</v>
      </c>
      <c r="L82">
        <f t="shared" si="27"/>
        <v>6.9007726218451495</v>
      </c>
      <c r="M82">
        <f t="shared" si="27"/>
        <v>7.6202769940894601</v>
      </c>
      <c r="N82">
        <f t="shared" si="18"/>
        <v>7.7473868520614581E-15</v>
      </c>
      <c r="O82">
        <f t="shared" si="19"/>
        <v>-4.8805886717191932E-8</v>
      </c>
      <c r="P82" s="2">
        <f t="shared" si="20"/>
        <v>3.0837855159154031E-2</v>
      </c>
      <c r="Q82">
        <f t="shared" si="21"/>
        <v>3.0325151712671629E-6</v>
      </c>
      <c r="R82">
        <f t="shared" si="28"/>
        <v>6.4929206602719282E-12</v>
      </c>
      <c r="S82">
        <f t="shared" si="29"/>
        <v>1.9055175215498821E-9</v>
      </c>
      <c r="T82">
        <f t="shared" si="22"/>
        <v>3.0325148690751465E-6</v>
      </c>
      <c r="U82">
        <f t="shared" si="23"/>
        <v>7.072699122110857E-4</v>
      </c>
      <c r="AG82">
        <f t="shared" si="24"/>
        <v>3.0219201650390697E-13</v>
      </c>
      <c r="AH82">
        <f t="shared" si="25"/>
        <v>6.9012725628661</v>
      </c>
      <c r="AI82">
        <f t="shared" si="26"/>
        <v>7.6207772837098702</v>
      </c>
    </row>
    <row r="83" spans="11:35" x14ac:dyDescent="0.25">
      <c r="K83">
        <v>79</v>
      </c>
      <c r="L83">
        <f t="shared" si="27"/>
        <v>6.9007726218451495</v>
      </c>
      <c r="M83">
        <f t="shared" si="27"/>
        <v>7.6202769955945291</v>
      </c>
      <c r="N83">
        <f t="shared" si="18"/>
        <v>7.7478103685350852E-15</v>
      </c>
      <c r="O83">
        <f t="shared" si="19"/>
        <v>-3.8549214048583843E-8</v>
      </c>
      <c r="P83" s="2">
        <f t="shared" si="20"/>
        <v>3.0837855159154031E-2</v>
      </c>
      <c r="Q83">
        <f t="shared" si="21"/>
        <v>3.0325100428650908E-6</v>
      </c>
      <c r="R83">
        <f t="shared" si="28"/>
        <v>5.1284020721075645E-12</v>
      </c>
      <c r="S83">
        <f t="shared" si="29"/>
        <v>1.5050689583517851E-9</v>
      </c>
      <c r="T83">
        <f t="shared" si="22"/>
        <v>3.0325097406730743E-6</v>
      </c>
      <c r="U83">
        <f t="shared" si="23"/>
        <v>7.0726884759657435E-4</v>
      </c>
      <c r="AG83">
        <f t="shared" si="24"/>
        <v>3.0219201650390697E-13</v>
      </c>
      <c r="AH83">
        <f t="shared" si="25"/>
        <v>6.9012725628661</v>
      </c>
      <c r="AI83">
        <f t="shared" si="26"/>
        <v>7.6207772837098702</v>
      </c>
    </row>
    <row r="84" spans="11:35" x14ac:dyDescent="0.25">
      <c r="K84">
        <v>80</v>
      </c>
      <c r="L84">
        <f t="shared" si="27"/>
        <v>6.9007726218451495</v>
      </c>
      <c r="M84">
        <f t="shared" si="27"/>
        <v>7.6202769967833044</v>
      </c>
      <c r="N84">
        <f t="shared" si="18"/>
        <v>7.7473868520614581E-15</v>
      </c>
      <c r="O84">
        <f t="shared" si="19"/>
        <v>-3.0448004422694663E-8</v>
      </c>
      <c r="P84" s="2">
        <f t="shared" si="20"/>
        <v>3.0837855159154031E-2</v>
      </c>
      <c r="Q84">
        <f t="shared" si="21"/>
        <v>3.0325059922192671E-6</v>
      </c>
      <c r="R84">
        <f t="shared" si="28"/>
        <v>4.0506458237387971E-12</v>
      </c>
      <c r="S84">
        <f t="shared" si="29"/>
        <v>1.188775300420275E-9</v>
      </c>
      <c r="T84">
        <f t="shared" si="22"/>
        <v>3.0325056900272506E-6</v>
      </c>
      <c r="U84">
        <f t="shared" si="23"/>
        <v>7.0726800671435026E-4</v>
      </c>
      <c r="AG84">
        <f t="shared" si="24"/>
        <v>3.0219201650390697E-13</v>
      </c>
      <c r="AH84">
        <f t="shared" si="25"/>
        <v>6.9012725628661</v>
      </c>
      <c r="AI84">
        <f t="shared" si="26"/>
        <v>7.6207772837098702</v>
      </c>
    </row>
    <row r="85" spans="11:35" x14ac:dyDescent="0.25">
      <c r="K85">
        <v>81</v>
      </c>
      <c r="L85">
        <f t="shared" si="27"/>
        <v>6.9007726218451495</v>
      </c>
      <c r="M85">
        <f t="shared" si="27"/>
        <v>7.6202769977222555</v>
      </c>
      <c r="N85">
        <f t="shared" si="18"/>
        <v>7.7473868520614581E-15</v>
      </c>
      <c r="O85">
        <f t="shared" si="19"/>
        <v>-2.4049284661826391E-8</v>
      </c>
      <c r="P85" s="2">
        <f t="shared" si="20"/>
        <v>3.0837855159154031E-2</v>
      </c>
      <c r="Q85">
        <f t="shared" si="21"/>
        <v>3.0325027928338016E-6</v>
      </c>
      <c r="R85">
        <f t="shared" si="28"/>
        <v>3.1993854654878244E-12</v>
      </c>
      <c r="S85">
        <f t="shared" si="29"/>
        <v>9.3895113906228289E-10</v>
      </c>
      <c r="T85">
        <f t="shared" si="22"/>
        <v>3.0325024906417851E-6</v>
      </c>
      <c r="U85">
        <f t="shared" si="23"/>
        <v>7.0726734254637606E-4</v>
      </c>
      <c r="AG85">
        <f t="shared" si="24"/>
        <v>3.0219201650390697E-13</v>
      </c>
      <c r="AH85">
        <f t="shared" si="25"/>
        <v>6.9012725628661</v>
      </c>
      <c r="AI85">
        <f t="shared" si="26"/>
        <v>7.6207772837098702</v>
      </c>
    </row>
    <row r="86" spans="11:35" x14ac:dyDescent="0.25">
      <c r="K86">
        <v>82</v>
      </c>
      <c r="L86">
        <f t="shared" si="27"/>
        <v>6.9007726218451495</v>
      </c>
      <c r="M86">
        <f t="shared" si="27"/>
        <v>7.6202769984638836</v>
      </c>
      <c r="N86">
        <f t="shared" si="18"/>
        <v>7.7469633355878309E-15</v>
      </c>
      <c r="O86">
        <f t="shared" si="19"/>
        <v>-1.8995272656918043E-8</v>
      </c>
      <c r="P86" s="2">
        <f t="shared" si="20"/>
        <v>3.0837855159154031E-2</v>
      </c>
      <c r="Q86">
        <f t="shared" si="21"/>
        <v>3.0325002658118377E-6</v>
      </c>
      <c r="R86">
        <f t="shared" si="28"/>
        <v>2.5270219639430321E-12</v>
      </c>
      <c r="S86">
        <f t="shared" si="29"/>
        <v>7.4162809227118487E-10</v>
      </c>
      <c r="T86">
        <f t="shared" si="22"/>
        <v>3.0324999636198212E-6</v>
      </c>
      <c r="U86">
        <f t="shared" si="23"/>
        <v>7.0726681795548537E-4</v>
      </c>
      <c r="AG86">
        <f t="shared" si="24"/>
        <v>3.0219201650390697E-13</v>
      </c>
      <c r="AH86">
        <f t="shared" si="25"/>
        <v>6.9012725628661</v>
      </c>
      <c r="AI86">
        <f t="shared" si="26"/>
        <v>7.6207772837098702</v>
      </c>
    </row>
    <row r="87" spans="11:35" x14ac:dyDescent="0.25">
      <c r="K87">
        <v>83</v>
      </c>
      <c r="L87">
        <f t="shared" si="27"/>
        <v>6.9007726218451495</v>
      </c>
      <c r="M87">
        <f t="shared" si="27"/>
        <v>7.6202769990496568</v>
      </c>
      <c r="N87">
        <f t="shared" si="18"/>
        <v>7.7473868520614581E-15</v>
      </c>
      <c r="O87">
        <f t="shared" si="19"/>
        <v>-1.5003373138237599E-8</v>
      </c>
      <c r="P87" s="2">
        <f t="shared" si="20"/>
        <v>3.0837855159154031E-2</v>
      </c>
      <c r="Q87">
        <f t="shared" si="21"/>
        <v>3.0324982698521204E-6</v>
      </c>
      <c r="R87">
        <f t="shared" si="28"/>
        <v>1.9959597172713084E-12</v>
      </c>
      <c r="S87">
        <f t="shared" si="29"/>
        <v>5.8577320771746599E-10</v>
      </c>
      <c r="T87">
        <f t="shared" si="22"/>
        <v>3.0324979676601039E-6</v>
      </c>
      <c r="U87">
        <f t="shared" si="23"/>
        <v>7.0726640360887648E-4</v>
      </c>
      <c r="AG87">
        <f t="shared" si="24"/>
        <v>3.0219201650390697E-13</v>
      </c>
      <c r="AH87">
        <f t="shared" si="25"/>
        <v>6.9012725628661</v>
      </c>
      <c r="AI87">
        <f t="shared" si="26"/>
        <v>7.6207772837098702</v>
      </c>
    </row>
    <row r="88" spans="11:35" x14ac:dyDescent="0.25">
      <c r="K88">
        <v>84</v>
      </c>
      <c r="L88">
        <f t="shared" si="27"/>
        <v>6.9007726218451495</v>
      </c>
      <c r="M88">
        <f t="shared" si="27"/>
        <v>7.6202769995123285</v>
      </c>
      <c r="N88">
        <f t="shared" si="18"/>
        <v>7.7473868520614581E-15</v>
      </c>
      <c r="O88">
        <f t="shared" si="19"/>
        <v>-1.1850380091210882E-8</v>
      </c>
      <c r="P88" s="2">
        <f t="shared" si="20"/>
        <v>3.0837855159154031E-2</v>
      </c>
      <c r="Q88">
        <f t="shared" si="21"/>
        <v>3.0324966933493845E-6</v>
      </c>
      <c r="R88">
        <f t="shared" si="28"/>
        <v>1.5765027358647515E-12</v>
      </c>
      <c r="S88">
        <f t="shared" si="29"/>
        <v>4.6267167874702864E-10</v>
      </c>
      <c r="T88">
        <f t="shared" si="22"/>
        <v>3.032496391157368E-6</v>
      </c>
      <c r="U88">
        <f t="shared" si="23"/>
        <v>7.0726607633829085E-4</v>
      </c>
      <c r="AG88">
        <f t="shared" si="24"/>
        <v>3.0219201650390697E-13</v>
      </c>
      <c r="AH88">
        <f t="shared" si="25"/>
        <v>6.9012725628661</v>
      </c>
      <c r="AI88">
        <f t="shared" si="26"/>
        <v>7.6207772837098702</v>
      </c>
    </row>
    <row r="89" spans="11:35" x14ac:dyDescent="0.25">
      <c r="K89">
        <v>85</v>
      </c>
      <c r="L89">
        <f t="shared" si="27"/>
        <v>6.9007726218451495</v>
      </c>
      <c r="M89">
        <f t="shared" si="27"/>
        <v>7.6202769998777686</v>
      </c>
      <c r="N89">
        <f t="shared" si="18"/>
        <v>7.7473868520614581E-15</v>
      </c>
      <c r="O89">
        <f t="shared" si="19"/>
        <v>-9.3599960478162915E-9</v>
      </c>
      <c r="P89" s="2">
        <f t="shared" si="20"/>
        <v>3.0837855159154031E-2</v>
      </c>
      <c r="Q89">
        <f t="shared" si="21"/>
        <v>3.0324954481534872E-6</v>
      </c>
      <c r="R89">
        <f t="shared" si="28"/>
        <v>1.2451958972965456E-12</v>
      </c>
      <c r="S89">
        <f t="shared" si="29"/>
        <v>3.6544012260719683E-10</v>
      </c>
      <c r="T89">
        <f t="shared" si="22"/>
        <v>3.0324951459614707E-6</v>
      </c>
      <c r="U89">
        <f t="shared" si="23"/>
        <v>7.0726581784450577E-4</v>
      </c>
      <c r="AG89">
        <f t="shared" si="24"/>
        <v>3.0219201650390697E-13</v>
      </c>
      <c r="AH89">
        <f t="shared" si="25"/>
        <v>6.9012725628661</v>
      </c>
      <c r="AI89">
        <f t="shared" si="26"/>
        <v>7.6207772837098702</v>
      </c>
    </row>
    <row r="90" spans="11:35" x14ac:dyDescent="0.25">
      <c r="K90">
        <v>86</v>
      </c>
      <c r="L90">
        <f t="shared" si="27"/>
        <v>6.9007726218451495</v>
      </c>
      <c r="M90">
        <f t="shared" si="27"/>
        <v>7.6202770001664106</v>
      </c>
      <c r="N90">
        <f t="shared" si="18"/>
        <v>7.7478103685350852E-15</v>
      </c>
      <c r="O90">
        <f t="shared" si="19"/>
        <v>-7.3929722198910731E-9</v>
      </c>
      <c r="P90" s="2">
        <f t="shared" si="20"/>
        <v>3.0837855159154031E-2</v>
      </c>
      <c r="Q90">
        <f t="shared" si="21"/>
        <v>3.0324944646391554E-6</v>
      </c>
      <c r="R90">
        <f t="shared" si="28"/>
        <v>9.8351433181815716E-13</v>
      </c>
      <c r="S90">
        <f t="shared" si="29"/>
        <v>2.886419991909861E-10</v>
      </c>
      <c r="T90">
        <f t="shared" si="22"/>
        <v>3.0324941624471389E-6</v>
      </c>
      <c r="U90">
        <f t="shared" si="23"/>
        <v>7.0726561367387994E-4</v>
      </c>
      <c r="AG90">
        <f t="shared" si="24"/>
        <v>3.0219201650390697E-13</v>
      </c>
      <c r="AH90">
        <f t="shared" si="25"/>
        <v>6.9012725628661</v>
      </c>
      <c r="AI90">
        <f t="shared" si="26"/>
        <v>7.6207772837098702</v>
      </c>
    </row>
    <row r="91" spans="11:35" x14ac:dyDescent="0.25">
      <c r="K91">
        <v>87</v>
      </c>
      <c r="L91">
        <f t="shared" si="27"/>
        <v>6.9007726218451495</v>
      </c>
      <c r="M91">
        <f t="shared" si="27"/>
        <v>7.6202770003943936</v>
      </c>
      <c r="N91">
        <f t="shared" si="18"/>
        <v>7.7473868520614581E-15</v>
      </c>
      <c r="O91">
        <f t="shared" si="19"/>
        <v>-5.8393246996034094E-9</v>
      </c>
      <c r="P91" s="2">
        <f t="shared" si="20"/>
        <v>3.0837855159154031E-2</v>
      </c>
      <c r="Q91">
        <f t="shared" si="21"/>
        <v>3.0324936878138871E-6</v>
      </c>
      <c r="R91">
        <f t="shared" si="28"/>
        <v>7.7682526828599442E-13</v>
      </c>
      <c r="S91">
        <f t="shared" si="29"/>
        <v>2.2798296583914635E-10</v>
      </c>
      <c r="T91">
        <f t="shared" si="22"/>
        <v>3.0324933856218706E-6</v>
      </c>
      <c r="U91">
        <f t="shared" si="23"/>
        <v>7.0726545241040157E-4</v>
      </c>
      <c r="AG91">
        <f t="shared" si="24"/>
        <v>3.0219201650390697E-13</v>
      </c>
      <c r="AH91">
        <f t="shared" si="25"/>
        <v>6.9012725628661</v>
      </c>
      <c r="AI91">
        <f t="shared" si="26"/>
        <v>7.6207772837098702</v>
      </c>
    </row>
    <row r="92" spans="11:35" x14ac:dyDescent="0.25">
      <c r="K92">
        <v>88</v>
      </c>
      <c r="L92">
        <f t="shared" si="27"/>
        <v>6.9007726218451495</v>
      </c>
      <c r="M92">
        <f t="shared" si="27"/>
        <v>7.6202770005744656</v>
      </c>
      <c r="N92">
        <f t="shared" si="18"/>
        <v>7.7469633355878309E-15</v>
      </c>
      <c r="O92">
        <f t="shared" si="19"/>
        <v>-4.6121788520667043E-9</v>
      </c>
      <c r="P92" s="2">
        <f t="shared" si="20"/>
        <v>3.0837855159154031E-2</v>
      </c>
      <c r="Q92">
        <f t="shared" si="21"/>
        <v>3.0324930742400223E-6</v>
      </c>
      <c r="R92">
        <f t="shared" si="28"/>
        <v>6.1357386482195696E-13</v>
      </c>
      <c r="S92">
        <f t="shared" si="29"/>
        <v>1.8007195734526249E-10</v>
      </c>
      <c r="T92">
        <f t="shared" si="22"/>
        <v>3.0324927720480058E-6</v>
      </c>
      <c r="U92">
        <f t="shared" si="23"/>
        <v>7.0726532503674372E-4</v>
      </c>
      <c r="AG92">
        <f t="shared" si="24"/>
        <v>3.0219201650390697E-13</v>
      </c>
      <c r="AH92">
        <f t="shared" si="25"/>
        <v>6.9012725628661</v>
      </c>
      <c r="AI92">
        <f t="shared" si="26"/>
        <v>7.6207772837098702</v>
      </c>
    </row>
    <row r="93" spans="11:35" x14ac:dyDescent="0.25">
      <c r="K93">
        <v>89</v>
      </c>
      <c r="L93">
        <f t="shared" si="27"/>
        <v>6.9007726218451495</v>
      </c>
      <c r="M93">
        <f t="shared" si="27"/>
        <v>7.6202770007166949</v>
      </c>
      <c r="N93">
        <f t="shared" si="18"/>
        <v>7.7473868520614581E-15</v>
      </c>
      <c r="O93">
        <f t="shared" si="19"/>
        <v>-3.6429210842497148E-9</v>
      </c>
      <c r="P93" s="2">
        <f t="shared" si="20"/>
        <v>3.0837855159154031E-2</v>
      </c>
      <c r="Q93">
        <f t="shared" si="21"/>
        <v>3.0324925896105514E-6</v>
      </c>
      <c r="R93">
        <f t="shared" si="28"/>
        <v>4.8462947090232721E-13</v>
      </c>
      <c r="S93">
        <f t="shared" si="29"/>
        <v>1.4222933941709925E-10</v>
      </c>
      <c r="T93">
        <f t="shared" si="22"/>
        <v>3.0324922874185349E-6</v>
      </c>
      <c r="U93">
        <f t="shared" si="23"/>
        <v>7.0726522443102715E-4</v>
      </c>
      <c r="AG93">
        <f t="shared" si="24"/>
        <v>3.0219201650390697E-13</v>
      </c>
      <c r="AH93">
        <f t="shared" si="25"/>
        <v>6.9012725628661</v>
      </c>
      <c r="AI93">
        <f t="shared" si="26"/>
        <v>7.6207772837098702</v>
      </c>
    </row>
    <row r="94" spans="11:35" x14ac:dyDescent="0.25">
      <c r="K94">
        <v>90</v>
      </c>
      <c r="L94">
        <f t="shared" si="27"/>
        <v>6.9007726218451495</v>
      </c>
      <c r="M94">
        <f t="shared" si="27"/>
        <v>7.6202770008290344</v>
      </c>
      <c r="N94">
        <f t="shared" si="18"/>
        <v>7.7478103685350852E-15</v>
      </c>
      <c r="O94">
        <f t="shared" si="19"/>
        <v>-2.8773553762271773E-9</v>
      </c>
      <c r="P94" s="2">
        <f t="shared" si="20"/>
        <v>3.0837855159154031E-2</v>
      </c>
      <c r="Q94">
        <f t="shared" si="21"/>
        <v>3.032492206827331E-6</v>
      </c>
      <c r="R94">
        <f t="shared" si="28"/>
        <v>3.8278322035301842E-13</v>
      </c>
      <c r="S94">
        <f t="shared" si="29"/>
        <v>1.1233947105893094E-10</v>
      </c>
      <c r="T94">
        <f t="shared" si="22"/>
        <v>3.0324919046353146E-6</v>
      </c>
      <c r="U94">
        <f t="shared" si="23"/>
        <v>7.0726514496787559E-4</v>
      </c>
      <c r="AG94">
        <f t="shared" si="24"/>
        <v>3.0219201650390697E-13</v>
      </c>
      <c r="AH94">
        <f t="shared" si="25"/>
        <v>6.9012725628661</v>
      </c>
      <c r="AI94">
        <f t="shared" si="26"/>
        <v>7.6207772837098702</v>
      </c>
    </row>
    <row r="95" spans="11:35" x14ac:dyDescent="0.25">
      <c r="K95">
        <v>91</v>
      </c>
      <c r="L95">
        <f t="shared" si="27"/>
        <v>6.9007726218451495</v>
      </c>
      <c r="M95">
        <f t="shared" si="27"/>
        <v>7.6202770009177661</v>
      </c>
      <c r="N95">
        <f t="shared" si="18"/>
        <v>7.7473868520614581E-15</v>
      </c>
      <c r="O95">
        <f t="shared" si="19"/>
        <v>-2.2726708663827041E-9</v>
      </c>
      <c r="P95" s="2">
        <f t="shared" si="20"/>
        <v>3.0837855159154031E-2</v>
      </c>
      <c r="Q95">
        <f t="shared" si="21"/>
        <v>3.0324919044848476E-6</v>
      </c>
      <c r="R95">
        <f t="shared" si="28"/>
        <v>3.0234248340937409E-13</v>
      </c>
      <c r="S95">
        <f t="shared" si="29"/>
        <v>8.8731688663301611E-11</v>
      </c>
      <c r="T95">
        <f t="shared" si="22"/>
        <v>3.0324916022928312E-6</v>
      </c>
      <c r="U95">
        <f t="shared" si="23"/>
        <v>7.0726508220365892E-4</v>
      </c>
      <c r="AG95">
        <f t="shared" si="24"/>
        <v>3.0219201650390697E-13</v>
      </c>
      <c r="AH95">
        <f t="shared" si="25"/>
        <v>6.9012725628661</v>
      </c>
      <c r="AI95">
        <f t="shared" si="26"/>
        <v>7.6207772837098702</v>
      </c>
    </row>
    <row r="96" spans="11:35" x14ac:dyDescent="0.25">
      <c r="K96">
        <v>92</v>
      </c>
      <c r="L96">
        <f t="shared" si="27"/>
        <v>6.9007726218451495</v>
      </c>
      <c r="M96">
        <f t="shared" si="27"/>
        <v>7.6202770009878504</v>
      </c>
      <c r="N96">
        <f t="shared" si="18"/>
        <v>7.7473868520614581E-15</v>
      </c>
      <c r="O96">
        <f t="shared" si="19"/>
        <v>-1.7950631334416904E-9</v>
      </c>
      <c r="P96" s="2">
        <f t="shared" si="20"/>
        <v>3.0837855159154031E-2</v>
      </c>
      <c r="Q96">
        <f t="shared" si="21"/>
        <v>3.0324916656808386E-6</v>
      </c>
      <c r="R96">
        <f t="shared" si="28"/>
        <v>2.3880400898380026E-13</v>
      </c>
      <c r="S96">
        <f t="shared" si="29"/>
        <v>7.0084382741697482E-11</v>
      </c>
      <c r="T96">
        <f t="shared" si="22"/>
        <v>3.0324913634888222E-6</v>
      </c>
      <c r="U96">
        <f t="shared" si="23"/>
        <v>7.0726503262958783E-4</v>
      </c>
      <c r="AG96">
        <f t="shared" si="24"/>
        <v>3.0219201650390697E-13</v>
      </c>
      <c r="AH96">
        <f t="shared" si="25"/>
        <v>6.9012725628661</v>
      </c>
      <c r="AI96">
        <f t="shared" si="26"/>
        <v>7.6207772837098702</v>
      </c>
    </row>
    <row r="97" spans="11:35" x14ac:dyDescent="0.25">
      <c r="K97">
        <v>93</v>
      </c>
      <c r="L97">
        <f t="shared" si="27"/>
        <v>6.9007726218451495</v>
      </c>
      <c r="M97">
        <f t="shared" si="27"/>
        <v>7.6202770010432062</v>
      </c>
      <c r="N97">
        <f t="shared" si="18"/>
        <v>7.7473868520614581E-15</v>
      </c>
      <c r="O97">
        <f t="shared" si="19"/>
        <v>-1.4178275939167131E-9</v>
      </c>
      <c r="P97" s="2">
        <f t="shared" si="20"/>
        <v>3.0837855159154031E-2</v>
      </c>
      <c r="Q97">
        <f t="shared" si="21"/>
        <v>3.0324914770629799E-6</v>
      </c>
      <c r="R97">
        <f t="shared" si="28"/>
        <v>1.886178587009481E-13</v>
      </c>
      <c r="S97">
        <f t="shared" si="29"/>
        <v>5.5355720007810305E-11</v>
      </c>
      <c r="T97">
        <f t="shared" si="22"/>
        <v>3.0324911748709635E-6</v>
      </c>
      <c r="U97">
        <f t="shared" si="23"/>
        <v>7.0726499347381416E-4</v>
      </c>
      <c r="AG97">
        <f t="shared" si="24"/>
        <v>3.0219201650390697E-13</v>
      </c>
      <c r="AH97">
        <f t="shared" si="25"/>
        <v>6.9012725628661</v>
      </c>
      <c r="AI97">
        <f t="shared" si="26"/>
        <v>7.6207772837098702</v>
      </c>
    </row>
    <row r="98" spans="11:35" x14ac:dyDescent="0.25">
      <c r="K98">
        <v>94</v>
      </c>
      <c r="L98">
        <f t="shared" si="27"/>
        <v>6.9007726218451495</v>
      </c>
      <c r="M98">
        <f t="shared" si="27"/>
        <v>7.6202770010869285</v>
      </c>
      <c r="N98">
        <f t="shared" si="18"/>
        <v>7.7473868520614581E-15</v>
      </c>
      <c r="O98">
        <f t="shared" si="19"/>
        <v>-1.1198705316886734E-9</v>
      </c>
      <c r="P98" s="2">
        <f t="shared" si="20"/>
        <v>3.0837855159154031E-2</v>
      </c>
      <c r="Q98">
        <f t="shared" si="21"/>
        <v>3.0324913280843934E-6</v>
      </c>
      <c r="R98">
        <f t="shared" si="28"/>
        <v>1.4897858659467791E-13</v>
      </c>
      <c r="S98">
        <f t="shared" si="29"/>
        <v>4.3722359066578065E-11</v>
      </c>
      <c r="T98">
        <f t="shared" si="22"/>
        <v>3.0324910258923769E-6</v>
      </c>
      <c r="U98">
        <f t="shared" si="23"/>
        <v>7.0726496254687997E-4</v>
      </c>
      <c r="AG98">
        <f t="shared" si="24"/>
        <v>3.0219201650390697E-13</v>
      </c>
      <c r="AH98">
        <f t="shared" si="25"/>
        <v>6.9012725628661</v>
      </c>
      <c r="AI98">
        <f t="shared" si="26"/>
        <v>7.6207772837098702</v>
      </c>
    </row>
    <row r="99" spans="11:35" x14ac:dyDescent="0.25">
      <c r="K99">
        <v>95</v>
      </c>
      <c r="L99">
        <f t="shared" si="27"/>
        <v>6.9007726218451495</v>
      </c>
      <c r="M99">
        <f t="shared" si="27"/>
        <v>7.6202770011214627</v>
      </c>
      <c r="N99">
        <f t="shared" si="18"/>
        <v>7.7478103685350852E-15</v>
      </c>
      <c r="O99">
        <f t="shared" si="19"/>
        <v>-8.84528819004686E-10</v>
      </c>
      <c r="P99" s="2">
        <f t="shared" si="20"/>
        <v>3.0837855159154031E-2</v>
      </c>
      <c r="Q99">
        <f t="shared" si="21"/>
        <v>3.0324912104135023E-6</v>
      </c>
      <c r="R99">
        <f t="shared" si="28"/>
        <v>1.1767089107034452E-13</v>
      </c>
      <c r="S99">
        <f t="shared" si="29"/>
        <v>3.4534153314780269E-11</v>
      </c>
      <c r="T99">
        <f t="shared" si="22"/>
        <v>3.0324909082214858E-6</v>
      </c>
      <c r="U99">
        <f t="shared" si="23"/>
        <v>7.0726493811920806E-4</v>
      </c>
      <c r="AG99">
        <f t="shared" si="24"/>
        <v>3.0219201650390697E-13</v>
      </c>
      <c r="AH99">
        <f t="shared" si="25"/>
        <v>6.9012725628661</v>
      </c>
      <c r="AI99">
        <f t="shared" si="26"/>
        <v>7.6207772837098702</v>
      </c>
    </row>
    <row r="100" spans="11:35" x14ac:dyDescent="0.25">
      <c r="K100">
        <v>96</v>
      </c>
      <c r="L100">
        <f t="shared" si="27"/>
        <v>6.9007726218451495</v>
      </c>
      <c r="M100">
        <f t="shared" si="27"/>
        <v>7.6202770011487395</v>
      </c>
      <c r="N100">
        <f t="shared" si="18"/>
        <v>7.7473868520614581E-15</v>
      </c>
      <c r="O100">
        <f t="shared" si="19"/>
        <v>-6.9864385069816522E-10</v>
      </c>
      <c r="P100" s="2">
        <f t="shared" si="20"/>
        <v>3.0837855159154031E-2</v>
      </c>
      <c r="Q100">
        <f t="shared" si="21"/>
        <v>3.0324911174709965E-6</v>
      </c>
      <c r="R100">
        <f t="shared" si="28"/>
        <v>9.2942505752600544E-14</v>
      </c>
      <c r="S100">
        <f t="shared" si="29"/>
        <v>2.7276847447410546E-11</v>
      </c>
      <c r="T100">
        <f t="shared" si="22"/>
        <v>3.0324908152789801E-6</v>
      </c>
      <c r="U100">
        <f t="shared" si="23"/>
        <v>7.0726491882497898E-4</v>
      </c>
      <c r="AG100">
        <f t="shared" si="24"/>
        <v>3.0219201650390697E-13</v>
      </c>
      <c r="AH100">
        <f t="shared" si="25"/>
        <v>6.9012725628661</v>
      </c>
      <c r="AI100">
        <f t="shared" si="26"/>
        <v>7.6207772837098702</v>
      </c>
    </row>
    <row r="101" spans="11:35" x14ac:dyDescent="0.25">
      <c r="K101">
        <v>97</v>
      </c>
      <c r="L101">
        <f t="shared" si="27"/>
        <v>6.9007726218451495</v>
      </c>
      <c r="M101">
        <f t="shared" si="27"/>
        <v>7.6202770011702841</v>
      </c>
      <c r="N101">
        <f t="shared" si="18"/>
        <v>7.7473868520614581E-15</v>
      </c>
      <c r="O101">
        <f t="shared" si="19"/>
        <v>-5.5182311314738611E-10</v>
      </c>
      <c r="P101" s="2">
        <f t="shared" si="20"/>
        <v>3.0837855159154031E-2</v>
      </c>
      <c r="Q101">
        <f t="shared" si="21"/>
        <v>3.0324910440606144E-6</v>
      </c>
      <c r="R101">
        <f t="shared" si="28"/>
        <v>7.3410382116158475E-14</v>
      </c>
      <c r="S101">
        <f t="shared" si="29"/>
        <v>2.1544543926665938E-11</v>
      </c>
      <c r="T101">
        <f t="shared" si="22"/>
        <v>3.0324907418685979E-6</v>
      </c>
      <c r="U101">
        <f t="shared" si="23"/>
        <v>7.0726490358548506E-4</v>
      </c>
      <c r="AG101">
        <f t="shared" si="24"/>
        <v>3.0219201650390697E-13</v>
      </c>
      <c r="AH101">
        <f t="shared" si="25"/>
        <v>6.9012725628661</v>
      </c>
      <c r="AI101">
        <f t="shared" si="26"/>
        <v>7.6207772837098702</v>
      </c>
    </row>
    <row r="102" spans="11:35" x14ac:dyDescent="0.25">
      <c r="K102">
        <v>98</v>
      </c>
      <c r="L102">
        <f t="shared" si="27"/>
        <v>6.9007726218451495</v>
      </c>
      <c r="M102">
        <f t="shared" si="27"/>
        <v>7.6202770011873007</v>
      </c>
      <c r="N102">
        <f t="shared" si="18"/>
        <v>7.7469633355878309E-15</v>
      </c>
      <c r="O102">
        <f t="shared" si="19"/>
        <v>-4.3585912263828346E-10</v>
      </c>
      <c r="P102" s="2">
        <f t="shared" si="20"/>
        <v>3.0837855159154031E-2</v>
      </c>
      <c r="Q102">
        <f t="shared" si="21"/>
        <v>3.0324909860786109E-6</v>
      </c>
      <c r="R102">
        <f t="shared" si="28"/>
        <v>5.7982003513122561E-14</v>
      </c>
      <c r="S102">
        <f t="shared" si="29"/>
        <v>1.7016610343034699E-11</v>
      </c>
      <c r="T102">
        <f t="shared" si="22"/>
        <v>3.0324906838865944E-6</v>
      </c>
      <c r="U102">
        <f t="shared" si="23"/>
        <v>7.0726489154881685E-4</v>
      </c>
      <c r="AG102">
        <f t="shared" si="24"/>
        <v>3.0219201650390697E-13</v>
      </c>
      <c r="AH102">
        <f t="shared" si="25"/>
        <v>6.9012725628661</v>
      </c>
      <c r="AI102">
        <f t="shared" si="26"/>
        <v>7.6207772837098702</v>
      </c>
    </row>
    <row r="103" spans="11:35" x14ac:dyDescent="0.25">
      <c r="K103">
        <v>99</v>
      </c>
      <c r="L103">
        <f t="shared" si="27"/>
        <v>6.9007726218451495</v>
      </c>
      <c r="M103">
        <f t="shared" si="27"/>
        <v>7.6202770012007415</v>
      </c>
      <c r="N103">
        <f t="shared" si="18"/>
        <v>7.7473868520614581E-15</v>
      </c>
      <c r="O103">
        <f t="shared" si="19"/>
        <v>-3.442633679315982E-10</v>
      </c>
      <c r="P103" s="2">
        <f t="shared" si="20"/>
        <v>3.0837855159154031E-2</v>
      </c>
      <c r="Q103">
        <f t="shared" si="21"/>
        <v>3.0324909402807283E-6</v>
      </c>
      <c r="R103">
        <f t="shared" si="28"/>
        <v>4.5797882647298548E-14</v>
      </c>
      <c r="S103">
        <f t="shared" si="29"/>
        <v>1.3440804025321995E-11</v>
      </c>
      <c r="T103">
        <f t="shared" si="22"/>
        <v>3.0324906380887118E-6</v>
      </c>
      <c r="U103">
        <f t="shared" si="23"/>
        <v>7.0726488204148888E-4</v>
      </c>
      <c r="AG103">
        <f t="shared" si="24"/>
        <v>3.0219201650390697E-13</v>
      </c>
      <c r="AH103">
        <f t="shared" si="25"/>
        <v>6.9012725628661</v>
      </c>
      <c r="AI103">
        <f t="shared" si="26"/>
        <v>7.6207772837098702</v>
      </c>
    </row>
    <row r="104" spans="11:35" x14ac:dyDescent="0.25">
      <c r="K104">
        <v>100</v>
      </c>
      <c r="L104">
        <f t="shared" si="27"/>
        <v>6.9007726218451495</v>
      </c>
      <c r="M104">
        <f t="shared" si="27"/>
        <v>7.6202770012113579</v>
      </c>
      <c r="N104">
        <f t="shared" si="18"/>
        <v>7.7473868520614581E-15</v>
      </c>
      <c r="O104">
        <f t="shared" si="19"/>
        <v>-2.7191525068162429E-10</v>
      </c>
      <c r="P104" s="2">
        <f t="shared" si="20"/>
        <v>3.0837855159154031E-2</v>
      </c>
      <c r="Q104" s="5">
        <f t="shared" si="21"/>
        <v>3.0324909041066662E-6</v>
      </c>
      <c r="R104">
        <f t="shared" si="28"/>
        <v>3.6174062013118744E-14</v>
      </c>
      <c r="S104">
        <f t="shared" si="29"/>
        <v>1.0616396650675597E-11</v>
      </c>
      <c r="T104">
        <f t="shared" si="22"/>
        <v>3.0324906019146498E-6</v>
      </c>
      <c r="U104">
        <f t="shared" si="23"/>
        <v>7.0726487453200029E-4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3776B-6679-440A-977C-2FBF60F554FF}">
  <dimension ref="A1:AI104"/>
  <sheetViews>
    <sheetView topLeftCell="H1" workbookViewId="0">
      <selection activeCell="AB15" sqref="AB15"/>
    </sheetView>
  </sheetViews>
  <sheetFormatPr defaultRowHeight="15" x14ac:dyDescent="0.25"/>
  <cols>
    <col min="17" max="17" width="19.85546875" bestFit="1" customWidth="1"/>
  </cols>
  <sheetData>
    <row r="1" spans="1:35" x14ac:dyDescent="0.25">
      <c r="A1" t="s">
        <v>0</v>
      </c>
      <c r="K1" t="s">
        <v>13</v>
      </c>
    </row>
    <row r="2" spans="1:35" x14ac:dyDescent="0.25">
      <c r="K2" t="s">
        <v>25</v>
      </c>
      <c r="L2" t="s">
        <v>26</v>
      </c>
      <c r="N2" t="s">
        <v>27</v>
      </c>
      <c r="P2" t="s">
        <v>28</v>
      </c>
      <c r="Q2" t="s">
        <v>29</v>
      </c>
      <c r="R2" s="1" t="s">
        <v>30</v>
      </c>
      <c r="T2" t="s">
        <v>31</v>
      </c>
    </row>
    <row r="3" spans="1:35" x14ac:dyDescent="0.25">
      <c r="A3" t="s">
        <v>1</v>
      </c>
      <c r="E3" t="s">
        <v>9</v>
      </c>
      <c r="K3" t="s">
        <v>14</v>
      </c>
      <c r="L3" t="s">
        <v>15</v>
      </c>
      <c r="M3" t="s">
        <v>16</v>
      </c>
      <c r="N3" t="s">
        <v>40</v>
      </c>
      <c r="O3" t="s">
        <v>41</v>
      </c>
      <c r="P3" t="s">
        <v>19</v>
      </c>
      <c r="Q3" t="s">
        <v>39</v>
      </c>
      <c r="R3" t="s">
        <v>42</v>
      </c>
      <c r="S3" t="s">
        <v>22</v>
      </c>
      <c r="T3" t="s">
        <v>43</v>
      </c>
      <c r="U3" t="s">
        <v>24</v>
      </c>
      <c r="X3" t="s">
        <v>39</v>
      </c>
      <c r="Y3">
        <v>75</v>
      </c>
      <c r="Z3" t="s">
        <v>39</v>
      </c>
      <c r="AA3">
        <v>50</v>
      </c>
      <c r="AB3" t="s">
        <v>39</v>
      </c>
      <c r="AC3">
        <v>25</v>
      </c>
    </row>
    <row r="4" spans="1:35" x14ac:dyDescent="0.25">
      <c r="A4" t="s">
        <v>2</v>
      </c>
      <c r="B4">
        <v>8.7225867488631863</v>
      </c>
      <c r="C4" t="s">
        <v>35</v>
      </c>
      <c r="D4">
        <v>2.8826105533005766</v>
      </c>
      <c r="E4" t="s">
        <v>10</v>
      </c>
      <c r="F4">
        <f>$D$4+$B$4*F5+$B$5*F6+$D$5*F5^2+$D$6*F5*F6+$D$7*F6^2</f>
        <v>-0.40945650570307607</v>
      </c>
      <c r="K4">
        <v>0</v>
      </c>
      <c r="L4">
        <f>$B$8</f>
        <v>7.6300851466413997</v>
      </c>
      <c r="M4">
        <f>$B$9</f>
        <v>6.9177831354716002</v>
      </c>
      <c r="N4">
        <f>(($B$4*(L4+$B$11-$B$6)^2+$B$5*(M4-$B$7)^2)-($B$4*(L4-$B$6)^2+$B$5*(M4-$B$7)^2))/$B$11</f>
        <v>12.722983529139142</v>
      </c>
      <c r="O4">
        <f>(($B$4*(L4-$B$6)^2+$B$5*(M4+$B$11-$B$7)^2)-($B$4*(L4-$B$6)^2+$B$5*(M4-$B$7)^2))/$B$11</f>
        <v>-4.78732193166298</v>
      </c>
      <c r="P4" s="2">
        <f>$B$10</f>
        <v>3.0837855159154031E-2</v>
      </c>
      <c r="Q4">
        <f>$D$4+$B$4*L4+$B$5*M4+$D$5*L4^2+$D$6*L4*M4+$D$7*M4^2</f>
        <v>1376.8737685892429</v>
      </c>
      <c r="T4">
        <f t="shared" ref="T4:T35" si="0">ABS(Q4-$F$4)</f>
        <v>1377.2832250949459</v>
      </c>
      <c r="U4">
        <f>SQRT(($F$5-L4)^2+($F$6-M4)^2)</f>
        <v>10.807201465695313</v>
      </c>
      <c r="X4" s="1">
        <v>1</v>
      </c>
      <c r="Y4" s="1">
        <v>1</v>
      </c>
      <c r="Z4" s="1">
        <v>2</v>
      </c>
      <c r="AA4" s="1">
        <v>2</v>
      </c>
      <c r="AB4" s="1">
        <v>3</v>
      </c>
      <c r="AC4" s="1">
        <v>3</v>
      </c>
      <c r="AG4">
        <f>$F$4</f>
        <v>-0.40945650570307607</v>
      </c>
      <c r="AH4">
        <f>$F$5</f>
        <v>-0.83045712925748105</v>
      </c>
      <c r="AI4">
        <f>$F$6</f>
        <v>0.19358594042632851</v>
      </c>
    </row>
    <row r="5" spans="1:35" x14ac:dyDescent="0.25">
      <c r="A5" t="s">
        <v>3</v>
      </c>
      <c r="B5">
        <v>3.4073763237403485</v>
      </c>
      <c r="C5" t="s">
        <v>36</v>
      </c>
      <c r="D5">
        <v>6.2570574053163242</v>
      </c>
      <c r="E5" t="s">
        <v>11</v>
      </c>
      <c r="F5">
        <v>-0.83045712925748105</v>
      </c>
      <c r="K5">
        <v>1</v>
      </c>
      <c r="L5">
        <f>L4-$P4*N4</f>
        <v>7.2377356233775041</v>
      </c>
      <c r="M5">
        <f>M4-$P4*O4</f>
        <v>7.0654138758004645</v>
      </c>
      <c r="N5">
        <f t="shared" ref="N5:N68" si="1">(($B$4*(L5+$B$11-$B$6)^2+$B$5*(M5-$B$7)^2)-($B$4*(L5-$B$6)^2+$B$5*(M5-$B$7)^2))/$B$11</f>
        <v>5.8783780240485584</v>
      </c>
      <c r="O5">
        <f t="shared" ref="O5:O68" si="2">(($B$4*(L5-$B$6)^2+$B$5*(M5+$B$11-$B$7)^2)-($B$4*(L5-$B$6)^2+$B$5*(M5-$B$7)^2))/$B$11</f>
        <v>-3.7812549531563988</v>
      </c>
      <c r="P5" s="2">
        <f t="shared" ref="P5:P68" si="3">$B$10</f>
        <v>3.0837855159154031E-2</v>
      </c>
      <c r="Q5">
        <f t="shared" ref="Q5:Q68" si="4">$D$4+$B$4*L5+$B$5*M5+$D$5*L5^2+$D$6*L5*M5+$D$7*M5^2</f>
        <v>1343.2866480774373</v>
      </c>
      <c r="R5">
        <f>ABS(Q5-Q4)</f>
        <v>33.587120511805551</v>
      </c>
      <c r="S5">
        <f>SQRT((L4-L5)^2+(M4-M5)^2)</f>
        <v>0.41920518114099536</v>
      </c>
      <c r="T5">
        <f t="shared" si="0"/>
        <v>1343.6961045831404</v>
      </c>
      <c r="U5">
        <f t="shared" ref="U5:U68" si="5">SQRT(($F$5-L5)^2+($F$6-M5)^2)</f>
        <v>10.598007051661178</v>
      </c>
      <c r="W5" t="s">
        <v>15</v>
      </c>
      <c r="X5" s="1" t="s">
        <v>32</v>
      </c>
      <c r="Y5" s="1" t="s">
        <v>33</v>
      </c>
      <c r="Z5" s="1" t="s">
        <v>32</v>
      </c>
      <c r="AA5" s="1" t="s">
        <v>33</v>
      </c>
      <c r="AB5" s="1" t="s">
        <v>32</v>
      </c>
      <c r="AC5" s="1" t="s">
        <v>33</v>
      </c>
      <c r="AG5">
        <f t="shared" ref="AG5:AG68" si="6">$F$4</f>
        <v>-0.40945650570307607</v>
      </c>
      <c r="AH5">
        <f t="shared" ref="AH5:AH68" si="7">$F$5</f>
        <v>-0.83045712925748105</v>
      </c>
      <c r="AI5">
        <f t="shared" ref="AI5:AI68" si="8">$F$6</f>
        <v>0.19358594042632851</v>
      </c>
    </row>
    <row r="6" spans="1:35" x14ac:dyDescent="0.25">
      <c r="A6" t="s">
        <v>4</v>
      </c>
      <c r="B6">
        <v>6.9012726218451492</v>
      </c>
      <c r="C6" t="s">
        <v>37</v>
      </c>
      <c r="D6">
        <v>8.6260414441358684</v>
      </c>
      <c r="E6" t="s">
        <v>12</v>
      </c>
      <c r="F6">
        <v>0.19358594042632851</v>
      </c>
      <c r="K6">
        <v>2</v>
      </c>
      <c r="L6">
        <f t="shared" ref="L6:M69" si="9">L5-$P5*N5</f>
        <v>7.0564590533011406</v>
      </c>
      <c r="M6">
        <f t="shared" si="9"/>
        <v>7.1820196683657356</v>
      </c>
      <c r="N6">
        <f t="shared" si="1"/>
        <v>2.7159768079925151</v>
      </c>
      <c r="O6">
        <f t="shared" si="2"/>
        <v>-2.9866153195605705</v>
      </c>
      <c r="P6" s="2">
        <f t="shared" si="3"/>
        <v>3.0837855159154031E-2</v>
      </c>
      <c r="Q6">
        <f t="shared" si="4"/>
        <v>1338.0566969537122</v>
      </c>
      <c r="R6">
        <f t="shared" ref="R6:R69" si="10">ABS(Q6-Q5)</f>
        <v>5.2299511237251863</v>
      </c>
      <c r="S6">
        <f t="shared" ref="S6:S69" si="11">SQRT((L5-L6)^2+(M5-M6)^2)</f>
        <v>0.21554142459960154</v>
      </c>
      <c r="T6">
        <f t="shared" si="0"/>
        <v>1338.4661534594152</v>
      </c>
      <c r="U6">
        <f t="shared" si="5"/>
        <v>10.537630323773278</v>
      </c>
      <c r="W6">
        <v>-1</v>
      </c>
      <c r="X6" t="e">
        <f>$B$7+(-($B$5+$D$6*(W6-$B$6))+SQRT(($B$5+$D$6*(W6-$B$6))^2-4*$D$7*($D$4-$Y$3+$B$4*(W6-$B$6) +$D$5*(W6-$B$6)^2)))/(2*$D$7)</f>
        <v>#NUM!</v>
      </c>
      <c r="Y6" t="e">
        <f>$B$7+(-($B$5+$D$6*(W6-$B$6))-SQRT(($B$5+$D$6*(W6-$B$6))^2-4*$D$7*($D$4-$Y$3+$B$4*(W6-$B$6) +$D$5*(W6-$B$6)^2)))/(2*$D$7)</f>
        <v>#NUM!</v>
      </c>
      <c r="Z6" t="e">
        <f>$B$7+(-($B$5+$D$6*(W6-$B$6))+SQRT(($B$5+$D$6*(W6-$B$6))^2-4*$D$7*($D$4-$AA$3+$B$4*(W6-$B$6) +$D$5*(W6-$B$6)^2)))/(2*$D$7)</f>
        <v>#NUM!</v>
      </c>
      <c r="AA6" t="e">
        <f>$B$7+(-($B$5+$D$6*(W6-$B$6))-SQRT(($B$5+$D$6*(W6-$B$6))^2-4*$D$7*($D$4-$AA$3+$B$4*(W6-$B$6) +$D$5*(W6-$B$6)^2)))/(2*$D$7)</f>
        <v>#NUM!</v>
      </c>
      <c r="AB6" t="e">
        <f>$B$7+(-($B$5+$D$6*(W6-$B$6))+SQRT(($B$5+$D$6*(W6-$B$6))^2-4*$D$7*($D$4-$AC$3+$B$4*(W6-$B$6) +$D$5*(W6-$B$6)^2)))/(2*$D$7)</f>
        <v>#NUM!</v>
      </c>
      <c r="AC6" t="e">
        <f>$B$7+(-($B$5+$D$6*(W6-$B$6))-SQRT(($B$5+$D$6*(W6-$B$6))^2-4*$D$7*($D$4-$AC$3+$B$4*(W6-$B$6) +$D$5*(W6-$B$6)^2)))/(2*$D$7)</f>
        <v>#NUM!</v>
      </c>
      <c r="AG6">
        <f t="shared" si="6"/>
        <v>-0.40945650570307607</v>
      </c>
      <c r="AH6">
        <f t="shared" si="7"/>
        <v>-0.83045712925748105</v>
      </c>
      <c r="AI6">
        <f t="shared" si="8"/>
        <v>0.19358594042632851</v>
      </c>
    </row>
    <row r="7" spans="1:35" x14ac:dyDescent="0.25">
      <c r="A7" t="s">
        <v>5</v>
      </c>
      <c r="B7">
        <v>7.620777001251259</v>
      </c>
      <c r="C7" t="s">
        <v>38</v>
      </c>
      <c r="D7">
        <v>9.701666310617389</v>
      </c>
      <c r="K7">
        <v>3</v>
      </c>
      <c r="L7">
        <f t="shared" si="9"/>
        <v>6.9727041538806462</v>
      </c>
      <c r="M7">
        <f t="shared" si="9"/>
        <v>7.2741204790064549</v>
      </c>
      <c r="N7">
        <f t="shared" si="1"/>
        <v>1.2548580563169209</v>
      </c>
      <c r="O7">
        <f t="shared" si="2"/>
        <v>-2.3589710764113092</v>
      </c>
      <c r="P7" s="2">
        <f t="shared" si="3"/>
        <v>3.0837855159154031E-2</v>
      </c>
      <c r="Q7">
        <f t="shared" si="4"/>
        <v>1343.555616907687</v>
      </c>
      <c r="R7">
        <f t="shared" si="10"/>
        <v>5.4989199539747915</v>
      </c>
      <c r="S7">
        <f t="shared" si="11"/>
        <v>0.12448872437941826</v>
      </c>
      <c r="T7">
        <f t="shared" si="0"/>
        <v>1343.96507341339</v>
      </c>
      <c r="U7">
        <f t="shared" si="5"/>
        <v>10.5367592438421</v>
      </c>
      <c r="W7">
        <v>0</v>
      </c>
      <c r="X7" t="e">
        <f t="shared" ref="X7:X27" si="12">$B$7+(-($B$5+$D$6*(W7-$B$6))+SQRT(($B$5+$D$6*(W7-$B$6))^2-4*$D$7*($D$4-$Y$3+$B$4*(W7-$B$6) +$D$5*(W7-$B$6)^2)))/(2*$D$7)</f>
        <v>#NUM!</v>
      </c>
      <c r="Y7" t="e">
        <f t="shared" ref="Y7:Y27" si="13">$B$7+(-($B$5+$D$6*(W7-$B$6))-SQRT(($B$5+$D$6*(W7-$B$6))^2-4*$D$7*($D$4-$Y$3+$B$4*(W7-$B$6) +$D$5*(W7-$B$6)^2)))/(2*$D$7)</f>
        <v>#NUM!</v>
      </c>
      <c r="Z7" t="e">
        <f t="shared" ref="Z7:Z27" si="14">$B$7+(-($B$5+$D$6*(W7-$B$6))+SQRT(($B$5+$D$6*(W7-$B$6))^2-4*$D$7*($D$4-$AA$3+$B$4*(W7-$B$6) +$D$5*(W7-$B$6)^2)))/(2*$D$7)</f>
        <v>#NUM!</v>
      </c>
      <c r="AA7" t="e">
        <f t="shared" ref="AA7:AA27" si="15">$B$7+(-($B$5+$D$6*(W7-$B$6))-SQRT(($B$5+$D$6*(W7-$B$6))^2-4*$D$7*($D$4-$AA$3+$B$4*(W7-$B$6) +$D$5*(W7-$B$6)^2)))/(2*$D$7)</f>
        <v>#NUM!</v>
      </c>
      <c r="AB7" t="e">
        <f t="shared" ref="AB7:AB27" si="16">$B$7+(-($B$5+$D$6*(W7-$B$6))+SQRT(($B$5+$D$6*(W7-$B$6))^2-4*$D$7*($D$4-$AC$3+$B$4*(W7-$B$6) +$D$5*(W7-$B$6)^2)))/(2*$D$7)</f>
        <v>#NUM!</v>
      </c>
      <c r="AC7" t="e">
        <f t="shared" ref="AC7:AC27" si="17">$B$7+(-($B$5+$D$6*(W7-$B$6))-SQRT(($B$5+$D$6*(W7-$B$6))^2-4*$D$7*($D$4-$AC$3+$B$4*(W7-$B$6) +$D$5*(W7-$B$6)^2)))/(2*$D$7)</f>
        <v>#NUM!</v>
      </c>
      <c r="AG7">
        <f t="shared" si="6"/>
        <v>-0.40945650570307607</v>
      </c>
      <c r="AH7">
        <f t="shared" si="7"/>
        <v>-0.83045712925748105</v>
      </c>
      <c r="AI7">
        <f t="shared" si="8"/>
        <v>0.19358594042632851</v>
      </c>
    </row>
    <row r="8" spans="1:35" x14ac:dyDescent="0.25">
      <c r="A8" t="s">
        <v>6</v>
      </c>
      <c r="B8">
        <v>7.6300851466413997</v>
      </c>
      <c r="K8">
        <v>4</v>
      </c>
      <c r="L8">
        <f t="shared" si="9"/>
        <v>6.9340070228946473</v>
      </c>
      <c r="M8">
        <f t="shared" si="9"/>
        <v>7.3468660873854601</v>
      </c>
      <c r="N8">
        <f t="shared" si="1"/>
        <v>0.57977989240171057</v>
      </c>
      <c r="O8">
        <f t="shared" si="2"/>
        <v>-1.8632277491176796</v>
      </c>
      <c r="P8" s="2">
        <f t="shared" si="3"/>
        <v>3.0837855159154031E-2</v>
      </c>
      <c r="Q8">
        <f t="shared" si="4"/>
        <v>1352.3405410721291</v>
      </c>
      <c r="R8">
        <f t="shared" si="10"/>
        <v>8.7849241644421454</v>
      </c>
      <c r="S8">
        <f t="shared" si="11"/>
        <v>8.2397763834822335E-2</v>
      </c>
      <c r="T8">
        <f t="shared" si="0"/>
        <v>1352.7499975778321</v>
      </c>
      <c r="U8">
        <f t="shared" si="5"/>
        <v>10.557287550831186</v>
      </c>
      <c r="W8">
        <v>1</v>
      </c>
      <c r="X8" t="e">
        <f t="shared" si="12"/>
        <v>#NUM!</v>
      </c>
      <c r="Y8" t="e">
        <f t="shared" si="13"/>
        <v>#NUM!</v>
      </c>
      <c r="Z8" t="e">
        <f t="shared" si="14"/>
        <v>#NUM!</v>
      </c>
      <c r="AA8" t="e">
        <f t="shared" si="15"/>
        <v>#NUM!</v>
      </c>
      <c r="AB8" t="e">
        <f t="shared" si="16"/>
        <v>#NUM!</v>
      </c>
      <c r="AC8" t="e">
        <f t="shared" si="17"/>
        <v>#NUM!</v>
      </c>
      <c r="AG8">
        <f t="shared" si="6"/>
        <v>-0.40945650570307607</v>
      </c>
      <c r="AH8">
        <f t="shared" si="7"/>
        <v>-0.83045712925748105</v>
      </c>
      <c r="AI8">
        <f t="shared" si="8"/>
        <v>0.19358594042632851</v>
      </c>
    </row>
    <row r="9" spans="1:35" x14ac:dyDescent="0.25">
      <c r="A9" t="s">
        <v>7</v>
      </c>
      <c r="B9">
        <v>6.9177831354716002</v>
      </c>
      <c r="K9">
        <v>5</v>
      </c>
      <c r="L9">
        <f t="shared" si="9"/>
        <v>6.9161278545485736</v>
      </c>
      <c r="M9">
        <f t="shared" si="9"/>
        <v>7.4043240348412676</v>
      </c>
      <c r="N9">
        <f t="shared" si="1"/>
        <v>0.26787469860928281</v>
      </c>
      <c r="O9">
        <f t="shared" si="2"/>
        <v>-1.4716660495742995</v>
      </c>
      <c r="P9" s="2">
        <f t="shared" si="3"/>
        <v>3.0837855159154031E-2</v>
      </c>
      <c r="Q9">
        <f t="shared" si="4"/>
        <v>1361.3486040410301</v>
      </c>
      <c r="R9">
        <f t="shared" si="10"/>
        <v>9.0080629689009584</v>
      </c>
      <c r="S9">
        <f t="shared" si="11"/>
        <v>6.017541347246045E-2</v>
      </c>
      <c r="T9">
        <f t="shared" si="0"/>
        <v>1361.7580605467331</v>
      </c>
      <c r="U9">
        <f t="shared" si="5"/>
        <v>10.583209474331321</v>
      </c>
      <c r="W9">
        <v>2</v>
      </c>
      <c r="X9">
        <f t="shared" si="12"/>
        <v>10.224311164948551</v>
      </c>
      <c r="Y9">
        <f t="shared" si="13"/>
        <v>9.0238952204301111</v>
      </c>
      <c r="Z9" t="e">
        <f t="shared" si="14"/>
        <v>#NUM!</v>
      </c>
      <c r="AA9" t="e">
        <f t="shared" si="15"/>
        <v>#NUM!</v>
      </c>
      <c r="AB9" t="e">
        <f t="shared" si="16"/>
        <v>#NUM!</v>
      </c>
      <c r="AC9" t="e">
        <f t="shared" si="17"/>
        <v>#NUM!</v>
      </c>
      <c r="AG9">
        <f t="shared" si="6"/>
        <v>-0.40945650570307607</v>
      </c>
      <c r="AH9">
        <f t="shared" si="7"/>
        <v>-0.83045712925748105</v>
      </c>
      <c r="AI9">
        <f t="shared" si="8"/>
        <v>0.19358594042632851</v>
      </c>
    </row>
    <row r="10" spans="1:35" x14ac:dyDescent="0.25">
      <c r="A10" t="s">
        <v>8</v>
      </c>
      <c r="B10">
        <v>3.0837855159154031E-2</v>
      </c>
      <c r="K10">
        <v>6</v>
      </c>
      <c r="L10">
        <f t="shared" si="9"/>
        <v>6.9078671733920585</v>
      </c>
      <c r="M10">
        <f t="shared" si="9"/>
        <v>7.4497070593206844</v>
      </c>
      <c r="N10">
        <f t="shared" si="1"/>
        <v>0.12376568262444099</v>
      </c>
      <c r="O10">
        <f t="shared" si="2"/>
        <v>-1.1623919633523965</v>
      </c>
      <c r="P10" s="2">
        <f t="shared" si="3"/>
        <v>3.0837855159154031E-2</v>
      </c>
      <c r="Q10">
        <f t="shared" si="4"/>
        <v>1369.4334070801183</v>
      </c>
      <c r="R10">
        <f t="shared" si="10"/>
        <v>8.0848030390882286</v>
      </c>
      <c r="S10">
        <f t="shared" si="11"/>
        <v>4.6128708675497912E-2</v>
      </c>
      <c r="T10">
        <f t="shared" si="0"/>
        <v>1369.8428635858213</v>
      </c>
      <c r="U10">
        <f t="shared" si="5"/>
        <v>10.608155198008802</v>
      </c>
      <c r="W10">
        <v>3</v>
      </c>
      <c r="X10">
        <f t="shared" si="12"/>
        <v>11.064945734077789</v>
      </c>
      <c r="Y10">
        <f t="shared" si="13"/>
        <v>7.294130767015365</v>
      </c>
      <c r="Z10">
        <f t="shared" si="14"/>
        <v>10.16841865741935</v>
      </c>
      <c r="AA10">
        <f t="shared" si="15"/>
        <v>8.1906578436738027</v>
      </c>
      <c r="AB10" t="e">
        <f t="shared" si="16"/>
        <v>#NUM!</v>
      </c>
      <c r="AC10" t="e">
        <f t="shared" si="17"/>
        <v>#NUM!</v>
      </c>
      <c r="AG10">
        <f t="shared" si="6"/>
        <v>-0.40945650570307607</v>
      </c>
      <c r="AH10">
        <f t="shared" si="7"/>
        <v>-0.83045712925748105</v>
      </c>
      <c r="AI10">
        <f t="shared" si="8"/>
        <v>0.19358594042632851</v>
      </c>
    </row>
    <row r="11" spans="1:35" x14ac:dyDescent="0.25">
      <c r="A11" t="s">
        <v>34</v>
      </c>
      <c r="B11">
        <v>1E-3</v>
      </c>
      <c r="K11">
        <v>7</v>
      </c>
      <c r="L11">
        <f t="shared" si="9"/>
        <v>6.9040505051976124</v>
      </c>
      <c r="M11">
        <f t="shared" si="9"/>
        <v>7.4855527343247106</v>
      </c>
      <c r="N11">
        <f t="shared" si="1"/>
        <v>5.7183243789053761E-2</v>
      </c>
      <c r="O11">
        <f t="shared" si="2"/>
        <v>-0.91811255471789532</v>
      </c>
      <c r="P11" s="2">
        <f t="shared" si="3"/>
        <v>3.0837855159154031E-2</v>
      </c>
      <c r="Q11">
        <f t="shared" si="4"/>
        <v>1376.2758500488746</v>
      </c>
      <c r="R11">
        <f t="shared" si="10"/>
        <v>6.8424429687563588</v>
      </c>
      <c r="S11">
        <f t="shared" si="11"/>
        <v>3.6048292228630749E-2</v>
      </c>
      <c r="T11">
        <f t="shared" si="0"/>
        <v>1376.6853065545777</v>
      </c>
      <c r="U11">
        <f t="shared" si="5"/>
        <v>10.629928883617273</v>
      </c>
      <c r="W11">
        <v>4</v>
      </c>
      <c r="X11">
        <f t="shared" si="12"/>
        <v>11.154612905201873</v>
      </c>
      <c r="Y11">
        <f t="shared" si="13"/>
        <v>6.3153337116057715</v>
      </c>
      <c r="Z11">
        <f t="shared" si="14"/>
        <v>10.545437022078966</v>
      </c>
      <c r="AA11">
        <f t="shared" si="15"/>
        <v>6.9245095947286766</v>
      </c>
      <c r="AB11">
        <f t="shared" si="16"/>
        <v>9.5721721728773499</v>
      </c>
      <c r="AC11">
        <f t="shared" si="17"/>
        <v>7.8977744439302935</v>
      </c>
      <c r="AG11">
        <f t="shared" si="6"/>
        <v>-0.40945650570307607</v>
      </c>
      <c r="AH11">
        <f t="shared" si="7"/>
        <v>-0.83045712925748105</v>
      </c>
      <c r="AI11">
        <f t="shared" si="8"/>
        <v>0.19358594042632851</v>
      </c>
    </row>
    <row r="12" spans="1:35" x14ac:dyDescent="0.25">
      <c r="K12">
        <v>8</v>
      </c>
      <c r="L12">
        <f t="shared" si="9"/>
        <v>6.9022870966081147</v>
      </c>
      <c r="M12">
        <f t="shared" si="9"/>
        <v>7.5138653563069022</v>
      </c>
      <c r="N12">
        <f t="shared" si="1"/>
        <v>2.6420274997877857E-2</v>
      </c>
      <c r="O12">
        <f t="shared" si="2"/>
        <v>-0.72516903910756902</v>
      </c>
      <c r="P12" s="2">
        <f t="shared" si="3"/>
        <v>3.0837855159154031E-2</v>
      </c>
      <c r="Q12">
        <f t="shared" si="4"/>
        <v>1381.896491417082</v>
      </c>
      <c r="R12">
        <f t="shared" si="10"/>
        <v>5.6206413682073162</v>
      </c>
      <c r="S12">
        <f t="shared" si="11"/>
        <v>2.8367484438349411E-2</v>
      </c>
      <c r="T12">
        <f t="shared" si="0"/>
        <v>1382.305947922785</v>
      </c>
      <c r="U12">
        <f t="shared" si="5"/>
        <v>10.648090156888349</v>
      </c>
      <c r="W12">
        <v>5</v>
      </c>
      <c r="X12">
        <f t="shared" si="12"/>
        <v>10.984834614699896</v>
      </c>
      <c r="Y12">
        <f t="shared" si="13"/>
        <v>5.5959821178222384</v>
      </c>
      <c r="Z12">
        <f t="shared" si="14"/>
        <v>10.454445308740908</v>
      </c>
      <c r="AA12">
        <f t="shared" si="15"/>
        <v>6.1263714237812241</v>
      </c>
      <c r="AB12">
        <f t="shared" si="16"/>
        <v>9.7416764216384557</v>
      </c>
      <c r="AC12">
        <f t="shared" si="17"/>
        <v>6.8391403108836766</v>
      </c>
      <c r="AG12">
        <f t="shared" si="6"/>
        <v>-0.40945650570307607</v>
      </c>
      <c r="AH12">
        <f t="shared" si="7"/>
        <v>-0.83045712925748105</v>
      </c>
      <c r="AI12">
        <f t="shared" si="8"/>
        <v>0.19358594042632851</v>
      </c>
    </row>
    <row r="13" spans="1:35" x14ac:dyDescent="0.25">
      <c r="K13">
        <v>9</v>
      </c>
      <c r="L13">
        <f t="shared" si="9"/>
        <v>6.9014723519944647</v>
      </c>
      <c r="M13">
        <f t="shared" si="9"/>
        <v>7.5362280141008045</v>
      </c>
      <c r="N13">
        <f t="shared" si="1"/>
        <v>1.2206913856404461E-2</v>
      </c>
      <c r="O13">
        <f t="shared" si="2"/>
        <v>-0.57277305770182108</v>
      </c>
      <c r="P13" s="2">
        <f t="shared" si="3"/>
        <v>3.0837855159154031E-2</v>
      </c>
      <c r="Q13">
        <f t="shared" si="4"/>
        <v>1386.4389009402771</v>
      </c>
      <c r="R13">
        <f t="shared" si="10"/>
        <v>4.5424095231951469</v>
      </c>
      <c r="S13">
        <f t="shared" si="11"/>
        <v>2.2377494774720601E-2</v>
      </c>
      <c r="T13">
        <f t="shared" si="0"/>
        <v>1386.8483574459801</v>
      </c>
      <c r="U13">
        <f t="shared" si="5"/>
        <v>10.662885450249741</v>
      </c>
      <c r="W13">
        <v>6</v>
      </c>
      <c r="X13">
        <f t="shared" si="12"/>
        <v>10.633421668509813</v>
      </c>
      <c r="Y13">
        <f t="shared" si="13"/>
        <v>5.0582651797268099</v>
      </c>
      <c r="Z13">
        <f t="shared" si="14"/>
        <v>10.124815900640609</v>
      </c>
      <c r="AA13">
        <f t="shared" si="15"/>
        <v>5.5668709475960139</v>
      </c>
      <c r="AB13">
        <f t="shared" si="16"/>
        <v>9.4635079841824616</v>
      </c>
      <c r="AC13">
        <f t="shared" si="17"/>
        <v>6.2281788640541613</v>
      </c>
      <c r="AG13">
        <f t="shared" si="6"/>
        <v>-0.40945650570307607</v>
      </c>
      <c r="AH13">
        <f t="shared" si="7"/>
        <v>-0.83045712925748105</v>
      </c>
      <c r="AI13">
        <f t="shared" si="8"/>
        <v>0.19358594042632851</v>
      </c>
    </row>
    <row r="14" spans="1:35" x14ac:dyDescent="0.25">
      <c r="K14">
        <v>10</v>
      </c>
      <c r="L14">
        <f t="shared" si="9"/>
        <v>6.9010959169530208</v>
      </c>
      <c r="M14">
        <f t="shared" si="9"/>
        <v>7.5538911066932792</v>
      </c>
      <c r="N14">
        <f t="shared" si="1"/>
        <v>5.6399392477906457E-3</v>
      </c>
      <c r="O14">
        <f t="shared" si="2"/>
        <v>-0.45240345069451871</v>
      </c>
      <c r="P14" s="2">
        <f t="shared" si="3"/>
        <v>3.0837855159154031E-2</v>
      </c>
      <c r="Q14">
        <f t="shared" si="4"/>
        <v>1390.0761539010928</v>
      </c>
      <c r="R14">
        <f t="shared" si="10"/>
        <v>3.6372529608156583</v>
      </c>
      <c r="S14">
        <f t="shared" si="11"/>
        <v>1.7667103420503441E-2</v>
      </c>
      <c r="T14">
        <f t="shared" si="0"/>
        <v>1390.4856104067958</v>
      </c>
      <c r="U14">
        <f t="shared" si="5"/>
        <v>10.674783587827102</v>
      </c>
      <c r="W14">
        <v>7</v>
      </c>
      <c r="X14">
        <f t="shared" si="12"/>
        <v>10.119114893421074</v>
      </c>
      <c r="Y14">
        <f t="shared" si="13"/>
        <v>4.6834420705300399</v>
      </c>
      <c r="Z14">
        <f t="shared" si="14"/>
        <v>9.5943944933895473</v>
      </c>
      <c r="AA14">
        <f t="shared" si="15"/>
        <v>5.2081624705615654</v>
      </c>
      <c r="AB14">
        <f t="shared" si="16"/>
        <v>8.8955612261915853</v>
      </c>
      <c r="AC14">
        <f t="shared" si="17"/>
        <v>5.9069957377595292</v>
      </c>
      <c r="AG14">
        <f t="shared" si="6"/>
        <v>-0.40945650570307607</v>
      </c>
      <c r="AH14">
        <f t="shared" si="7"/>
        <v>-0.83045712925748105</v>
      </c>
      <c r="AI14">
        <f t="shared" si="8"/>
        <v>0.19358594042632851</v>
      </c>
    </row>
    <row r="15" spans="1:35" x14ac:dyDescent="0.25">
      <c r="K15">
        <v>11</v>
      </c>
      <c r="L15">
        <f t="shared" si="9"/>
        <v>6.900921993323391</v>
      </c>
      <c r="M15">
        <f t="shared" si="9"/>
        <v>7.5678422587792982</v>
      </c>
      <c r="N15">
        <f t="shared" si="1"/>
        <v>2.605811353542653E-3</v>
      </c>
      <c r="O15">
        <f t="shared" si="2"/>
        <v>-0.35732980008088172</v>
      </c>
      <c r="P15" s="2">
        <f t="shared" si="3"/>
        <v>3.0837855159154031E-2</v>
      </c>
      <c r="Q15">
        <f t="shared" si="4"/>
        <v>1392.9730177401111</v>
      </c>
      <c r="R15">
        <f t="shared" si="10"/>
        <v>2.8968638390183514</v>
      </c>
      <c r="S15">
        <f t="shared" si="11"/>
        <v>1.3952236163288455E-2</v>
      </c>
      <c r="T15">
        <f t="shared" si="0"/>
        <v>1393.3824742458141</v>
      </c>
      <c r="U15">
        <f t="shared" si="5"/>
        <v>10.684281884424806</v>
      </c>
      <c r="W15">
        <v>8</v>
      </c>
      <c r="X15">
        <f t="shared" si="12"/>
        <v>9.4281624429256521</v>
      </c>
      <c r="Y15">
        <f t="shared" si="13"/>
        <v>4.4852646367399513</v>
      </c>
      <c r="Z15">
        <f t="shared" si="14"/>
        <v>8.8358576962881337</v>
      </c>
      <c r="AA15">
        <f t="shared" si="15"/>
        <v>5.0775693833774689</v>
      </c>
      <c r="AB15">
        <f t="shared" si="16"/>
        <v>7.9335993268527538</v>
      </c>
      <c r="AC15">
        <f t="shared" si="17"/>
        <v>5.9798277528128496</v>
      </c>
      <c r="AG15">
        <f t="shared" si="6"/>
        <v>-0.40945650570307607</v>
      </c>
      <c r="AH15">
        <f t="shared" si="7"/>
        <v>-0.83045712925748105</v>
      </c>
      <c r="AI15">
        <f t="shared" si="8"/>
        <v>0.19358594042632851</v>
      </c>
    </row>
    <row r="16" spans="1:35" x14ac:dyDescent="0.25">
      <c r="K16" s="6">
        <v>12</v>
      </c>
      <c r="L16">
        <f t="shared" si="9"/>
        <v>6.9008416356902984</v>
      </c>
      <c r="M16">
        <f t="shared" si="9"/>
        <v>7.5788615433982418</v>
      </c>
      <c r="N16">
        <f t="shared" si="1"/>
        <v>1.2039585023755281E-3</v>
      </c>
      <c r="O16">
        <f t="shared" si="2"/>
        <v>-0.28223610105056718</v>
      </c>
      <c r="P16" s="2">
        <f t="shared" si="3"/>
        <v>3.0837855159154031E-2</v>
      </c>
      <c r="Q16">
        <f t="shared" si="4"/>
        <v>1395.2728874433924</v>
      </c>
      <c r="R16" s="6">
        <f t="shared" si="10"/>
        <v>2.2998697032812743</v>
      </c>
      <c r="S16">
        <f t="shared" si="11"/>
        <v>1.1019577617244865E-2</v>
      </c>
      <c r="T16">
        <f t="shared" si="0"/>
        <v>1395.6823439490954</v>
      </c>
      <c r="U16">
        <f t="shared" si="5"/>
        <v>10.69183222486844</v>
      </c>
      <c r="W16">
        <v>9</v>
      </c>
      <c r="X16">
        <f t="shared" si="12"/>
        <v>8.4957985749451659</v>
      </c>
      <c r="Y16">
        <f t="shared" si="13"/>
        <v>4.5284986204349291</v>
      </c>
      <c r="Z16">
        <f t="shared" si="14"/>
        <v>7.6774770116599456</v>
      </c>
      <c r="AA16">
        <f t="shared" si="15"/>
        <v>5.3468201837201486</v>
      </c>
      <c r="AB16" t="e">
        <f t="shared" si="16"/>
        <v>#NUM!</v>
      </c>
      <c r="AC16" t="e">
        <f t="shared" si="17"/>
        <v>#NUM!</v>
      </c>
      <c r="AG16">
        <f t="shared" si="6"/>
        <v>-0.40945650570307607</v>
      </c>
      <c r="AH16">
        <f t="shared" si="7"/>
        <v>-0.83045712925748105</v>
      </c>
      <c r="AI16">
        <f t="shared" si="8"/>
        <v>0.19358594042632851</v>
      </c>
    </row>
    <row r="17" spans="11:35" x14ac:dyDescent="0.25">
      <c r="K17" s="6">
        <v>13</v>
      </c>
      <c r="L17">
        <f t="shared" si="9"/>
        <v>6.9008045081923841</v>
      </c>
      <c r="M17">
        <f t="shared" si="9"/>
        <v>7.5875650994031236</v>
      </c>
      <c r="N17">
        <f t="shared" si="1"/>
        <v>5.5626285972451908E-4</v>
      </c>
      <c r="O17">
        <f t="shared" si="2"/>
        <v>-0.22292351972378255</v>
      </c>
      <c r="P17" s="2">
        <f t="shared" si="3"/>
        <v>3.0837855159154031E-2</v>
      </c>
      <c r="Q17">
        <f t="shared" si="4"/>
        <v>1397.0953175699192</v>
      </c>
      <c r="R17">
        <f t="shared" si="10"/>
        <v>1.8224301265267968</v>
      </c>
      <c r="S17">
        <f t="shared" si="11"/>
        <v>8.7036351934818446E-3</v>
      </c>
      <c r="T17">
        <f t="shared" si="0"/>
        <v>1397.5047740756222</v>
      </c>
      <c r="U17">
        <f t="shared" si="5"/>
        <v>10.697819138034031</v>
      </c>
      <c r="W17">
        <v>10</v>
      </c>
      <c r="X17">
        <f t="shared" si="12"/>
        <v>6.9987428333333321</v>
      </c>
      <c r="Y17">
        <f t="shared" si="13"/>
        <v>5.1364244777612518</v>
      </c>
      <c r="Z17" t="e">
        <f t="shared" si="14"/>
        <v>#NUM!</v>
      </c>
      <c r="AA17" t="e">
        <f t="shared" si="15"/>
        <v>#NUM!</v>
      </c>
      <c r="AB17" t="e">
        <f t="shared" si="16"/>
        <v>#NUM!</v>
      </c>
      <c r="AC17" t="e">
        <f t="shared" si="17"/>
        <v>#NUM!</v>
      </c>
      <c r="AG17">
        <f t="shared" si="6"/>
        <v>-0.40945650570307607</v>
      </c>
      <c r="AH17">
        <f t="shared" si="7"/>
        <v>-0.83045712925748105</v>
      </c>
      <c r="AI17">
        <f t="shared" si="8"/>
        <v>0.19358594042632851</v>
      </c>
    </row>
    <row r="18" spans="11:35" x14ac:dyDescent="0.25">
      <c r="K18" s="6">
        <v>14</v>
      </c>
      <c r="L18">
        <f t="shared" si="9"/>
        <v>6.9007873542388856</v>
      </c>
      <c r="M18">
        <f t="shared" si="9"/>
        <v>7.5944395826159345</v>
      </c>
      <c r="N18">
        <f t="shared" si="1"/>
        <v>2.570091647701063E-4</v>
      </c>
      <c r="O18">
        <f t="shared" si="2"/>
        <v>-0.17607561704920202</v>
      </c>
      <c r="P18" s="2">
        <f t="shared" si="3"/>
        <v>3.0837855159154031E-2</v>
      </c>
      <c r="Q18">
        <f t="shared" si="4"/>
        <v>1398.5377493013134</v>
      </c>
      <c r="R18">
        <f t="shared" si="10"/>
        <v>1.4424317313942083</v>
      </c>
      <c r="S18">
        <f t="shared" si="11"/>
        <v>6.8745046149769808E-3</v>
      </c>
      <c r="T18">
        <f t="shared" si="0"/>
        <v>1398.9472058070164</v>
      </c>
      <c r="U18">
        <f t="shared" si="5"/>
        <v>10.702559315262128</v>
      </c>
      <c r="W18">
        <v>11</v>
      </c>
      <c r="X18" t="e">
        <f t="shared" si="12"/>
        <v>#NUM!</v>
      </c>
      <c r="Y18" t="e">
        <f t="shared" si="13"/>
        <v>#NUM!</v>
      </c>
      <c r="Z18" t="e">
        <f t="shared" si="14"/>
        <v>#NUM!</v>
      </c>
      <c r="AA18" t="e">
        <f t="shared" si="15"/>
        <v>#NUM!</v>
      </c>
      <c r="AB18" t="e">
        <f t="shared" si="16"/>
        <v>#NUM!</v>
      </c>
      <c r="AC18" t="e">
        <f t="shared" si="17"/>
        <v>#NUM!</v>
      </c>
      <c r="AG18">
        <f t="shared" si="6"/>
        <v>-0.40945650570307607</v>
      </c>
      <c r="AH18">
        <f t="shared" si="7"/>
        <v>-0.83045712925748105</v>
      </c>
      <c r="AI18">
        <f t="shared" si="8"/>
        <v>0.19358594042632851</v>
      </c>
    </row>
    <row r="19" spans="11:35" x14ac:dyDescent="0.25">
      <c r="K19" s="6">
        <v>15</v>
      </c>
      <c r="L19">
        <f t="shared" si="9"/>
        <v>6.9007794286274882</v>
      </c>
      <c r="M19">
        <f t="shared" si="9"/>
        <v>7.5998693769915562</v>
      </c>
      <c r="N19">
        <f t="shared" si="1"/>
        <v>1.18745498866972E-4</v>
      </c>
      <c r="O19">
        <f t="shared" si="2"/>
        <v>-0.13907291145264628</v>
      </c>
      <c r="P19" s="2">
        <f t="shared" si="3"/>
        <v>3.0837855159154031E-2</v>
      </c>
      <c r="Q19">
        <f t="shared" si="4"/>
        <v>1399.6786006601919</v>
      </c>
      <c r="R19">
        <f t="shared" si="10"/>
        <v>1.1408513588785354</v>
      </c>
      <c r="S19" s="6">
        <f t="shared" si="11"/>
        <v>5.4298001599366744E-3</v>
      </c>
      <c r="T19">
        <f t="shared" si="0"/>
        <v>1400.088057165895</v>
      </c>
      <c r="U19">
        <f t="shared" si="5"/>
        <v>10.70630903050708</v>
      </c>
      <c r="W19">
        <v>12</v>
      </c>
      <c r="X19" t="e">
        <f t="shared" si="12"/>
        <v>#NUM!</v>
      </c>
      <c r="Y19" t="e">
        <f t="shared" si="13"/>
        <v>#NUM!</v>
      </c>
      <c r="Z19" t="e">
        <f t="shared" si="14"/>
        <v>#NUM!</v>
      </c>
      <c r="AA19" t="e">
        <f t="shared" si="15"/>
        <v>#NUM!</v>
      </c>
      <c r="AB19" t="e">
        <f t="shared" si="16"/>
        <v>#NUM!</v>
      </c>
      <c r="AC19" t="e">
        <f t="shared" si="17"/>
        <v>#NUM!</v>
      </c>
      <c r="AG19">
        <f t="shared" si="6"/>
        <v>-0.40945650570307607</v>
      </c>
      <c r="AH19">
        <f t="shared" si="7"/>
        <v>-0.83045712925748105</v>
      </c>
      <c r="AI19">
        <f t="shared" si="8"/>
        <v>0.19358594042632851</v>
      </c>
    </row>
    <row r="20" spans="11:35" x14ac:dyDescent="0.25">
      <c r="K20">
        <v>16</v>
      </c>
      <c r="L20">
        <f t="shared" si="9"/>
        <v>6.9007757667709937</v>
      </c>
      <c r="M20">
        <f t="shared" si="9"/>
        <v>7.6041580872914949</v>
      </c>
      <c r="N20">
        <f t="shared" si="1"/>
        <v>5.4863776997068729E-5</v>
      </c>
      <c r="O20">
        <f t="shared" si="2"/>
        <v>-0.10984641158185164</v>
      </c>
      <c r="P20" s="2">
        <f t="shared" si="3"/>
        <v>3.0837855159154031E-2</v>
      </c>
      <c r="Q20">
        <f t="shared" si="4"/>
        <v>1400.5805207157537</v>
      </c>
      <c r="R20">
        <f t="shared" si="10"/>
        <v>0.90192005556173171</v>
      </c>
      <c r="S20">
        <f t="shared" si="11"/>
        <v>4.2887118632514119E-3</v>
      </c>
      <c r="T20">
        <f t="shared" si="0"/>
        <v>1400.9899772214567</v>
      </c>
      <c r="U20">
        <f t="shared" si="5"/>
        <v>10.709273627866954</v>
      </c>
      <c r="W20">
        <v>13</v>
      </c>
      <c r="X20" t="e">
        <f t="shared" si="12"/>
        <v>#NUM!</v>
      </c>
      <c r="Y20" t="e">
        <f t="shared" si="13"/>
        <v>#NUM!</v>
      </c>
      <c r="Z20" t="e">
        <f t="shared" si="14"/>
        <v>#NUM!</v>
      </c>
      <c r="AA20" t="e">
        <f t="shared" si="15"/>
        <v>#NUM!</v>
      </c>
      <c r="AB20" t="e">
        <f t="shared" si="16"/>
        <v>#NUM!</v>
      </c>
      <c r="AC20" t="e">
        <f t="shared" si="17"/>
        <v>#NUM!</v>
      </c>
      <c r="AG20">
        <f t="shared" si="6"/>
        <v>-0.40945650570307607</v>
      </c>
      <c r="AH20">
        <f t="shared" si="7"/>
        <v>-0.83045712925748105</v>
      </c>
      <c r="AI20">
        <f t="shared" si="8"/>
        <v>0.19358594042632851</v>
      </c>
    </row>
    <row r="21" spans="11:35" x14ac:dyDescent="0.25">
      <c r="K21">
        <v>17</v>
      </c>
      <c r="L21">
        <f t="shared" si="9"/>
        <v>6.9007740748897852</v>
      </c>
      <c r="M21">
        <f t="shared" si="9"/>
        <v>7.6075455150216085</v>
      </c>
      <c r="N21">
        <f t="shared" si="1"/>
        <v>2.5348615777915327E-5</v>
      </c>
      <c r="O21">
        <f t="shared" si="2"/>
        <v>-8.6761929489902884E-2</v>
      </c>
      <c r="P21" s="2">
        <f t="shared" si="3"/>
        <v>3.0837855159154031E-2</v>
      </c>
      <c r="Q21">
        <f t="shared" si="4"/>
        <v>1401.2933451342869</v>
      </c>
      <c r="R21">
        <f t="shared" si="10"/>
        <v>0.71282441853327327</v>
      </c>
      <c r="S21">
        <f t="shared" si="11"/>
        <v>3.3874281526261865E-3</v>
      </c>
      <c r="T21">
        <f t="shared" si="0"/>
        <v>1401.70280163999</v>
      </c>
      <c r="U21">
        <f t="shared" si="5"/>
        <v>10.711616708308481</v>
      </c>
      <c r="W21">
        <v>14</v>
      </c>
      <c r="X21" t="e">
        <f t="shared" si="12"/>
        <v>#NUM!</v>
      </c>
      <c r="Y21" t="e">
        <f t="shared" si="13"/>
        <v>#NUM!</v>
      </c>
      <c r="Z21" t="e">
        <f t="shared" si="14"/>
        <v>#NUM!</v>
      </c>
      <c r="AA21" t="e">
        <f t="shared" si="15"/>
        <v>#NUM!</v>
      </c>
      <c r="AB21" t="e">
        <f t="shared" si="16"/>
        <v>#NUM!</v>
      </c>
      <c r="AC21" t="e">
        <f t="shared" si="17"/>
        <v>#NUM!</v>
      </c>
      <c r="AG21">
        <f t="shared" si="6"/>
        <v>-0.40945650570307607</v>
      </c>
      <c r="AH21">
        <f t="shared" si="7"/>
        <v>-0.83045712925748105</v>
      </c>
      <c r="AI21">
        <f t="shared" si="8"/>
        <v>0.19358594042632851</v>
      </c>
    </row>
    <row r="22" spans="11:35" x14ac:dyDescent="0.25">
      <c r="K22">
        <v>18</v>
      </c>
      <c r="L22">
        <f t="shared" si="9"/>
        <v>6.9007732931928434</v>
      </c>
      <c r="M22">
        <f t="shared" si="9"/>
        <v>7.6102210668365471</v>
      </c>
      <c r="N22">
        <f t="shared" si="1"/>
        <v>1.1711777004805302E-5</v>
      </c>
      <c r="O22">
        <f t="shared" si="2"/>
        <v>-6.8528705675572052E-2</v>
      </c>
      <c r="P22" s="2">
        <f t="shared" si="3"/>
        <v>3.0837855159154031E-2</v>
      </c>
      <c r="Q22">
        <f t="shared" si="4"/>
        <v>1401.8566142748291</v>
      </c>
      <c r="R22">
        <f t="shared" si="10"/>
        <v>0.56326914054216104</v>
      </c>
      <c r="S22">
        <f t="shared" si="11"/>
        <v>2.6755519291300298E-3</v>
      </c>
      <c r="T22">
        <f t="shared" si="0"/>
        <v>1402.2660707805321</v>
      </c>
      <c r="U22">
        <f t="shared" si="5"/>
        <v>10.71346817997437</v>
      </c>
      <c r="W22">
        <v>15</v>
      </c>
      <c r="X22" t="e">
        <f t="shared" si="12"/>
        <v>#NUM!</v>
      </c>
      <c r="Y22" t="e">
        <f t="shared" si="13"/>
        <v>#NUM!</v>
      </c>
      <c r="Z22" t="e">
        <f t="shared" si="14"/>
        <v>#NUM!</v>
      </c>
      <c r="AA22" t="e">
        <f t="shared" si="15"/>
        <v>#NUM!</v>
      </c>
      <c r="AB22" t="e">
        <f t="shared" si="16"/>
        <v>#NUM!</v>
      </c>
      <c r="AC22" t="e">
        <f t="shared" si="17"/>
        <v>#NUM!</v>
      </c>
      <c r="AG22">
        <f t="shared" si="6"/>
        <v>-0.40945650570307607</v>
      </c>
      <c r="AH22">
        <f t="shared" si="7"/>
        <v>-0.83045712925748105</v>
      </c>
      <c r="AI22">
        <f t="shared" si="8"/>
        <v>0.19358594042632851</v>
      </c>
    </row>
    <row r="23" spans="11:35" x14ac:dyDescent="0.25">
      <c r="K23">
        <v>19</v>
      </c>
      <c r="L23">
        <f t="shared" si="9"/>
        <v>6.9007729320267606</v>
      </c>
      <c r="M23">
        <f t="shared" si="9"/>
        <v>7.6123343451364143</v>
      </c>
      <c r="N23">
        <f t="shared" si="1"/>
        <v>5.4111720285783191E-6</v>
      </c>
      <c r="O23">
        <f t="shared" si="2"/>
        <v>-5.4127236786683797E-2</v>
      </c>
      <c r="P23" s="2">
        <f t="shared" si="3"/>
        <v>3.0837855159154031E-2</v>
      </c>
      <c r="Q23">
        <f t="shared" si="4"/>
        <v>1402.3016504270784</v>
      </c>
      <c r="R23">
        <f t="shared" si="10"/>
        <v>0.44503615224925852</v>
      </c>
      <c r="S23">
        <f t="shared" si="11"/>
        <v>2.1132783307294071E-3</v>
      </c>
      <c r="T23">
        <f t="shared" si="0"/>
        <v>1402.7111069327814</v>
      </c>
      <c r="U23">
        <f t="shared" si="5"/>
        <v>10.714930991513365</v>
      </c>
      <c r="W23">
        <v>16</v>
      </c>
      <c r="X23" t="e">
        <f t="shared" si="12"/>
        <v>#NUM!</v>
      </c>
      <c r="Y23" t="e">
        <f t="shared" si="13"/>
        <v>#NUM!</v>
      </c>
      <c r="Z23" t="e">
        <f t="shared" si="14"/>
        <v>#NUM!</v>
      </c>
      <c r="AA23" t="e">
        <f t="shared" si="15"/>
        <v>#NUM!</v>
      </c>
      <c r="AB23" t="e">
        <f t="shared" si="16"/>
        <v>#NUM!</v>
      </c>
      <c r="AC23" t="e">
        <f t="shared" si="17"/>
        <v>#NUM!</v>
      </c>
      <c r="AG23">
        <f t="shared" si="6"/>
        <v>-0.40945650570307607</v>
      </c>
      <c r="AH23">
        <f t="shared" si="7"/>
        <v>-0.83045712925748105</v>
      </c>
      <c r="AI23">
        <f t="shared" si="8"/>
        <v>0.19358594042632851</v>
      </c>
    </row>
    <row r="24" spans="11:35" x14ac:dyDescent="0.25">
      <c r="K24">
        <v>20</v>
      </c>
      <c r="L24">
        <f t="shared" si="9"/>
        <v>6.9007727651578215</v>
      </c>
      <c r="M24">
        <f t="shared" si="9"/>
        <v>7.6140035130246071</v>
      </c>
      <c r="N24">
        <f t="shared" si="1"/>
        <v>2.5001144343531675E-6</v>
      </c>
      <c r="O24">
        <f t="shared" si="2"/>
        <v>-4.2752270501528251E-2</v>
      </c>
      <c r="P24" s="2">
        <f t="shared" si="3"/>
        <v>3.0837855159154031E-2</v>
      </c>
      <c r="Q24">
        <f t="shared" si="4"/>
        <v>1402.6532414597091</v>
      </c>
      <c r="R24">
        <f t="shared" si="10"/>
        <v>0.35159103263072211</v>
      </c>
      <c r="S24">
        <f t="shared" si="11"/>
        <v>1.6691678965338793E-3</v>
      </c>
      <c r="T24">
        <f t="shared" si="0"/>
        <v>1403.0626979654121</v>
      </c>
      <c r="U24">
        <f t="shared" si="5"/>
        <v>10.716086628617099</v>
      </c>
      <c r="W24">
        <v>17</v>
      </c>
      <c r="X24" t="e">
        <f t="shared" si="12"/>
        <v>#NUM!</v>
      </c>
      <c r="Y24" t="e">
        <f t="shared" si="13"/>
        <v>#NUM!</v>
      </c>
      <c r="Z24" t="e">
        <f t="shared" si="14"/>
        <v>#NUM!</v>
      </c>
      <c r="AA24" t="e">
        <f t="shared" si="15"/>
        <v>#NUM!</v>
      </c>
      <c r="AB24" t="e">
        <f t="shared" si="16"/>
        <v>#NUM!</v>
      </c>
      <c r="AC24" t="e">
        <f t="shared" si="17"/>
        <v>#NUM!</v>
      </c>
      <c r="AG24">
        <f t="shared" si="6"/>
        <v>-0.40945650570307607</v>
      </c>
      <c r="AH24">
        <f t="shared" si="7"/>
        <v>-0.83045712925748105</v>
      </c>
      <c r="AI24">
        <f t="shared" si="8"/>
        <v>0.19358594042632851</v>
      </c>
    </row>
    <row r="25" spans="11:35" x14ac:dyDescent="0.25">
      <c r="K25">
        <v>21</v>
      </c>
      <c r="L25">
        <f t="shared" si="9"/>
        <v>6.9007726880596545</v>
      </c>
      <c r="M25">
        <f t="shared" si="9"/>
        <v>7.6153219013500584</v>
      </c>
      <c r="N25">
        <f t="shared" si="1"/>
        <v>1.1551235353705978E-6</v>
      </c>
      <c r="O25">
        <f t="shared" si="2"/>
        <v>-3.3767780170248486E-2</v>
      </c>
      <c r="P25" s="2">
        <f t="shared" si="3"/>
        <v>3.0837855159154031E-2</v>
      </c>
      <c r="Q25">
        <f t="shared" si="4"/>
        <v>1402.9309918125016</v>
      </c>
      <c r="R25">
        <f t="shared" si="10"/>
        <v>0.27775035279250915</v>
      </c>
      <c r="S25">
        <f t="shared" si="11"/>
        <v>1.3183883277055966E-3</v>
      </c>
      <c r="T25">
        <f t="shared" si="0"/>
        <v>1403.3404483182046</v>
      </c>
      <c r="U25">
        <f t="shared" si="5"/>
        <v>10.716999541002231</v>
      </c>
      <c r="W25">
        <v>18</v>
      </c>
      <c r="X25" t="e">
        <f t="shared" si="12"/>
        <v>#NUM!</v>
      </c>
      <c r="Y25" t="e">
        <f t="shared" si="13"/>
        <v>#NUM!</v>
      </c>
      <c r="Z25" t="e">
        <f t="shared" si="14"/>
        <v>#NUM!</v>
      </c>
      <c r="AA25" t="e">
        <f t="shared" si="15"/>
        <v>#NUM!</v>
      </c>
      <c r="AB25" t="e">
        <f t="shared" si="16"/>
        <v>#NUM!</v>
      </c>
      <c r="AC25" t="e">
        <f t="shared" si="17"/>
        <v>#NUM!</v>
      </c>
      <c r="AG25">
        <f t="shared" si="6"/>
        <v>-0.40945650570307607</v>
      </c>
      <c r="AH25">
        <f t="shared" si="7"/>
        <v>-0.83045712925748105</v>
      </c>
      <c r="AI25">
        <f t="shared" si="8"/>
        <v>0.19358594042632851</v>
      </c>
    </row>
    <row r="26" spans="11:35" x14ac:dyDescent="0.25">
      <c r="K26">
        <v>22</v>
      </c>
      <c r="L26">
        <f t="shared" si="9"/>
        <v>6.9007726524381221</v>
      </c>
      <c r="M26">
        <f t="shared" si="9"/>
        <v>7.616363227263995</v>
      </c>
      <c r="N26">
        <f t="shared" si="1"/>
        <v>5.3369972255869289E-7</v>
      </c>
      <c r="O26">
        <f t="shared" si="2"/>
        <v>-2.6671401641356583E-2</v>
      </c>
      <c r="P26" s="2">
        <f t="shared" si="3"/>
        <v>3.0837855159154031E-2</v>
      </c>
      <c r="Q26">
        <f t="shared" si="4"/>
        <v>1403.150400176095</v>
      </c>
      <c r="R26">
        <f t="shared" si="10"/>
        <v>0.2194083635934021</v>
      </c>
      <c r="S26">
        <f t="shared" si="11"/>
        <v>1.0413259145458432E-3</v>
      </c>
      <c r="T26">
        <f t="shared" si="0"/>
        <v>1403.559856681798</v>
      </c>
      <c r="U26">
        <f t="shared" si="5"/>
        <v>10.717720680600433</v>
      </c>
      <c r="W26">
        <v>19</v>
      </c>
      <c r="X26" t="e">
        <f t="shared" si="12"/>
        <v>#NUM!</v>
      </c>
      <c r="Y26" t="e">
        <f t="shared" si="13"/>
        <v>#NUM!</v>
      </c>
      <c r="Z26" t="e">
        <f t="shared" si="14"/>
        <v>#NUM!</v>
      </c>
      <c r="AA26" t="e">
        <f t="shared" si="15"/>
        <v>#NUM!</v>
      </c>
      <c r="AB26" t="e">
        <f t="shared" si="16"/>
        <v>#NUM!</v>
      </c>
      <c r="AC26" t="e">
        <f t="shared" si="17"/>
        <v>#NUM!</v>
      </c>
      <c r="AG26">
        <f t="shared" si="6"/>
        <v>-0.40945650570307607</v>
      </c>
      <c r="AH26">
        <f t="shared" si="7"/>
        <v>-0.83045712925748105</v>
      </c>
      <c r="AI26">
        <f t="shared" si="8"/>
        <v>0.19358594042632851</v>
      </c>
    </row>
    <row r="27" spans="11:35" x14ac:dyDescent="0.25">
      <c r="K27">
        <v>23</v>
      </c>
      <c r="L27">
        <f t="shared" si="9"/>
        <v>6.9007726359799673</v>
      </c>
      <c r="M27">
        <f t="shared" si="9"/>
        <v>7.6171857160847027</v>
      </c>
      <c r="N27">
        <f t="shared" si="1"/>
        <v>2.4658435594104725E-7</v>
      </c>
      <c r="O27">
        <f t="shared" si="2"/>
        <v>-2.1066343772913033E-2</v>
      </c>
      <c r="P27" s="2">
        <f t="shared" si="3"/>
        <v>3.0837855159154031E-2</v>
      </c>
      <c r="Q27">
        <f t="shared" si="4"/>
        <v>1403.3237161047975</v>
      </c>
      <c r="R27">
        <f t="shared" si="10"/>
        <v>0.17331592870255008</v>
      </c>
      <c r="S27">
        <f t="shared" si="11"/>
        <v>8.2248882087245499E-4</v>
      </c>
      <c r="T27">
        <f t="shared" si="0"/>
        <v>1403.7331726105006</v>
      </c>
      <c r="U27">
        <f t="shared" si="5"/>
        <v>10.718290316652585</v>
      </c>
      <c r="W27">
        <v>20</v>
      </c>
      <c r="X27" t="e">
        <f t="shared" si="12"/>
        <v>#NUM!</v>
      </c>
      <c r="Y27" t="e">
        <f t="shared" si="13"/>
        <v>#NUM!</v>
      </c>
      <c r="Z27" t="e">
        <f t="shared" si="14"/>
        <v>#NUM!</v>
      </c>
      <c r="AA27" t="e">
        <f t="shared" si="15"/>
        <v>#NUM!</v>
      </c>
      <c r="AB27" t="e">
        <f t="shared" si="16"/>
        <v>#NUM!</v>
      </c>
      <c r="AC27" t="e">
        <f t="shared" si="17"/>
        <v>#NUM!</v>
      </c>
      <c r="AG27">
        <f t="shared" si="6"/>
        <v>-0.40945650570307607</v>
      </c>
      <c r="AH27">
        <f t="shared" si="7"/>
        <v>-0.83045712925748105</v>
      </c>
      <c r="AI27">
        <f t="shared" si="8"/>
        <v>0.19358594042632851</v>
      </c>
    </row>
    <row r="28" spans="11:35" x14ac:dyDescent="0.25">
      <c r="K28">
        <v>24</v>
      </c>
      <c r="L28">
        <f t="shared" si="9"/>
        <v>6.9007726283758348</v>
      </c>
      <c r="M28">
        <f t="shared" si="9"/>
        <v>7.6178353569427051</v>
      </c>
      <c r="N28">
        <f t="shared" si="1"/>
        <v>1.1392894631444706E-7</v>
      </c>
      <c r="O28">
        <f t="shared" si="2"/>
        <v>-1.6639202015928462E-2</v>
      </c>
      <c r="P28" s="2">
        <f t="shared" si="3"/>
        <v>3.0837855159154031E-2</v>
      </c>
      <c r="Q28">
        <f t="shared" si="4"/>
        <v>1403.4606194285047</v>
      </c>
      <c r="R28">
        <f t="shared" si="10"/>
        <v>0.13690332370720171</v>
      </c>
      <c r="S28">
        <f t="shared" si="11"/>
        <v>6.4964085804684641E-4</v>
      </c>
      <c r="T28">
        <f t="shared" si="0"/>
        <v>1403.8700759342078</v>
      </c>
      <c r="U28">
        <f t="shared" si="5"/>
        <v>10.718740269451381</v>
      </c>
      <c r="AG28">
        <f t="shared" si="6"/>
        <v>-0.40945650570307607</v>
      </c>
      <c r="AH28">
        <f t="shared" si="7"/>
        <v>-0.83045712925748105</v>
      </c>
      <c r="AI28">
        <f t="shared" si="8"/>
        <v>0.19358594042632851</v>
      </c>
    </row>
    <row r="29" spans="11:35" x14ac:dyDescent="0.25">
      <c r="K29">
        <v>25</v>
      </c>
      <c r="L29">
        <f t="shared" si="9"/>
        <v>6.9007726248625101</v>
      </c>
      <c r="M29">
        <f t="shared" si="9"/>
        <v>7.6183484742444358</v>
      </c>
      <c r="N29">
        <f t="shared" si="1"/>
        <v>5.2638386633844332E-8</v>
      </c>
      <c r="O29">
        <f t="shared" si="2"/>
        <v>-1.3142434525489454E-2</v>
      </c>
      <c r="P29" s="2">
        <f t="shared" si="3"/>
        <v>3.0837855159154031E-2</v>
      </c>
      <c r="Q29">
        <f t="shared" si="4"/>
        <v>1403.5687583854024</v>
      </c>
      <c r="R29">
        <f t="shared" si="10"/>
        <v>0.10813895689761921</v>
      </c>
      <c r="S29">
        <f t="shared" si="11"/>
        <v>5.1311730174278679E-4</v>
      </c>
      <c r="T29">
        <f t="shared" si="0"/>
        <v>1403.9782148911054</v>
      </c>
      <c r="U29">
        <f t="shared" si="5"/>
        <v>10.719095679887335</v>
      </c>
      <c r="AG29">
        <f t="shared" si="6"/>
        <v>-0.40945650570307607</v>
      </c>
      <c r="AH29">
        <f t="shared" si="7"/>
        <v>-0.83045712925748105</v>
      </c>
      <c r="AI29">
        <f t="shared" si="8"/>
        <v>0.19358594042632851</v>
      </c>
    </row>
    <row r="30" spans="11:35" x14ac:dyDescent="0.25">
      <c r="K30">
        <v>26</v>
      </c>
      <c r="L30">
        <f t="shared" si="9"/>
        <v>6.9007726232392548</v>
      </c>
      <c r="M30">
        <f t="shared" si="9"/>
        <v>7.618753758736772</v>
      </c>
      <c r="N30">
        <f t="shared" si="1"/>
        <v>2.4320416154192471E-8</v>
      </c>
      <c r="O30">
        <f t="shared" si="2"/>
        <v>-1.0380520958358069E-2</v>
      </c>
      <c r="P30" s="2">
        <f t="shared" si="3"/>
        <v>3.0837855159154031E-2</v>
      </c>
      <c r="Q30">
        <f t="shared" si="4"/>
        <v>1403.6541754821037</v>
      </c>
      <c r="R30">
        <f t="shared" si="10"/>
        <v>8.5417096701348783E-2</v>
      </c>
      <c r="S30">
        <f t="shared" si="11"/>
        <v>4.0528449233937283E-4</v>
      </c>
      <c r="T30">
        <f t="shared" si="0"/>
        <v>1404.0636319878067</v>
      </c>
      <c r="U30">
        <f t="shared" si="5"/>
        <v>10.719376409846042</v>
      </c>
      <c r="AG30">
        <f t="shared" si="6"/>
        <v>-0.40945650570307607</v>
      </c>
      <c r="AH30">
        <f t="shared" si="7"/>
        <v>-0.83045712925748105</v>
      </c>
      <c r="AI30">
        <f t="shared" si="8"/>
        <v>0.19358594042632851</v>
      </c>
    </row>
    <row r="31" spans="11:35" x14ac:dyDescent="0.25">
      <c r="K31">
        <v>27</v>
      </c>
      <c r="L31">
        <f t="shared" si="9"/>
        <v>6.9007726224892654</v>
      </c>
      <c r="M31">
        <f t="shared" si="9"/>
        <v>7.6190738717385624</v>
      </c>
      <c r="N31">
        <f t="shared" si="1"/>
        <v>1.1236720882313775E-8</v>
      </c>
      <c r="O31">
        <f t="shared" si="2"/>
        <v>-8.1990300319127619E-3</v>
      </c>
      <c r="P31" s="2">
        <f t="shared" si="3"/>
        <v>3.0837855159154031E-2</v>
      </c>
      <c r="Q31">
        <f t="shared" si="4"/>
        <v>1403.7216443131442</v>
      </c>
      <c r="R31">
        <f t="shared" si="10"/>
        <v>6.7468831040514488E-2</v>
      </c>
      <c r="S31">
        <f t="shared" si="11"/>
        <v>3.2011300179134601E-4</v>
      </c>
      <c r="T31">
        <f t="shared" si="0"/>
        <v>1404.1311008188472</v>
      </c>
      <c r="U31">
        <f t="shared" si="5"/>
        <v>10.719598149760918</v>
      </c>
      <c r="AG31">
        <f t="shared" si="6"/>
        <v>-0.40945650570307607</v>
      </c>
      <c r="AH31">
        <f t="shared" si="7"/>
        <v>-0.83045712925748105</v>
      </c>
      <c r="AI31">
        <f t="shared" si="8"/>
        <v>0.19358594042632851</v>
      </c>
    </row>
    <row r="32" spans="11:35" x14ac:dyDescent="0.25">
      <c r="K32" s="6">
        <v>28</v>
      </c>
      <c r="L32">
        <f t="shared" si="9"/>
        <v>6.9007726221427488</v>
      </c>
      <c r="M32">
        <f t="shared" si="9"/>
        <v>7.6193267122391317</v>
      </c>
      <c r="N32">
        <f t="shared" si="1"/>
        <v>5.1916787942941954E-9</v>
      </c>
      <c r="O32">
        <f t="shared" si="2"/>
        <v>-6.4759845612673084E-3</v>
      </c>
      <c r="P32" s="2">
        <f t="shared" si="3"/>
        <v>3.0837855159154031E-2</v>
      </c>
      <c r="Q32">
        <f t="shared" si="4"/>
        <v>1403.7749358554195</v>
      </c>
      <c r="R32" s="6">
        <f t="shared" si="10"/>
        <v>5.3291542275246684E-2</v>
      </c>
      <c r="S32">
        <f t="shared" si="11"/>
        <v>2.5284050056952208E-4</v>
      </c>
      <c r="T32" s="6">
        <f t="shared" si="0"/>
        <v>1404.1843923611225</v>
      </c>
      <c r="U32">
        <f t="shared" si="5"/>
        <v>10.719773294202591</v>
      </c>
      <c r="AG32">
        <f t="shared" si="6"/>
        <v>-0.40945650570307607</v>
      </c>
      <c r="AH32">
        <f t="shared" si="7"/>
        <v>-0.83045712925748105</v>
      </c>
      <c r="AI32">
        <f t="shared" si="8"/>
        <v>0.19358594042632851</v>
      </c>
    </row>
    <row r="33" spans="11:35" x14ac:dyDescent="0.25">
      <c r="K33">
        <v>29</v>
      </c>
      <c r="L33">
        <f t="shared" si="9"/>
        <v>6.9007726219826484</v>
      </c>
      <c r="M33">
        <f t="shared" si="9"/>
        <v>7.6195264177130451</v>
      </c>
      <c r="N33">
        <f t="shared" si="1"/>
        <v>2.3986999334106281E-9</v>
      </c>
      <c r="O33">
        <f t="shared" si="2"/>
        <v>-5.1150411541994829E-3</v>
      </c>
      <c r="P33" s="2">
        <f t="shared" si="3"/>
        <v>3.0837855159154031E-2</v>
      </c>
      <c r="Q33">
        <f t="shared" si="4"/>
        <v>1403.8170289496418</v>
      </c>
      <c r="R33">
        <f t="shared" si="10"/>
        <v>4.2093094222309446E-2</v>
      </c>
      <c r="S33">
        <f t="shared" si="11"/>
        <v>1.9970547391341163E-4</v>
      </c>
      <c r="T33">
        <f t="shared" si="0"/>
        <v>1404.2264854553448</v>
      </c>
      <c r="U33">
        <f t="shared" si="5"/>
        <v>10.719911633901923</v>
      </c>
      <c r="AG33">
        <f t="shared" si="6"/>
        <v>-0.40945650570307607</v>
      </c>
      <c r="AH33">
        <f t="shared" si="7"/>
        <v>-0.83045712925748105</v>
      </c>
      <c r="AI33">
        <f t="shared" si="8"/>
        <v>0.19358594042632851</v>
      </c>
    </row>
    <row r="34" spans="11:35" x14ac:dyDescent="0.25">
      <c r="K34">
        <v>30</v>
      </c>
      <c r="L34">
        <f t="shared" si="9"/>
        <v>6.9007726219086774</v>
      </c>
      <c r="M34">
        <f t="shared" si="9"/>
        <v>7.6196841546112912</v>
      </c>
      <c r="N34">
        <f t="shared" si="1"/>
        <v>1.1082621060828132E-9</v>
      </c>
      <c r="O34">
        <f t="shared" si="2"/>
        <v>-4.0401032092706856E-3</v>
      </c>
      <c r="P34" s="2">
        <f t="shared" si="3"/>
        <v>3.0837855159154031E-2</v>
      </c>
      <c r="Q34">
        <f t="shared" si="4"/>
        <v>1403.8502766364177</v>
      </c>
      <c r="R34">
        <f t="shared" si="10"/>
        <v>3.3247686775894181E-2</v>
      </c>
      <c r="S34">
        <f t="shared" si="11"/>
        <v>1.577368982461809E-4</v>
      </c>
      <c r="T34">
        <f t="shared" si="0"/>
        <v>1404.2597331421207</v>
      </c>
      <c r="U34">
        <f t="shared" si="5"/>
        <v>10.720020902593326</v>
      </c>
      <c r="AG34">
        <f t="shared" si="6"/>
        <v>-0.40945650570307607</v>
      </c>
      <c r="AH34">
        <f t="shared" si="7"/>
        <v>-0.83045712925748105</v>
      </c>
      <c r="AI34">
        <f t="shared" si="8"/>
        <v>0.19358594042632851</v>
      </c>
    </row>
    <row r="35" spans="11:35" x14ac:dyDescent="0.25">
      <c r="K35">
        <v>31</v>
      </c>
      <c r="L35">
        <f t="shared" si="9"/>
        <v>6.9007726218745011</v>
      </c>
      <c r="M35">
        <f t="shared" si="9"/>
        <v>7.6198087427288863</v>
      </c>
      <c r="N35">
        <f t="shared" si="1"/>
        <v>5.1205206389034683E-10</v>
      </c>
      <c r="O35">
        <f t="shared" si="2"/>
        <v>-3.1910660050446858E-3</v>
      </c>
      <c r="P35" s="2">
        <f t="shared" si="3"/>
        <v>3.0837855159154031E-2</v>
      </c>
      <c r="Q35">
        <f t="shared" si="4"/>
        <v>1403.8765375886653</v>
      </c>
      <c r="R35">
        <f t="shared" si="10"/>
        <v>2.626095224763958E-2</v>
      </c>
      <c r="S35">
        <f t="shared" si="11"/>
        <v>1.2458811759508606E-4</v>
      </c>
      <c r="T35">
        <f t="shared" si="0"/>
        <v>1404.2859940943683</v>
      </c>
      <c r="U35">
        <f t="shared" si="5"/>
        <v>10.720107209082695</v>
      </c>
      <c r="AG35">
        <f t="shared" si="6"/>
        <v>-0.40945650570307607</v>
      </c>
      <c r="AH35">
        <f t="shared" si="7"/>
        <v>-0.83045712925748105</v>
      </c>
      <c r="AI35">
        <f t="shared" si="8"/>
        <v>0.19358594042632851</v>
      </c>
    </row>
    <row r="36" spans="11:35" x14ac:dyDescent="0.25">
      <c r="K36">
        <v>32</v>
      </c>
      <c r="L36">
        <f t="shared" si="9"/>
        <v>6.9007726218587102</v>
      </c>
      <c r="M36">
        <f t="shared" si="9"/>
        <v>7.619907148360153</v>
      </c>
      <c r="N36">
        <f t="shared" si="1"/>
        <v>2.3657665283976625E-10</v>
      </c>
      <c r="O36">
        <f t="shared" si="2"/>
        <v>-2.5204559688425106E-3</v>
      </c>
      <c r="P36" s="2">
        <f t="shared" si="3"/>
        <v>3.0837855159154031E-2</v>
      </c>
      <c r="Q36">
        <f t="shared" si="4"/>
        <v>1403.8972799546448</v>
      </c>
      <c r="R36">
        <f t="shared" si="10"/>
        <v>2.0742365979458555E-2</v>
      </c>
      <c r="S36">
        <f t="shared" si="11"/>
        <v>9.8405631266730448E-5</v>
      </c>
      <c r="T36">
        <f t="shared" ref="T36:T67" si="18">ABS(Q36-$F$4)</f>
        <v>1404.3067364603478</v>
      </c>
      <c r="U36">
        <f t="shared" si="5"/>
        <v>10.720175378600475</v>
      </c>
      <c r="AG36">
        <f t="shared" si="6"/>
        <v>-0.40945650570307607</v>
      </c>
      <c r="AH36">
        <f t="shared" si="7"/>
        <v>-0.83045712925748105</v>
      </c>
      <c r="AI36">
        <f t="shared" si="8"/>
        <v>0.19358594042632851</v>
      </c>
    </row>
    <row r="37" spans="11:35" x14ac:dyDescent="0.25">
      <c r="K37">
        <v>33</v>
      </c>
      <c r="L37">
        <f t="shared" si="9"/>
        <v>6.9007726218514147</v>
      </c>
      <c r="M37">
        <f t="shared" si="9"/>
        <v>7.6199848738162554</v>
      </c>
      <c r="N37">
        <f t="shared" si="1"/>
        <v>1.0930543274700107E-10</v>
      </c>
      <c r="O37">
        <f t="shared" si="2"/>
        <v>-1.990776211091813E-3</v>
      </c>
      <c r="P37" s="2">
        <f t="shared" si="3"/>
        <v>3.0837855159154031E-2</v>
      </c>
      <c r="Q37">
        <f t="shared" si="4"/>
        <v>1403.9136633972107</v>
      </c>
      <c r="R37">
        <f t="shared" si="10"/>
        <v>1.6383442565938822E-2</v>
      </c>
      <c r="S37">
        <f t="shared" si="11"/>
        <v>7.7725456102406893E-5</v>
      </c>
      <c r="T37">
        <f t="shared" si="18"/>
        <v>1404.3231199029137</v>
      </c>
      <c r="U37">
        <f t="shared" si="5"/>
        <v>10.720229222469376</v>
      </c>
      <c r="AG37">
        <f t="shared" si="6"/>
        <v>-0.40945650570307607</v>
      </c>
      <c r="AH37">
        <f t="shared" si="7"/>
        <v>-0.83045712925748105</v>
      </c>
      <c r="AI37">
        <f t="shared" si="8"/>
        <v>0.19358594042632851</v>
      </c>
    </row>
    <row r="38" spans="11:35" x14ac:dyDescent="0.25">
      <c r="K38">
        <v>34</v>
      </c>
      <c r="L38">
        <f t="shared" si="9"/>
        <v>6.9007726218480441</v>
      </c>
      <c r="M38">
        <f t="shared" si="9"/>
        <v>7.6200462650847074</v>
      </c>
      <c r="N38">
        <f t="shared" si="1"/>
        <v>5.0504083676087587E-11</v>
      </c>
      <c r="O38">
        <f t="shared" si="2"/>
        <v>-1.5724099018765555E-3</v>
      </c>
      <c r="P38" s="2">
        <f t="shared" si="3"/>
        <v>3.0837855159154031E-2</v>
      </c>
      <c r="Q38">
        <f t="shared" si="4"/>
        <v>1403.926603903979</v>
      </c>
      <c r="R38">
        <f t="shared" si="10"/>
        <v>1.2940506768245541E-2</v>
      </c>
      <c r="S38">
        <f t="shared" si="11"/>
        <v>6.1391268451949183E-5</v>
      </c>
      <c r="T38">
        <f t="shared" si="18"/>
        <v>1404.336060409682</v>
      </c>
      <c r="U38">
        <f t="shared" si="5"/>
        <v>10.720271751131323</v>
      </c>
      <c r="AG38">
        <f t="shared" si="6"/>
        <v>-0.40945650570307607</v>
      </c>
      <c r="AH38">
        <f t="shared" si="7"/>
        <v>-0.83045712925748105</v>
      </c>
      <c r="AI38">
        <f t="shared" si="8"/>
        <v>0.19358594042632851</v>
      </c>
    </row>
    <row r="39" spans="11:35" x14ac:dyDescent="0.25">
      <c r="K39">
        <v>35</v>
      </c>
      <c r="L39">
        <f t="shared" si="9"/>
        <v>6.9007726218464862</v>
      </c>
      <c r="M39">
        <f t="shared" si="9"/>
        <v>7.6200947548335121</v>
      </c>
      <c r="N39">
        <f t="shared" si="1"/>
        <v>2.3326859192228594E-11</v>
      </c>
      <c r="O39">
        <f t="shared" si="2"/>
        <v>-1.2419642578341474E-3</v>
      </c>
      <c r="P39" s="2">
        <f t="shared" si="3"/>
        <v>3.0837855159154031E-2</v>
      </c>
      <c r="Q39">
        <f t="shared" si="4"/>
        <v>1403.936824984643</v>
      </c>
      <c r="R39">
        <f t="shared" si="10"/>
        <v>1.0221080663995963E-2</v>
      </c>
      <c r="S39">
        <f t="shared" si="11"/>
        <v>4.8489748804669857E-5</v>
      </c>
      <c r="T39">
        <f t="shared" si="18"/>
        <v>1404.346281490346</v>
      </c>
      <c r="U39">
        <f t="shared" si="5"/>
        <v>10.720305342424846</v>
      </c>
      <c r="AG39">
        <f t="shared" si="6"/>
        <v>-0.40945650570307607</v>
      </c>
      <c r="AH39">
        <f t="shared" si="7"/>
        <v>-0.83045712925748105</v>
      </c>
      <c r="AI39">
        <f t="shared" si="8"/>
        <v>0.19358594042632851</v>
      </c>
    </row>
    <row r="40" spans="11:35" x14ac:dyDescent="0.25">
      <c r="K40">
        <v>36</v>
      </c>
      <c r="L40">
        <f t="shared" si="9"/>
        <v>6.9007726218457668</v>
      </c>
      <c r="M40">
        <f t="shared" si="9"/>
        <v>7.6201330543474084</v>
      </c>
      <c r="N40">
        <f t="shared" si="1"/>
        <v>1.0776374130343994E-11</v>
      </c>
      <c r="O40">
        <f t="shared" si="2"/>
        <v>-9.809625441117957E-4</v>
      </c>
      <c r="P40" s="2">
        <f t="shared" si="3"/>
        <v>3.0837855159154031E-2</v>
      </c>
      <c r="Q40">
        <f t="shared" si="4"/>
        <v>1403.9448981134642</v>
      </c>
      <c r="R40">
        <f t="shared" si="10"/>
        <v>8.0731288212518848E-3</v>
      </c>
      <c r="S40">
        <f t="shared" si="11"/>
        <v>3.8299513896333799E-5</v>
      </c>
      <c r="T40">
        <f t="shared" si="18"/>
        <v>1404.3543546191672</v>
      </c>
      <c r="U40">
        <f t="shared" si="5"/>
        <v>10.720331874509927</v>
      </c>
      <c r="AG40">
        <f t="shared" si="6"/>
        <v>-0.40945650570307607</v>
      </c>
      <c r="AH40">
        <f t="shared" si="7"/>
        <v>-0.83045712925748105</v>
      </c>
      <c r="AI40">
        <f t="shared" si="8"/>
        <v>0.19358594042632851</v>
      </c>
    </row>
    <row r="41" spans="11:35" x14ac:dyDescent="0.25">
      <c r="K41">
        <v>37</v>
      </c>
      <c r="L41">
        <f t="shared" si="9"/>
        <v>6.9007726218454346</v>
      </c>
      <c r="M41">
        <f t="shared" si="9"/>
        <v>7.6201633051282602</v>
      </c>
      <c r="N41">
        <f t="shared" si="1"/>
        <v>4.9814583610429536E-12</v>
      </c>
      <c r="O41">
        <f t="shared" si="2"/>
        <v>-7.7481095521331189E-4</v>
      </c>
      <c r="P41" s="2">
        <f t="shared" si="3"/>
        <v>3.0837855159154031E-2</v>
      </c>
      <c r="Q41">
        <f t="shared" si="4"/>
        <v>1403.9512746754071</v>
      </c>
      <c r="R41">
        <f t="shared" si="10"/>
        <v>6.3765619429432263E-3</v>
      </c>
      <c r="S41">
        <f t="shared" si="11"/>
        <v>3.0250780851837081E-5</v>
      </c>
      <c r="T41">
        <f t="shared" si="18"/>
        <v>1404.3607311811102</v>
      </c>
      <c r="U41">
        <f t="shared" si="5"/>
        <v>10.720352830865313</v>
      </c>
      <c r="AG41">
        <f t="shared" si="6"/>
        <v>-0.40945650570307607</v>
      </c>
      <c r="AH41">
        <f t="shared" si="7"/>
        <v>-0.83045712925748105</v>
      </c>
      <c r="AI41">
        <f t="shared" si="8"/>
        <v>0.19358594042632851</v>
      </c>
    </row>
    <row r="42" spans="11:35" x14ac:dyDescent="0.25">
      <c r="K42">
        <v>38</v>
      </c>
      <c r="L42">
        <f t="shared" si="9"/>
        <v>6.900772621845281</v>
      </c>
      <c r="M42">
        <f t="shared" si="9"/>
        <v>7.6201871986362733</v>
      </c>
      <c r="N42">
        <f t="shared" si="1"/>
        <v>2.3009226495689442E-12</v>
      </c>
      <c r="O42">
        <f t="shared" si="2"/>
        <v>-6.1198260822394436E-4</v>
      </c>
      <c r="P42" s="2">
        <f t="shared" si="3"/>
        <v>3.0837855159154031E-2</v>
      </c>
      <c r="Q42">
        <f t="shared" si="4"/>
        <v>1403.9563112004089</v>
      </c>
      <c r="R42">
        <f t="shared" si="10"/>
        <v>5.0365250017421204E-3</v>
      </c>
      <c r="S42">
        <f t="shared" si="11"/>
        <v>2.3893508013017595E-5</v>
      </c>
      <c r="T42">
        <f t="shared" si="18"/>
        <v>1404.3657677061119</v>
      </c>
      <c r="U42">
        <f t="shared" si="5"/>
        <v>10.720369383224721</v>
      </c>
      <c r="AG42">
        <f t="shared" si="6"/>
        <v>-0.40945650570307607</v>
      </c>
      <c r="AH42">
        <f t="shared" si="7"/>
        <v>-0.83045712925748105</v>
      </c>
      <c r="AI42">
        <f t="shared" si="8"/>
        <v>0.19358594042632851</v>
      </c>
    </row>
    <row r="43" spans="11:35" x14ac:dyDescent="0.25">
      <c r="K43">
        <v>39</v>
      </c>
      <c r="L43">
        <f t="shared" si="9"/>
        <v>6.9007726218452099</v>
      </c>
      <c r="M43">
        <f t="shared" si="9"/>
        <v>7.6202060708673054</v>
      </c>
      <c r="N43">
        <f t="shared" si="1"/>
        <v>1.061367858293423E-12</v>
      </c>
      <c r="O43">
        <f t="shared" si="2"/>
        <v>-4.8337302183375165E-4</v>
      </c>
      <c r="P43" s="2">
        <f t="shared" si="3"/>
        <v>3.0837855159154031E-2</v>
      </c>
      <c r="Q43">
        <f t="shared" si="4"/>
        <v>1403.9602892956582</v>
      </c>
      <c r="R43">
        <f t="shared" si="10"/>
        <v>3.9780952492947108E-3</v>
      </c>
      <c r="S43">
        <f t="shared" si="11"/>
        <v>1.8872231032140974E-5</v>
      </c>
      <c r="T43">
        <f t="shared" si="18"/>
        <v>1404.3697458013612</v>
      </c>
      <c r="U43">
        <f t="shared" si="5"/>
        <v>10.720382457086432</v>
      </c>
      <c r="AG43">
        <f t="shared" si="6"/>
        <v>-0.40945650570307607</v>
      </c>
      <c r="AH43">
        <f t="shared" si="7"/>
        <v>-0.83045712925748105</v>
      </c>
      <c r="AI43">
        <f t="shared" si="8"/>
        <v>0.19358594042632851</v>
      </c>
    </row>
    <row r="44" spans="11:35" x14ac:dyDescent="0.25">
      <c r="K44">
        <v>40</v>
      </c>
      <c r="L44">
        <f t="shared" si="9"/>
        <v>6.900772621845177</v>
      </c>
      <c r="M44">
        <f t="shared" si="9"/>
        <v>7.6202209770545402</v>
      </c>
      <c r="N44">
        <f t="shared" si="1"/>
        <v>4.8807393673508392E-13</v>
      </c>
      <c r="O44">
        <f t="shared" si="2"/>
        <v>-3.8179104291176385E-4</v>
      </c>
      <c r="P44" s="2">
        <f t="shared" si="3"/>
        <v>3.0837855159154031E-2</v>
      </c>
      <c r="Q44">
        <f t="shared" si="4"/>
        <v>1403.9634313897104</v>
      </c>
      <c r="R44">
        <f t="shared" si="10"/>
        <v>3.1420940522366436E-3</v>
      </c>
      <c r="S44">
        <f t="shared" si="11"/>
        <v>1.4906187234764445E-5</v>
      </c>
      <c r="T44">
        <f t="shared" si="18"/>
        <v>1404.3728878954134</v>
      </c>
      <c r="U44">
        <f t="shared" si="5"/>
        <v>10.720392783457545</v>
      </c>
      <c r="AG44">
        <f t="shared" si="6"/>
        <v>-0.40945650570307607</v>
      </c>
      <c r="AH44">
        <f t="shared" si="7"/>
        <v>-0.83045712925748105</v>
      </c>
      <c r="AI44">
        <f t="shared" si="8"/>
        <v>0.19358594042632851</v>
      </c>
    </row>
    <row r="45" spans="11:35" x14ac:dyDescent="0.25">
      <c r="K45">
        <v>41</v>
      </c>
      <c r="L45">
        <f t="shared" si="9"/>
        <v>6.9007726218451619</v>
      </c>
      <c r="M45">
        <f t="shared" si="9"/>
        <v>7.6202327506714225</v>
      </c>
      <c r="N45">
        <f t="shared" si="1"/>
        <v>2.2466913651209876E-13</v>
      </c>
      <c r="O45">
        <f t="shared" si="2"/>
        <v>-3.015567560925528E-4</v>
      </c>
      <c r="P45" s="2">
        <f t="shared" si="3"/>
        <v>3.0837855159154031E-2</v>
      </c>
      <c r="Q45">
        <f t="shared" si="4"/>
        <v>1403.965913168347</v>
      </c>
      <c r="R45">
        <f t="shared" si="10"/>
        <v>2.4817786365929351E-3</v>
      </c>
      <c r="S45">
        <f t="shared" si="11"/>
        <v>1.1773616882315707E-5</v>
      </c>
      <c r="T45">
        <f t="shared" si="18"/>
        <v>1404.37536967405</v>
      </c>
      <c r="U45">
        <f t="shared" si="5"/>
        <v>10.720400939725074</v>
      </c>
      <c r="AG45">
        <f t="shared" si="6"/>
        <v>-0.40945650570307607</v>
      </c>
      <c r="AH45">
        <f t="shared" si="7"/>
        <v>-0.83045712925748105</v>
      </c>
      <c r="AI45">
        <f t="shared" si="8"/>
        <v>0.19358594042632851</v>
      </c>
    </row>
    <row r="46" spans="11:35" x14ac:dyDescent="0.25">
      <c r="K46" s="2">
        <v>42</v>
      </c>
      <c r="L46">
        <f t="shared" si="9"/>
        <v>6.9007726218451548</v>
      </c>
      <c r="M46">
        <f t="shared" si="9"/>
        <v>7.6202420500349888</v>
      </c>
      <c r="N46">
        <f t="shared" si="1"/>
        <v>1.0071391149443082E-13</v>
      </c>
      <c r="O46">
        <f t="shared" si="2"/>
        <v>-2.3818389360915943E-4</v>
      </c>
      <c r="P46" s="2">
        <f t="shared" si="3"/>
        <v>3.0837855159154031E-2</v>
      </c>
      <c r="Q46">
        <f t="shared" si="4"/>
        <v>1403.9678733972603</v>
      </c>
      <c r="R46">
        <f t="shared" si="10"/>
        <v>1.9602289132762962E-3</v>
      </c>
      <c r="S46" s="2">
        <f t="shared" si="11"/>
        <v>9.2993635663063401E-6</v>
      </c>
      <c r="T46">
        <f t="shared" si="18"/>
        <v>1404.3773299029633</v>
      </c>
      <c r="U46">
        <f t="shared" si="5"/>
        <v>10.720407381938532</v>
      </c>
      <c r="AG46">
        <f t="shared" si="6"/>
        <v>-0.40945650570307607</v>
      </c>
      <c r="AH46">
        <f t="shared" si="7"/>
        <v>-0.83045712925748105</v>
      </c>
      <c r="AI46">
        <f t="shared" si="8"/>
        <v>0.19358594042632851</v>
      </c>
    </row>
    <row r="47" spans="11:35" x14ac:dyDescent="0.25">
      <c r="K47">
        <v>43</v>
      </c>
      <c r="L47">
        <f t="shared" si="9"/>
        <v>6.9007726218451522</v>
      </c>
      <c r="M47">
        <f t="shared" si="9"/>
        <v>7.6202493951154011</v>
      </c>
      <c r="N47">
        <f t="shared" si="1"/>
        <v>5.4230860931482952E-14</v>
      </c>
      <c r="O47">
        <f t="shared" si="2"/>
        <v>-1.8812898742322145E-4</v>
      </c>
      <c r="P47" s="2">
        <f t="shared" si="3"/>
        <v>3.0837855159154031E-2</v>
      </c>
      <c r="Q47">
        <f t="shared" si="4"/>
        <v>1403.9694216806374</v>
      </c>
      <c r="R47">
        <f t="shared" si="10"/>
        <v>1.5482833771329751E-3</v>
      </c>
      <c r="S47">
        <f t="shared" si="11"/>
        <v>7.3450804123353919E-6</v>
      </c>
      <c r="T47">
        <f t="shared" si="18"/>
        <v>1404.3788781863404</v>
      </c>
      <c r="U47">
        <f t="shared" si="5"/>
        <v>10.720412470308627</v>
      </c>
      <c r="AG47">
        <f t="shared" si="6"/>
        <v>-0.40945650570307607</v>
      </c>
      <c r="AH47">
        <f t="shared" si="7"/>
        <v>-0.83045712925748105</v>
      </c>
      <c r="AI47">
        <f t="shared" si="8"/>
        <v>0.19358594042632851</v>
      </c>
    </row>
    <row r="48" spans="11:35" x14ac:dyDescent="0.25">
      <c r="K48">
        <v>44</v>
      </c>
      <c r="L48">
        <f t="shared" si="9"/>
        <v>6.9007726218451504</v>
      </c>
      <c r="M48">
        <f t="shared" si="9"/>
        <v>7.6202551966098664</v>
      </c>
      <c r="N48">
        <f t="shared" si="1"/>
        <v>2.324131352323712E-14</v>
      </c>
      <c r="O48">
        <f t="shared" si="2"/>
        <v>-1.4859323765663781E-4</v>
      </c>
      <c r="P48" s="2">
        <f t="shared" si="3"/>
        <v>3.0837855159154031E-2</v>
      </c>
      <c r="Q48">
        <f t="shared" si="4"/>
        <v>1403.9706445893567</v>
      </c>
      <c r="R48">
        <f t="shared" si="10"/>
        <v>1.222908719228144E-3</v>
      </c>
      <c r="S48">
        <f t="shared" si="11"/>
        <v>5.8014944652740041E-6</v>
      </c>
      <c r="T48">
        <f t="shared" si="18"/>
        <v>1404.3801010950597</v>
      </c>
      <c r="U48">
        <f t="shared" si="5"/>
        <v>10.720416489347613</v>
      </c>
      <c r="AG48">
        <f t="shared" si="6"/>
        <v>-0.40945650570307607</v>
      </c>
      <c r="AH48">
        <f t="shared" si="7"/>
        <v>-0.83045712925748105</v>
      </c>
      <c r="AI48">
        <f t="shared" si="8"/>
        <v>0.19358594042632851</v>
      </c>
    </row>
    <row r="49" spans="11:35" x14ac:dyDescent="0.25">
      <c r="K49">
        <v>45</v>
      </c>
      <c r="L49">
        <f t="shared" si="9"/>
        <v>6.9007726218451495</v>
      </c>
      <c r="M49">
        <f t="shared" si="9"/>
        <v>7.6202597789066067</v>
      </c>
      <c r="N49">
        <f t="shared" si="1"/>
        <v>7.7473868520614581E-15</v>
      </c>
      <c r="O49">
        <f t="shared" si="2"/>
        <v>-1.1736601881430159E-4</v>
      </c>
      <c r="P49" s="2">
        <f t="shared" si="3"/>
        <v>3.0837855159154031E-2</v>
      </c>
      <c r="Q49">
        <f t="shared" si="4"/>
        <v>1403.9716105013902</v>
      </c>
      <c r="R49">
        <f t="shared" si="10"/>
        <v>9.6591203350726573E-4</v>
      </c>
      <c r="S49">
        <f t="shared" si="11"/>
        <v>4.5822967402742165E-6</v>
      </c>
      <c r="T49">
        <f t="shared" si="18"/>
        <v>1404.3810670070932</v>
      </c>
      <c r="U49">
        <f t="shared" si="5"/>
        <v>10.720419663777246</v>
      </c>
      <c r="AG49">
        <f t="shared" si="6"/>
        <v>-0.40945650570307607</v>
      </c>
      <c r="AH49">
        <f t="shared" si="7"/>
        <v>-0.83045712925748105</v>
      </c>
      <c r="AI49">
        <f t="shared" si="8"/>
        <v>0.19358594042632851</v>
      </c>
    </row>
    <row r="50" spans="11:35" x14ac:dyDescent="0.25">
      <c r="K50">
        <v>46</v>
      </c>
      <c r="L50">
        <f t="shared" si="9"/>
        <v>6.9007726218451495</v>
      </c>
      <c r="M50">
        <f t="shared" si="9"/>
        <v>7.6202633982228951</v>
      </c>
      <c r="N50">
        <f t="shared" si="1"/>
        <v>7.7469633355878309E-15</v>
      </c>
      <c r="O50">
        <f t="shared" si="2"/>
        <v>-9.2701273555507747E-5</v>
      </c>
      <c r="P50" s="2">
        <f t="shared" si="3"/>
        <v>3.0837855159154031E-2</v>
      </c>
      <c r="Q50">
        <f t="shared" si="4"/>
        <v>1403.9723734250229</v>
      </c>
      <c r="R50">
        <f t="shared" si="10"/>
        <v>7.6292363269203634E-4</v>
      </c>
      <c r="S50">
        <f t="shared" si="11"/>
        <v>3.6193162884501362E-6</v>
      </c>
      <c r="T50">
        <f t="shared" si="18"/>
        <v>1404.3818299307259</v>
      </c>
      <c r="U50">
        <f t="shared" si="5"/>
        <v>10.720422171093736</v>
      </c>
      <c r="AG50">
        <f t="shared" si="6"/>
        <v>-0.40945650570307607</v>
      </c>
      <c r="AH50">
        <f t="shared" si="7"/>
        <v>-0.83045712925748105</v>
      </c>
      <c r="AI50">
        <f t="shared" si="8"/>
        <v>0.19358594042632851</v>
      </c>
    </row>
    <row r="51" spans="11:35" x14ac:dyDescent="0.25">
      <c r="K51">
        <v>47</v>
      </c>
      <c r="L51">
        <f t="shared" si="9"/>
        <v>6.9007726218451495</v>
      </c>
      <c r="M51">
        <f t="shared" si="9"/>
        <v>7.620266256931342</v>
      </c>
      <c r="N51">
        <f t="shared" si="1"/>
        <v>7.7473868520614581E-15</v>
      </c>
      <c r="O51">
        <f t="shared" si="2"/>
        <v>-7.3219882598946637E-5</v>
      </c>
      <c r="P51" s="2">
        <f t="shared" si="3"/>
        <v>3.0837855159154031E-2</v>
      </c>
      <c r="Q51">
        <f t="shared" si="4"/>
        <v>1403.9729760186374</v>
      </c>
      <c r="R51">
        <f t="shared" si="10"/>
        <v>6.025936145306332E-4</v>
      </c>
      <c r="S51">
        <f t="shared" si="11"/>
        <v>2.8587084468512103E-6</v>
      </c>
      <c r="T51">
        <f t="shared" si="18"/>
        <v>1404.3824325243404</v>
      </c>
      <c r="U51">
        <f t="shared" si="5"/>
        <v>10.72042415149221</v>
      </c>
      <c r="AG51">
        <f t="shared" si="6"/>
        <v>-0.40945650570307607</v>
      </c>
      <c r="AH51">
        <f t="shared" si="7"/>
        <v>-0.83045712925748105</v>
      </c>
      <c r="AI51">
        <f t="shared" si="8"/>
        <v>0.19358594042632851</v>
      </c>
    </row>
    <row r="52" spans="11:35" x14ac:dyDescent="0.25">
      <c r="K52">
        <v>48</v>
      </c>
      <c r="L52">
        <f t="shared" si="9"/>
        <v>6.9007726218451495</v>
      </c>
      <c r="M52">
        <f t="shared" si="9"/>
        <v>7.6202685148754767</v>
      </c>
      <c r="N52">
        <f t="shared" si="1"/>
        <v>7.7473868520614581E-15</v>
      </c>
      <c r="O52">
        <f t="shared" si="2"/>
        <v>-5.7832551828614343E-5</v>
      </c>
      <c r="P52" s="2">
        <f t="shared" si="3"/>
        <v>3.0837855159154031E-2</v>
      </c>
      <c r="Q52">
        <f t="shared" si="4"/>
        <v>1403.9734519758968</v>
      </c>
      <c r="R52">
        <f t="shared" si="10"/>
        <v>4.7595725936844246E-4</v>
      </c>
      <c r="S52">
        <f t="shared" si="11"/>
        <v>2.2579441347758689E-6</v>
      </c>
      <c r="T52">
        <f t="shared" si="18"/>
        <v>1404.3829084815998</v>
      </c>
      <c r="U52">
        <f t="shared" si="5"/>
        <v>10.720425715705559</v>
      </c>
      <c r="AG52">
        <f t="shared" si="6"/>
        <v>-0.40945650570307607</v>
      </c>
      <c r="AH52">
        <f t="shared" si="7"/>
        <v>-0.83045712925748105</v>
      </c>
      <c r="AI52">
        <f t="shared" si="8"/>
        <v>0.19358594042632851</v>
      </c>
    </row>
    <row r="53" spans="11:35" x14ac:dyDescent="0.25">
      <c r="K53">
        <v>49</v>
      </c>
      <c r="L53">
        <f t="shared" si="9"/>
        <v>6.9007726218451495</v>
      </c>
      <c r="M53">
        <f t="shared" si="9"/>
        <v>7.6202702983073332</v>
      </c>
      <c r="N53">
        <f t="shared" si="1"/>
        <v>7.7478103685350852E-15</v>
      </c>
      <c r="O53">
        <f t="shared" si="2"/>
        <v>-4.5678904863491182E-5</v>
      </c>
      <c r="P53" s="2">
        <f t="shared" si="3"/>
        <v>3.0837855159154031E-2</v>
      </c>
      <c r="Q53">
        <f t="shared" si="4"/>
        <v>1403.9738279096869</v>
      </c>
      <c r="R53">
        <f t="shared" si="10"/>
        <v>3.7593379011013894E-4</v>
      </c>
      <c r="S53">
        <f t="shared" si="11"/>
        <v>1.7834318564169394E-6</v>
      </c>
      <c r="T53">
        <f t="shared" si="18"/>
        <v>1404.3832844153899</v>
      </c>
      <c r="U53">
        <f t="shared" si="5"/>
        <v>10.720426951195966</v>
      </c>
      <c r="AG53">
        <f t="shared" si="6"/>
        <v>-0.40945650570307607</v>
      </c>
      <c r="AH53">
        <f t="shared" si="7"/>
        <v>-0.83045712925748105</v>
      </c>
      <c r="AI53">
        <f t="shared" si="8"/>
        <v>0.19358594042632851</v>
      </c>
    </row>
    <row r="54" spans="11:35" x14ac:dyDescent="0.25">
      <c r="K54">
        <v>50</v>
      </c>
      <c r="L54">
        <f t="shared" si="9"/>
        <v>6.9007726218451495</v>
      </c>
      <c r="M54">
        <f t="shared" si="9"/>
        <v>7.6202717069467854</v>
      </c>
      <c r="N54">
        <f t="shared" si="1"/>
        <v>7.7473868520614581E-15</v>
      </c>
      <c r="O54">
        <f t="shared" si="2"/>
        <v>-3.6079375427303765E-5</v>
      </c>
      <c r="P54" s="2">
        <f t="shared" si="3"/>
        <v>3.0837855159154031E-2</v>
      </c>
      <c r="Q54">
        <f t="shared" si="4"/>
        <v>1403.9741248401494</v>
      </c>
      <c r="R54">
        <f t="shared" si="10"/>
        <v>2.9693046258216782E-4</v>
      </c>
      <c r="S54">
        <f t="shared" si="11"/>
        <v>1.4086394521939383E-6</v>
      </c>
      <c r="T54">
        <f t="shared" si="18"/>
        <v>1404.3835813458525</v>
      </c>
      <c r="U54">
        <f t="shared" si="5"/>
        <v>10.720427927045263</v>
      </c>
      <c r="AG54">
        <f t="shared" si="6"/>
        <v>-0.40945650570307607</v>
      </c>
      <c r="AH54">
        <f t="shared" si="7"/>
        <v>-0.83045712925748105</v>
      </c>
      <c r="AI54">
        <f t="shared" si="8"/>
        <v>0.19358594042632851</v>
      </c>
    </row>
    <row r="55" spans="11:35" x14ac:dyDescent="0.25">
      <c r="K55">
        <v>51</v>
      </c>
      <c r="L55">
        <f t="shared" si="9"/>
        <v>6.9007726218451495</v>
      </c>
      <c r="M55">
        <f t="shared" si="9"/>
        <v>7.6202728195573393</v>
      </c>
      <c r="N55">
        <f t="shared" si="1"/>
        <v>7.7473868520614581E-15</v>
      </c>
      <c r="O55">
        <f t="shared" si="2"/>
        <v>-2.8497209709424144E-5</v>
      </c>
      <c r="P55" s="2">
        <f t="shared" si="3"/>
        <v>3.0837855159154031E-2</v>
      </c>
      <c r="Q55">
        <f t="shared" si="4"/>
        <v>1403.9743593700032</v>
      </c>
      <c r="R55">
        <f t="shared" si="10"/>
        <v>2.3452985374206037E-4</v>
      </c>
      <c r="S55">
        <f t="shared" si="11"/>
        <v>1.1126105539105424E-6</v>
      </c>
      <c r="T55">
        <f t="shared" si="18"/>
        <v>1404.3838158757062</v>
      </c>
      <c r="U55">
        <f t="shared" si="5"/>
        <v>10.720428697817599</v>
      </c>
      <c r="AG55">
        <f t="shared" si="6"/>
        <v>-0.40945650570307607</v>
      </c>
      <c r="AH55">
        <f t="shared" si="7"/>
        <v>-0.83045712925748105</v>
      </c>
      <c r="AI55">
        <f t="shared" si="8"/>
        <v>0.19358594042632851</v>
      </c>
    </row>
    <row r="56" spans="11:35" x14ac:dyDescent="0.25">
      <c r="K56">
        <v>52</v>
      </c>
      <c r="L56">
        <f t="shared" si="9"/>
        <v>6.9007726218451495</v>
      </c>
      <c r="M56">
        <f t="shared" si="9"/>
        <v>7.6202736983501644</v>
      </c>
      <c r="N56">
        <f t="shared" si="1"/>
        <v>7.7473868520614581E-15</v>
      </c>
      <c r="O56">
        <f t="shared" si="2"/>
        <v>-2.2508453977464858E-5</v>
      </c>
      <c r="P56" s="2">
        <f t="shared" si="3"/>
        <v>3.0837855159154031E-2</v>
      </c>
      <c r="Q56">
        <f t="shared" si="4"/>
        <v>1403.9745446128727</v>
      </c>
      <c r="R56">
        <f t="shared" si="10"/>
        <v>1.8524286952015245E-4</v>
      </c>
      <c r="S56">
        <f t="shared" si="11"/>
        <v>8.7879282517633328E-7</v>
      </c>
      <c r="T56">
        <f t="shared" si="18"/>
        <v>1404.3840011185757</v>
      </c>
      <c r="U56">
        <f t="shared" si="5"/>
        <v>10.720429306610358</v>
      </c>
      <c r="AG56">
        <f t="shared" si="6"/>
        <v>-0.40945650570307607</v>
      </c>
      <c r="AH56">
        <f t="shared" si="7"/>
        <v>-0.83045712925748105</v>
      </c>
      <c r="AI56">
        <f t="shared" si="8"/>
        <v>0.19358594042632851</v>
      </c>
    </row>
    <row r="57" spans="11:35" x14ac:dyDescent="0.25">
      <c r="K57">
        <v>53</v>
      </c>
      <c r="L57">
        <f t="shared" si="9"/>
        <v>6.9007726218451495</v>
      </c>
      <c r="M57">
        <f t="shared" si="9"/>
        <v>7.6202743924626084</v>
      </c>
      <c r="N57">
        <f t="shared" si="1"/>
        <v>7.7478103685350852E-15</v>
      </c>
      <c r="O57">
        <f t="shared" si="2"/>
        <v>-1.7778249362294036E-5</v>
      </c>
      <c r="P57" s="2">
        <f t="shared" si="3"/>
        <v>3.0837855159154031E-2</v>
      </c>
      <c r="Q57">
        <f t="shared" si="4"/>
        <v>1403.9746909265277</v>
      </c>
      <c r="R57">
        <f t="shared" si="10"/>
        <v>1.4631365502282279E-4</v>
      </c>
      <c r="S57">
        <f t="shared" si="11"/>
        <v>6.9411244396633265E-7</v>
      </c>
      <c r="T57">
        <f t="shared" si="18"/>
        <v>1404.3841474322307</v>
      </c>
      <c r="U57">
        <f t="shared" si="5"/>
        <v>10.720429787463909</v>
      </c>
      <c r="AG57">
        <f t="shared" si="6"/>
        <v>-0.40945650570307607</v>
      </c>
      <c r="AH57">
        <f t="shared" si="7"/>
        <v>-0.83045712925748105</v>
      </c>
      <c r="AI57">
        <f t="shared" si="8"/>
        <v>0.19358594042632851</v>
      </c>
    </row>
    <row r="58" spans="11:35" x14ac:dyDescent="0.25">
      <c r="K58">
        <v>54</v>
      </c>
      <c r="L58">
        <f t="shared" si="9"/>
        <v>6.9007726218451495</v>
      </c>
      <c r="M58">
        <f t="shared" si="9"/>
        <v>7.6202749407056869</v>
      </c>
      <c r="N58">
        <f t="shared" si="1"/>
        <v>7.7469633355878309E-15</v>
      </c>
      <c r="O58">
        <f t="shared" si="2"/>
        <v>-1.4042108391684614E-5</v>
      </c>
      <c r="P58" s="2">
        <f t="shared" si="3"/>
        <v>3.0837855159154031E-2</v>
      </c>
      <c r="Q58">
        <f t="shared" si="4"/>
        <v>1403.97480649203</v>
      </c>
      <c r="R58">
        <f t="shared" si="10"/>
        <v>1.1556550225577666E-4</v>
      </c>
      <c r="S58">
        <f t="shared" si="11"/>
        <v>5.4824307849088427E-7</v>
      </c>
      <c r="T58">
        <f t="shared" si="18"/>
        <v>1404.384262997733</v>
      </c>
      <c r="U58">
        <f t="shared" si="5"/>
        <v>10.720430167264972</v>
      </c>
      <c r="AG58">
        <f t="shared" si="6"/>
        <v>-0.40945650570307607</v>
      </c>
      <c r="AH58">
        <f t="shared" si="7"/>
        <v>-0.83045712925748105</v>
      </c>
      <c r="AI58">
        <f t="shared" si="8"/>
        <v>0.19358594042632851</v>
      </c>
    </row>
    <row r="59" spans="11:35" x14ac:dyDescent="0.25">
      <c r="K59">
        <v>55</v>
      </c>
      <c r="L59">
        <f t="shared" si="9"/>
        <v>6.9007726218451495</v>
      </c>
      <c r="M59">
        <f t="shared" si="9"/>
        <v>7.6202753737341915</v>
      </c>
      <c r="N59">
        <f t="shared" si="1"/>
        <v>7.7473868520614581E-15</v>
      </c>
      <c r="O59">
        <f t="shared" si="2"/>
        <v>-1.1091126243461817E-5</v>
      </c>
      <c r="P59" s="2">
        <f t="shared" si="3"/>
        <v>3.0837855159154031E-2</v>
      </c>
      <c r="Q59">
        <f t="shared" si="4"/>
        <v>1403.9748977711738</v>
      </c>
      <c r="R59">
        <f t="shared" si="10"/>
        <v>9.1279143816791475E-5</v>
      </c>
      <c r="S59">
        <f t="shared" si="11"/>
        <v>4.3302850460946729E-7</v>
      </c>
      <c r="T59">
        <f t="shared" si="18"/>
        <v>1404.3843542768768</v>
      </c>
      <c r="U59">
        <f t="shared" si="5"/>
        <v>10.720430467249956</v>
      </c>
      <c r="AG59">
        <f t="shared" si="6"/>
        <v>-0.40945650570307607</v>
      </c>
      <c r="AH59">
        <f t="shared" si="7"/>
        <v>-0.83045712925748105</v>
      </c>
      <c r="AI59">
        <f t="shared" si="8"/>
        <v>0.19358594042632851</v>
      </c>
    </row>
    <row r="60" spans="11:35" x14ac:dyDescent="0.25">
      <c r="K60">
        <v>56</v>
      </c>
      <c r="L60">
        <f t="shared" si="9"/>
        <v>6.9007726218451495</v>
      </c>
      <c r="M60">
        <f t="shared" si="9"/>
        <v>7.6202757157607364</v>
      </c>
      <c r="N60">
        <f t="shared" si="1"/>
        <v>7.7478103685350852E-15</v>
      </c>
      <c r="O60">
        <f t="shared" si="2"/>
        <v>-8.760299941340649E-6</v>
      </c>
      <c r="P60" s="2">
        <f t="shared" si="3"/>
        <v>3.0837855159154031E-2</v>
      </c>
      <c r="Q60">
        <f t="shared" si="4"/>
        <v>1403.9749698677933</v>
      </c>
      <c r="R60">
        <f t="shared" si="10"/>
        <v>7.2096619533112971E-5</v>
      </c>
      <c r="S60">
        <f t="shared" si="11"/>
        <v>3.4202654486392703E-7</v>
      </c>
      <c r="T60">
        <f t="shared" si="18"/>
        <v>1404.3844263734964</v>
      </c>
      <c r="U60">
        <f t="shared" si="5"/>
        <v>10.720430704192395</v>
      </c>
      <c r="AG60">
        <f t="shared" si="6"/>
        <v>-0.40945650570307607</v>
      </c>
      <c r="AH60">
        <f t="shared" si="7"/>
        <v>-0.83045712925748105</v>
      </c>
      <c r="AI60">
        <f t="shared" si="8"/>
        <v>0.19358594042632851</v>
      </c>
    </row>
    <row r="61" spans="11:35" x14ac:dyDescent="0.25">
      <c r="K61">
        <v>57</v>
      </c>
      <c r="L61">
        <f t="shared" si="9"/>
        <v>6.9007726218451495</v>
      </c>
      <c r="M61">
        <f t="shared" si="9"/>
        <v>7.620275985909597</v>
      </c>
      <c r="N61">
        <f t="shared" si="1"/>
        <v>7.7473868520614581E-15</v>
      </c>
      <c r="O61">
        <f t="shared" si="2"/>
        <v>-6.9193022782505557E-6</v>
      </c>
      <c r="P61" s="2">
        <f t="shared" si="3"/>
        <v>3.0837855159154031E-2</v>
      </c>
      <c r="Q61">
        <f t="shared" si="4"/>
        <v>1403.9750268131402</v>
      </c>
      <c r="R61">
        <f t="shared" si="10"/>
        <v>5.6945346841530409E-5</v>
      </c>
      <c r="S61">
        <f t="shared" si="11"/>
        <v>2.7014886061493826E-7</v>
      </c>
      <c r="T61">
        <f t="shared" si="18"/>
        <v>1404.3844833188432</v>
      </c>
      <c r="U61">
        <f t="shared" si="5"/>
        <v>10.720430891340829</v>
      </c>
      <c r="AG61">
        <f t="shared" si="6"/>
        <v>-0.40945650570307607</v>
      </c>
      <c r="AH61">
        <f t="shared" si="7"/>
        <v>-0.83045712925748105</v>
      </c>
      <c r="AI61">
        <f t="shared" si="8"/>
        <v>0.19358594042632851</v>
      </c>
    </row>
    <row r="62" spans="11:35" x14ac:dyDescent="0.25">
      <c r="K62">
        <v>58</v>
      </c>
      <c r="L62">
        <f t="shared" si="9"/>
        <v>6.9007726218451495</v>
      </c>
      <c r="M62">
        <f t="shared" si="9"/>
        <v>7.6202761992860388</v>
      </c>
      <c r="N62">
        <f t="shared" si="1"/>
        <v>7.7473868520614581E-15</v>
      </c>
      <c r="O62">
        <f t="shared" si="2"/>
        <v>-5.465194606250642E-6</v>
      </c>
      <c r="P62" s="2">
        <f t="shared" si="3"/>
        <v>3.0837855159154031E-2</v>
      </c>
      <c r="Q62">
        <f t="shared" si="4"/>
        <v>1403.9750717912893</v>
      </c>
      <c r="R62">
        <f t="shared" si="10"/>
        <v>4.497814916248899E-5</v>
      </c>
      <c r="S62">
        <f t="shared" si="11"/>
        <v>2.1337644184882265E-7</v>
      </c>
      <c r="T62">
        <f t="shared" si="18"/>
        <v>1404.3845282969924</v>
      </c>
      <c r="U62">
        <f t="shared" si="5"/>
        <v>10.72043103915958</v>
      </c>
      <c r="AG62">
        <f t="shared" si="6"/>
        <v>-0.40945650570307607</v>
      </c>
      <c r="AH62">
        <f t="shared" si="7"/>
        <v>-0.83045712925748105</v>
      </c>
      <c r="AI62">
        <f t="shared" si="8"/>
        <v>0.19358594042632851</v>
      </c>
    </row>
    <row r="63" spans="11:35" x14ac:dyDescent="0.25">
      <c r="K63">
        <v>59</v>
      </c>
      <c r="L63">
        <f t="shared" si="9"/>
        <v>6.9007726218451495</v>
      </c>
      <c r="M63">
        <f t="shared" si="9"/>
        <v>7.6202763678209182</v>
      </c>
      <c r="N63">
        <f t="shared" si="1"/>
        <v>7.7469633355878309E-15</v>
      </c>
      <c r="O63">
        <f t="shared" si="2"/>
        <v>-4.3166710907647908E-6</v>
      </c>
      <c r="P63" s="2">
        <f t="shared" si="3"/>
        <v>3.0837855159154031E-2</v>
      </c>
      <c r="Q63">
        <f t="shared" si="4"/>
        <v>1403.9751073171747</v>
      </c>
      <c r="R63">
        <f t="shared" si="10"/>
        <v>3.552588532329537E-5</v>
      </c>
      <c r="S63">
        <f t="shared" si="11"/>
        <v>1.6853487938561784E-7</v>
      </c>
      <c r="T63">
        <f t="shared" si="18"/>
        <v>1404.3845638228777</v>
      </c>
      <c r="U63">
        <f t="shared" si="5"/>
        <v>10.720431155913873</v>
      </c>
      <c r="AG63">
        <f t="shared" si="6"/>
        <v>-0.40945650570307607</v>
      </c>
      <c r="AH63">
        <f t="shared" si="7"/>
        <v>-0.83045712925748105</v>
      </c>
      <c r="AI63">
        <f t="shared" si="8"/>
        <v>0.19358594042632851</v>
      </c>
    </row>
    <row r="64" spans="11:35" x14ac:dyDescent="0.25">
      <c r="K64">
        <v>60</v>
      </c>
      <c r="L64">
        <f t="shared" si="9"/>
        <v>6.9007726218451495</v>
      </c>
      <c r="M64">
        <f t="shared" si="9"/>
        <v>7.6202765009377957</v>
      </c>
      <c r="N64">
        <f t="shared" si="1"/>
        <v>7.7473868520614581E-15</v>
      </c>
      <c r="O64">
        <f t="shared" si="2"/>
        <v>-3.4095124972536881E-6</v>
      </c>
      <c r="P64" s="2">
        <f t="shared" si="3"/>
        <v>3.0837855159154031E-2</v>
      </c>
      <c r="Q64">
        <f t="shared" si="4"/>
        <v>1403.9751353772122</v>
      </c>
      <c r="R64">
        <f t="shared" si="10"/>
        <v>2.806003749356023E-5</v>
      </c>
      <c r="S64">
        <f t="shared" si="11"/>
        <v>1.3311687752093349E-7</v>
      </c>
      <c r="T64">
        <f t="shared" si="18"/>
        <v>1404.3845918829152</v>
      </c>
      <c r="U64">
        <f t="shared" si="5"/>
        <v>10.720431248131979</v>
      </c>
      <c r="AG64">
        <f t="shared" si="6"/>
        <v>-0.40945650570307607</v>
      </c>
      <c r="AH64">
        <f t="shared" si="7"/>
        <v>-0.83045712925748105</v>
      </c>
      <c r="AI64">
        <f t="shared" si="8"/>
        <v>0.19358594042632851</v>
      </c>
    </row>
    <row r="65" spans="11:35" x14ac:dyDescent="0.25">
      <c r="K65">
        <v>61</v>
      </c>
      <c r="L65">
        <f t="shared" si="9"/>
        <v>6.9007726218451495</v>
      </c>
      <c r="M65">
        <f t="shared" si="9"/>
        <v>7.6202766060798481</v>
      </c>
      <c r="N65">
        <f t="shared" si="1"/>
        <v>7.7473868520614581E-15</v>
      </c>
      <c r="O65">
        <f t="shared" si="2"/>
        <v>-2.6929954173137487E-6</v>
      </c>
      <c r="P65" s="2">
        <f t="shared" si="3"/>
        <v>3.0837855159154031E-2</v>
      </c>
      <c r="Q65">
        <f t="shared" si="4"/>
        <v>1403.975157540367</v>
      </c>
      <c r="R65">
        <f t="shared" si="10"/>
        <v>2.2163154881127411E-5</v>
      </c>
      <c r="S65">
        <f t="shared" si="11"/>
        <v>1.0514205239786634E-7</v>
      </c>
      <c r="T65">
        <f t="shared" si="18"/>
        <v>1404.3846140460701</v>
      </c>
      <c r="U65">
        <f t="shared" si="5"/>
        <v>10.720431320970233</v>
      </c>
      <c r="AG65">
        <f t="shared" si="6"/>
        <v>-0.40945650570307607</v>
      </c>
      <c r="AH65">
        <f t="shared" si="7"/>
        <v>-0.83045712925748105</v>
      </c>
      <c r="AI65">
        <f t="shared" si="8"/>
        <v>0.19358594042632851</v>
      </c>
    </row>
    <row r="66" spans="11:35" x14ac:dyDescent="0.25">
      <c r="K66">
        <v>62</v>
      </c>
      <c r="L66">
        <f t="shared" si="9"/>
        <v>6.9007726218451495</v>
      </c>
      <c r="M66">
        <f t="shared" si="9"/>
        <v>7.6202766891260509</v>
      </c>
      <c r="N66">
        <f t="shared" si="1"/>
        <v>7.7473868520614581E-15</v>
      </c>
      <c r="O66">
        <f t="shared" si="2"/>
        <v>-2.1270560868956752E-6</v>
      </c>
      <c r="P66" s="2">
        <f t="shared" si="3"/>
        <v>3.0837855159154031E-2</v>
      </c>
      <c r="Q66">
        <f t="shared" si="4"/>
        <v>1403.9751750458827</v>
      </c>
      <c r="R66">
        <f t="shared" si="10"/>
        <v>1.7505515643279068E-5</v>
      </c>
      <c r="S66">
        <f t="shared" si="11"/>
        <v>8.3046202803416236E-8</v>
      </c>
      <c r="T66">
        <f t="shared" si="18"/>
        <v>1404.3846315515857</v>
      </c>
      <c r="U66">
        <f t="shared" si="5"/>
        <v>10.720431378501356</v>
      </c>
      <c r="AG66">
        <f t="shared" si="6"/>
        <v>-0.40945650570307607</v>
      </c>
      <c r="AH66">
        <f t="shared" si="7"/>
        <v>-0.83045712925748105</v>
      </c>
      <c r="AI66">
        <f t="shared" si="8"/>
        <v>0.19358594042632851</v>
      </c>
    </row>
    <row r="67" spans="11:35" x14ac:dyDescent="0.25">
      <c r="K67">
        <v>63</v>
      </c>
      <c r="L67">
        <f t="shared" si="9"/>
        <v>6.9007726218451495</v>
      </c>
      <c r="M67">
        <f t="shared" si="9"/>
        <v>7.6202767547198986</v>
      </c>
      <c r="N67">
        <f t="shared" si="1"/>
        <v>7.7473868520614581E-15</v>
      </c>
      <c r="O67">
        <f t="shared" si="2"/>
        <v>-1.6800502397138927E-6</v>
      </c>
      <c r="P67" s="2">
        <f t="shared" si="3"/>
        <v>3.0837855159154031E-2</v>
      </c>
      <c r="Q67">
        <f t="shared" si="4"/>
        <v>1403.9751888725732</v>
      </c>
      <c r="R67">
        <f t="shared" si="10"/>
        <v>1.3826690519636031E-5</v>
      </c>
      <c r="S67">
        <f t="shared" si="11"/>
        <v>6.5593847686784557E-8</v>
      </c>
      <c r="T67">
        <f t="shared" si="18"/>
        <v>1404.3846453782762</v>
      </c>
      <c r="U67">
        <f t="shared" si="5"/>
        <v>10.720431423942179</v>
      </c>
      <c r="AG67">
        <f t="shared" si="6"/>
        <v>-0.40945650570307607</v>
      </c>
      <c r="AH67">
        <f t="shared" si="7"/>
        <v>-0.83045712925748105</v>
      </c>
      <c r="AI67">
        <f t="shared" si="8"/>
        <v>0.19358594042632851</v>
      </c>
    </row>
    <row r="68" spans="11:35" x14ac:dyDescent="0.25">
      <c r="K68">
        <v>64</v>
      </c>
      <c r="L68">
        <f t="shared" si="9"/>
        <v>6.9007726218451495</v>
      </c>
      <c r="M68">
        <f t="shared" si="9"/>
        <v>7.6202768065290449</v>
      </c>
      <c r="N68">
        <f t="shared" si="1"/>
        <v>7.7473868520614581E-15</v>
      </c>
      <c r="O68">
        <f t="shared" si="2"/>
        <v>-1.3269837227580074E-6</v>
      </c>
      <c r="P68" s="2">
        <f t="shared" si="3"/>
        <v>3.0837855159154031E-2</v>
      </c>
      <c r="Q68">
        <f t="shared" si="4"/>
        <v>1403.9751997935523</v>
      </c>
      <c r="R68">
        <f t="shared" si="10"/>
        <v>1.0920979093498318E-5</v>
      </c>
      <c r="S68">
        <f t="shared" si="11"/>
        <v>5.1809146306425191E-8</v>
      </c>
      <c r="T68">
        <f t="shared" ref="T68:T104" si="19">ABS(Q68-$F$4)</f>
        <v>1404.3846562992553</v>
      </c>
      <c r="U68">
        <f t="shared" si="5"/>
        <v>10.720431459833506</v>
      </c>
      <c r="AG68">
        <f t="shared" si="6"/>
        <v>-0.40945650570307607</v>
      </c>
      <c r="AH68">
        <f t="shared" si="7"/>
        <v>-0.83045712925748105</v>
      </c>
      <c r="AI68">
        <f t="shared" si="8"/>
        <v>0.19358594042632851</v>
      </c>
    </row>
    <row r="69" spans="11:35" x14ac:dyDescent="0.25">
      <c r="K69" s="2">
        <v>65</v>
      </c>
      <c r="L69">
        <f t="shared" si="9"/>
        <v>6.9007726218451495</v>
      </c>
      <c r="M69">
        <f t="shared" si="9"/>
        <v>7.620276847450377</v>
      </c>
      <c r="N69">
        <f t="shared" ref="N69:N104" si="20">(($B$4*(L69+$B$11-$B$6)^2+$B$5*(M69-$B$7)^2)-($B$4*(L69-$B$6)^2+$B$5*(M69-$B$7)^2))/$B$11</f>
        <v>7.7478103685350852E-15</v>
      </c>
      <c r="O69">
        <f t="shared" ref="O69:O104" si="21">(($B$4*(L69-$B$6)^2+$B$5*(M69+$B$11-$B$7)^2)-($B$4*(L69-$B$6)^2+$B$5*(M69-$B$7)^2))/$B$11</f>
        <v>-1.0481149664865235E-6</v>
      </c>
      <c r="P69" s="2">
        <f t="shared" ref="P69:P104" si="22">$B$10</f>
        <v>3.0837855159154031E-2</v>
      </c>
      <c r="Q69">
        <f t="shared" ref="Q69:Q104" si="23">$D$4+$B$4*L69+$B$5*M69+$D$5*L69^2+$D$6*L69*M69+$D$7*M69^2</f>
        <v>1403.975208419462</v>
      </c>
      <c r="R69" s="2">
        <f t="shared" si="10"/>
        <v>8.625909686088562E-6</v>
      </c>
      <c r="S69">
        <f t="shared" si="11"/>
        <v>4.0921332100651853E-8</v>
      </c>
      <c r="T69">
        <f t="shared" si="19"/>
        <v>1404.384664925165</v>
      </c>
      <c r="U69">
        <f t="shared" ref="U69:U104" si="24">SQRT(($F$5-L69)^2+($F$6-M69)^2)</f>
        <v>10.720431488182186</v>
      </c>
      <c r="AG69">
        <f t="shared" ref="AG69:AG103" si="25">$F$4</f>
        <v>-0.40945650570307607</v>
      </c>
      <c r="AH69">
        <f t="shared" ref="AH69:AH103" si="26">$F$5</f>
        <v>-0.83045712925748105</v>
      </c>
      <c r="AI69">
        <f t="shared" ref="AI69:AI103" si="27">$F$6</f>
        <v>0.19358594042632851</v>
      </c>
    </row>
    <row r="70" spans="11:35" x14ac:dyDescent="0.25">
      <c r="K70">
        <v>66</v>
      </c>
      <c r="L70">
        <f t="shared" ref="L70:M104" si="28">L69-$P69*N69</f>
        <v>6.9007726218451495</v>
      </c>
      <c r="M70">
        <f t="shared" si="28"/>
        <v>7.6202768797719944</v>
      </c>
      <c r="N70">
        <f t="shared" si="20"/>
        <v>7.7473868520614581E-15</v>
      </c>
      <c r="O70">
        <f t="shared" si="21"/>
        <v>-8.2785113885789756E-7</v>
      </c>
      <c r="P70" s="2">
        <f t="shared" si="22"/>
        <v>3.0837855159154031E-2</v>
      </c>
      <c r="Q70">
        <f t="shared" si="23"/>
        <v>1403.9752152326164</v>
      </c>
      <c r="R70">
        <f t="shared" ref="R70:R104" si="29">ABS(Q70-Q69)</f>
        <v>6.8131544139760081E-6</v>
      </c>
      <c r="S70">
        <f t="shared" ref="S70:S104" si="30">SQRT((L69-L70)^2+(M69-M70)^2)</f>
        <v>3.2321617382535806E-8</v>
      </c>
      <c r="T70">
        <f t="shared" si="19"/>
        <v>1404.3846717383194</v>
      </c>
      <c r="U70">
        <f t="shared" si="24"/>
        <v>10.720431510573325</v>
      </c>
      <c r="AG70">
        <f t="shared" si="25"/>
        <v>-0.40945650570307607</v>
      </c>
      <c r="AH70">
        <f t="shared" si="26"/>
        <v>-0.83045712925748105</v>
      </c>
      <c r="AI70">
        <f t="shared" si="27"/>
        <v>0.19358594042632851</v>
      </c>
    </row>
    <row r="71" spans="11:35" x14ac:dyDescent="0.25">
      <c r="K71">
        <v>67</v>
      </c>
      <c r="L71">
        <f t="shared" si="28"/>
        <v>6.9007726218451495</v>
      </c>
      <c r="M71">
        <f t="shared" si="28"/>
        <v>7.6202769053011483</v>
      </c>
      <c r="N71">
        <f t="shared" si="20"/>
        <v>7.7478103685350852E-15</v>
      </c>
      <c r="O71">
        <f t="shared" si="21"/>
        <v>-6.5387626971628155E-7</v>
      </c>
      <c r="P71" s="2">
        <f t="shared" si="22"/>
        <v>3.0837855159154031E-2</v>
      </c>
      <c r="Q71">
        <f t="shared" si="23"/>
        <v>1403.9752206139701</v>
      </c>
      <c r="R71">
        <f t="shared" si="29"/>
        <v>5.3813537306268699E-6</v>
      </c>
      <c r="S71">
        <f t="shared" si="30"/>
        <v>2.5529153901970858E-8</v>
      </c>
      <c r="T71">
        <f t="shared" si="19"/>
        <v>1404.3846771196731</v>
      </c>
      <c r="U71">
        <f t="shared" si="24"/>
        <v>10.720431528258914</v>
      </c>
      <c r="AG71">
        <f t="shared" si="25"/>
        <v>-0.40945650570307607</v>
      </c>
      <c r="AH71">
        <f t="shared" si="26"/>
        <v>-0.83045712925748105</v>
      </c>
      <c r="AI71">
        <f t="shared" si="27"/>
        <v>0.19358594042632851</v>
      </c>
    </row>
    <row r="72" spans="11:35" x14ac:dyDescent="0.25">
      <c r="K72">
        <v>68</v>
      </c>
      <c r="L72">
        <f t="shared" si="28"/>
        <v>6.9007726218451495</v>
      </c>
      <c r="M72">
        <f t="shared" si="28"/>
        <v>7.6202769254652898</v>
      </c>
      <c r="N72">
        <f t="shared" si="20"/>
        <v>7.7473868520614581E-15</v>
      </c>
      <c r="O72">
        <f t="shared" si="21"/>
        <v>-5.1646263326558583E-7</v>
      </c>
      <c r="P72" s="2">
        <f t="shared" si="22"/>
        <v>3.0837855159154031E-2</v>
      </c>
      <c r="Q72">
        <f t="shared" si="23"/>
        <v>1403.9752248644199</v>
      </c>
      <c r="R72">
        <f t="shared" si="29"/>
        <v>4.2504498196649365E-6</v>
      </c>
      <c r="S72">
        <f t="shared" si="30"/>
        <v>2.0164141467660102E-8</v>
      </c>
      <c r="T72">
        <f t="shared" si="19"/>
        <v>1404.384681370123</v>
      </c>
      <c r="U72">
        <f t="shared" si="24"/>
        <v>10.720431542227832</v>
      </c>
      <c r="AG72">
        <f t="shared" si="25"/>
        <v>-0.40945650570307607</v>
      </c>
      <c r="AH72">
        <f t="shared" si="26"/>
        <v>-0.83045712925748105</v>
      </c>
      <c r="AI72">
        <f t="shared" si="27"/>
        <v>0.19358594042632851</v>
      </c>
    </row>
    <row r="73" spans="11:35" x14ac:dyDescent="0.25">
      <c r="K73">
        <v>69</v>
      </c>
      <c r="L73">
        <f t="shared" si="28"/>
        <v>6.9007726218451495</v>
      </c>
      <c r="M73">
        <f t="shared" si="28"/>
        <v>7.6202769413918894</v>
      </c>
      <c r="N73">
        <f t="shared" si="20"/>
        <v>7.7473868520614581E-15</v>
      </c>
      <c r="O73">
        <f t="shared" si="21"/>
        <v>-4.0792679651228484E-7</v>
      </c>
      <c r="P73" s="2">
        <f t="shared" si="22"/>
        <v>3.0837855159154031E-2</v>
      </c>
      <c r="Q73">
        <f t="shared" si="23"/>
        <v>1403.9752282216277</v>
      </c>
      <c r="R73">
        <f t="shared" si="29"/>
        <v>3.3572077882126905E-6</v>
      </c>
      <c r="S73">
        <f t="shared" si="30"/>
        <v>1.5926599594706659E-8</v>
      </c>
      <c r="T73">
        <f t="shared" si="19"/>
        <v>1404.3846847273308</v>
      </c>
      <c r="U73">
        <f t="shared" si="24"/>
        <v>10.72043155326115</v>
      </c>
      <c r="AG73">
        <f t="shared" si="25"/>
        <v>-0.40945650570307607</v>
      </c>
      <c r="AH73">
        <f t="shared" si="26"/>
        <v>-0.83045712925748105</v>
      </c>
      <c r="AI73">
        <f t="shared" si="27"/>
        <v>0.19358594042632851</v>
      </c>
    </row>
    <row r="74" spans="11:35" x14ac:dyDescent="0.25">
      <c r="K74">
        <v>70</v>
      </c>
      <c r="L74">
        <f t="shared" si="28"/>
        <v>6.9007726218451495</v>
      </c>
      <c r="M74">
        <f t="shared" si="28"/>
        <v>7.6202769539714765</v>
      </c>
      <c r="N74">
        <f t="shared" si="20"/>
        <v>7.7478103685350852E-15</v>
      </c>
      <c r="O74">
        <f t="shared" si="21"/>
        <v>-3.2220002167925778E-7</v>
      </c>
      <c r="P74" s="2">
        <f t="shared" si="22"/>
        <v>3.0837855159154031E-2</v>
      </c>
      <c r="Q74">
        <f t="shared" si="23"/>
        <v>1403.9752308733102</v>
      </c>
      <c r="R74">
        <f t="shared" si="29"/>
        <v>2.6516825073485961E-6</v>
      </c>
      <c r="S74">
        <f t="shared" si="30"/>
        <v>1.2579587149730287E-8</v>
      </c>
      <c r="T74">
        <f t="shared" si="19"/>
        <v>1404.3846873790133</v>
      </c>
      <c r="U74">
        <f t="shared" si="24"/>
        <v>10.720431561975792</v>
      </c>
      <c r="AG74">
        <f t="shared" si="25"/>
        <v>-0.40945650570307607</v>
      </c>
      <c r="AH74">
        <f t="shared" si="26"/>
        <v>-0.83045712925748105</v>
      </c>
      <c r="AI74">
        <f t="shared" si="27"/>
        <v>0.19358594042632851</v>
      </c>
    </row>
    <row r="75" spans="11:35" x14ac:dyDescent="0.25">
      <c r="K75">
        <v>71</v>
      </c>
      <c r="L75">
        <f t="shared" si="28"/>
        <v>6.9007726218451495</v>
      </c>
      <c r="M75">
        <f t="shared" si="28"/>
        <v>7.6202769639074344</v>
      </c>
      <c r="N75">
        <f t="shared" si="20"/>
        <v>7.7473868520614581E-15</v>
      </c>
      <c r="O75">
        <f t="shared" si="21"/>
        <v>-2.5448892672296519E-7</v>
      </c>
      <c r="P75" s="2">
        <f t="shared" si="22"/>
        <v>3.0837855159154031E-2</v>
      </c>
      <c r="Q75">
        <f t="shared" si="23"/>
        <v>1403.9752329677356</v>
      </c>
      <c r="R75">
        <f t="shared" si="29"/>
        <v>2.0944253265042789E-6</v>
      </c>
      <c r="S75">
        <f t="shared" si="30"/>
        <v>9.9359578342728128E-9</v>
      </c>
      <c r="T75">
        <f t="shared" si="19"/>
        <v>1404.3846894734386</v>
      </c>
      <c r="U75">
        <f t="shared" si="24"/>
        <v>10.720431568859031</v>
      </c>
      <c r="AG75">
        <f t="shared" si="25"/>
        <v>-0.40945650570307607</v>
      </c>
      <c r="AH75">
        <f t="shared" si="26"/>
        <v>-0.83045712925748105</v>
      </c>
      <c r="AI75">
        <f t="shared" si="27"/>
        <v>0.19358594042632851</v>
      </c>
    </row>
    <row r="76" spans="11:35" x14ac:dyDescent="0.25">
      <c r="K76">
        <v>72</v>
      </c>
      <c r="L76">
        <f t="shared" si="28"/>
        <v>6.9007726218451495</v>
      </c>
      <c r="M76">
        <f t="shared" si="28"/>
        <v>7.6202769717553274</v>
      </c>
      <c r="N76">
        <f t="shared" si="20"/>
        <v>7.7473868520614581E-15</v>
      </c>
      <c r="O76">
        <f t="shared" si="21"/>
        <v>-2.0100747710948089E-7</v>
      </c>
      <c r="P76" s="2">
        <f t="shared" si="22"/>
        <v>3.0837855159154031E-2</v>
      </c>
      <c r="Q76">
        <f t="shared" si="23"/>
        <v>1403.9752346220125</v>
      </c>
      <c r="R76">
        <f t="shared" si="29"/>
        <v>1.6542769571969984E-6</v>
      </c>
      <c r="S76">
        <f t="shared" si="30"/>
        <v>7.8478930021219639E-9</v>
      </c>
      <c r="T76">
        <f t="shared" si="19"/>
        <v>1404.3846911277155</v>
      </c>
      <c r="U76">
        <f t="shared" si="24"/>
        <v>10.720431574295739</v>
      </c>
      <c r="AG76">
        <f t="shared" si="25"/>
        <v>-0.40945650570307607</v>
      </c>
      <c r="AH76">
        <f t="shared" si="26"/>
        <v>-0.83045712925748105</v>
      </c>
      <c r="AI76">
        <f t="shared" si="27"/>
        <v>0.19358594042632851</v>
      </c>
    </row>
    <row r="77" spans="11:35" x14ac:dyDescent="0.25">
      <c r="K77">
        <v>73</v>
      </c>
      <c r="L77">
        <f t="shared" si="28"/>
        <v>6.9007726218451495</v>
      </c>
      <c r="M77">
        <f t="shared" si="28"/>
        <v>7.6202769779539672</v>
      </c>
      <c r="N77">
        <f t="shared" si="20"/>
        <v>7.7473868520614581E-15</v>
      </c>
      <c r="O77">
        <f t="shared" si="21"/>
        <v>-1.5876527996073697E-7</v>
      </c>
      <c r="P77" s="2">
        <f t="shared" si="22"/>
        <v>3.0837855159154031E-2</v>
      </c>
      <c r="Q77">
        <f t="shared" si="23"/>
        <v>1403.9752359286392</v>
      </c>
      <c r="R77">
        <f t="shared" si="29"/>
        <v>1.3066267001704546E-6</v>
      </c>
      <c r="S77">
        <f t="shared" si="30"/>
        <v>6.1986398236513196E-9</v>
      </c>
      <c r="T77">
        <f t="shared" si="19"/>
        <v>1404.3846924343422</v>
      </c>
      <c r="U77">
        <f t="shared" si="24"/>
        <v>10.720431578589912</v>
      </c>
      <c r="AG77">
        <f t="shared" si="25"/>
        <v>-0.40945650570307607</v>
      </c>
      <c r="AH77">
        <f t="shared" si="26"/>
        <v>-0.83045712925748105</v>
      </c>
      <c r="AI77">
        <f t="shared" si="27"/>
        <v>0.19358594042632851</v>
      </c>
    </row>
    <row r="78" spans="11:35" x14ac:dyDescent="0.25">
      <c r="K78">
        <v>74</v>
      </c>
      <c r="L78">
        <f t="shared" si="28"/>
        <v>6.9007726218451495</v>
      </c>
      <c r="M78">
        <f t="shared" si="28"/>
        <v>7.6202769828499477</v>
      </c>
      <c r="N78">
        <f t="shared" si="20"/>
        <v>7.7473868520614581E-15</v>
      </c>
      <c r="O78">
        <f t="shared" si="21"/>
        <v>-1.2540038381861151E-7</v>
      </c>
      <c r="P78" s="2">
        <f t="shared" si="22"/>
        <v>3.0837855159154031E-2</v>
      </c>
      <c r="Q78">
        <f t="shared" si="23"/>
        <v>1403.9752369606751</v>
      </c>
      <c r="R78">
        <f t="shared" si="29"/>
        <v>1.0320359251636546E-6</v>
      </c>
      <c r="S78">
        <f t="shared" si="30"/>
        <v>4.8959805099002551E-9</v>
      </c>
      <c r="T78">
        <f t="shared" si="19"/>
        <v>1404.3846934663782</v>
      </c>
      <c r="U78">
        <f t="shared" si="24"/>
        <v>10.720431581981654</v>
      </c>
      <c r="AG78">
        <f t="shared" si="25"/>
        <v>-0.40945650570307607</v>
      </c>
      <c r="AH78">
        <f t="shared" si="26"/>
        <v>-0.83045712925748105</v>
      </c>
      <c r="AI78">
        <f t="shared" si="27"/>
        <v>0.19358594042632851</v>
      </c>
    </row>
    <row r="79" spans="11:35" x14ac:dyDescent="0.25">
      <c r="K79">
        <v>75</v>
      </c>
      <c r="L79">
        <f t="shared" si="28"/>
        <v>6.9007726218451495</v>
      </c>
      <c r="M79">
        <f t="shared" si="28"/>
        <v>7.6202769867170268</v>
      </c>
      <c r="N79">
        <f t="shared" si="20"/>
        <v>7.7473868520614581E-15</v>
      </c>
      <c r="O79">
        <f t="shared" si="21"/>
        <v>-9.9047196274307302E-8</v>
      </c>
      <c r="P79" s="2">
        <f t="shared" si="22"/>
        <v>3.0837855159154031E-2</v>
      </c>
      <c r="Q79">
        <f t="shared" si="23"/>
        <v>1403.9752377758264</v>
      </c>
      <c r="R79">
        <f t="shared" si="29"/>
        <v>8.1515122474229429E-7</v>
      </c>
      <c r="S79">
        <f t="shared" si="30"/>
        <v>3.8670791013828421E-9</v>
      </c>
      <c r="T79">
        <f t="shared" si="19"/>
        <v>1404.3846942815294</v>
      </c>
      <c r="U79">
        <f t="shared" si="24"/>
        <v>10.720431584660613</v>
      </c>
      <c r="AG79">
        <f t="shared" si="25"/>
        <v>-0.40945650570307607</v>
      </c>
      <c r="AH79">
        <f t="shared" si="26"/>
        <v>-0.83045712925748105</v>
      </c>
      <c r="AI79">
        <f t="shared" si="27"/>
        <v>0.19358594042632851</v>
      </c>
    </row>
    <row r="80" spans="11:35" x14ac:dyDescent="0.25">
      <c r="K80">
        <v>76</v>
      </c>
      <c r="L80">
        <f t="shared" si="28"/>
        <v>6.9007726218451495</v>
      </c>
      <c r="M80">
        <f t="shared" si="28"/>
        <v>7.6202769897714298</v>
      </c>
      <c r="N80">
        <f t="shared" si="20"/>
        <v>7.7473868520614581E-15</v>
      </c>
      <c r="O80">
        <f t="shared" si="21"/>
        <v>-7.82321956654879E-8</v>
      </c>
      <c r="P80" s="2">
        <f t="shared" si="22"/>
        <v>3.0837855159154031E-2</v>
      </c>
      <c r="Q80">
        <f t="shared" si="23"/>
        <v>1403.9752384196718</v>
      </c>
      <c r="R80">
        <f t="shared" si="29"/>
        <v>6.4384539655293338E-7</v>
      </c>
      <c r="S80">
        <f t="shared" si="30"/>
        <v>3.0544029527845851E-9</v>
      </c>
      <c r="T80">
        <f t="shared" si="19"/>
        <v>1404.3846949253748</v>
      </c>
      <c r="U80">
        <f t="shared" si="24"/>
        <v>10.720431586776582</v>
      </c>
      <c r="AG80">
        <f t="shared" si="25"/>
        <v>-0.40945650570307607</v>
      </c>
      <c r="AH80">
        <f t="shared" si="26"/>
        <v>-0.83045712925748105</v>
      </c>
      <c r="AI80">
        <f t="shared" si="27"/>
        <v>0.19358594042632851</v>
      </c>
    </row>
    <row r="81" spans="11:35" x14ac:dyDescent="0.25">
      <c r="K81">
        <v>77</v>
      </c>
      <c r="L81">
        <f t="shared" si="28"/>
        <v>6.9007726218451495</v>
      </c>
      <c r="M81">
        <f t="shared" si="28"/>
        <v>7.6202769921839426</v>
      </c>
      <c r="N81">
        <f t="shared" si="20"/>
        <v>7.7473868520614581E-15</v>
      </c>
      <c r="O81">
        <f t="shared" si="21"/>
        <v>-6.1791517292126864E-8</v>
      </c>
      <c r="P81" s="2">
        <f t="shared" si="22"/>
        <v>3.0837855159154031E-2</v>
      </c>
      <c r="Q81">
        <f t="shared" si="23"/>
        <v>1403.9752389282112</v>
      </c>
      <c r="R81">
        <f t="shared" si="29"/>
        <v>5.0853941502282396E-7</v>
      </c>
      <c r="S81">
        <f t="shared" si="30"/>
        <v>2.4125128561536258E-9</v>
      </c>
      <c r="T81">
        <f t="shared" si="19"/>
        <v>1404.3846954339142</v>
      </c>
      <c r="U81">
        <f t="shared" si="24"/>
        <v>10.720431588447877</v>
      </c>
      <c r="AG81">
        <f t="shared" si="25"/>
        <v>-0.40945650570307607</v>
      </c>
      <c r="AH81">
        <f t="shared" si="26"/>
        <v>-0.83045712925748105</v>
      </c>
      <c r="AI81">
        <f t="shared" si="27"/>
        <v>0.19358594042632851</v>
      </c>
    </row>
    <row r="82" spans="11:35" x14ac:dyDescent="0.25">
      <c r="K82">
        <v>78</v>
      </c>
      <c r="L82">
        <f t="shared" si="28"/>
        <v>6.9007726218451495</v>
      </c>
      <c r="M82">
        <f t="shared" si="28"/>
        <v>7.6202769940894601</v>
      </c>
      <c r="N82">
        <f t="shared" si="20"/>
        <v>7.7473868520614581E-15</v>
      </c>
      <c r="O82">
        <f t="shared" si="21"/>
        <v>-4.8805886717191932E-8</v>
      </c>
      <c r="P82" s="2">
        <f t="shared" si="22"/>
        <v>3.0837855159154031E-2</v>
      </c>
      <c r="Q82">
        <f t="shared" si="23"/>
        <v>1403.97523932988</v>
      </c>
      <c r="R82">
        <f t="shared" si="29"/>
        <v>4.0166878534364514E-7</v>
      </c>
      <c r="S82">
        <f t="shared" si="30"/>
        <v>1.9055175215498821E-9</v>
      </c>
      <c r="T82">
        <f t="shared" si="19"/>
        <v>1404.384695835583</v>
      </c>
      <c r="U82">
        <f t="shared" si="24"/>
        <v>10.720431589767944</v>
      </c>
      <c r="AG82">
        <f t="shared" si="25"/>
        <v>-0.40945650570307607</v>
      </c>
      <c r="AH82">
        <f t="shared" si="26"/>
        <v>-0.83045712925748105</v>
      </c>
      <c r="AI82">
        <f t="shared" si="27"/>
        <v>0.19358594042632851</v>
      </c>
    </row>
    <row r="83" spans="11:35" x14ac:dyDescent="0.25">
      <c r="K83">
        <v>79</v>
      </c>
      <c r="L83">
        <f t="shared" si="28"/>
        <v>6.9007726218451495</v>
      </c>
      <c r="M83">
        <f t="shared" si="28"/>
        <v>7.6202769955945291</v>
      </c>
      <c r="N83">
        <f t="shared" si="20"/>
        <v>7.7478103685350852E-15</v>
      </c>
      <c r="O83">
        <f t="shared" si="21"/>
        <v>-3.8549214048583843E-8</v>
      </c>
      <c r="P83" s="2">
        <f t="shared" si="22"/>
        <v>3.0837855159154031E-2</v>
      </c>
      <c r="Q83">
        <f t="shared" si="23"/>
        <v>1403.9752396471372</v>
      </c>
      <c r="R83">
        <f t="shared" si="29"/>
        <v>3.1725721783004701E-7</v>
      </c>
      <c r="S83">
        <f t="shared" si="30"/>
        <v>1.5050689583517851E-9</v>
      </c>
      <c r="T83">
        <f t="shared" si="19"/>
        <v>1404.3846961528402</v>
      </c>
      <c r="U83">
        <f t="shared" si="24"/>
        <v>10.720431590810596</v>
      </c>
      <c r="AG83">
        <f t="shared" si="25"/>
        <v>-0.40945650570307607</v>
      </c>
      <c r="AH83">
        <f t="shared" si="26"/>
        <v>-0.83045712925748105</v>
      </c>
      <c r="AI83">
        <f t="shared" si="27"/>
        <v>0.19358594042632851</v>
      </c>
    </row>
    <row r="84" spans="11:35" x14ac:dyDescent="0.25">
      <c r="K84">
        <v>80</v>
      </c>
      <c r="L84">
        <f t="shared" si="28"/>
        <v>6.9007726218451495</v>
      </c>
      <c r="M84">
        <f t="shared" si="28"/>
        <v>7.6202769967833044</v>
      </c>
      <c r="N84">
        <f t="shared" si="20"/>
        <v>7.7473868520614581E-15</v>
      </c>
      <c r="O84">
        <f t="shared" si="21"/>
        <v>-3.0448004422694663E-8</v>
      </c>
      <c r="P84" s="2">
        <f t="shared" si="22"/>
        <v>3.0837855159154031E-2</v>
      </c>
      <c r="Q84">
        <f t="shared" si="23"/>
        <v>1403.9752398977223</v>
      </c>
      <c r="R84">
        <f t="shared" si="29"/>
        <v>2.505851171008544E-7</v>
      </c>
      <c r="S84">
        <f t="shared" si="30"/>
        <v>1.188775300420275E-9</v>
      </c>
      <c r="T84">
        <f t="shared" si="19"/>
        <v>1404.3846964034253</v>
      </c>
      <c r="U84">
        <f t="shared" si="24"/>
        <v>10.720431591634132</v>
      </c>
      <c r="AG84">
        <f t="shared" si="25"/>
        <v>-0.40945650570307607</v>
      </c>
      <c r="AH84">
        <f t="shared" si="26"/>
        <v>-0.83045712925748105</v>
      </c>
      <c r="AI84">
        <f t="shared" si="27"/>
        <v>0.19358594042632851</v>
      </c>
    </row>
    <row r="85" spans="11:35" x14ac:dyDescent="0.25">
      <c r="K85">
        <v>81</v>
      </c>
      <c r="L85">
        <f t="shared" si="28"/>
        <v>6.9007726218451495</v>
      </c>
      <c r="M85">
        <f t="shared" si="28"/>
        <v>7.6202769977222555</v>
      </c>
      <c r="N85">
        <f t="shared" si="20"/>
        <v>7.7473868520614581E-15</v>
      </c>
      <c r="O85">
        <f t="shared" si="21"/>
        <v>-2.4049284661826391E-8</v>
      </c>
      <c r="P85" s="2">
        <f t="shared" si="22"/>
        <v>3.0837855159154031E-2</v>
      </c>
      <c r="Q85">
        <f t="shared" si="23"/>
        <v>1403.9752400956463</v>
      </c>
      <c r="R85">
        <f t="shared" si="29"/>
        <v>1.979240096261492E-7</v>
      </c>
      <c r="S85">
        <f t="shared" si="30"/>
        <v>9.3895113906228289E-10</v>
      </c>
      <c r="T85">
        <f t="shared" si="19"/>
        <v>1404.3846966013493</v>
      </c>
      <c r="U85">
        <f t="shared" si="24"/>
        <v>10.720431592284601</v>
      </c>
      <c r="AG85">
        <f t="shared" si="25"/>
        <v>-0.40945650570307607</v>
      </c>
      <c r="AH85">
        <f t="shared" si="26"/>
        <v>-0.83045712925748105</v>
      </c>
      <c r="AI85">
        <f t="shared" si="27"/>
        <v>0.19358594042632851</v>
      </c>
    </row>
    <row r="86" spans="11:35" x14ac:dyDescent="0.25">
      <c r="K86">
        <v>82</v>
      </c>
      <c r="L86">
        <f t="shared" si="28"/>
        <v>6.9007726218451495</v>
      </c>
      <c r="M86">
        <f t="shared" si="28"/>
        <v>7.6202769984638836</v>
      </c>
      <c r="N86">
        <f t="shared" si="20"/>
        <v>7.7469633355878309E-15</v>
      </c>
      <c r="O86">
        <f t="shared" si="21"/>
        <v>-1.8995272656918043E-8</v>
      </c>
      <c r="P86" s="2">
        <f t="shared" si="22"/>
        <v>3.0837855159154031E-2</v>
      </c>
      <c r="Q86">
        <f t="shared" si="23"/>
        <v>1403.9752402519757</v>
      </c>
      <c r="R86">
        <f t="shared" si="29"/>
        <v>1.5632940630894154E-7</v>
      </c>
      <c r="S86">
        <f t="shared" si="30"/>
        <v>7.4162809227118487E-10</v>
      </c>
      <c r="T86">
        <f t="shared" si="19"/>
        <v>1404.3846967576787</v>
      </c>
      <c r="U86">
        <f t="shared" si="24"/>
        <v>10.720431592798372</v>
      </c>
      <c r="AG86">
        <f t="shared" si="25"/>
        <v>-0.40945650570307607</v>
      </c>
      <c r="AH86">
        <f t="shared" si="26"/>
        <v>-0.83045712925748105</v>
      </c>
      <c r="AI86">
        <f t="shared" si="27"/>
        <v>0.19358594042632851</v>
      </c>
    </row>
    <row r="87" spans="11:35" x14ac:dyDescent="0.25">
      <c r="K87">
        <v>83</v>
      </c>
      <c r="L87">
        <f t="shared" si="28"/>
        <v>6.9007726218451495</v>
      </c>
      <c r="M87">
        <f t="shared" si="28"/>
        <v>7.6202769990496568</v>
      </c>
      <c r="N87">
        <f t="shared" si="20"/>
        <v>7.7473868520614581E-15</v>
      </c>
      <c r="O87">
        <f t="shared" si="21"/>
        <v>-1.5003373138237599E-8</v>
      </c>
      <c r="P87" s="2">
        <f t="shared" si="22"/>
        <v>3.0837855159154031E-2</v>
      </c>
      <c r="Q87">
        <f t="shared" si="23"/>
        <v>1403.9752403754524</v>
      </c>
      <c r="R87">
        <f t="shared" si="29"/>
        <v>1.2347663869149983E-7</v>
      </c>
      <c r="S87">
        <f t="shared" si="30"/>
        <v>5.8577320771746599E-10</v>
      </c>
      <c r="T87">
        <f t="shared" si="19"/>
        <v>1404.3846968811554</v>
      </c>
      <c r="U87">
        <f t="shared" si="24"/>
        <v>10.720431593204172</v>
      </c>
      <c r="AG87">
        <f t="shared" si="25"/>
        <v>-0.40945650570307607</v>
      </c>
      <c r="AH87">
        <f t="shared" si="26"/>
        <v>-0.83045712925748105</v>
      </c>
      <c r="AI87">
        <f t="shared" si="27"/>
        <v>0.19358594042632851</v>
      </c>
    </row>
    <row r="88" spans="11:35" x14ac:dyDescent="0.25">
      <c r="K88">
        <v>84</v>
      </c>
      <c r="L88">
        <f t="shared" si="28"/>
        <v>6.9007726218451495</v>
      </c>
      <c r="M88">
        <f t="shared" si="28"/>
        <v>7.6202769995123285</v>
      </c>
      <c r="N88">
        <f t="shared" si="20"/>
        <v>7.7473868520614581E-15</v>
      </c>
      <c r="O88">
        <f t="shared" si="21"/>
        <v>-1.1850380091210882E-8</v>
      </c>
      <c r="P88" s="2">
        <f t="shared" si="22"/>
        <v>3.0837855159154031E-2</v>
      </c>
      <c r="Q88">
        <f t="shared" si="23"/>
        <v>1403.9752404729802</v>
      </c>
      <c r="R88">
        <f t="shared" si="29"/>
        <v>9.7527845355216414E-8</v>
      </c>
      <c r="S88">
        <f t="shared" si="30"/>
        <v>4.6267167874702864E-10</v>
      </c>
      <c r="T88">
        <f t="shared" si="19"/>
        <v>1404.3846969786832</v>
      </c>
      <c r="U88">
        <f t="shared" si="24"/>
        <v>10.720431593524692</v>
      </c>
      <c r="AG88">
        <f t="shared" si="25"/>
        <v>-0.40945650570307607</v>
      </c>
      <c r="AH88">
        <f t="shared" si="26"/>
        <v>-0.83045712925748105</v>
      </c>
      <c r="AI88">
        <f t="shared" si="27"/>
        <v>0.19358594042632851</v>
      </c>
    </row>
    <row r="89" spans="11:35" x14ac:dyDescent="0.25">
      <c r="K89">
        <v>85</v>
      </c>
      <c r="L89">
        <f t="shared" si="28"/>
        <v>6.9007726218451495</v>
      </c>
      <c r="M89">
        <f t="shared" si="28"/>
        <v>7.6202769998777686</v>
      </c>
      <c r="N89">
        <f t="shared" si="20"/>
        <v>7.7473868520614581E-15</v>
      </c>
      <c r="O89">
        <f t="shared" si="21"/>
        <v>-9.3599960478162915E-9</v>
      </c>
      <c r="P89" s="2">
        <f t="shared" si="22"/>
        <v>3.0837855159154031E-2</v>
      </c>
      <c r="Q89">
        <f t="shared" si="23"/>
        <v>1403.9752405500121</v>
      </c>
      <c r="R89">
        <f t="shared" si="29"/>
        <v>7.7031927503412589E-8</v>
      </c>
      <c r="S89">
        <f t="shared" si="30"/>
        <v>3.6544012260719683E-10</v>
      </c>
      <c r="T89">
        <f t="shared" si="19"/>
        <v>1404.3846970557152</v>
      </c>
      <c r="U89">
        <f t="shared" si="24"/>
        <v>10.720431593777855</v>
      </c>
      <c r="AG89">
        <f t="shared" si="25"/>
        <v>-0.40945650570307607</v>
      </c>
      <c r="AH89">
        <f t="shared" si="26"/>
        <v>-0.83045712925748105</v>
      </c>
      <c r="AI89">
        <f t="shared" si="27"/>
        <v>0.19358594042632851</v>
      </c>
    </row>
    <row r="90" spans="11:35" x14ac:dyDescent="0.25">
      <c r="K90">
        <v>86</v>
      </c>
      <c r="L90">
        <f t="shared" si="28"/>
        <v>6.9007726218451495</v>
      </c>
      <c r="M90">
        <f t="shared" si="28"/>
        <v>7.6202770001664106</v>
      </c>
      <c r="N90">
        <f t="shared" si="20"/>
        <v>7.7478103685350852E-15</v>
      </c>
      <c r="O90">
        <f t="shared" si="21"/>
        <v>-7.3929722198910731E-9</v>
      </c>
      <c r="P90" s="2">
        <f t="shared" si="22"/>
        <v>3.0837855159154031E-2</v>
      </c>
      <c r="Q90">
        <f t="shared" si="23"/>
        <v>1403.9752406108555</v>
      </c>
      <c r="R90">
        <f t="shared" si="29"/>
        <v>6.0843376559205353E-8</v>
      </c>
      <c r="S90">
        <f t="shared" si="30"/>
        <v>2.886419991909861E-10</v>
      </c>
      <c r="T90">
        <f t="shared" si="19"/>
        <v>1404.3846971165585</v>
      </c>
      <c r="U90">
        <f t="shared" si="24"/>
        <v>10.720431593977814</v>
      </c>
      <c r="AG90">
        <f t="shared" si="25"/>
        <v>-0.40945650570307607</v>
      </c>
      <c r="AH90">
        <f t="shared" si="26"/>
        <v>-0.83045712925748105</v>
      </c>
      <c r="AI90">
        <f t="shared" si="27"/>
        <v>0.19358594042632851</v>
      </c>
    </row>
    <row r="91" spans="11:35" x14ac:dyDescent="0.25">
      <c r="K91">
        <v>87</v>
      </c>
      <c r="L91">
        <f t="shared" si="28"/>
        <v>6.9007726218451495</v>
      </c>
      <c r="M91">
        <f t="shared" si="28"/>
        <v>7.6202770003943936</v>
      </c>
      <c r="N91">
        <f t="shared" si="20"/>
        <v>7.7473868520614581E-15</v>
      </c>
      <c r="O91">
        <f t="shared" si="21"/>
        <v>-5.8393246996034094E-9</v>
      </c>
      <c r="P91" s="2">
        <f t="shared" si="22"/>
        <v>3.0837855159154031E-2</v>
      </c>
      <c r="Q91">
        <f t="shared" si="23"/>
        <v>1403.9752406589128</v>
      </c>
      <c r="R91">
        <f t="shared" si="29"/>
        <v>4.8057245294330642E-8</v>
      </c>
      <c r="S91">
        <f t="shared" si="30"/>
        <v>2.2798296583914635E-10</v>
      </c>
      <c r="T91">
        <f t="shared" si="19"/>
        <v>1404.3846971646158</v>
      </c>
      <c r="U91">
        <f t="shared" si="24"/>
        <v>10.720431594135752</v>
      </c>
      <c r="AG91">
        <f t="shared" si="25"/>
        <v>-0.40945650570307607</v>
      </c>
      <c r="AH91">
        <f t="shared" si="26"/>
        <v>-0.83045712925748105</v>
      </c>
      <c r="AI91">
        <f t="shared" si="27"/>
        <v>0.19358594042632851</v>
      </c>
    </row>
    <row r="92" spans="11:35" x14ac:dyDescent="0.25">
      <c r="K92">
        <v>88</v>
      </c>
      <c r="L92">
        <f t="shared" si="28"/>
        <v>6.9007726218451495</v>
      </c>
      <c r="M92">
        <f t="shared" si="28"/>
        <v>7.6202770005744656</v>
      </c>
      <c r="N92">
        <f t="shared" si="20"/>
        <v>7.7469633355878309E-15</v>
      </c>
      <c r="O92">
        <f t="shared" si="21"/>
        <v>-4.6121788520667043E-9</v>
      </c>
      <c r="P92" s="2">
        <f t="shared" si="22"/>
        <v>3.0837855159154031E-2</v>
      </c>
      <c r="Q92">
        <f t="shared" si="23"/>
        <v>1403.9752406968705</v>
      </c>
      <c r="R92">
        <f t="shared" si="29"/>
        <v>3.795776137849316E-8</v>
      </c>
      <c r="S92">
        <f t="shared" si="30"/>
        <v>1.8007195734526249E-10</v>
      </c>
      <c r="T92">
        <f t="shared" si="19"/>
        <v>1404.3846972025735</v>
      </c>
      <c r="U92">
        <f t="shared" si="24"/>
        <v>10.720431594260498</v>
      </c>
      <c r="AG92">
        <f t="shared" si="25"/>
        <v>-0.40945650570307607</v>
      </c>
      <c r="AH92">
        <f t="shared" si="26"/>
        <v>-0.83045712925748105</v>
      </c>
      <c r="AI92">
        <f t="shared" si="27"/>
        <v>0.19358594042632851</v>
      </c>
    </row>
    <row r="93" spans="11:35" x14ac:dyDescent="0.25">
      <c r="K93">
        <v>89</v>
      </c>
      <c r="L93">
        <f t="shared" si="28"/>
        <v>6.9007726218451495</v>
      </c>
      <c r="M93">
        <f t="shared" si="28"/>
        <v>7.6202770007166949</v>
      </c>
      <c r="N93">
        <f t="shared" si="20"/>
        <v>7.7473868520614581E-15</v>
      </c>
      <c r="O93">
        <f t="shared" si="21"/>
        <v>-3.6429210842497148E-9</v>
      </c>
      <c r="P93" s="2">
        <f t="shared" si="22"/>
        <v>3.0837855159154031E-2</v>
      </c>
      <c r="Q93">
        <f t="shared" si="23"/>
        <v>1403.9752407268516</v>
      </c>
      <c r="R93">
        <f t="shared" si="29"/>
        <v>2.9981038096593693E-8</v>
      </c>
      <c r="S93">
        <f t="shared" si="30"/>
        <v>1.4222933941709925E-10</v>
      </c>
      <c r="T93">
        <f t="shared" si="19"/>
        <v>1404.3846972325546</v>
      </c>
      <c r="U93">
        <f t="shared" si="24"/>
        <v>10.720431594359029</v>
      </c>
      <c r="AG93">
        <f t="shared" si="25"/>
        <v>-0.40945650570307607</v>
      </c>
      <c r="AH93">
        <f t="shared" si="26"/>
        <v>-0.83045712925748105</v>
      </c>
      <c r="AI93">
        <f t="shared" si="27"/>
        <v>0.19358594042632851</v>
      </c>
    </row>
    <row r="94" spans="11:35" x14ac:dyDescent="0.25">
      <c r="K94">
        <v>90</v>
      </c>
      <c r="L94">
        <f t="shared" si="28"/>
        <v>6.9007726218451495</v>
      </c>
      <c r="M94">
        <f t="shared" si="28"/>
        <v>7.6202770008290344</v>
      </c>
      <c r="N94">
        <f t="shared" si="20"/>
        <v>7.7478103685350852E-15</v>
      </c>
      <c r="O94">
        <f t="shared" si="21"/>
        <v>-2.8773553762271773E-9</v>
      </c>
      <c r="P94" s="2">
        <f t="shared" si="22"/>
        <v>3.0837855159154031E-2</v>
      </c>
      <c r="Q94">
        <f t="shared" si="23"/>
        <v>1403.9752407505316</v>
      </c>
      <c r="R94">
        <f t="shared" si="29"/>
        <v>2.3680058802710846E-8</v>
      </c>
      <c r="S94">
        <f t="shared" si="30"/>
        <v>1.1233947105893094E-10</v>
      </c>
      <c r="T94">
        <f t="shared" si="19"/>
        <v>1404.3846972562346</v>
      </c>
      <c r="U94">
        <f t="shared" si="24"/>
        <v>10.720431594436855</v>
      </c>
      <c r="AG94">
        <f t="shared" si="25"/>
        <v>-0.40945650570307607</v>
      </c>
      <c r="AH94">
        <f t="shared" si="26"/>
        <v>-0.83045712925748105</v>
      </c>
      <c r="AI94">
        <f t="shared" si="27"/>
        <v>0.19358594042632851</v>
      </c>
    </row>
    <row r="95" spans="11:35" x14ac:dyDescent="0.25">
      <c r="K95">
        <v>91</v>
      </c>
      <c r="L95">
        <f t="shared" si="28"/>
        <v>6.9007726218451495</v>
      </c>
      <c r="M95">
        <f t="shared" si="28"/>
        <v>7.6202770009177661</v>
      </c>
      <c r="N95">
        <f t="shared" si="20"/>
        <v>7.7473868520614581E-15</v>
      </c>
      <c r="O95">
        <f t="shared" si="21"/>
        <v>-2.2726708663827041E-9</v>
      </c>
      <c r="P95" s="2">
        <f t="shared" si="22"/>
        <v>3.0837855159154031E-2</v>
      </c>
      <c r="Q95">
        <f t="shared" si="23"/>
        <v>1403.9752407692358</v>
      </c>
      <c r="R95">
        <f t="shared" si="29"/>
        <v>1.8704213289311156E-8</v>
      </c>
      <c r="S95">
        <f t="shared" si="30"/>
        <v>8.8731688663301611E-11</v>
      </c>
      <c r="T95">
        <f t="shared" si="19"/>
        <v>1404.3846972749388</v>
      </c>
      <c r="U95">
        <f t="shared" si="24"/>
        <v>10.720431594498324</v>
      </c>
      <c r="AG95">
        <f t="shared" si="25"/>
        <v>-0.40945650570307607</v>
      </c>
      <c r="AH95">
        <f t="shared" si="26"/>
        <v>-0.83045712925748105</v>
      </c>
      <c r="AI95">
        <f t="shared" si="27"/>
        <v>0.19358594042632851</v>
      </c>
    </row>
    <row r="96" spans="11:35" x14ac:dyDescent="0.25">
      <c r="K96">
        <v>92</v>
      </c>
      <c r="L96">
        <f t="shared" si="28"/>
        <v>6.9007726218451495</v>
      </c>
      <c r="M96">
        <f t="shared" si="28"/>
        <v>7.6202770009878504</v>
      </c>
      <c r="N96">
        <f t="shared" si="20"/>
        <v>7.7473868520614581E-15</v>
      </c>
      <c r="O96">
        <f t="shared" si="21"/>
        <v>-1.7950631334416904E-9</v>
      </c>
      <c r="P96" s="2">
        <f t="shared" si="22"/>
        <v>3.0837855159154031E-2</v>
      </c>
      <c r="Q96">
        <f t="shared" si="23"/>
        <v>1403.9752407840092</v>
      </c>
      <c r="R96">
        <f t="shared" si="29"/>
        <v>1.477337718824856E-8</v>
      </c>
      <c r="S96">
        <f t="shared" si="30"/>
        <v>7.0084382741697482E-11</v>
      </c>
      <c r="T96">
        <f t="shared" si="19"/>
        <v>1404.3846972897122</v>
      </c>
      <c r="U96">
        <f t="shared" si="24"/>
        <v>10.720431594546875</v>
      </c>
      <c r="AG96">
        <f t="shared" si="25"/>
        <v>-0.40945650570307607</v>
      </c>
      <c r="AH96">
        <f t="shared" si="26"/>
        <v>-0.83045712925748105</v>
      </c>
      <c r="AI96">
        <f t="shared" si="27"/>
        <v>0.19358594042632851</v>
      </c>
    </row>
    <row r="97" spans="11:35" x14ac:dyDescent="0.25">
      <c r="K97">
        <v>93</v>
      </c>
      <c r="L97">
        <f t="shared" si="28"/>
        <v>6.9007726218451495</v>
      </c>
      <c r="M97">
        <f t="shared" si="28"/>
        <v>7.6202770010432062</v>
      </c>
      <c r="N97">
        <f t="shared" si="20"/>
        <v>7.7473868520614581E-15</v>
      </c>
      <c r="O97">
        <f t="shared" si="21"/>
        <v>-1.4178275939167131E-9</v>
      </c>
      <c r="P97" s="2">
        <f t="shared" si="22"/>
        <v>3.0837855159154031E-2</v>
      </c>
      <c r="Q97">
        <f t="shared" si="23"/>
        <v>1403.9752407956776</v>
      </c>
      <c r="R97">
        <f t="shared" si="29"/>
        <v>1.1668362276395783E-8</v>
      </c>
      <c r="S97">
        <f t="shared" si="30"/>
        <v>5.5355720007810305E-11</v>
      </c>
      <c r="T97">
        <f t="shared" si="19"/>
        <v>1404.3846973013806</v>
      </c>
      <c r="U97">
        <f t="shared" si="24"/>
        <v>10.720431594585223</v>
      </c>
      <c r="AG97">
        <f t="shared" si="25"/>
        <v>-0.40945650570307607</v>
      </c>
      <c r="AH97">
        <f t="shared" si="26"/>
        <v>-0.83045712925748105</v>
      </c>
      <c r="AI97">
        <f t="shared" si="27"/>
        <v>0.19358594042632851</v>
      </c>
    </row>
    <row r="98" spans="11:35" x14ac:dyDescent="0.25">
      <c r="K98">
        <v>94</v>
      </c>
      <c r="L98">
        <f t="shared" si="28"/>
        <v>6.9007726218451495</v>
      </c>
      <c r="M98">
        <f t="shared" si="28"/>
        <v>7.6202770010869285</v>
      </c>
      <c r="N98">
        <f t="shared" si="20"/>
        <v>7.7473868520614581E-15</v>
      </c>
      <c r="O98">
        <f t="shared" si="21"/>
        <v>-1.1198705316886734E-9</v>
      </c>
      <c r="P98" s="2">
        <f t="shared" si="22"/>
        <v>3.0837855159154031E-2</v>
      </c>
      <c r="Q98">
        <f t="shared" si="23"/>
        <v>1403.9752408048939</v>
      </c>
      <c r="R98">
        <f t="shared" si="29"/>
        <v>9.2163645604159683E-9</v>
      </c>
      <c r="S98">
        <f t="shared" si="30"/>
        <v>4.3722359066578065E-11</v>
      </c>
      <c r="T98">
        <f t="shared" si="19"/>
        <v>1404.3846973105969</v>
      </c>
      <c r="U98">
        <f t="shared" si="24"/>
        <v>10.720431594615514</v>
      </c>
      <c r="AG98">
        <f t="shared" si="25"/>
        <v>-0.40945650570307607</v>
      </c>
      <c r="AH98">
        <f t="shared" si="26"/>
        <v>-0.83045712925748105</v>
      </c>
      <c r="AI98">
        <f t="shared" si="27"/>
        <v>0.19358594042632851</v>
      </c>
    </row>
    <row r="99" spans="11:35" x14ac:dyDescent="0.25">
      <c r="K99">
        <v>95</v>
      </c>
      <c r="L99">
        <f t="shared" si="28"/>
        <v>6.9007726218451495</v>
      </c>
      <c r="M99">
        <f t="shared" si="28"/>
        <v>7.6202770011214627</v>
      </c>
      <c r="N99">
        <f t="shared" si="20"/>
        <v>7.7478103685350852E-15</v>
      </c>
      <c r="O99">
        <f t="shared" si="21"/>
        <v>-8.84528819004686E-10</v>
      </c>
      <c r="P99" s="2">
        <f t="shared" si="22"/>
        <v>3.0837855159154031E-2</v>
      </c>
      <c r="Q99">
        <f t="shared" si="23"/>
        <v>1403.9752408121735</v>
      </c>
      <c r="R99">
        <f t="shared" si="29"/>
        <v>7.2795955929905176E-9</v>
      </c>
      <c r="S99">
        <f t="shared" si="30"/>
        <v>3.4534153314780269E-11</v>
      </c>
      <c r="T99">
        <f t="shared" si="19"/>
        <v>1404.3846973178765</v>
      </c>
      <c r="U99">
        <f t="shared" si="24"/>
        <v>10.720431594639438</v>
      </c>
      <c r="AG99">
        <f t="shared" si="25"/>
        <v>-0.40945650570307607</v>
      </c>
      <c r="AH99">
        <f t="shared" si="26"/>
        <v>-0.83045712925748105</v>
      </c>
      <c r="AI99">
        <f t="shared" si="27"/>
        <v>0.19358594042632851</v>
      </c>
    </row>
    <row r="100" spans="11:35" x14ac:dyDescent="0.25">
      <c r="K100">
        <v>96</v>
      </c>
      <c r="L100">
        <f t="shared" si="28"/>
        <v>6.9007726218451495</v>
      </c>
      <c r="M100">
        <f t="shared" si="28"/>
        <v>7.6202770011487395</v>
      </c>
      <c r="N100">
        <f t="shared" si="20"/>
        <v>7.7473868520614581E-15</v>
      </c>
      <c r="O100">
        <f t="shared" si="21"/>
        <v>-6.9864385069816522E-10</v>
      </c>
      <c r="P100" s="2">
        <f t="shared" si="22"/>
        <v>3.0837855159154031E-2</v>
      </c>
      <c r="Q100">
        <f t="shared" si="23"/>
        <v>1403.9752408179233</v>
      </c>
      <c r="R100">
        <f t="shared" si="29"/>
        <v>5.7498255046084523E-9</v>
      </c>
      <c r="S100">
        <f t="shared" si="30"/>
        <v>2.7276847447410546E-11</v>
      </c>
      <c r="T100">
        <f t="shared" si="19"/>
        <v>1404.3846973236264</v>
      </c>
      <c r="U100">
        <f t="shared" si="24"/>
        <v>10.720431594658333</v>
      </c>
      <c r="AG100">
        <f t="shared" si="25"/>
        <v>-0.40945650570307607</v>
      </c>
      <c r="AH100">
        <f t="shared" si="26"/>
        <v>-0.83045712925748105</v>
      </c>
      <c r="AI100">
        <f t="shared" si="27"/>
        <v>0.19358594042632851</v>
      </c>
    </row>
    <row r="101" spans="11:35" x14ac:dyDescent="0.25">
      <c r="K101">
        <v>97</v>
      </c>
      <c r="L101">
        <f t="shared" si="28"/>
        <v>6.9007726218451495</v>
      </c>
      <c r="M101">
        <f t="shared" si="28"/>
        <v>7.6202770011702841</v>
      </c>
      <c r="N101">
        <f t="shared" si="20"/>
        <v>7.7473868520614581E-15</v>
      </c>
      <c r="O101">
        <f t="shared" si="21"/>
        <v>-5.5182311314738611E-10</v>
      </c>
      <c r="P101" s="2">
        <f t="shared" si="22"/>
        <v>3.0837855159154031E-2</v>
      </c>
      <c r="Q101">
        <f t="shared" si="23"/>
        <v>1403.9752408224647</v>
      </c>
      <c r="R101">
        <f t="shared" si="29"/>
        <v>4.5413344196276739E-9</v>
      </c>
      <c r="S101">
        <f t="shared" si="30"/>
        <v>2.1544543926665938E-11</v>
      </c>
      <c r="T101">
        <f t="shared" si="19"/>
        <v>1404.3846973281677</v>
      </c>
      <c r="U101">
        <f t="shared" si="24"/>
        <v>10.720431594673258</v>
      </c>
      <c r="AG101">
        <f t="shared" si="25"/>
        <v>-0.40945650570307607</v>
      </c>
      <c r="AH101">
        <f t="shared" si="26"/>
        <v>-0.83045712925748105</v>
      </c>
      <c r="AI101">
        <f t="shared" si="27"/>
        <v>0.19358594042632851</v>
      </c>
    </row>
    <row r="102" spans="11:35" x14ac:dyDescent="0.25">
      <c r="K102">
        <v>98</v>
      </c>
      <c r="L102">
        <f t="shared" si="28"/>
        <v>6.9007726218451495</v>
      </c>
      <c r="M102">
        <f t="shared" si="28"/>
        <v>7.6202770011873007</v>
      </c>
      <c r="N102">
        <f t="shared" si="20"/>
        <v>7.7469633355878309E-15</v>
      </c>
      <c r="O102">
        <f t="shared" si="21"/>
        <v>-4.3585912263828346E-10</v>
      </c>
      <c r="P102" s="2">
        <f t="shared" si="22"/>
        <v>3.0837855159154031E-2</v>
      </c>
      <c r="Q102">
        <f t="shared" si="23"/>
        <v>1403.9752408260515</v>
      </c>
      <c r="R102">
        <f t="shared" si="29"/>
        <v>3.5868197301169857E-9</v>
      </c>
      <c r="S102">
        <f t="shared" si="30"/>
        <v>1.7016610343034699E-11</v>
      </c>
      <c r="T102">
        <f t="shared" si="19"/>
        <v>1404.3846973317545</v>
      </c>
      <c r="U102">
        <f t="shared" si="24"/>
        <v>10.720431594685047</v>
      </c>
      <c r="AG102">
        <f t="shared" si="25"/>
        <v>-0.40945650570307607</v>
      </c>
      <c r="AH102">
        <f t="shared" si="26"/>
        <v>-0.83045712925748105</v>
      </c>
      <c r="AI102">
        <f t="shared" si="27"/>
        <v>0.19358594042632851</v>
      </c>
    </row>
    <row r="103" spans="11:35" x14ac:dyDescent="0.25">
      <c r="K103">
        <v>99</v>
      </c>
      <c r="L103">
        <f t="shared" si="28"/>
        <v>6.9007726218451495</v>
      </c>
      <c r="M103">
        <f t="shared" si="28"/>
        <v>7.6202770012007415</v>
      </c>
      <c r="N103">
        <f t="shared" si="20"/>
        <v>7.7473868520614581E-15</v>
      </c>
      <c r="O103">
        <f t="shared" si="21"/>
        <v>-3.442633679315982E-10</v>
      </c>
      <c r="P103" s="2">
        <f t="shared" si="22"/>
        <v>3.0837855159154031E-2</v>
      </c>
      <c r="Q103">
        <f t="shared" si="23"/>
        <v>1403.9752408288848</v>
      </c>
      <c r="R103">
        <f t="shared" si="29"/>
        <v>2.8333033696981147E-9</v>
      </c>
      <c r="S103">
        <f t="shared" si="30"/>
        <v>1.3440804025321995E-11</v>
      </c>
      <c r="T103">
        <f t="shared" si="19"/>
        <v>1404.3846973345878</v>
      </c>
      <c r="U103">
        <f t="shared" si="24"/>
        <v>10.720431594694359</v>
      </c>
      <c r="AG103">
        <f t="shared" si="25"/>
        <v>-0.40945650570307607</v>
      </c>
      <c r="AH103">
        <f t="shared" si="26"/>
        <v>-0.83045712925748105</v>
      </c>
      <c r="AI103">
        <f t="shared" si="27"/>
        <v>0.19358594042632851</v>
      </c>
    </row>
    <row r="104" spans="11:35" x14ac:dyDescent="0.25">
      <c r="K104">
        <v>100</v>
      </c>
      <c r="L104">
        <f t="shared" si="28"/>
        <v>6.9007726218451495</v>
      </c>
      <c r="M104">
        <f t="shared" si="28"/>
        <v>7.6202770012113579</v>
      </c>
      <c r="N104">
        <f t="shared" si="20"/>
        <v>7.7473868520614581E-15</v>
      </c>
      <c r="O104">
        <f t="shared" si="21"/>
        <v>-2.7191525068162429E-10</v>
      </c>
      <c r="P104" s="2">
        <f t="shared" si="22"/>
        <v>3.0837855159154031E-2</v>
      </c>
      <c r="Q104">
        <f t="shared" si="23"/>
        <v>1403.9752408311228</v>
      </c>
      <c r="R104">
        <f t="shared" si="29"/>
        <v>2.2380390873877332E-9</v>
      </c>
      <c r="S104">
        <f t="shared" si="30"/>
        <v>1.0616396650675597E-11</v>
      </c>
      <c r="T104">
        <f t="shared" si="19"/>
        <v>1404.3846973368259</v>
      </c>
      <c r="U104">
        <f t="shared" si="24"/>
        <v>10.720431594701713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155C-0A0C-4F6C-AFE5-D14DD7EE9FEC}">
  <dimension ref="A1:AI104"/>
  <sheetViews>
    <sheetView topLeftCell="H1" workbookViewId="0">
      <selection activeCell="X20" sqref="X20"/>
    </sheetView>
  </sheetViews>
  <sheetFormatPr defaultRowHeight="15" x14ac:dyDescent="0.25"/>
  <cols>
    <col min="16" max="16" width="12" bestFit="1" customWidth="1"/>
    <col min="17" max="17" width="11" customWidth="1"/>
  </cols>
  <sheetData>
    <row r="1" spans="1:35" x14ac:dyDescent="0.25">
      <c r="A1" t="s">
        <v>0</v>
      </c>
      <c r="K1" t="s">
        <v>13</v>
      </c>
    </row>
    <row r="2" spans="1:35" x14ac:dyDescent="0.25">
      <c r="K2" t="s">
        <v>25</v>
      </c>
      <c r="L2" t="s">
        <v>26</v>
      </c>
      <c r="N2" t="s">
        <v>27</v>
      </c>
      <c r="P2" t="s">
        <v>28</v>
      </c>
      <c r="Q2" t="s">
        <v>29</v>
      </c>
      <c r="R2" s="1" t="s">
        <v>30</v>
      </c>
      <c r="T2" t="s">
        <v>31</v>
      </c>
    </row>
    <row r="3" spans="1:35" x14ac:dyDescent="0.25">
      <c r="A3" t="s">
        <v>1</v>
      </c>
      <c r="E3" t="s">
        <v>9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X3" t="s">
        <v>20</v>
      </c>
      <c r="Y3">
        <v>350</v>
      </c>
      <c r="Z3" t="s">
        <v>20</v>
      </c>
      <c r="AA3">
        <v>200</v>
      </c>
      <c r="AB3" t="s">
        <v>20</v>
      </c>
      <c r="AC3">
        <v>50</v>
      </c>
    </row>
    <row r="4" spans="1:35" x14ac:dyDescent="0.25">
      <c r="A4" t="s">
        <v>2</v>
      </c>
      <c r="B4">
        <v>8.7225867488631863</v>
      </c>
      <c r="E4" t="s">
        <v>10</v>
      </c>
      <c r="F4">
        <f>B4*(F5-B6)^2+B5*(F6-B7)^2</f>
        <v>3.0219201650390697E-13</v>
      </c>
      <c r="K4">
        <v>0</v>
      </c>
      <c r="L4">
        <f>$B$8</f>
        <v>7.630085146641</v>
      </c>
      <c r="M4">
        <f>$B$9</f>
        <v>6.9177831354709998</v>
      </c>
      <c r="N4">
        <f>2*$B$4*(L4-$B$6)</f>
        <v>12.714260942379621</v>
      </c>
      <c r="O4">
        <f>2*$B$5*(M4-$B$7)</f>
        <v>-4.7907293079887117</v>
      </c>
      <c r="P4" s="2">
        <f>IF(Q4&gt;$B$11,$B$10/SQRT(N4^2+O4^2),$B$10/SQRT(N4^2+O4^2)/$B$12)</f>
        <v>3.8323923110302409E-2</v>
      </c>
      <c r="Q4">
        <f>$B$4*(L4-$B$6)^2+$B$5*(M4-$B$7)^2</f>
        <v>6.3170829672293678</v>
      </c>
      <c r="T4">
        <f>ABS(Q4-$F$4)</f>
        <v>6.3170829672290658</v>
      </c>
      <c r="U4">
        <f>SQRT(($F$5-L4)^2+($F$6-M4)^2)</f>
        <v>1.0126048364128726</v>
      </c>
      <c r="X4" s="1">
        <v>1</v>
      </c>
      <c r="Y4" s="1">
        <v>1</v>
      </c>
      <c r="Z4" s="1">
        <v>2</v>
      </c>
      <c r="AA4" s="1">
        <v>2</v>
      </c>
      <c r="AB4" s="1">
        <v>3</v>
      </c>
      <c r="AC4" s="1">
        <v>3</v>
      </c>
      <c r="AG4">
        <f>$F$4</f>
        <v>3.0219201650390697E-13</v>
      </c>
      <c r="AH4">
        <f>$F$5</f>
        <v>6.9012725628661</v>
      </c>
      <c r="AI4">
        <f>$F$6</f>
        <v>7.6207772837098702</v>
      </c>
    </row>
    <row r="5" spans="1:35" x14ac:dyDescent="0.25">
      <c r="A5" t="s">
        <v>3</v>
      </c>
      <c r="B5">
        <v>3.4073763237403485</v>
      </c>
      <c r="E5" t="s">
        <v>11</v>
      </c>
      <c r="F5">
        <v>6.9012725628661</v>
      </c>
      <c r="K5">
        <v>1</v>
      </c>
      <c r="L5">
        <f>L4-$P4*N4</f>
        <v>7.1428247878809223</v>
      </c>
      <c r="M5">
        <f>M4-$P4*O4</f>
        <v>7.1013826771126318</v>
      </c>
      <c r="N5">
        <f t="shared" ref="N5:N68" si="0">2*$B$4*(L5-$B$6)</f>
        <v>4.2139194452456694</v>
      </c>
      <c r="O5">
        <f t="shared" ref="O5:O68" si="1">2*$B$5*(M5-$B$7)</f>
        <v>-3.5395438455101567</v>
      </c>
      <c r="P5" s="2">
        <f t="shared" ref="P5:P68" si="2">IF(Q5&gt;$B$11,$B$10/SQRT(N5^2+O5^2),$B$10/SQRT(N5^2+O5^2)/$B$12)</f>
        <v>1.3516822831519445E-2</v>
      </c>
      <c r="Q5">
        <f t="shared" ref="Q5:Q68" si="3">$B$4*(L5-$B$6)^2+$B$5*(M5-$B$7)^2</f>
        <v>1.42815017644857</v>
      </c>
      <c r="R5">
        <f>ABS(Q5-Q4)</f>
        <v>4.8889327907807978</v>
      </c>
      <c r="S5">
        <f>SQRT((L4-L5)^2+(M4-M5)^2)</f>
        <v>0.5207028412732323</v>
      </c>
      <c r="T5">
        <f t="shared" ref="T5:T68" si="4">ABS(Q5-$F$4)</f>
        <v>1.4281501764482678</v>
      </c>
      <c r="U5">
        <f t="shared" ref="U5:U68" si="5">SQRT(($F$5-L5)^2+($F$6-M5)^2)</f>
        <v>0.57281605666383983</v>
      </c>
      <c r="W5" t="s">
        <v>15</v>
      </c>
      <c r="X5" s="1" t="s">
        <v>32</v>
      </c>
      <c r="Y5" s="1" t="s">
        <v>33</v>
      </c>
      <c r="Z5" s="1" t="s">
        <v>32</v>
      </c>
      <c r="AA5" s="1" t="s">
        <v>33</v>
      </c>
      <c r="AB5" s="1" t="s">
        <v>32</v>
      </c>
      <c r="AC5" s="1" t="s">
        <v>33</v>
      </c>
      <c r="AG5">
        <f t="shared" ref="AG5:AG68" si="6">$F$4</f>
        <v>3.0219201650390697E-13</v>
      </c>
      <c r="AH5">
        <f t="shared" ref="AH5:AH68" si="7">$F$5</f>
        <v>6.9012725628661</v>
      </c>
      <c r="AI5">
        <f t="shared" ref="AI5:AI68" si="8">$F$6</f>
        <v>7.6207772837098702</v>
      </c>
    </row>
    <row r="6" spans="1:35" x14ac:dyDescent="0.25">
      <c r="A6" t="s">
        <v>4</v>
      </c>
      <c r="B6">
        <v>6.9012726218451492</v>
      </c>
      <c r="E6" t="s">
        <v>12</v>
      </c>
      <c r="F6">
        <v>7.6207772837098702</v>
      </c>
      <c r="K6">
        <v>2</v>
      </c>
      <c r="L6">
        <f t="shared" ref="L6:L69" si="9">L5-$P5*N5</f>
        <v>7.0858659853132417</v>
      </c>
      <c r="M6">
        <f t="shared" ref="M6:M69" si="10">M5-$P5*O5</f>
        <v>7.149226064176788</v>
      </c>
      <c r="N6">
        <f t="shared" si="0"/>
        <v>3.220263252229739</v>
      </c>
      <c r="O6">
        <f t="shared" si="1"/>
        <v>-3.2135029968502553</v>
      </c>
      <c r="P6" s="2">
        <f t="shared" si="2"/>
        <v>1.6350889645060245E-2</v>
      </c>
      <c r="Q6">
        <f t="shared" si="3"/>
        <v>1.0548847872190725</v>
      </c>
      <c r="R6">
        <f t="shared" ref="R6:R69" si="11">ABS(Q6-Q5)</f>
        <v>0.37326538922949748</v>
      </c>
      <c r="S6">
        <f t="shared" ref="S6:S69" si="12">SQRT((L5-L6)^2+(M5-M6)^2)</f>
        <v>7.4386120181890655E-2</v>
      </c>
      <c r="T6">
        <f t="shared" si="4"/>
        <v>1.0548847872187703</v>
      </c>
      <c r="U6">
        <f t="shared" si="5"/>
        <v>0.50639439595426605</v>
      </c>
      <c r="W6">
        <v>-1</v>
      </c>
      <c r="X6" t="e">
        <f>$B$7+SQRT(($Y$3-$B$4*($W6-$B$6)^2)/$B$5)</f>
        <v>#NUM!</v>
      </c>
      <c r="Y6" t="e">
        <f>$B$7-SQRT(($Y$3-$B$4*($W6-$B$6)^2)/$B$5)</f>
        <v>#NUM!</v>
      </c>
      <c r="Z6" t="e">
        <f>$B$7+SQRT(($AA$3-$B$4*($W6-$B$6)^2)/$B$5)</f>
        <v>#NUM!</v>
      </c>
      <c r="AA6" t="e">
        <f>$B$7-SQRT(($AA$3-$B$4*($W6-$B$6)^2)/$B$5)</f>
        <v>#NUM!</v>
      </c>
      <c r="AB6" t="e">
        <f>$B$7+SQRT(($AC$3-$B$4*($W6-$B$6)^2)/$B$5)</f>
        <v>#NUM!</v>
      </c>
      <c r="AC6" t="e">
        <f>$B$7-SQRT(($AC$3-$B$4*($W6-$B$6)^2)/$B$5)</f>
        <v>#NUM!</v>
      </c>
      <c r="AG6">
        <f t="shared" si="6"/>
        <v>3.0219201650390697E-13</v>
      </c>
      <c r="AH6">
        <f t="shared" si="7"/>
        <v>6.9012725628661</v>
      </c>
      <c r="AI6">
        <f t="shared" si="8"/>
        <v>7.6207772837098702</v>
      </c>
    </row>
    <row r="7" spans="1:35" x14ac:dyDescent="0.25">
      <c r="A7" t="s">
        <v>5</v>
      </c>
      <c r="B7">
        <v>7.620777001251259</v>
      </c>
      <c r="K7">
        <v>3</v>
      </c>
      <c r="L7">
        <f t="shared" si="9"/>
        <v>7.0332118162479906</v>
      </c>
      <c r="M7">
        <f t="shared" si="10"/>
        <v>7.2017696970523568</v>
      </c>
      <c r="N7">
        <f t="shared" si="0"/>
        <v>2.3017021375078168</v>
      </c>
      <c r="O7">
        <f t="shared" si="1"/>
        <v>-2.8554311356032187</v>
      </c>
      <c r="P7" s="2">
        <f t="shared" si="2"/>
        <v>2.0281938433155195E-2</v>
      </c>
      <c r="Q7">
        <f t="shared" si="3"/>
        <v>0.75006561411639705</v>
      </c>
      <c r="R7">
        <f t="shared" si="11"/>
        <v>0.30481917310267548</v>
      </c>
      <c r="S7">
        <f t="shared" si="12"/>
        <v>7.4386120181890156E-2</v>
      </c>
      <c r="T7">
        <f t="shared" si="4"/>
        <v>0.75006561411609485</v>
      </c>
      <c r="U7">
        <f t="shared" si="5"/>
        <v>0.43928956766525235</v>
      </c>
      <c r="W7">
        <v>0</v>
      </c>
      <c r="X7" t="e">
        <f>$B$7+SQRT(($Y$3-$B$4*($W7-$B$6)^2)/$B$5)</f>
        <v>#NUM!</v>
      </c>
      <c r="Y7" t="e">
        <f t="shared" ref="Y7:Y27" si="13">$B$7-SQRT(($Y$3-$B$4*($W7-$B$6)^2)/$B$5)</f>
        <v>#NUM!</v>
      </c>
      <c r="Z7" t="e">
        <f t="shared" ref="Z7:Z27" si="14">$B$7+SQRT(($AA$3-$B$4*($W7-$B$6)^2)/$B$5)</f>
        <v>#NUM!</v>
      </c>
      <c r="AA7" t="e">
        <f t="shared" ref="AA7:AA27" si="15">$B$7-SQRT(($AA$3-$B$4*($W7-$B$6)^2)/$B$5)</f>
        <v>#NUM!</v>
      </c>
      <c r="AB7" t="e">
        <f t="shared" ref="AB7:AB27" si="16">$B$7+SQRT(($AC$3-$B$4*($W7-$B$6)^2)/$B$5)</f>
        <v>#NUM!</v>
      </c>
      <c r="AC7" t="e">
        <f t="shared" ref="AC7:AC27" si="17">$B$7-SQRT(($AC$3-$B$4*($W7-$B$6)^2)/$B$5)</f>
        <v>#NUM!</v>
      </c>
      <c r="AG7">
        <f t="shared" si="6"/>
        <v>3.0219201650390697E-13</v>
      </c>
      <c r="AH7">
        <f t="shared" si="7"/>
        <v>6.9012725628661</v>
      </c>
      <c r="AI7">
        <f t="shared" si="8"/>
        <v>7.6207772837098702</v>
      </c>
    </row>
    <row r="8" spans="1:35" x14ac:dyDescent="0.25">
      <c r="A8" t="s">
        <v>6</v>
      </c>
      <c r="B8">
        <v>7.630085146641</v>
      </c>
      <c r="K8">
        <v>4</v>
      </c>
      <c r="L8">
        <f t="shared" si="9"/>
        <v>6.986528835203595</v>
      </c>
      <c r="M8">
        <f t="shared" si="10"/>
        <v>7.2596833755447756</v>
      </c>
      <c r="N8">
        <f t="shared" si="0"/>
        <v>1.4873094337972639</v>
      </c>
      <c r="O8">
        <f t="shared" si="1"/>
        <v>-2.4607637417716615</v>
      </c>
      <c r="P8" s="2">
        <f t="shared" si="2"/>
        <v>2.5870581072501671E-2</v>
      </c>
      <c r="Q8">
        <f t="shared" si="3"/>
        <v>0.50768423597061541</v>
      </c>
      <c r="R8">
        <f t="shared" si="11"/>
        <v>0.24238137814578165</v>
      </c>
      <c r="S8">
        <f t="shared" si="12"/>
        <v>7.4386120181890461E-2</v>
      </c>
      <c r="T8">
        <f t="shared" si="4"/>
        <v>0.5076842359703132</v>
      </c>
      <c r="U8">
        <f t="shared" si="5"/>
        <v>0.37102215902399527</v>
      </c>
      <c r="W8">
        <v>1</v>
      </c>
      <c r="X8">
        <f t="shared" ref="X7:X27" si="18">$B$7+SQRT(($Y$3-$B$4*($W8-$B$6)^2)/$B$5)</f>
        <v>11.304431794424326</v>
      </c>
      <c r="Y8">
        <f t="shared" si="13"/>
        <v>3.937122208078192</v>
      </c>
      <c r="Z8" t="e">
        <f t="shared" si="14"/>
        <v>#NUM!</v>
      </c>
      <c r="AA8" t="e">
        <f t="shared" si="15"/>
        <v>#NUM!</v>
      </c>
      <c r="AB8" t="e">
        <f t="shared" si="16"/>
        <v>#NUM!</v>
      </c>
      <c r="AC8" t="e">
        <f t="shared" si="17"/>
        <v>#NUM!</v>
      </c>
      <c r="AG8">
        <f t="shared" si="6"/>
        <v>3.0219201650390697E-13</v>
      </c>
      <c r="AH8">
        <f t="shared" si="7"/>
        <v>6.9012725628661</v>
      </c>
      <c r="AI8">
        <f t="shared" si="8"/>
        <v>7.6207772837098702</v>
      </c>
    </row>
    <row r="9" spans="1:35" x14ac:dyDescent="0.25">
      <c r="A9" t="s">
        <v>7</v>
      </c>
      <c r="B9">
        <v>6.9177831354709998</v>
      </c>
      <c r="K9">
        <v>5</v>
      </c>
      <c r="L9">
        <f t="shared" si="9"/>
        <v>6.9480512759166464</v>
      </c>
      <c r="M9">
        <f t="shared" si="10"/>
        <v>7.3233447634265518</v>
      </c>
      <c r="N9">
        <f t="shared" si="0"/>
        <v>0.81606173626739231</v>
      </c>
      <c r="O9">
        <f t="shared" si="1"/>
        <v>-2.0269271301620315</v>
      </c>
      <c r="P9" s="2">
        <f t="shared" si="2"/>
        <v>3.4043401413014533E-2</v>
      </c>
      <c r="Q9">
        <f t="shared" si="3"/>
        <v>0.32052387094677109</v>
      </c>
      <c r="R9">
        <f t="shared" si="11"/>
        <v>0.18716036502384431</v>
      </c>
      <c r="S9">
        <f t="shared" si="12"/>
        <v>7.4386120181890197E-2</v>
      </c>
      <c r="T9">
        <f t="shared" si="4"/>
        <v>0.32052387094646889</v>
      </c>
      <c r="U9">
        <f t="shared" si="5"/>
        <v>0.30108861173540247</v>
      </c>
      <c r="W9">
        <v>2</v>
      </c>
      <c r="X9">
        <f t="shared" si="18"/>
        <v>14.041282278050369</v>
      </c>
      <c r="Y9">
        <f t="shared" si="13"/>
        <v>1.2002717244521488</v>
      </c>
      <c r="Z9" t="e">
        <f t="shared" si="14"/>
        <v>#NUM!</v>
      </c>
      <c r="AA9" t="e">
        <f t="shared" si="15"/>
        <v>#NUM!</v>
      </c>
      <c r="AB9" t="e">
        <f t="shared" si="16"/>
        <v>#NUM!</v>
      </c>
      <c r="AC9" t="e">
        <f t="shared" si="17"/>
        <v>#NUM!</v>
      </c>
      <c r="AG9">
        <f t="shared" si="6"/>
        <v>3.0219201650390697E-13</v>
      </c>
      <c r="AH9">
        <f t="shared" si="7"/>
        <v>6.9012725628661</v>
      </c>
      <c r="AI9">
        <f t="shared" si="8"/>
        <v>7.6207772837098702</v>
      </c>
    </row>
    <row r="10" spans="1:35" x14ac:dyDescent="0.25">
      <c r="A10" t="s">
        <v>8</v>
      </c>
      <c r="B10">
        <v>0.52070284127323219</v>
      </c>
      <c r="K10">
        <v>6</v>
      </c>
      <c r="L10">
        <f t="shared" si="9"/>
        <v>6.9202697586510942</v>
      </c>
      <c r="M10">
        <f t="shared" si="10"/>
        <v>7.3923482573535875</v>
      </c>
      <c r="N10">
        <f t="shared" si="0"/>
        <v>0.33140834753975301</v>
      </c>
      <c r="O10">
        <f t="shared" si="1"/>
        <v>-1.5566853872373472</v>
      </c>
      <c r="P10" s="2">
        <f t="shared" si="2"/>
        <v>4.6737519988032827E-2</v>
      </c>
      <c r="Q10">
        <f t="shared" si="3"/>
        <v>0.18094374868366625</v>
      </c>
      <c r="R10">
        <f t="shared" si="11"/>
        <v>0.13958012226310484</v>
      </c>
      <c r="S10">
        <f t="shared" si="12"/>
        <v>7.4386120181890267E-2</v>
      </c>
      <c r="T10">
        <f t="shared" si="4"/>
        <v>0.18094374868336405</v>
      </c>
      <c r="U10">
        <f t="shared" si="5"/>
        <v>0.22921761173560093</v>
      </c>
      <c r="W10">
        <v>3</v>
      </c>
      <c r="X10">
        <f t="shared" si="18"/>
        <v>15.605552358132812</v>
      </c>
      <c r="Y10">
        <f t="shared" si="13"/>
        <v>-0.36399835563029281</v>
      </c>
      <c r="Z10">
        <f t="shared" si="14"/>
        <v>12.063129619257611</v>
      </c>
      <c r="AA10">
        <f t="shared" si="15"/>
        <v>3.1784243832449075</v>
      </c>
      <c r="AB10" t="e">
        <f t="shared" si="16"/>
        <v>#NUM!</v>
      </c>
      <c r="AC10" t="e">
        <f t="shared" si="17"/>
        <v>#NUM!</v>
      </c>
      <c r="AG10">
        <f t="shared" si="6"/>
        <v>3.0219201650390697E-13</v>
      </c>
      <c r="AH10">
        <f t="shared" si="7"/>
        <v>6.9012725628661</v>
      </c>
      <c r="AI10">
        <f t="shared" si="8"/>
        <v>7.6207772837098702</v>
      </c>
    </row>
    <row r="11" spans="1:35" x14ac:dyDescent="0.25">
      <c r="A11" t="s">
        <v>44</v>
      </c>
      <c r="B11">
        <v>6</v>
      </c>
      <c r="K11">
        <v>7</v>
      </c>
      <c r="L11">
        <f t="shared" si="9"/>
        <v>6.9047805543837537</v>
      </c>
      <c r="M11">
        <f t="shared" si="10"/>
        <v>7.4651038717546712</v>
      </c>
      <c r="N11">
        <f t="shared" si="0"/>
        <v>6.1196491754274968E-2</v>
      </c>
      <c r="O11">
        <f t="shared" si="1"/>
        <v>-1.0608738713784773</v>
      </c>
      <c r="P11" s="2">
        <f t="shared" si="2"/>
        <v>7.000140936735065E-2</v>
      </c>
      <c r="Q11">
        <f t="shared" si="3"/>
        <v>8.268211436166073E-2</v>
      </c>
      <c r="R11">
        <f t="shared" si="11"/>
        <v>9.826163432200552E-2</v>
      </c>
      <c r="S11">
        <f t="shared" si="12"/>
        <v>7.4386120181889948E-2</v>
      </c>
      <c r="T11">
        <f t="shared" si="4"/>
        <v>8.2682114361358541E-2</v>
      </c>
      <c r="U11">
        <f t="shared" si="5"/>
        <v>0.15571293200714265</v>
      </c>
      <c r="W11">
        <v>4</v>
      </c>
      <c r="X11">
        <f t="shared" si="18"/>
        <v>16.630247635347359</v>
      </c>
      <c r="Y11">
        <f t="shared" si="13"/>
        <v>-1.3886936328448396</v>
      </c>
      <c r="Z11">
        <f t="shared" si="14"/>
        <v>13.715727402155679</v>
      </c>
      <c r="AA11">
        <f t="shared" si="15"/>
        <v>1.5258266003468393</v>
      </c>
      <c r="AB11" t="e">
        <f t="shared" si="16"/>
        <v>#NUM!</v>
      </c>
      <c r="AC11" t="e">
        <f t="shared" si="17"/>
        <v>#NUM!</v>
      </c>
      <c r="AG11">
        <f t="shared" si="6"/>
        <v>3.0219201650390697E-13</v>
      </c>
      <c r="AH11">
        <f t="shared" si="7"/>
        <v>6.9012725628661</v>
      </c>
      <c r="AI11">
        <f t="shared" si="8"/>
        <v>7.6207772837098702</v>
      </c>
    </row>
    <row r="12" spans="1:35" x14ac:dyDescent="0.25">
      <c r="A12" t="s">
        <v>45</v>
      </c>
      <c r="B12">
        <v>7</v>
      </c>
      <c r="K12">
        <v>8</v>
      </c>
      <c r="L12">
        <f t="shared" si="9"/>
        <v>6.9004967137126174</v>
      </c>
      <c r="M12">
        <f t="shared" si="10"/>
        <v>7.5393665379121622</v>
      </c>
      <c r="N12">
        <f t="shared" si="0"/>
        <v>-1.3535851990314306E-2</v>
      </c>
      <c r="O12">
        <f t="shared" si="1"/>
        <v>-0.55479217057274044</v>
      </c>
      <c r="P12" s="2">
        <f t="shared" si="2"/>
        <v>0.13403936513277701</v>
      </c>
      <c r="Q12">
        <f t="shared" si="3"/>
        <v>2.2588195120435042E-2</v>
      </c>
      <c r="R12">
        <f t="shared" si="11"/>
        <v>6.0093919241225688E-2</v>
      </c>
      <c r="S12">
        <f t="shared" si="12"/>
        <v>7.4386120181890378E-2</v>
      </c>
      <c r="T12">
        <f t="shared" si="4"/>
        <v>2.258819512013285E-2</v>
      </c>
      <c r="U12">
        <f t="shared" si="5"/>
        <v>8.1414442657602185E-2</v>
      </c>
      <c r="W12">
        <v>5</v>
      </c>
      <c r="X12">
        <f t="shared" si="18"/>
        <v>17.288489183031206</v>
      </c>
      <c r="Y12">
        <f t="shared" si="13"/>
        <v>-2.0469351805286884</v>
      </c>
      <c r="Z12">
        <f t="shared" si="14"/>
        <v>14.652314394494745</v>
      </c>
      <c r="AA12">
        <f t="shared" si="15"/>
        <v>0.58923960800777397</v>
      </c>
      <c r="AB12">
        <f t="shared" si="16"/>
        <v>9.9489473978129777</v>
      </c>
      <c r="AC12">
        <f t="shared" si="17"/>
        <v>5.2926066046895404</v>
      </c>
      <c r="AG12">
        <f t="shared" si="6"/>
        <v>3.0219201650390697E-13</v>
      </c>
      <c r="AH12">
        <f t="shared" si="7"/>
        <v>6.9012725628661</v>
      </c>
      <c r="AI12">
        <f t="shared" si="8"/>
        <v>7.6207772837098702</v>
      </c>
    </row>
    <row r="13" spans="1:35" x14ac:dyDescent="0.25">
      <c r="K13">
        <v>9</v>
      </c>
      <c r="L13">
        <f t="shared" si="9"/>
        <v>6.9023110507199306</v>
      </c>
      <c r="M13">
        <f t="shared" si="10"/>
        <v>7.6137305282363679</v>
      </c>
      <c r="N13">
        <f t="shared" si="0"/>
        <v>1.8115571885609225E-2</v>
      </c>
      <c r="O13">
        <f t="shared" si="1"/>
        <v>-4.8019970633630692E-2</v>
      </c>
      <c r="P13" s="2">
        <f t="shared" si="2"/>
        <v>1.4493606863489561</v>
      </c>
      <c r="Q13">
        <f t="shared" si="3"/>
        <v>1.7859158008746873E-4</v>
      </c>
      <c r="R13">
        <f t="shared" si="11"/>
        <v>2.2409603540347572E-2</v>
      </c>
      <c r="S13">
        <f t="shared" si="12"/>
        <v>7.4386120181890558E-2</v>
      </c>
      <c r="T13">
        <f t="shared" si="4"/>
        <v>1.785915797852767E-4</v>
      </c>
      <c r="U13">
        <f t="shared" si="5"/>
        <v>7.122865976970808E-3</v>
      </c>
      <c r="W13">
        <v>6</v>
      </c>
      <c r="X13">
        <f t="shared" si="18"/>
        <v>17.652672668030903</v>
      </c>
      <c r="Y13">
        <f t="shared" si="13"/>
        <v>-2.4111186655283863</v>
      </c>
      <c r="Z13">
        <f t="shared" si="14"/>
        <v>15.145189931971981</v>
      </c>
      <c r="AA13">
        <f t="shared" si="15"/>
        <v>9.6364070530538193E-2</v>
      </c>
      <c r="AB13">
        <f t="shared" si="16"/>
        <v>11.169671087419816</v>
      </c>
      <c r="AC13">
        <f t="shared" si="17"/>
        <v>4.0718829150827016</v>
      </c>
      <c r="AG13">
        <f t="shared" si="6"/>
        <v>3.0219201650390697E-13</v>
      </c>
      <c r="AH13">
        <f t="shared" si="7"/>
        <v>6.9012725628661</v>
      </c>
      <c r="AI13">
        <f t="shared" si="8"/>
        <v>7.6207772837098702</v>
      </c>
    </row>
    <row r="14" spans="1:35" x14ac:dyDescent="0.25">
      <c r="K14">
        <v>10</v>
      </c>
      <c r="L14">
        <f t="shared" si="9"/>
        <v>6.8760550530182005</v>
      </c>
      <c r="M14">
        <f t="shared" si="10"/>
        <v>7.6833287858323835</v>
      </c>
      <c r="N14">
        <f t="shared" si="0"/>
        <v>-0.43992486337697617</v>
      </c>
      <c r="O14">
        <f t="shared" si="1"/>
        <v>0.4262749395788607</v>
      </c>
      <c r="P14" s="2">
        <f t="shared" si="2"/>
        <v>0.12143249206679305</v>
      </c>
      <c r="Q14">
        <f t="shared" si="3"/>
        <v>1.8879046856881833E-2</v>
      </c>
      <c r="R14">
        <f t="shared" si="11"/>
        <v>1.8700455276794363E-2</v>
      </c>
      <c r="S14">
        <f t="shared" si="12"/>
        <v>7.4386120181890156E-2</v>
      </c>
      <c r="T14">
        <f t="shared" si="4"/>
        <v>1.8879046856579641E-2</v>
      </c>
      <c r="U14">
        <f t="shared" si="5"/>
        <v>6.7443407540779723E-2</v>
      </c>
      <c r="W14">
        <v>7</v>
      </c>
      <c r="X14">
        <f t="shared" si="18"/>
        <v>17.754551057588188</v>
      </c>
      <c r="Y14">
        <f t="shared" si="13"/>
        <v>-2.512997055085668</v>
      </c>
      <c r="Z14">
        <f t="shared" si="14"/>
        <v>15.280492133534729</v>
      </c>
      <c r="AA14">
        <f t="shared" si="15"/>
        <v>-3.8938131032210777E-2</v>
      </c>
      <c r="AB14">
        <f t="shared" si="16"/>
        <v>11.44819064372281</v>
      </c>
      <c r="AC14">
        <f t="shared" si="17"/>
        <v>3.793363358779708</v>
      </c>
      <c r="AG14">
        <f t="shared" si="6"/>
        <v>3.0219201650390697E-13</v>
      </c>
      <c r="AH14">
        <f t="shared" si="7"/>
        <v>6.9012725628661</v>
      </c>
      <c r="AI14">
        <f t="shared" si="8"/>
        <v>7.6207772837098702</v>
      </c>
    </row>
    <row r="15" spans="1:35" x14ac:dyDescent="0.25">
      <c r="K15">
        <v>11</v>
      </c>
      <c r="L15">
        <f t="shared" si="9"/>
        <v>6.9294762255002098</v>
      </c>
      <c r="M15">
        <f t="shared" si="10"/>
        <v>7.6315651576137009</v>
      </c>
      <c r="N15">
        <f t="shared" si="0"/>
        <v>0.49201675902364156</v>
      </c>
      <c r="O15">
        <f t="shared" si="1"/>
        <v>7.3518617132386679E-2</v>
      </c>
      <c r="P15" s="2">
        <f t="shared" si="2"/>
        <v>0.14952611412625033</v>
      </c>
      <c r="Q15">
        <f t="shared" si="3"/>
        <v>7.3348880001624633E-3</v>
      </c>
      <c r="R15">
        <f t="shared" si="11"/>
        <v>1.154415885671937E-2</v>
      </c>
      <c r="S15">
        <f t="shared" si="12"/>
        <v>7.4386120181890003E-2</v>
      </c>
      <c r="T15">
        <f t="shared" si="4"/>
        <v>7.334887999860271E-3</v>
      </c>
      <c r="U15">
        <f t="shared" si="5"/>
        <v>3.0196437030610625E-2</v>
      </c>
      <c r="W15">
        <v>8</v>
      </c>
      <c r="X15">
        <f t="shared" si="18"/>
        <v>17.602159505541032</v>
      </c>
      <c r="Y15">
        <f t="shared" si="13"/>
        <v>-2.3606055030385118</v>
      </c>
      <c r="Z15">
        <f t="shared" si="14"/>
        <v>15.077710417863408</v>
      </c>
      <c r="AA15">
        <f t="shared" si="15"/>
        <v>0.16384358463911042</v>
      </c>
      <c r="AB15">
        <f t="shared" si="16"/>
        <v>11.02426275304043</v>
      </c>
      <c r="AC15">
        <f t="shared" si="17"/>
        <v>4.2172912494620878</v>
      </c>
      <c r="AG15">
        <f t="shared" si="6"/>
        <v>3.0219201650390697E-13</v>
      </c>
      <c r="AH15">
        <f t="shared" si="7"/>
        <v>6.9012725628661</v>
      </c>
      <c r="AI15">
        <f t="shared" si="8"/>
        <v>7.6207772837098702</v>
      </c>
    </row>
    <row r="16" spans="1:35" x14ac:dyDescent="0.25">
      <c r="K16" s="6">
        <v>12</v>
      </c>
      <c r="L16">
        <f t="shared" si="9"/>
        <v>6.855906871438413</v>
      </c>
      <c r="M16">
        <f t="shared" si="10"/>
        <v>7.6205722044779591</v>
      </c>
      <c r="N16">
        <f t="shared" si="0"/>
        <v>-0.79141338670006345</v>
      </c>
      <c r="O16">
        <f t="shared" si="1"/>
        <v>-1.3956393530408318E-3</v>
      </c>
      <c r="P16" s="2">
        <f t="shared" si="2"/>
        <v>9.3991339756631653E-2</v>
      </c>
      <c r="Q16">
        <f t="shared" si="3"/>
        <v>1.7951673996010525E-2</v>
      </c>
      <c r="R16" s="6">
        <f t="shared" si="11"/>
        <v>1.0616785995848062E-2</v>
      </c>
      <c r="S16">
        <f t="shared" si="12"/>
        <v>7.4386120181890295E-2</v>
      </c>
      <c r="T16">
        <f t="shared" si="4"/>
        <v>1.7951673995708333E-2</v>
      </c>
      <c r="U16">
        <f t="shared" si="5"/>
        <v>4.5366154963843622E-2</v>
      </c>
      <c r="W16">
        <v>9</v>
      </c>
      <c r="X16">
        <f t="shared" si="18"/>
        <v>17.183349400209391</v>
      </c>
      <c r="Y16">
        <f t="shared" si="13"/>
        <v>-1.9417953977068727</v>
      </c>
      <c r="Z16">
        <f t="shared" si="14"/>
        <v>14.507042329290897</v>
      </c>
      <c r="AA16">
        <f t="shared" si="15"/>
        <v>0.73451167321162103</v>
      </c>
      <c r="AB16">
        <f t="shared" si="16"/>
        <v>9.464281666557488</v>
      </c>
      <c r="AC16">
        <f t="shared" si="17"/>
        <v>5.77727233594503</v>
      </c>
      <c r="AG16">
        <f t="shared" si="6"/>
        <v>3.0219201650390697E-13</v>
      </c>
      <c r="AH16">
        <f t="shared" si="7"/>
        <v>6.9012725628661</v>
      </c>
      <c r="AI16">
        <f t="shared" si="8"/>
        <v>7.6207772837098702</v>
      </c>
    </row>
    <row r="17" spans="11:35" x14ac:dyDescent="0.25">
      <c r="K17" s="6">
        <v>13</v>
      </c>
      <c r="L17">
        <f t="shared" si="9"/>
        <v>6.9302928759556854</v>
      </c>
      <c r="M17">
        <f t="shared" si="10"/>
        <v>7.6207033824905688</v>
      </c>
      <c r="N17">
        <f t="shared" si="0"/>
        <v>0.50626336790641124</v>
      </c>
      <c r="O17">
        <f t="shared" si="1"/>
        <v>-5.0169364431799641E-4</v>
      </c>
      <c r="P17" s="2">
        <f t="shared" si="2"/>
        <v>0.14693159405326567</v>
      </c>
      <c r="Q17">
        <f t="shared" si="3"/>
        <v>7.3459642587821398E-3</v>
      </c>
      <c r="R17">
        <f t="shared" si="11"/>
        <v>1.0605709737228386E-2</v>
      </c>
      <c r="S17">
        <f t="shared" si="12"/>
        <v>7.438612018189053E-2</v>
      </c>
      <c r="T17">
        <f t="shared" si="4"/>
        <v>7.3459642584799475E-3</v>
      </c>
      <c r="U17">
        <f t="shared" si="5"/>
        <v>2.9020407185423445E-2</v>
      </c>
      <c r="W17">
        <v>10</v>
      </c>
      <c r="X17">
        <f t="shared" si="18"/>
        <v>16.460333505398353</v>
      </c>
      <c r="Y17">
        <f t="shared" si="13"/>
        <v>-1.2187795028958348</v>
      </c>
      <c r="Z17">
        <f t="shared" si="14"/>
        <v>13.461634684233626</v>
      </c>
      <c r="AA17">
        <f t="shared" si="15"/>
        <v>1.7799193182688908</v>
      </c>
      <c r="AB17" t="e">
        <f t="shared" si="16"/>
        <v>#NUM!</v>
      </c>
      <c r="AC17" t="e">
        <f t="shared" si="17"/>
        <v>#NUM!</v>
      </c>
      <c r="AG17">
        <f t="shared" si="6"/>
        <v>3.0219201650390697E-13</v>
      </c>
      <c r="AH17">
        <f t="shared" si="7"/>
        <v>6.9012725628661</v>
      </c>
      <c r="AI17">
        <f t="shared" si="8"/>
        <v>7.6207772837098702</v>
      </c>
    </row>
    <row r="18" spans="11:35" x14ac:dyDescent="0.25">
      <c r="K18" s="6">
        <v>14</v>
      </c>
      <c r="L18">
        <f t="shared" si="9"/>
        <v>6.8559067922984216</v>
      </c>
      <c r="M18">
        <f t="shared" si="10"/>
        <v>7.6207770971374549</v>
      </c>
      <c r="N18">
        <f t="shared" si="0"/>
        <v>-0.79141476731094496</v>
      </c>
      <c r="O18">
        <f t="shared" si="1"/>
        <v>6.5344070717690593E-7</v>
      </c>
      <c r="P18" s="2">
        <f t="shared" si="2"/>
        <v>9.3991321939332503E-2</v>
      </c>
      <c r="Q18">
        <f t="shared" si="3"/>
        <v>1.7951593717327047E-2</v>
      </c>
      <c r="R18">
        <f t="shared" si="11"/>
        <v>1.0605629458544907E-2</v>
      </c>
      <c r="S18">
        <f t="shared" si="12"/>
        <v>7.4386120181890253E-2</v>
      </c>
      <c r="T18">
        <f t="shared" si="4"/>
        <v>1.7951593717024854E-2</v>
      </c>
      <c r="U18">
        <f t="shared" si="5"/>
        <v>4.5365770568062083E-2</v>
      </c>
      <c r="W18">
        <v>11</v>
      </c>
      <c r="X18">
        <f t="shared" si="18"/>
        <v>15.348189350221766</v>
      </c>
      <c r="Y18">
        <f t="shared" si="13"/>
        <v>-0.10663534771924699</v>
      </c>
      <c r="Z18">
        <f t="shared" si="14"/>
        <v>11.581933510891702</v>
      </c>
      <c r="AA18">
        <f t="shared" si="15"/>
        <v>3.6596204916108173</v>
      </c>
      <c r="AB18" t="e">
        <f t="shared" si="16"/>
        <v>#NUM!</v>
      </c>
      <c r="AC18" t="e">
        <f t="shared" si="17"/>
        <v>#NUM!</v>
      </c>
      <c r="AG18">
        <f t="shared" si="6"/>
        <v>3.0219201650390697E-13</v>
      </c>
      <c r="AH18">
        <f t="shared" si="7"/>
        <v>6.9012725628661</v>
      </c>
      <c r="AI18">
        <f t="shared" si="8"/>
        <v>7.6207772837098702</v>
      </c>
    </row>
    <row r="19" spans="11:35" x14ac:dyDescent="0.25">
      <c r="K19" s="6">
        <v>15</v>
      </c>
      <c r="L19">
        <f t="shared" si="9"/>
        <v>6.9302929124802866</v>
      </c>
      <c r="M19">
        <f t="shared" si="10"/>
        <v>7.6207770357196987</v>
      </c>
      <c r="N19">
        <f t="shared" si="0"/>
        <v>0.50626400508441471</v>
      </c>
      <c r="O19">
        <f t="shared" si="1"/>
        <v>2.3489389041416979E-7</v>
      </c>
      <c r="P19" s="2">
        <f t="shared" si="2"/>
        <v>0.14693148127226449</v>
      </c>
      <c r="Q19">
        <f t="shared" si="3"/>
        <v>7.3459642828332282E-3</v>
      </c>
      <c r="R19">
        <f t="shared" si="11"/>
        <v>1.0605629434493818E-2</v>
      </c>
      <c r="S19" s="6">
        <f t="shared" si="12"/>
        <v>7.4386120181890322E-2</v>
      </c>
      <c r="T19">
        <f t="shared" si="4"/>
        <v>7.3459642825310359E-3</v>
      </c>
      <c r="U19">
        <f t="shared" si="5"/>
        <v>2.9020349615246122E-2</v>
      </c>
      <c r="W19">
        <v>12</v>
      </c>
      <c r="X19">
        <f t="shared" si="18"/>
        <v>13.634778842650537</v>
      </c>
      <c r="Y19">
        <f t="shared" si="13"/>
        <v>1.6067751598519804</v>
      </c>
      <c r="Z19" t="e">
        <f t="shared" si="14"/>
        <v>#NUM!</v>
      </c>
      <c r="AA19" t="e">
        <f t="shared" si="15"/>
        <v>#NUM!</v>
      </c>
      <c r="AB19" t="e">
        <f t="shared" si="16"/>
        <v>#NUM!</v>
      </c>
      <c r="AC19" t="e">
        <f t="shared" si="17"/>
        <v>#NUM!</v>
      </c>
      <c r="AG19">
        <f t="shared" si="6"/>
        <v>3.0219201650390697E-13</v>
      </c>
      <c r="AH19">
        <f t="shared" si="7"/>
        <v>6.9012725628661</v>
      </c>
      <c r="AI19">
        <f t="shared" si="8"/>
        <v>7.6207772837098702</v>
      </c>
    </row>
    <row r="20" spans="11:35" x14ac:dyDescent="0.25">
      <c r="K20">
        <v>16</v>
      </c>
      <c r="L20">
        <f t="shared" si="9"/>
        <v>6.8559067922984038</v>
      </c>
      <c r="M20">
        <f t="shared" si="10"/>
        <v>7.6207770012063918</v>
      </c>
      <c r="N20">
        <f t="shared" si="0"/>
        <v>-0.79141476731125482</v>
      </c>
      <c r="O20">
        <f t="shared" si="1"/>
        <v>-3.0575901343266923E-10</v>
      </c>
      <c r="P20" s="2">
        <f t="shared" si="2"/>
        <v>9.3991321939327757E-2</v>
      </c>
      <c r="Q20">
        <f t="shared" si="3"/>
        <v>1.7951593717309779E-2</v>
      </c>
      <c r="R20">
        <f t="shared" si="11"/>
        <v>1.060562943447655E-2</v>
      </c>
      <c r="S20">
        <f t="shared" si="12"/>
        <v>7.4386120181890739E-2</v>
      </c>
      <c r="T20">
        <f t="shared" si="4"/>
        <v>1.7951593717007587E-2</v>
      </c>
      <c r="U20">
        <f t="shared" si="5"/>
        <v>4.5365770568575804E-2</v>
      </c>
      <c r="W20">
        <v>13</v>
      </c>
      <c r="X20">
        <f t="shared" si="18"/>
        <v>10.360066836592775</v>
      </c>
      <c r="Y20">
        <f t="shared" si="13"/>
        <v>4.8814871659097427</v>
      </c>
      <c r="Z20" t="e">
        <f t="shared" si="14"/>
        <v>#NUM!</v>
      </c>
      <c r="AA20" t="e">
        <f t="shared" si="15"/>
        <v>#NUM!</v>
      </c>
      <c r="AB20" t="e">
        <f t="shared" si="16"/>
        <v>#NUM!</v>
      </c>
      <c r="AC20" t="e">
        <f t="shared" si="17"/>
        <v>#NUM!</v>
      </c>
      <c r="AG20">
        <f t="shared" si="6"/>
        <v>3.0219201650390697E-13</v>
      </c>
      <c r="AH20">
        <f t="shared" si="7"/>
        <v>6.9012725628661</v>
      </c>
      <c r="AI20">
        <f t="shared" si="8"/>
        <v>7.6207772837098702</v>
      </c>
    </row>
    <row r="21" spans="11:35" x14ac:dyDescent="0.25">
      <c r="K21">
        <v>17</v>
      </c>
      <c r="L21">
        <f t="shared" si="9"/>
        <v>6.9302929124802946</v>
      </c>
      <c r="M21">
        <f t="shared" si="10"/>
        <v>7.6207770012351306</v>
      </c>
      <c r="N21">
        <f t="shared" si="0"/>
        <v>0.50626400508455416</v>
      </c>
      <c r="O21">
        <f t="shared" si="1"/>
        <v>-1.0991127414925648E-10</v>
      </c>
      <c r="P21" s="2">
        <f t="shared" si="2"/>
        <v>0.14693148127223984</v>
      </c>
      <c r="Q21" s="4">
        <f t="shared" si="3"/>
        <v>7.3459642828332264E-3</v>
      </c>
      <c r="R21">
        <f t="shared" si="11"/>
        <v>1.0605629434476554E-2</v>
      </c>
      <c r="S21">
        <f t="shared" si="12"/>
        <v>7.4386120181890725E-2</v>
      </c>
      <c r="T21">
        <f t="shared" si="4"/>
        <v>7.3459642825310341E-3</v>
      </c>
      <c r="U21">
        <f t="shared" si="5"/>
        <v>2.9020349615569287E-2</v>
      </c>
      <c r="W21">
        <v>14</v>
      </c>
      <c r="X21" t="e">
        <f>$B$7+SQRT(($Y$3-$B$4*($W21-$B$6)^2)/$B$5)</f>
        <v>#NUM!</v>
      </c>
      <c r="Y21" t="e">
        <f t="shared" si="13"/>
        <v>#NUM!</v>
      </c>
      <c r="Z21" t="e">
        <f t="shared" si="14"/>
        <v>#NUM!</v>
      </c>
      <c r="AA21" t="e">
        <f t="shared" si="15"/>
        <v>#NUM!</v>
      </c>
      <c r="AB21" t="e">
        <f t="shared" si="16"/>
        <v>#NUM!</v>
      </c>
      <c r="AC21" t="e">
        <f t="shared" si="17"/>
        <v>#NUM!</v>
      </c>
      <c r="AG21">
        <f t="shared" si="6"/>
        <v>3.0219201650390697E-13</v>
      </c>
      <c r="AH21">
        <f t="shared" si="7"/>
        <v>6.9012725628661</v>
      </c>
      <c r="AI21">
        <f t="shared" si="8"/>
        <v>7.6207772837098702</v>
      </c>
    </row>
    <row r="22" spans="11:35" x14ac:dyDescent="0.25">
      <c r="K22">
        <v>18</v>
      </c>
      <c r="L22">
        <f t="shared" si="9"/>
        <v>6.8559067922984038</v>
      </c>
      <c r="M22">
        <f t="shared" si="10"/>
        <v>7.6207770012512803</v>
      </c>
      <c r="N22">
        <f t="shared" si="0"/>
        <v>-0.79141476731125482</v>
      </c>
      <c r="O22">
        <f t="shared" si="1"/>
        <v>1.4526518969007961E-13</v>
      </c>
      <c r="P22" s="2">
        <f t="shared" si="2"/>
        <v>9.3991321939327757E-2</v>
      </c>
      <c r="Q22" s="3">
        <f t="shared" si="3"/>
        <v>1.7951593717309779E-2</v>
      </c>
      <c r="R22">
        <f t="shared" si="11"/>
        <v>1.0605629434476554E-2</v>
      </c>
      <c r="S22">
        <f t="shared" si="12"/>
        <v>7.4386120181890725E-2</v>
      </c>
      <c r="T22">
        <f t="shared" si="4"/>
        <v>1.7951593717007587E-2</v>
      </c>
      <c r="U22">
        <f t="shared" si="5"/>
        <v>4.5365770568575527E-2</v>
      </c>
      <c r="W22">
        <v>15</v>
      </c>
      <c r="X22" t="e">
        <f t="shared" si="18"/>
        <v>#NUM!</v>
      </c>
      <c r="Y22" t="e">
        <f t="shared" si="13"/>
        <v>#NUM!</v>
      </c>
      <c r="Z22" t="e">
        <f t="shared" si="14"/>
        <v>#NUM!</v>
      </c>
      <c r="AA22" t="e">
        <f t="shared" si="15"/>
        <v>#NUM!</v>
      </c>
      <c r="AB22" t="e">
        <f t="shared" si="16"/>
        <v>#NUM!</v>
      </c>
      <c r="AC22" t="e">
        <f t="shared" si="17"/>
        <v>#NUM!</v>
      </c>
      <c r="AG22">
        <f t="shared" si="6"/>
        <v>3.0219201650390697E-13</v>
      </c>
      <c r="AH22">
        <f t="shared" si="7"/>
        <v>6.9012725628661</v>
      </c>
      <c r="AI22">
        <f t="shared" si="8"/>
        <v>7.6207772837098702</v>
      </c>
    </row>
    <row r="23" spans="11:35" x14ac:dyDescent="0.25">
      <c r="K23">
        <v>19</v>
      </c>
      <c r="L23">
        <f t="shared" si="9"/>
        <v>6.9302929124802946</v>
      </c>
      <c r="M23">
        <f t="shared" si="10"/>
        <v>7.620777001251267</v>
      </c>
      <c r="N23">
        <f t="shared" si="0"/>
        <v>0.50626400508455416</v>
      </c>
      <c r="O23">
        <f t="shared" si="1"/>
        <v>5.4474446133779849E-14</v>
      </c>
      <c r="P23" s="2">
        <f t="shared" si="2"/>
        <v>0.14693148127223984</v>
      </c>
      <c r="Q23">
        <f t="shared" si="3"/>
        <v>7.3459642828332264E-3</v>
      </c>
      <c r="R23">
        <f t="shared" si="11"/>
        <v>1.0605629434476554E-2</v>
      </c>
      <c r="S23">
        <f t="shared" si="12"/>
        <v>7.4386120181890725E-2</v>
      </c>
      <c r="T23">
        <f t="shared" si="4"/>
        <v>7.3459642825310341E-3</v>
      </c>
      <c r="U23">
        <f t="shared" si="5"/>
        <v>2.9020349615569131E-2</v>
      </c>
      <c r="W23">
        <v>16</v>
      </c>
      <c r="X23" t="e">
        <f t="shared" si="18"/>
        <v>#NUM!</v>
      </c>
      <c r="Y23" t="e">
        <f t="shared" si="13"/>
        <v>#NUM!</v>
      </c>
      <c r="Z23" t="e">
        <f t="shared" si="14"/>
        <v>#NUM!</v>
      </c>
      <c r="AA23" t="e">
        <f t="shared" si="15"/>
        <v>#NUM!</v>
      </c>
      <c r="AB23" t="e">
        <f t="shared" si="16"/>
        <v>#NUM!</v>
      </c>
      <c r="AC23" t="e">
        <f t="shared" si="17"/>
        <v>#NUM!</v>
      </c>
      <c r="AG23">
        <f t="shared" si="6"/>
        <v>3.0219201650390697E-13</v>
      </c>
      <c r="AH23">
        <f t="shared" si="7"/>
        <v>6.9012725628661</v>
      </c>
      <c r="AI23">
        <f t="shared" si="8"/>
        <v>7.6207772837098702</v>
      </c>
    </row>
    <row r="24" spans="11:35" x14ac:dyDescent="0.25">
      <c r="K24">
        <v>20</v>
      </c>
      <c r="L24">
        <f t="shared" si="9"/>
        <v>6.8559067922984038</v>
      </c>
      <c r="M24">
        <f t="shared" si="10"/>
        <v>7.620777001251259</v>
      </c>
      <c r="N24">
        <f t="shared" si="0"/>
        <v>-0.79141476731125482</v>
      </c>
      <c r="O24">
        <f t="shared" si="1"/>
        <v>0</v>
      </c>
      <c r="P24" s="2">
        <f t="shared" si="2"/>
        <v>9.3991321939327757E-2</v>
      </c>
      <c r="Q24">
        <f t="shared" si="3"/>
        <v>1.7951593717309779E-2</v>
      </c>
      <c r="R24">
        <f t="shared" si="11"/>
        <v>1.0605629434476554E-2</v>
      </c>
      <c r="S24">
        <f t="shared" si="12"/>
        <v>7.4386120181890725E-2</v>
      </c>
      <c r="T24">
        <f t="shared" si="4"/>
        <v>1.7951593717007587E-2</v>
      </c>
      <c r="U24">
        <f t="shared" si="5"/>
        <v>4.5365770568575527E-2</v>
      </c>
      <c r="W24">
        <v>17</v>
      </c>
      <c r="X24" t="e">
        <f t="shared" si="18"/>
        <v>#NUM!</v>
      </c>
      <c r="Y24" t="e">
        <f t="shared" si="13"/>
        <v>#NUM!</v>
      </c>
      <c r="Z24" t="e">
        <f t="shared" si="14"/>
        <v>#NUM!</v>
      </c>
      <c r="AA24" t="e">
        <f t="shared" si="15"/>
        <v>#NUM!</v>
      </c>
      <c r="AB24" t="e">
        <f t="shared" si="16"/>
        <v>#NUM!</v>
      </c>
      <c r="AC24" t="e">
        <f t="shared" si="17"/>
        <v>#NUM!</v>
      </c>
      <c r="AG24">
        <f t="shared" si="6"/>
        <v>3.0219201650390697E-13</v>
      </c>
      <c r="AH24">
        <f t="shared" si="7"/>
        <v>6.9012725628661</v>
      </c>
      <c r="AI24">
        <f t="shared" si="8"/>
        <v>7.6207772837098702</v>
      </c>
    </row>
    <row r="25" spans="11:35" x14ac:dyDescent="0.25">
      <c r="K25">
        <v>21</v>
      </c>
      <c r="L25">
        <f t="shared" si="9"/>
        <v>6.9302929124802946</v>
      </c>
      <c r="M25">
        <f t="shared" si="10"/>
        <v>7.620777001251259</v>
      </c>
      <c r="N25">
        <f t="shared" si="0"/>
        <v>0.50626400508455416</v>
      </c>
      <c r="O25">
        <f t="shared" si="1"/>
        <v>0</v>
      </c>
      <c r="P25" s="2">
        <f t="shared" si="2"/>
        <v>0.14693148127223984</v>
      </c>
      <c r="Q25">
        <f t="shared" si="3"/>
        <v>7.3459642828332264E-3</v>
      </c>
      <c r="R25">
        <f t="shared" si="11"/>
        <v>1.0605629434476554E-2</v>
      </c>
      <c r="S25">
        <f t="shared" si="12"/>
        <v>7.4386120181890725E-2</v>
      </c>
      <c r="T25">
        <f t="shared" si="4"/>
        <v>7.3459642825310341E-3</v>
      </c>
      <c r="U25">
        <f t="shared" si="5"/>
        <v>2.9020349615569131E-2</v>
      </c>
      <c r="W25">
        <v>18</v>
      </c>
      <c r="X25" t="e">
        <f t="shared" si="18"/>
        <v>#NUM!</v>
      </c>
      <c r="Y25" t="e">
        <f t="shared" si="13"/>
        <v>#NUM!</v>
      </c>
      <c r="Z25" t="e">
        <f t="shared" si="14"/>
        <v>#NUM!</v>
      </c>
      <c r="AA25" t="e">
        <f t="shared" si="15"/>
        <v>#NUM!</v>
      </c>
      <c r="AB25" t="e">
        <f t="shared" si="16"/>
        <v>#NUM!</v>
      </c>
      <c r="AC25" t="e">
        <f t="shared" si="17"/>
        <v>#NUM!</v>
      </c>
      <c r="AG25">
        <f t="shared" si="6"/>
        <v>3.0219201650390697E-13</v>
      </c>
      <c r="AH25">
        <f t="shared" si="7"/>
        <v>6.9012725628661</v>
      </c>
      <c r="AI25">
        <f t="shared" si="8"/>
        <v>7.6207772837098702</v>
      </c>
    </row>
    <row r="26" spans="11:35" x14ac:dyDescent="0.25">
      <c r="K26">
        <v>22</v>
      </c>
      <c r="L26">
        <f t="shared" si="9"/>
        <v>6.8559067922984038</v>
      </c>
      <c r="M26">
        <f t="shared" si="10"/>
        <v>7.620777001251259</v>
      </c>
      <c r="N26">
        <f t="shared" si="0"/>
        <v>-0.79141476731125482</v>
      </c>
      <c r="O26">
        <f t="shared" si="1"/>
        <v>0</v>
      </c>
      <c r="P26" s="2">
        <f t="shared" si="2"/>
        <v>9.3991321939327757E-2</v>
      </c>
      <c r="Q26">
        <f t="shared" si="3"/>
        <v>1.7951593717309779E-2</v>
      </c>
      <c r="R26">
        <f t="shared" si="11"/>
        <v>1.0605629434476554E-2</v>
      </c>
      <c r="S26">
        <f t="shared" si="12"/>
        <v>7.4386120181890725E-2</v>
      </c>
      <c r="T26">
        <f t="shared" si="4"/>
        <v>1.7951593717007587E-2</v>
      </c>
      <c r="U26">
        <f t="shared" si="5"/>
        <v>4.5365770568575527E-2</v>
      </c>
      <c r="W26">
        <v>19</v>
      </c>
      <c r="X26" t="e">
        <f t="shared" si="18"/>
        <v>#NUM!</v>
      </c>
      <c r="Y26" t="e">
        <f t="shared" si="13"/>
        <v>#NUM!</v>
      </c>
      <c r="Z26" t="e">
        <f t="shared" si="14"/>
        <v>#NUM!</v>
      </c>
      <c r="AA26" t="e">
        <f t="shared" si="15"/>
        <v>#NUM!</v>
      </c>
      <c r="AB26" t="e">
        <f t="shared" si="16"/>
        <v>#NUM!</v>
      </c>
      <c r="AC26" t="e">
        <f t="shared" si="17"/>
        <v>#NUM!</v>
      </c>
      <c r="AG26">
        <f t="shared" si="6"/>
        <v>3.0219201650390697E-13</v>
      </c>
      <c r="AH26">
        <f t="shared" si="7"/>
        <v>6.9012725628661</v>
      </c>
      <c r="AI26">
        <f t="shared" si="8"/>
        <v>7.6207772837098702</v>
      </c>
    </row>
    <row r="27" spans="11:35" x14ac:dyDescent="0.25">
      <c r="K27">
        <v>23</v>
      </c>
      <c r="L27">
        <f t="shared" si="9"/>
        <v>6.9302929124802946</v>
      </c>
      <c r="M27">
        <f t="shared" si="10"/>
        <v>7.620777001251259</v>
      </c>
      <c r="N27">
        <f t="shared" si="0"/>
        <v>0.50626400508455416</v>
      </c>
      <c r="O27">
        <f t="shared" si="1"/>
        <v>0</v>
      </c>
      <c r="P27" s="2">
        <f t="shared" si="2"/>
        <v>0.14693148127223984</v>
      </c>
      <c r="Q27">
        <f t="shared" si="3"/>
        <v>7.3459642828332264E-3</v>
      </c>
      <c r="R27">
        <f t="shared" si="11"/>
        <v>1.0605629434476554E-2</v>
      </c>
      <c r="S27">
        <f t="shared" si="12"/>
        <v>7.4386120181890725E-2</v>
      </c>
      <c r="T27">
        <f t="shared" si="4"/>
        <v>7.3459642825310341E-3</v>
      </c>
      <c r="U27">
        <f t="shared" si="5"/>
        <v>2.9020349615569131E-2</v>
      </c>
      <c r="W27">
        <v>20</v>
      </c>
      <c r="X27" t="e">
        <f t="shared" si="18"/>
        <v>#NUM!</v>
      </c>
      <c r="Y27" t="e">
        <f t="shared" si="13"/>
        <v>#NUM!</v>
      </c>
      <c r="Z27" t="e">
        <f t="shared" si="14"/>
        <v>#NUM!</v>
      </c>
      <c r="AA27" t="e">
        <f t="shared" si="15"/>
        <v>#NUM!</v>
      </c>
      <c r="AB27" t="e">
        <f t="shared" si="16"/>
        <v>#NUM!</v>
      </c>
      <c r="AC27" t="e">
        <f t="shared" si="17"/>
        <v>#NUM!</v>
      </c>
      <c r="AG27">
        <f t="shared" si="6"/>
        <v>3.0219201650390697E-13</v>
      </c>
      <c r="AH27">
        <f t="shared" si="7"/>
        <v>6.9012725628661</v>
      </c>
      <c r="AI27">
        <f t="shared" si="8"/>
        <v>7.6207772837098702</v>
      </c>
    </row>
    <row r="28" spans="11:35" x14ac:dyDescent="0.25">
      <c r="K28">
        <v>24</v>
      </c>
      <c r="L28">
        <f t="shared" si="9"/>
        <v>6.8559067922984038</v>
      </c>
      <c r="M28">
        <f t="shared" si="10"/>
        <v>7.620777001251259</v>
      </c>
      <c r="N28">
        <f t="shared" si="0"/>
        <v>-0.79141476731125482</v>
      </c>
      <c r="O28">
        <f t="shared" si="1"/>
        <v>0</v>
      </c>
      <c r="P28" s="2">
        <f t="shared" si="2"/>
        <v>9.3991321939327757E-2</v>
      </c>
      <c r="Q28">
        <f t="shared" si="3"/>
        <v>1.7951593717309779E-2</v>
      </c>
      <c r="R28">
        <f t="shared" si="11"/>
        <v>1.0605629434476554E-2</v>
      </c>
      <c r="S28">
        <f t="shared" si="12"/>
        <v>7.4386120181890725E-2</v>
      </c>
      <c r="T28">
        <f t="shared" si="4"/>
        <v>1.7951593717007587E-2</v>
      </c>
      <c r="U28">
        <f t="shared" si="5"/>
        <v>4.5365770568575527E-2</v>
      </c>
      <c r="AG28">
        <f t="shared" si="6"/>
        <v>3.0219201650390697E-13</v>
      </c>
      <c r="AH28">
        <f t="shared" si="7"/>
        <v>6.9012725628661</v>
      </c>
      <c r="AI28">
        <f t="shared" si="8"/>
        <v>7.6207772837098702</v>
      </c>
    </row>
    <row r="29" spans="11:35" x14ac:dyDescent="0.25">
      <c r="K29">
        <v>25</v>
      </c>
      <c r="L29">
        <f t="shared" si="9"/>
        <v>6.9302929124802946</v>
      </c>
      <c r="M29">
        <f t="shared" si="10"/>
        <v>7.620777001251259</v>
      </c>
      <c r="N29">
        <f t="shared" si="0"/>
        <v>0.50626400508455416</v>
      </c>
      <c r="O29">
        <f t="shared" si="1"/>
        <v>0</v>
      </c>
      <c r="P29" s="2">
        <f t="shared" si="2"/>
        <v>0.14693148127223984</v>
      </c>
      <c r="Q29">
        <f t="shared" si="3"/>
        <v>7.3459642828332264E-3</v>
      </c>
      <c r="R29">
        <f t="shared" si="11"/>
        <v>1.0605629434476554E-2</v>
      </c>
      <c r="S29">
        <f t="shared" si="12"/>
        <v>7.4386120181890725E-2</v>
      </c>
      <c r="T29">
        <f t="shared" si="4"/>
        <v>7.3459642825310341E-3</v>
      </c>
      <c r="U29">
        <f t="shared" si="5"/>
        <v>2.9020349615569131E-2</v>
      </c>
      <c r="AG29">
        <f t="shared" si="6"/>
        <v>3.0219201650390697E-13</v>
      </c>
      <c r="AH29">
        <f t="shared" si="7"/>
        <v>6.9012725628661</v>
      </c>
      <c r="AI29">
        <f t="shared" si="8"/>
        <v>7.6207772837098702</v>
      </c>
    </row>
    <row r="30" spans="11:35" x14ac:dyDescent="0.25">
      <c r="K30">
        <v>26</v>
      </c>
      <c r="L30">
        <f t="shared" si="9"/>
        <v>6.8559067922984038</v>
      </c>
      <c r="M30">
        <f t="shared" si="10"/>
        <v>7.620777001251259</v>
      </c>
      <c r="N30">
        <f t="shared" si="0"/>
        <v>-0.79141476731125482</v>
      </c>
      <c r="O30">
        <f t="shared" si="1"/>
        <v>0</v>
      </c>
      <c r="P30" s="2">
        <f t="shared" si="2"/>
        <v>9.3991321939327757E-2</v>
      </c>
      <c r="Q30">
        <f t="shared" si="3"/>
        <v>1.7951593717309779E-2</v>
      </c>
      <c r="R30">
        <f t="shared" si="11"/>
        <v>1.0605629434476554E-2</v>
      </c>
      <c r="S30">
        <f t="shared" si="12"/>
        <v>7.4386120181890725E-2</v>
      </c>
      <c r="T30">
        <f t="shared" si="4"/>
        <v>1.7951593717007587E-2</v>
      </c>
      <c r="U30">
        <f t="shared" si="5"/>
        <v>4.5365770568575527E-2</v>
      </c>
      <c r="AG30">
        <f t="shared" si="6"/>
        <v>3.0219201650390697E-13</v>
      </c>
      <c r="AH30">
        <f t="shared" si="7"/>
        <v>6.9012725628661</v>
      </c>
      <c r="AI30">
        <f t="shared" si="8"/>
        <v>7.6207772837098702</v>
      </c>
    </row>
    <row r="31" spans="11:35" x14ac:dyDescent="0.25">
      <c r="K31">
        <v>27</v>
      </c>
      <c r="L31">
        <f t="shared" si="9"/>
        <v>6.9302929124802946</v>
      </c>
      <c r="M31">
        <f t="shared" si="10"/>
        <v>7.620777001251259</v>
      </c>
      <c r="N31">
        <f t="shared" si="0"/>
        <v>0.50626400508455416</v>
      </c>
      <c r="O31">
        <f t="shared" si="1"/>
        <v>0</v>
      </c>
      <c r="P31" s="2">
        <f t="shared" si="2"/>
        <v>0.14693148127223984</v>
      </c>
      <c r="Q31">
        <f t="shared" si="3"/>
        <v>7.3459642828332264E-3</v>
      </c>
      <c r="R31">
        <f t="shared" si="11"/>
        <v>1.0605629434476554E-2</v>
      </c>
      <c r="S31">
        <f t="shared" si="12"/>
        <v>7.4386120181890725E-2</v>
      </c>
      <c r="T31">
        <f t="shared" si="4"/>
        <v>7.3459642825310341E-3</v>
      </c>
      <c r="U31">
        <f t="shared" si="5"/>
        <v>2.9020349615569131E-2</v>
      </c>
      <c r="AG31">
        <f t="shared" si="6"/>
        <v>3.0219201650390697E-13</v>
      </c>
      <c r="AH31">
        <f t="shared" si="7"/>
        <v>6.9012725628661</v>
      </c>
      <c r="AI31">
        <f t="shared" si="8"/>
        <v>7.6207772837098702</v>
      </c>
    </row>
    <row r="32" spans="11:35" x14ac:dyDescent="0.25">
      <c r="K32" s="6">
        <v>28</v>
      </c>
      <c r="L32">
        <f t="shared" si="9"/>
        <v>6.8559067922984038</v>
      </c>
      <c r="M32">
        <f t="shared" si="10"/>
        <v>7.620777001251259</v>
      </c>
      <c r="N32">
        <f t="shared" si="0"/>
        <v>-0.79141476731125482</v>
      </c>
      <c r="O32">
        <f t="shared" si="1"/>
        <v>0</v>
      </c>
      <c r="P32" s="2">
        <f t="shared" si="2"/>
        <v>9.3991321939327757E-2</v>
      </c>
      <c r="Q32" s="6">
        <f t="shared" si="3"/>
        <v>1.7951593717309779E-2</v>
      </c>
      <c r="R32" s="6">
        <f t="shared" si="11"/>
        <v>1.0605629434476554E-2</v>
      </c>
      <c r="S32">
        <f t="shared" si="12"/>
        <v>7.4386120181890725E-2</v>
      </c>
      <c r="T32" s="6">
        <f t="shared" si="4"/>
        <v>1.7951593717007587E-2</v>
      </c>
      <c r="U32">
        <f t="shared" si="5"/>
        <v>4.5365770568575527E-2</v>
      </c>
      <c r="AG32">
        <f t="shared" si="6"/>
        <v>3.0219201650390697E-13</v>
      </c>
      <c r="AH32">
        <f t="shared" si="7"/>
        <v>6.9012725628661</v>
      </c>
      <c r="AI32">
        <f t="shared" si="8"/>
        <v>7.6207772837098702</v>
      </c>
    </row>
    <row r="33" spans="11:35" x14ac:dyDescent="0.25">
      <c r="K33">
        <v>29</v>
      </c>
      <c r="L33">
        <f t="shared" si="9"/>
        <v>6.9302929124802946</v>
      </c>
      <c r="M33">
        <f t="shared" si="10"/>
        <v>7.620777001251259</v>
      </c>
      <c r="N33">
        <f t="shared" si="0"/>
        <v>0.50626400508455416</v>
      </c>
      <c r="O33">
        <f t="shared" si="1"/>
        <v>0</v>
      </c>
      <c r="P33" s="2">
        <f t="shared" si="2"/>
        <v>0.14693148127223984</v>
      </c>
      <c r="Q33">
        <f t="shared" si="3"/>
        <v>7.3459642828332264E-3</v>
      </c>
      <c r="R33">
        <f t="shared" si="11"/>
        <v>1.0605629434476554E-2</v>
      </c>
      <c r="S33">
        <f t="shared" si="12"/>
        <v>7.4386120181890725E-2</v>
      </c>
      <c r="T33">
        <f t="shared" si="4"/>
        <v>7.3459642825310341E-3</v>
      </c>
      <c r="U33">
        <f t="shared" si="5"/>
        <v>2.9020349615569131E-2</v>
      </c>
      <c r="AG33">
        <f t="shared" si="6"/>
        <v>3.0219201650390697E-13</v>
      </c>
      <c r="AH33">
        <f t="shared" si="7"/>
        <v>6.9012725628661</v>
      </c>
      <c r="AI33">
        <f t="shared" si="8"/>
        <v>7.6207772837098702</v>
      </c>
    </row>
    <row r="34" spans="11:35" x14ac:dyDescent="0.25">
      <c r="K34">
        <v>30</v>
      </c>
      <c r="L34">
        <f t="shared" si="9"/>
        <v>6.8559067922984038</v>
      </c>
      <c r="M34">
        <f t="shared" si="10"/>
        <v>7.620777001251259</v>
      </c>
      <c r="N34">
        <f t="shared" si="0"/>
        <v>-0.79141476731125482</v>
      </c>
      <c r="O34">
        <f t="shared" si="1"/>
        <v>0</v>
      </c>
      <c r="P34" s="2">
        <f t="shared" si="2"/>
        <v>9.3991321939327757E-2</v>
      </c>
      <c r="Q34">
        <f t="shared" si="3"/>
        <v>1.7951593717309779E-2</v>
      </c>
      <c r="R34">
        <f t="shared" si="11"/>
        <v>1.0605629434476554E-2</v>
      </c>
      <c r="S34">
        <f t="shared" si="12"/>
        <v>7.4386120181890725E-2</v>
      </c>
      <c r="T34">
        <f t="shared" si="4"/>
        <v>1.7951593717007587E-2</v>
      </c>
      <c r="U34">
        <f t="shared" si="5"/>
        <v>4.5365770568575527E-2</v>
      </c>
      <c r="AG34">
        <f t="shared" si="6"/>
        <v>3.0219201650390697E-13</v>
      </c>
      <c r="AH34">
        <f t="shared" si="7"/>
        <v>6.9012725628661</v>
      </c>
      <c r="AI34">
        <f t="shared" si="8"/>
        <v>7.6207772837098702</v>
      </c>
    </row>
    <row r="35" spans="11:35" x14ac:dyDescent="0.25">
      <c r="K35">
        <v>31</v>
      </c>
      <c r="L35">
        <f t="shared" si="9"/>
        <v>6.9302929124802946</v>
      </c>
      <c r="M35">
        <f t="shared" si="10"/>
        <v>7.620777001251259</v>
      </c>
      <c r="N35">
        <f t="shared" si="0"/>
        <v>0.50626400508455416</v>
      </c>
      <c r="O35">
        <f t="shared" si="1"/>
        <v>0</v>
      </c>
      <c r="P35" s="2">
        <f t="shared" si="2"/>
        <v>0.14693148127223984</v>
      </c>
      <c r="Q35">
        <f t="shared" si="3"/>
        <v>7.3459642828332264E-3</v>
      </c>
      <c r="R35">
        <f t="shared" si="11"/>
        <v>1.0605629434476554E-2</v>
      </c>
      <c r="S35">
        <f t="shared" si="12"/>
        <v>7.4386120181890725E-2</v>
      </c>
      <c r="T35">
        <f t="shared" si="4"/>
        <v>7.3459642825310341E-3</v>
      </c>
      <c r="U35">
        <f t="shared" si="5"/>
        <v>2.9020349615569131E-2</v>
      </c>
      <c r="AG35">
        <f t="shared" si="6"/>
        <v>3.0219201650390697E-13</v>
      </c>
      <c r="AH35">
        <f t="shared" si="7"/>
        <v>6.9012725628661</v>
      </c>
      <c r="AI35">
        <f t="shared" si="8"/>
        <v>7.6207772837098702</v>
      </c>
    </row>
    <row r="36" spans="11:35" x14ac:dyDescent="0.25">
      <c r="K36">
        <v>32</v>
      </c>
      <c r="L36">
        <f t="shared" si="9"/>
        <v>6.8559067922984038</v>
      </c>
      <c r="M36">
        <f t="shared" si="10"/>
        <v>7.620777001251259</v>
      </c>
      <c r="N36">
        <f t="shared" si="0"/>
        <v>-0.79141476731125482</v>
      </c>
      <c r="O36">
        <f t="shared" si="1"/>
        <v>0</v>
      </c>
      <c r="P36" s="2">
        <f t="shared" si="2"/>
        <v>9.3991321939327757E-2</v>
      </c>
      <c r="Q36">
        <f t="shared" si="3"/>
        <v>1.7951593717309779E-2</v>
      </c>
      <c r="R36">
        <f t="shared" si="11"/>
        <v>1.0605629434476554E-2</v>
      </c>
      <c r="S36">
        <f t="shared" si="12"/>
        <v>7.4386120181890725E-2</v>
      </c>
      <c r="T36">
        <f t="shared" si="4"/>
        <v>1.7951593717007587E-2</v>
      </c>
      <c r="U36">
        <f t="shared" si="5"/>
        <v>4.5365770568575527E-2</v>
      </c>
      <c r="AG36">
        <f t="shared" si="6"/>
        <v>3.0219201650390697E-13</v>
      </c>
      <c r="AH36">
        <f t="shared" si="7"/>
        <v>6.9012725628661</v>
      </c>
      <c r="AI36">
        <f t="shared" si="8"/>
        <v>7.6207772837098702</v>
      </c>
    </row>
    <row r="37" spans="11:35" x14ac:dyDescent="0.25">
      <c r="K37">
        <v>33</v>
      </c>
      <c r="L37">
        <f t="shared" si="9"/>
        <v>6.9302929124802946</v>
      </c>
      <c r="M37">
        <f t="shared" si="10"/>
        <v>7.620777001251259</v>
      </c>
      <c r="N37">
        <f t="shared" si="0"/>
        <v>0.50626400508455416</v>
      </c>
      <c r="O37">
        <f t="shared" si="1"/>
        <v>0</v>
      </c>
      <c r="P37" s="2">
        <f t="shared" si="2"/>
        <v>0.14693148127223984</v>
      </c>
      <c r="Q37">
        <f t="shared" si="3"/>
        <v>7.3459642828332264E-3</v>
      </c>
      <c r="R37">
        <f t="shared" si="11"/>
        <v>1.0605629434476554E-2</v>
      </c>
      <c r="S37">
        <f t="shared" si="12"/>
        <v>7.4386120181890725E-2</v>
      </c>
      <c r="T37">
        <f t="shared" si="4"/>
        <v>7.3459642825310341E-3</v>
      </c>
      <c r="U37">
        <f t="shared" si="5"/>
        <v>2.9020349615569131E-2</v>
      </c>
      <c r="AG37">
        <f t="shared" si="6"/>
        <v>3.0219201650390697E-13</v>
      </c>
      <c r="AH37">
        <f t="shared" si="7"/>
        <v>6.9012725628661</v>
      </c>
      <c r="AI37">
        <f t="shared" si="8"/>
        <v>7.6207772837098702</v>
      </c>
    </row>
    <row r="38" spans="11:35" x14ac:dyDescent="0.25">
      <c r="K38">
        <v>34</v>
      </c>
      <c r="L38">
        <f t="shared" si="9"/>
        <v>6.8559067922984038</v>
      </c>
      <c r="M38">
        <f t="shared" si="10"/>
        <v>7.620777001251259</v>
      </c>
      <c r="N38">
        <f t="shared" si="0"/>
        <v>-0.79141476731125482</v>
      </c>
      <c r="O38">
        <f t="shared" si="1"/>
        <v>0</v>
      </c>
      <c r="P38" s="2">
        <f t="shared" si="2"/>
        <v>9.3991321939327757E-2</v>
      </c>
      <c r="Q38">
        <f t="shared" si="3"/>
        <v>1.7951593717309779E-2</v>
      </c>
      <c r="R38">
        <f t="shared" si="11"/>
        <v>1.0605629434476554E-2</v>
      </c>
      <c r="S38">
        <f t="shared" si="12"/>
        <v>7.4386120181890725E-2</v>
      </c>
      <c r="T38">
        <f t="shared" si="4"/>
        <v>1.7951593717007587E-2</v>
      </c>
      <c r="U38">
        <f t="shared" si="5"/>
        <v>4.5365770568575527E-2</v>
      </c>
      <c r="AG38">
        <f t="shared" si="6"/>
        <v>3.0219201650390697E-13</v>
      </c>
      <c r="AH38">
        <f t="shared" si="7"/>
        <v>6.9012725628661</v>
      </c>
      <c r="AI38">
        <f t="shared" si="8"/>
        <v>7.6207772837098702</v>
      </c>
    </row>
    <row r="39" spans="11:35" x14ac:dyDescent="0.25">
      <c r="K39">
        <v>35</v>
      </c>
      <c r="L39">
        <f t="shared" si="9"/>
        <v>6.9302929124802946</v>
      </c>
      <c r="M39">
        <f t="shared" si="10"/>
        <v>7.620777001251259</v>
      </c>
      <c r="N39">
        <f t="shared" si="0"/>
        <v>0.50626400508455416</v>
      </c>
      <c r="O39">
        <f t="shared" si="1"/>
        <v>0</v>
      </c>
      <c r="P39" s="2">
        <f t="shared" si="2"/>
        <v>0.14693148127223984</v>
      </c>
      <c r="Q39">
        <f t="shared" si="3"/>
        <v>7.3459642828332264E-3</v>
      </c>
      <c r="R39">
        <f t="shared" si="11"/>
        <v>1.0605629434476554E-2</v>
      </c>
      <c r="S39">
        <f t="shared" si="12"/>
        <v>7.4386120181890725E-2</v>
      </c>
      <c r="T39">
        <f t="shared" si="4"/>
        <v>7.3459642825310341E-3</v>
      </c>
      <c r="U39">
        <f t="shared" si="5"/>
        <v>2.9020349615569131E-2</v>
      </c>
      <c r="AG39">
        <f t="shared" si="6"/>
        <v>3.0219201650390697E-13</v>
      </c>
      <c r="AH39">
        <f t="shared" si="7"/>
        <v>6.9012725628661</v>
      </c>
      <c r="AI39">
        <f t="shared" si="8"/>
        <v>7.6207772837098702</v>
      </c>
    </row>
    <row r="40" spans="11:35" x14ac:dyDescent="0.25">
      <c r="K40">
        <v>36</v>
      </c>
      <c r="L40">
        <f t="shared" si="9"/>
        <v>6.8559067922984038</v>
      </c>
      <c r="M40">
        <f t="shared" si="10"/>
        <v>7.620777001251259</v>
      </c>
      <c r="N40">
        <f t="shared" si="0"/>
        <v>-0.79141476731125482</v>
      </c>
      <c r="O40">
        <f t="shared" si="1"/>
        <v>0</v>
      </c>
      <c r="P40" s="2">
        <f t="shared" si="2"/>
        <v>9.3991321939327757E-2</v>
      </c>
      <c r="Q40">
        <f t="shared" si="3"/>
        <v>1.7951593717309779E-2</v>
      </c>
      <c r="R40">
        <f t="shared" si="11"/>
        <v>1.0605629434476554E-2</v>
      </c>
      <c r="S40">
        <f t="shared" si="12"/>
        <v>7.4386120181890725E-2</v>
      </c>
      <c r="T40">
        <f t="shared" si="4"/>
        <v>1.7951593717007587E-2</v>
      </c>
      <c r="U40">
        <f t="shared" si="5"/>
        <v>4.5365770568575527E-2</v>
      </c>
      <c r="AG40">
        <f t="shared" si="6"/>
        <v>3.0219201650390697E-13</v>
      </c>
      <c r="AH40">
        <f t="shared" si="7"/>
        <v>6.9012725628661</v>
      </c>
      <c r="AI40">
        <f t="shared" si="8"/>
        <v>7.6207772837098702</v>
      </c>
    </row>
    <row r="41" spans="11:35" x14ac:dyDescent="0.25">
      <c r="K41">
        <v>37</v>
      </c>
      <c r="L41">
        <f t="shared" si="9"/>
        <v>6.9302929124802946</v>
      </c>
      <c r="M41">
        <f t="shared" si="10"/>
        <v>7.620777001251259</v>
      </c>
      <c r="N41">
        <f t="shared" si="0"/>
        <v>0.50626400508455416</v>
      </c>
      <c r="O41">
        <f t="shared" si="1"/>
        <v>0</v>
      </c>
      <c r="P41" s="2">
        <f t="shared" si="2"/>
        <v>0.14693148127223984</v>
      </c>
      <c r="Q41">
        <f t="shared" si="3"/>
        <v>7.3459642828332264E-3</v>
      </c>
      <c r="R41">
        <f t="shared" si="11"/>
        <v>1.0605629434476554E-2</v>
      </c>
      <c r="S41">
        <f t="shared" si="12"/>
        <v>7.4386120181890725E-2</v>
      </c>
      <c r="T41">
        <f t="shared" si="4"/>
        <v>7.3459642825310341E-3</v>
      </c>
      <c r="U41">
        <f t="shared" si="5"/>
        <v>2.9020349615569131E-2</v>
      </c>
      <c r="AG41">
        <f t="shared" si="6"/>
        <v>3.0219201650390697E-13</v>
      </c>
      <c r="AH41">
        <f t="shared" si="7"/>
        <v>6.9012725628661</v>
      </c>
      <c r="AI41">
        <f t="shared" si="8"/>
        <v>7.6207772837098702</v>
      </c>
    </row>
    <row r="42" spans="11:35" x14ac:dyDescent="0.25">
      <c r="K42">
        <v>38</v>
      </c>
      <c r="L42">
        <f t="shared" si="9"/>
        <v>6.8559067922984038</v>
      </c>
      <c r="M42">
        <f t="shared" si="10"/>
        <v>7.620777001251259</v>
      </c>
      <c r="N42">
        <f t="shared" si="0"/>
        <v>-0.79141476731125482</v>
      </c>
      <c r="O42">
        <f t="shared" si="1"/>
        <v>0</v>
      </c>
      <c r="P42" s="2">
        <f t="shared" si="2"/>
        <v>9.3991321939327757E-2</v>
      </c>
      <c r="Q42">
        <f t="shared" si="3"/>
        <v>1.7951593717309779E-2</v>
      </c>
      <c r="R42">
        <f t="shared" si="11"/>
        <v>1.0605629434476554E-2</v>
      </c>
      <c r="S42">
        <f t="shared" si="12"/>
        <v>7.4386120181890725E-2</v>
      </c>
      <c r="T42">
        <f t="shared" si="4"/>
        <v>1.7951593717007587E-2</v>
      </c>
      <c r="U42">
        <f t="shared" si="5"/>
        <v>4.5365770568575527E-2</v>
      </c>
      <c r="AG42">
        <f t="shared" si="6"/>
        <v>3.0219201650390697E-13</v>
      </c>
      <c r="AH42">
        <f t="shared" si="7"/>
        <v>6.9012725628661</v>
      </c>
      <c r="AI42">
        <f t="shared" si="8"/>
        <v>7.6207772837098702</v>
      </c>
    </row>
    <row r="43" spans="11:35" x14ac:dyDescent="0.25">
      <c r="K43">
        <v>39</v>
      </c>
      <c r="L43">
        <f t="shared" si="9"/>
        <v>6.9302929124802946</v>
      </c>
      <c r="M43">
        <f t="shared" si="10"/>
        <v>7.620777001251259</v>
      </c>
      <c r="N43">
        <f t="shared" si="0"/>
        <v>0.50626400508455416</v>
      </c>
      <c r="O43">
        <f t="shared" si="1"/>
        <v>0</v>
      </c>
      <c r="P43" s="2">
        <f t="shared" si="2"/>
        <v>0.14693148127223984</v>
      </c>
      <c r="Q43">
        <f t="shared" si="3"/>
        <v>7.3459642828332264E-3</v>
      </c>
      <c r="R43">
        <f t="shared" si="11"/>
        <v>1.0605629434476554E-2</v>
      </c>
      <c r="S43">
        <f t="shared" si="12"/>
        <v>7.4386120181890725E-2</v>
      </c>
      <c r="T43">
        <f t="shared" si="4"/>
        <v>7.3459642825310341E-3</v>
      </c>
      <c r="U43">
        <f t="shared" si="5"/>
        <v>2.9020349615569131E-2</v>
      </c>
      <c r="AG43">
        <f t="shared" si="6"/>
        <v>3.0219201650390697E-13</v>
      </c>
      <c r="AH43">
        <f t="shared" si="7"/>
        <v>6.9012725628661</v>
      </c>
      <c r="AI43">
        <f t="shared" si="8"/>
        <v>7.6207772837098702</v>
      </c>
    </row>
    <row r="44" spans="11:35" x14ac:dyDescent="0.25">
      <c r="K44">
        <v>40</v>
      </c>
      <c r="L44">
        <f t="shared" si="9"/>
        <v>6.8559067922984038</v>
      </c>
      <c r="M44">
        <f t="shared" si="10"/>
        <v>7.620777001251259</v>
      </c>
      <c r="N44">
        <f t="shared" si="0"/>
        <v>-0.79141476731125482</v>
      </c>
      <c r="O44">
        <f t="shared" si="1"/>
        <v>0</v>
      </c>
      <c r="P44" s="2">
        <f t="shared" si="2"/>
        <v>9.3991321939327757E-2</v>
      </c>
      <c r="Q44">
        <f t="shared" si="3"/>
        <v>1.7951593717309779E-2</v>
      </c>
      <c r="R44">
        <f t="shared" si="11"/>
        <v>1.0605629434476554E-2</v>
      </c>
      <c r="S44">
        <f t="shared" si="12"/>
        <v>7.4386120181890725E-2</v>
      </c>
      <c r="T44">
        <f t="shared" si="4"/>
        <v>1.7951593717007587E-2</v>
      </c>
      <c r="U44">
        <f t="shared" si="5"/>
        <v>4.5365770568575527E-2</v>
      </c>
      <c r="AG44">
        <f t="shared" si="6"/>
        <v>3.0219201650390697E-13</v>
      </c>
      <c r="AH44">
        <f t="shared" si="7"/>
        <v>6.9012725628661</v>
      </c>
      <c r="AI44">
        <f t="shared" si="8"/>
        <v>7.6207772837098702</v>
      </c>
    </row>
    <row r="45" spans="11:35" x14ac:dyDescent="0.25">
      <c r="K45">
        <v>41</v>
      </c>
      <c r="L45">
        <f t="shared" si="9"/>
        <v>6.9302929124802946</v>
      </c>
      <c r="M45">
        <f t="shared" si="10"/>
        <v>7.620777001251259</v>
      </c>
      <c r="N45">
        <f t="shared" si="0"/>
        <v>0.50626400508455416</v>
      </c>
      <c r="O45">
        <f t="shared" si="1"/>
        <v>0</v>
      </c>
      <c r="P45" s="2">
        <f t="shared" si="2"/>
        <v>0.14693148127223984</v>
      </c>
      <c r="Q45">
        <f t="shared" si="3"/>
        <v>7.3459642828332264E-3</v>
      </c>
      <c r="R45">
        <f t="shared" si="11"/>
        <v>1.0605629434476554E-2</v>
      </c>
      <c r="S45">
        <f t="shared" si="12"/>
        <v>7.4386120181890725E-2</v>
      </c>
      <c r="T45">
        <f t="shared" si="4"/>
        <v>7.3459642825310341E-3</v>
      </c>
      <c r="U45">
        <f t="shared" si="5"/>
        <v>2.9020349615569131E-2</v>
      </c>
      <c r="AG45">
        <f t="shared" si="6"/>
        <v>3.0219201650390697E-13</v>
      </c>
      <c r="AH45">
        <f t="shared" si="7"/>
        <v>6.9012725628661</v>
      </c>
      <c r="AI45">
        <f t="shared" si="8"/>
        <v>7.6207772837098702</v>
      </c>
    </row>
    <row r="46" spans="11:35" x14ac:dyDescent="0.25">
      <c r="K46" s="6">
        <v>42</v>
      </c>
      <c r="L46">
        <f t="shared" si="9"/>
        <v>6.8559067922984038</v>
      </c>
      <c r="M46">
        <f t="shared" si="10"/>
        <v>7.620777001251259</v>
      </c>
      <c r="N46">
        <f t="shared" si="0"/>
        <v>-0.79141476731125482</v>
      </c>
      <c r="O46">
        <f t="shared" si="1"/>
        <v>0</v>
      </c>
      <c r="P46" s="2">
        <f t="shared" si="2"/>
        <v>9.3991321939327757E-2</v>
      </c>
      <c r="Q46">
        <f t="shared" si="3"/>
        <v>1.7951593717309779E-2</v>
      </c>
      <c r="R46">
        <f t="shared" si="11"/>
        <v>1.0605629434476554E-2</v>
      </c>
      <c r="S46" s="6">
        <f t="shared" si="12"/>
        <v>7.4386120181890725E-2</v>
      </c>
      <c r="T46">
        <f t="shared" si="4"/>
        <v>1.7951593717007587E-2</v>
      </c>
      <c r="U46">
        <f t="shared" si="5"/>
        <v>4.5365770568575527E-2</v>
      </c>
      <c r="AG46">
        <f t="shared" si="6"/>
        <v>3.0219201650390697E-13</v>
      </c>
      <c r="AH46">
        <f t="shared" si="7"/>
        <v>6.9012725628661</v>
      </c>
      <c r="AI46">
        <f t="shared" si="8"/>
        <v>7.6207772837098702</v>
      </c>
    </row>
    <row r="47" spans="11:35" x14ac:dyDescent="0.25">
      <c r="K47">
        <v>43</v>
      </c>
      <c r="L47">
        <f t="shared" si="9"/>
        <v>6.9302929124802946</v>
      </c>
      <c r="M47">
        <f t="shared" si="10"/>
        <v>7.620777001251259</v>
      </c>
      <c r="N47">
        <f t="shared" si="0"/>
        <v>0.50626400508455416</v>
      </c>
      <c r="O47">
        <f t="shared" si="1"/>
        <v>0</v>
      </c>
      <c r="P47" s="2">
        <f t="shared" si="2"/>
        <v>0.14693148127223984</v>
      </c>
      <c r="Q47">
        <f t="shared" si="3"/>
        <v>7.3459642828332264E-3</v>
      </c>
      <c r="R47">
        <f t="shared" si="11"/>
        <v>1.0605629434476554E-2</v>
      </c>
      <c r="S47">
        <f t="shared" si="12"/>
        <v>7.4386120181890725E-2</v>
      </c>
      <c r="T47">
        <f t="shared" si="4"/>
        <v>7.3459642825310341E-3</v>
      </c>
      <c r="U47">
        <f t="shared" si="5"/>
        <v>2.9020349615569131E-2</v>
      </c>
      <c r="AG47">
        <f t="shared" si="6"/>
        <v>3.0219201650390697E-13</v>
      </c>
      <c r="AH47">
        <f t="shared" si="7"/>
        <v>6.9012725628661</v>
      </c>
      <c r="AI47">
        <f t="shared" si="8"/>
        <v>7.6207772837098702</v>
      </c>
    </row>
    <row r="48" spans="11:35" x14ac:dyDescent="0.25">
      <c r="K48">
        <v>44</v>
      </c>
      <c r="L48">
        <f t="shared" si="9"/>
        <v>6.8559067922984038</v>
      </c>
      <c r="M48">
        <f t="shared" si="10"/>
        <v>7.620777001251259</v>
      </c>
      <c r="N48">
        <f t="shared" si="0"/>
        <v>-0.79141476731125482</v>
      </c>
      <c r="O48">
        <f t="shared" si="1"/>
        <v>0</v>
      </c>
      <c r="P48" s="2">
        <f t="shared" si="2"/>
        <v>9.3991321939327757E-2</v>
      </c>
      <c r="Q48">
        <f t="shared" si="3"/>
        <v>1.7951593717309779E-2</v>
      </c>
      <c r="R48">
        <f t="shared" si="11"/>
        <v>1.0605629434476554E-2</v>
      </c>
      <c r="S48">
        <f t="shared" si="12"/>
        <v>7.4386120181890725E-2</v>
      </c>
      <c r="T48">
        <f t="shared" si="4"/>
        <v>1.7951593717007587E-2</v>
      </c>
      <c r="U48">
        <f t="shared" si="5"/>
        <v>4.5365770568575527E-2</v>
      </c>
      <c r="AG48">
        <f t="shared" si="6"/>
        <v>3.0219201650390697E-13</v>
      </c>
      <c r="AH48">
        <f t="shared" si="7"/>
        <v>6.9012725628661</v>
      </c>
      <c r="AI48">
        <f t="shared" si="8"/>
        <v>7.6207772837098702</v>
      </c>
    </row>
    <row r="49" spans="11:35" x14ac:dyDescent="0.25">
      <c r="K49">
        <v>45</v>
      </c>
      <c r="L49">
        <f t="shared" si="9"/>
        <v>6.9302929124802946</v>
      </c>
      <c r="M49">
        <f t="shared" si="10"/>
        <v>7.620777001251259</v>
      </c>
      <c r="N49">
        <f t="shared" si="0"/>
        <v>0.50626400508455416</v>
      </c>
      <c r="O49">
        <f t="shared" si="1"/>
        <v>0</v>
      </c>
      <c r="P49" s="2">
        <f t="shared" si="2"/>
        <v>0.14693148127223984</v>
      </c>
      <c r="Q49">
        <f t="shared" si="3"/>
        <v>7.3459642828332264E-3</v>
      </c>
      <c r="R49">
        <f t="shared" si="11"/>
        <v>1.0605629434476554E-2</v>
      </c>
      <c r="S49">
        <f t="shared" si="12"/>
        <v>7.4386120181890725E-2</v>
      </c>
      <c r="T49">
        <f t="shared" si="4"/>
        <v>7.3459642825310341E-3</v>
      </c>
      <c r="U49">
        <f t="shared" si="5"/>
        <v>2.9020349615569131E-2</v>
      </c>
      <c r="AG49">
        <f t="shared" si="6"/>
        <v>3.0219201650390697E-13</v>
      </c>
      <c r="AH49">
        <f t="shared" si="7"/>
        <v>6.9012725628661</v>
      </c>
      <c r="AI49">
        <f t="shared" si="8"/>
        <v>7.6207772837098702</v>
      </c>
    </row>
    <row r="50" spans="11:35" x14ac:dyDescent="0.25">
      <c r="K50">
        <v>46</v>
      </c>
      <c r="L50">
        <f t="shared" si="9"/>
        <v>6.8559067922984038</v>
      </c>
      <c r="M50">
        <f t="shared" si="10"/>
        <v>7.620777001251259</v>
      </c>
      <c r="N50">
        <f t="shared" si="0"/>
        <v>-0.79141476731125482</v>
      </c>
      <c r="O50">
        <f t="shared" si="1"/>
        <v>0</v>
      </c>
      <c r="P50" s="2">
        <f t="shared" si="2"/>
        <v>9.3991321939327757E-2</v>
      </c>
      <c r="Q50">
        <f t="shared" si="3"/>
        <v>1.7951593717309779E-2</v>
      </c>
      <c r="R50">
        <f t="shared" si="11"/>
        <v>1.0605629434476554E-2</v>
      </c>
      <c r="S50">
        <f t="shared" si="12"/>
        <v>7.4386120181890725E-2</v>
      </c>
      <c r="T50">
        <f t="shared" si="4"/>
        <v>1.7951593717007587E-2</v>
      </c>
      <c r="U50">
        <f t="shared" si="5"/>
        <v>4.5365770568575527E-2</v>
      </c>
      <c r="AG50">
        <f t="shared" si="6"/>
        <v>3.0219201650390697E-13</v>
      </c>
      <c r="AH50">
        <f t="shared" si="7"/>
        <v>6.9012725628661</v>
      </c>
      <c r="AI50">
        <f t="shared" si="8"/>
        <v>7.6207772837098702</v>
      </c>
    </row>
    <row r="51" spans="11:35" x14ac:dyDescent="0.25">
      <c r="K51">
        <v>47</v>
      </c>
      <c r="L51">
        <f t="shared" si="9"/>
        <v>6.9302929124802946</v>
      </c>
      <c r="M51">
        <f t="shared" si="10"/>
        <v>7.620777001251259</v>
      </c>
      <c r="N51">
        <f t="shared" si="0"/>
        <v>0.50626400508455416</v>
      </c>
      <c r="O51">
        <f t="shared" si="1"/>
        <v>0</v>
      </c>
      <c r="P51" s="2">
        <f t="shared" si="2"/>
        <v>0.14693148127223984</v>
      </c>
      <c r="Q51">
        <f t="shared" si="3"/>
        <v>7.3459642828332264E-3</v>
      </c>
      <c r="R51">
        <f t="shared" si="11"/>
        <v>1.0605629434476554E-2</v>
      </c>
      <c r="S51">
        <f t="shared" si="12"/>
        <v>7.4386120181890725E-2</v>
      </c>
      <c r="T51">
        <f t="shared" si="4"/>
        <v>7.3459642825310341E-3</v>
      </c>
      <c r="U51">
        <f t="shared" si="5"/>
        <v>2.9020349615569131E-2</v>
      </c>
      <c r="AG51">
        <f t="shared" si="6"/>
        <v>3.0219201650390697E-13</v>
      </c>
      <c r="AH51">
        <f t="shared" si="7"/>
        <v>6.9012725628661</v>
      </c>
      <c r="AI51">
        <f t="shared" si="8"/>
        <v>7.6207772837098702</v>
      </c>
    </row>
    <row r="52" spans="11:35" x14ac:dyDescent="0.25">
      <c r="K52">
        <v>48</v>
      </c>
      <c r="L52">
        <f t="shared" si="9"/>
        <v>6.8559067922984038</v>
      </c>
      <c r="M52">
        <f t="shared" si="10"/>
        <v>7.620777001251259</v>
      </c>
      <c r="N52">
        <f t="shared" si="0"/>
        <v>-0.79141476731125482</v>
      </c>
      <c r="O52">
        <f t="shared" si="1"/>
        <v>0</v>
      </c>
      <c r="P52" s="2">
        <f t="shared" si="2"/>
        <v>9.3991321939327757E-2</v>
      </c>
      <c r="Q52">
        <f t="shared" si="3"/>
        <v>1.7951593717309779E-2</v>
      </c>
      <c r="R52">
        <f t="shared" si="11"/>
        <v>1.0605629434476554E-2</v>
      </c>
      <c r="S52">
        <f t="shared" si="12"/>
        <v>7.4386120181890725E-2</v>
      </c>
      <c r="T52">
        <f t="shared" si="4"/>
        <v>1.7951593717007587E-2</v>
      </c>
      <c r="U52">
        <f t="shared" si="5"/>
        <v>4.5365770568575527E-2</v>
      </c>
      <c r="AG52">
        <f t="shared" si="6"/>
        <v>3.0219201650390697E-13</v>
      </c>
      <c r="AH52">
        <f t="shared" si="7"/>
        <v>6.9012725628661</v>
      </c>
      <c r="AI52">
        <f t="shared" si="8"/>
        <v>7.6207772837098702</v>
      </c>
    </row>
    <row r="53" spans="11:35" x14ac:dyDescent="0.25">
      <c r="K53">
        <v>49</v>
      </c>
      <c r="L53">
        <f t="shared" si="9"/>
        <v>6.9302929124802946</v>
      </c>
      <c r="M53">
        <f t="shared" si="10"/>
        <v>7.620777001251259</v>
      </c>
      <c r="N53">
        <f t="shared" si="0"/>
        <v>0.50626400508455416</v>
      </c>
      <c r="O53">
        <f t="shared" si="1"/>
        <v>0</v>
      </c>
      <c r="P53" s="2">
        <f t="shared" si="2"/>
        <v>0.14693148127223984</v>
      </c>
      <c r="Q53">
        <f t="shared" si="3"/>
        <v>7.3459642828332264E-3</v>
      </c>
      <c r="R53">
        <f t="shared" si="11"/>
        <v>1.0605629434476554E-2</v>
      </c>
      <c r="S53">
        <f t="shared" si="12"/>
        <v>7.4386120181890725E-2</v>
      </c>
      <c r="T53">
        <f t="shared" si="4"/>
        <v>7.3459642825310341E-3</v>
      </c>
      <c r="U53">
        <f t="shared" si="5"/>
        <v>2.9020349615569131E-2</v>
      </c>
      <c r="AG53">
        <f t="shared" si="6"/>
        <v>3.0219201650390697E-13</v>
      </c>
      <c r="AH53">
        <f t="shared" si="7"/>
        <v>6.9012725628661</v>
      </c>
      <c r="AI53">
        <f t="shared" si="8"/>
        <v>7.6207772837098702</v>
      </c>
    </row>
    <row r="54" spans="11:35" x14ac:dyDescent="0.25">
      <c r="K54">
        <v>50</v>
      </c>
      <c r="L54">
        <f t="shared" si="9"/>
        <v>6.8559067922984038</v>
      </c>
      <c r="M54">
        <f t="shared" si="10"/>
        <v>7.620777001251259</v>
      </c>
      <c r="N54">
        <f t="shared" si="0"/>
        <v>-0.79141476731125482</v>
      </c>
      <c r="O54">
        <f t="shared" si="1"/>
        <v>0</v>
      </c>
      <c r="P54" s="2">
        <f t="shared" si="2"/>
        <v>9.3991321939327757E-2</v>
      </c>
      <c r="Q54">
        <f t="shared" si="3"/>
        <v>1.7951593717309779E-2</v>
      </c>
      <c r="R54">
        <f t="shared" si="11"/>
        <v>1.0605629434476554E-2</v>
      </c>
      <c r="S54">
        <f t="shared" si="12"/>
        <v>7.4386120181890725E-2</v>
      </c>
      <c r="T54">
        <f t="shared" si="4"/>
        <v>1.7951593717007587E-2</v>
      </c>
      <c r="U54">
        <f t="shared" si="5"/>
        <v>4.5365770568575527E-2</v>
      </c>
      <c r="AG54">
        <f t="shared" si="6"/>
        <v>3.0219201650390697E-13</v>
      </c>
      <c r="AH54">
        <f t="shared" si="7"/>
        <v>6.9012725628661</v>
      </c>
      <c r="AI54">
        <f t="shared" si="8"/>
        <v>7.6207772837098702</v>
      </c>
    </row>
    <row r="55" spans="11:35" x14ac:dyDescent="0.25">
      <c r="K55">
        <v>51</v>
      </c>
      <c r="L55">
        <f t="shared" si="9"/>
        <v>6.9302929124802946</v>
      </c>
      <c r="M55">
        <f t="shared" si="10"/>
        <v>7.620777001251259</v>
      </c>
      <c r="N55">
        <f t="shared" si="0"/>
        <v>0.50626400508455416</v>
      </c>
      <c r="O55">
        <f t="shared" si="1"/>
        <v>0</v>
      </c>
      <c r="P55" s="2">
        <f t="shared" si="2"/>
        <v>0.14693148127223984</v>
      </c>
      <c r="Q55">
        <f t="shared" si="3"/>
        <v>7.3459642828332264E-3</v>
      </c>
      <c r="R55">
        <f t="shared" si="11"/>
        <v>1.0605629434476554E-2</v>
      </c>
      <c r="S55">
        <f t="shared" si="12"/>
        <v>7.4386120181890725E-2</v>
      </c>
      <c r="T55">
        <f t="shared" si="4"/>
        <v>7.3459642825310341E-3</v>
      </c>
      <c r="U55">
        <f t="shared" si="5"/>
        <v>2.9020349615569131E-2</v>
      </c>
      <c r="AG55">
        <f t="shared" si="6"/>
        <v>3.0219201650390697E-13</v>
      </c>
      <c r="AH55">
        <f t="shared" si="7"/>
        <v>6.9012725628661</v>
      </c>
      <c r="AI55">
        <f t="shared" si="8"/>
        <v>7.6207772837098702</v>
      </c>
    </row>
    <row r="56" spans="11:35" x14ac:dyDescent="0.25">
      <c r="K56">
        <v>52</v>
      </c>
      <c r="L56">
        <f t="shared" si="9"/>
        <v>6.8559067922984038</v>
      </c>
      <c r="M56">
        <f t="shared" si="10"/>
        <v>7.620777001251259</v>
      </c>
      <c r="N56">
        <f t="shared" si="0"/>
        <v>-0.79141476731125482</v>
      </c>
      <c r="O56">
        <f t="shared" si="1"/>
        <v>0</v>
      </c>
      <c r="P56" s="2">
        <f t="shared" si="2"/>
        <v>9.3991321939327757E-2</v>
      </c>
      <c r="Q56">
        <f t="shared" si="3"/>
        <v>1.7951593717309779E-2</v>
      </c>
      <c r="R56">
        <f t="shared" si="11"/>
        <v>1.0605629434476554E-2</v>
      </c>
      <c r="S56">
        <f t="shared" si="12"/>
        <v>7.4386120181890725E-2</v>
      </c>
      <c r="T56">
        <f t="shared" si="4"/>
        <v>1.7951593717007587E-2</v>
      </c>
      <c r="U56">
        <f t="shared" si="5"/>
        <v>4.5365770568575527E-2</v>
      </c>
      <c r="AG56">
        <f t="shared" si="6"/>
        <v>3.0219201650390697E-13</v>
      </c>
      <c r="AH56">
        <f t="shared" si="7"/>
        <v>6.9012725628661</v>
      </c>
      <c r="AI56">
        <f t="shared" si="8"/>
        <v>7.6207772837098702</v>
      </c>
    </row>
    <row r="57" spans="11:35" x14ac:dyDescent="0.25">
      <c r="K57">
        <v>53</v>
      </c>
      <c r="L57">
        <f t="shared" si="9"/>
        <v>6.9302929124802946</v>
      </c>
      <c r="M57">
        <f t="shared" si="10"/>
        <v>7.620777001251259</v>
      </c>
      <c r="N57">
        <f t="shared" si="0"/>
        <v>0.50626400508455416</v>
      </c>
      <c r="O57">
        <f t="shared" si="1"/>
        <v>0</v>
      </c>
      <c r="P57" s="2">
        <f t="shared" si="2"/>
        <v>0.14693148127223984</v>
      </c>
      <c r="Q57">
        <f t="shared" si="3"/>
        <v>7.3459642828332264E-3</v>
      </c>
      <c r="R57">
        <f t="shared" si="11"/>
        <v>1.0605629434476554E-2</v>
      </c>
      <c r="S57">
        <f t="shared" si="12"/>
        <v>7.4386120181890725E-2</v>
      </c>
      <c r="T57">
        <f t="shared" si="4"/>
        <v>7.3459642825310341E-3</v>
      </c>
      <c r="U57">
        <f t="shared" si="5"/>
        <v>2.9020349615569131E-2</v>
      </c>
      <c r="AG57">
        <f t="shared" si="6"/>
        <v>3.0219201650390697E-13</v>
      </c>
      <c r="AH57">
        <f t="shared" si="7"/>
        <v>6.9012725628661</v>
      </c>
      <c r="AI57">
        <f t="shared" si="8"/>
        <v>7.6207772837098702</v>
      </c>
    </row>
    <row r="58" spans="11:35" x14ac:dyDescent="0.25">
      <c r="K58">
        <v>54</v>
      </c>
      <c r="L58">
        <f t="shared" si="9"/>
        <v>6.8559067922984038</v>
      </c>
      <c r="M58">
        <f t="shared" si="10"/>
        <v>7.620777001251259</v>
      </c>
      <c r="N58">
        <f t="shared" si="0"/>
        <v>-0.79141476731125482</v>
      </c>
      <c r="O58">
        <f t="shared" si="1"/>
        <v>0</v>
      </c>
      <c r="P58" s="2">
        <f t="shared" si="2"/>
        <v>9.3991321939327757E-2</v>
      </c>
      <c r="Q58">
        <f t="shared" si="3"/>
        <v>1.7951593717309779E-2</v>
      </c>
      <c r="R58">
        <f t="shared" si="11"/>
        <v>1.0605629434476554E-2</v>
      </c>
      <c r="S58">
        <f t="shared" si="12"/>
        <v>7.4386120181890725E-2</v>
      </c>
      <c r="T58">
        <f t="shared" si="4"/>
        <v>1.7951593717007587E-2</v>
      </c>
      <c r="U58">
        <f t="shared" si="5"/>
        <v>4.5365770568575527E-2</v>
      </c>
      <c r="AG58">
        <f t="shared" si="6"/>
        <v>3.0219201650390697E-13</v>
      </c>
      <c r="AH58">
        <f t="shared" si="7"/>
        <v>6.9012725628661</v>
      </c>
      <c r="AI58">
        <f t="shared" si="8"/>
        <v>7.6207772837098702</v>
      </c>
    </row>
    <row r="59" spans="11:35" x14ac:dyDescent="0.25">
      <c r="K59">
        <v>55</v>
      </c>
      <c r="L59">
        <f t="shared" si="9"/>
        <v>6.9302929124802946</v>
      </c>
      <c r="M59">
        <f t="shared" si="10"/>
        <v>7.620777001251259</v>
      </c>
      <c r="N59">
        <f t="shared" si="0"/>
        <v>0.50626400508455416</v>
      </c>
      <c r="O59">
        <f t="shared" si="1"/>
        <v>0</v>
      </c>
      <c r="P59" s="2">
        <f t="shared" si="2"/>
        <v>0.14693148127223984</v>
      </c>
      <c r="Q59">
        <f t="shared" si="3"/>
        <v>7.3459642828332264E-3</v>
      </c>
      <c r="R59">
        <f t="shared" si="11"/>
        <v>1.0605629434476554E-2</v>
      </c>
      <c r="S59">
        <f t="shared" si="12"/>
        <v>7.4386120181890725E-2</v>
      </c>
      <c r="T59">
        <f t="shared" si="4"/>
        <v>7.3459642825310341E-3</v>
      </c>
      <c r="U59">
        <f t="shared" si="5"/>
        <v>2.9020349615569131E-2</v>
      </c>
      <c r="AG59">
        <f t="shared" si="6"/>
        <v>3.0219201650390697E-13</v>
      </c>
      <c r="AH59">
        <f t="shared" si="7"/>
        <v>6.9012725628661</v>
      </c>
      <c r="AI59">
        <f t="shared" si="8"/>
        <v>7.6207772837098702</v>
      </c>
    </row>
    <row r="60" spans="11:35" x14ac:dyDescent="0.25">
      <c r="K60">
        <v>56</v>
      </c>
      <c r="L60">
        <f t="shared" si="9"/>
        <v>6.8559067922984038</v>
      </c>
      <c r="M60">
        <f t="shared" si="10"/>
        <v>7.620777001251259</v>
      </c>
      <c r="N60">
        <f t="shared" si="0"/>
        <v>-0.79141476731125482</v>
      </c>
      <c r="O60">
        <f t="shared" si="1"/>
        <v>0</v>
      </c>
      <c r="P60" s="2">
        <f t="shared" si="2"/>
        <v>9.3991321939327757E-2</v>
      </c>
      <c r="Q60">
        <f t="shared" si="3"/>
        <v>1.7951593717309779E-2</v>
      </c>
      <c r="R60">
        <f t="shared" si="11"/>
        <v>1.0605629434476554E-2</v>
      </c>
      <c r="S60">
        <f t="shared" si="12"/>
        <v>7.4386120181890725E-2</v>
      </c>
      <c r="T60">
        <f t="shared" si="4"/>
        <v>1.7951593717007587E-2</v>
      </c>
      <c r="U60">
        <f t="shared" si="5"/>
        <v>4.5365770568575527E-2</v>
      </c>
      <c r="AG60">
        <f t="shared" si="6"/>
        <v>3.0219201650390697E-13</v>
      </c>
      <c r="AH60">
        <f t="shared" si="7"/>
        <v>6.9012725628661</v>
      </c>
      <c r="AI60">
        <f t="shared" si="8"/>
        <v>7.6207772837098702</v>
      </c>
    </row>
    <row r="61" spans="11:35" x14ac:dyDescent="0.25">
      <c r="K61">
        <v>57</v>
      </c>
      <c r="L61">
        <f t="shared" si="9"/>
        <v>6.9302929124802946</v>
      </c>
      <c r="M61">
        <f t="shared" si="10"/>
        <v>7.620777001251259</v>
      </c>
      <c r="N61">
        <f t="shared" si="0"/>
        <v>0.50626400508455416</v>
      </c>
      <c r="O61">
        <f t="shared" si="1"/>
        <v>0</v>
      </c>
      <c r="P61" s="2">
        <f t="shared" si="2"/>
        <v>0.14693148127223984</v>
      </c>
      <c r="Q61">
        <f t="shared" si="3"/>
        <v>7.3459642828332264E-3</v>
      </c>
      <c r="R61">
        <f t="shared" si="11"/>
        <v>1.0605629434476554E-2</v>
      </c>
      <c r="S61">
        <f t="shared" si="12"/>
        <v>7.4386120181890725E-2</v>
      </c>
      <c r="T61">
        <f t="shared" si="4"/>
        <v>7.3459642825310341E-3</v>
      </c>
      <c r="U61">
        <f t="shared" si="5"/>
        <v>2.9020349615569131E-2</v>
      </c>
      <c r="AG61">
        <f t="shared" si="6"/>
        <v>3.0219201650390697E-13</v>
      </c>
      <c r="AH61">
        <f t="shared" si="7"/>
        <v>6.9012725628661</v>
      </c>
      <c r="AI61">
        <f t="shared" si="8"/>
        <v>7.6207772837098702</v>
      </c>
    </row>
    <row r="62" spans="11:35" x14ac:dyDescent="0.25">
      <c r="K62">
        <v>58</v>
      </c>
      <c r="L62">
        <f t="shared" si="9"/>
        <v>6.8559067922984038</v>
      </c>
      <c r="M62">
        <f t="shared" si="10"/>
        <v>7.620777001251259</v>
      </c>
      <c r="N62">
        <f t="shared" si="0"/>
        <v>-0.79141476731125482</v>
      </c>
      <c r="O62">
        <f t="shared" si="1"/>
        <v>0</v>
      </c>
      <c r="P62" s="2">
        <f t="shared" si="2"/>
        <v>9.3991321939327757E-2</v>
      </c>
      <c r="Q62">
        <f t="shared" si="3"/>
        <v>1.7951593717309779E-2</v>
      </c>
      <c r="R62">
        <f t="shared" si="11"/>
        <v>1.0605629434476554E-2</v>
      </c>
      <c r="S62">
        <f t="shared" si="12"/>
        <v>7.4386120181890725E-2</v>
      </c>
      <c r="T62">
        <f t="shared" si="4"/>
        <v>1.7951593717007587E-2</v>
      </c>
      <c r="U62">
        <f t="shared" si="5"/>
        <v>4.5365770568575527E-2</v>
      </c>
      <c r="AG62">
        <f t="shared" si="6"/>
        <v>3.0219201650390697E-13</v>
      </c>
      <c r="AH62">
        <f t="shared" si="7"/>
        <v>6.9012725628661</v>
      </c>
      <c r="AI62">
        <f t="shared" si="8"/>
        <v>7.6207772837098702</v>
      </c>
    </row>
    <row r="63" spans="11:35" x14ac:dyDescent="0.25">
      <c r="K63">
        <v>59</v>
      </c>
      <c r="L63">
        <f t="shared" si="9"/>
        <v>6.9302929124802946</v>
      </c>
      <c r="M63">
        <f t="shared" si="10"/>
        <v>7.620777001251259</v>
      </c>
      <c r="N63">
        <f t="shared" si="0"/>
        <v>0.50626400508455416</v>
      </c>
      <c r="O63">
        <f t="shared" si="1"/>
        <v>0</v>
      </c>
      <c r="P63" s="2">
        <f t="shared" si="2"/>
        <v>0.14693148127223984</v>
      </c>
      <c r="Q63">
        <f t="shared" si="3"/>
        <v>7.3459642828332264E-3</v>
      </c>
      <c r="R63">
        <f t="shared" si="11"/>
        <v>1.0605629434476554E-2</v>
      </c>
      <c r="S63">
        <f t="shared" si="12"/>
        <v>7.4386120181890725E-2</v>
      </c>
      <c r="T63">
        <f t="shared" si="4"/>
        <v>7.3459642825310341E-3</v>
      </c>
      <c r="U63">
        <f t="shared" si="5"/>
        <v>2.9020349615569131E-2</v>
      </c>
      <c r="AG63">
        <f t="shared" si="6"/>
        <v>3.0219201650390697E-13</v>
      </c>
      <c r="AH63">
        <f t="shared" si="7"/>
        <v>6.9012725628661</v>
      </c>
      <c r="AI63">
        <f t="shared" si="8"/>
        <v>7.6207772837098702</v>
      </c>
    </row>
    <row r="64" spans="11:35" x14ac:dyDescent="0.25">
      <c r="K64">
        <v>60</v>
      </c>
      <c r="L64">
        <f t="shared" si="9"/>
        <v>6.8559067922984038</v>
      </c>
      <c r="M64">
        <f t="shared" si="10"/>
        <v>7.620777001251259</v>
      </c>
      <c r="N64">
        <f t="shared" si="0"/>
        <v>-0.79141476731125482</v>
      </c>
      <c r="O64">
        <f t="shared" si="1"/>
        <v>0</v>
      </c>
      <c r="P64" s="2">
        <f t="shared" si="2"/>
        <v>9.3991321939327757E-2</v>
      </c>
      <c r="Q64">
        <f t="shared" si="3"/>
        <v>1.7951593717309779E-2</v>
      </c>
      <c r="R64">
        <f t="shared" si="11"/>
        <v>1.0605629434476554E-2</v>
      </c>
      <c r="S64">
        <f t="shared" si="12"/>
        <v>7.4386120181890725E-2</v>
      </c>
      <c r="T64">
        <f t="shared" si="4"/>
        <v>1.7951593717007587E-2</v>
      </c>
      <c r="U64">
        <f t="shared" si="5"/>
        <v>4.5365770568575527E-2</v>
      </c>
      <c r="AG64">
        <f t="shared" si="6"/>
        <v>3.0219201650390697E-13</v>
      </c>
      <c r="AH64">
        <f t="shared" si="7"/>
        <v>6.9012725628661</v>
      </c>
      <c r="AI64">
        <f t="shared" si="8"/>
        <v>7.6207772837098702</v>
      </c>
    </row>
    <row r="65" spans="11:35" x14ac:dyDescent="0.25">
      <c r="K65">
        <v>61</v>
      </c>
      <c r="L65">
        <f t="shared" si="9"/>
        <v>6.9302929124802946</v>
      </c>
      <c r="M65">
        <f t="shared" si="10"/>
        <v>7.620777001251259</v>
      </c>
      <c r="N65">
        <f t="shared" si="0"/>
        <v>0.50626400508455416</v>
      </c>
      <c r="O65">
        <f t="shared" si="1"/>
        <v>0</v>
      </c>
      <c r="P65" s="2">
        <f t="shared" si="2"/>
        <v>0.14693148127223984</v>
      </c>
      <c r="Q65">
        <f t="shared" si="3"/>
        <v>7.3459642828332264E-3</v>
      </c>
      <c r="R65">
        <f t="shared" si="11"/>
        <v>1.0605629434476554E-2</v>
      </c>
      <c r="S65">
        <f t="shared" si="12"/>
        <v>7.4386120181890725E-2</v>
      </c>
      <c r="T65">
        <f t="shared" si="4"/>
        <v>7.3459642825310341E-3</v>
      </c>
      <c r="U65">
        <f t="shared" si="5"/>
        <v>2.9020349615569131E-2</v>
      </c>
      <c r="AG65">
        <f t="shared" si="6"/>
        <v>3.0219201650390697E-13</v>
      </c>
      <c r="AH65">
        <f t="shared" si="7"/>
        <v>6.9012725628661</v>
      </c>
      <c r="AI65">
        <f t="shared" si="8"/>
        <v>7.6207772837098702</v>
      </c>
    </row>
    <row r="66" spans="11:35" x14ac:dyDescent="0.25">
      <c r="K66">
        <v>62</v>
      </c>
      <c r="L66">
        <f t="shared" si="9"/>
        <v>6.8559067922984038</v>
      </c>
      <c r="M66">
        <f t="shared" si="10"/>
        <v>7.620777001251259</v>
      </c>
      <c r="N66">
        <f t="shared" si="0"/>
        <v>-0.79141476731125482</v>
      </c>
      <c r="O66">
        <f t="shared" si="1"/>
        <v>0</v>
      </c>
      <c r="P66" s="2">
        <f t="shared" si="2"/>
        <v>9.3991321939327757E-2</v>
      </c>
      <c r="Q66">
        <f t="shared" si="3"/>
        <v>1.7951593717309779E-2</v>
      </c>
      <c r="R66">
        <f t="shared" si="11"/>
        <v>1.0605629434476554E-2</v>
      </c>
      <c r="S66">
        <f t="shared" si="12"/>
        <v>7.4386120181890725E-2</v>
      </c>
      <c r="T66">
        <f t="shared" si="4"/>
        <v>1.7951593717007587E-2</v>
      </c>
      <c r="U66">
        <f t="shared" si="5"/>
        <v>4.5365770568575527E-2</v>
      </c>
      <c r="AG66">
        <f t="shared" si="6"/>
        <v>3.0219201650390697E-13</v>
      </c>
      <c r="AH66">
        <f t="shared" si="7"/>
        <v>6.9012725628661</v>
      </c>
      <c r="AI66">
        <f t="shared" si="8"/>
        <v>7.6207772837098702</v>
      </c>
    </row>
    <row r="67" spans="11:35" x14ac:dyDescent="0.25">
      <c r="K67">
        <v>63</v>
      </c>
      <c r="L67">
        <f t="shared" si="9"/>
        <v>6.9302929124802946</v>
      </c>
      <c r="M67">
        <f t="shared" si="10"/>
        <v>7.620777001251259</v>
      </c>
      <c r="N67">
        <f t="shared" si="0"/>
        <v>0.50626400508455416</v>
      </c>
      <c r="O67">
        <f t="shared" si="1"/>
        <v>0</v>
      </c>
      <c r="P67" s="2">
        <f t="shared" si="2"/>
        <v>0.14693148127223984</v>
      </c>
      <c r="Q67">
        <f t="shared" si="3"/>
        <v>7.3459642828332264E-3</v>
      </c>
      <c r="R67">
        <f t="shared" si="11"/>
        <v>1.0605629434476554E-2</v>
      </c>
      <c r="S67">
        <f t="shared" si="12"/>
        <v>7.4386120181890725E-2</v>
      </c>
      <c r="T67">
        <f t="shared" si="4"/>
        <v>7.3459642825310341E-3</v>
      </c>
      <c r="U67">
        <f t="shared" si="5"/>
        <v>2.9020349615569131E-2</v>
      </c>
      <c r="AG67">
        <f t="shared" si="6"/>
        <v>3.0219201650390697E-13</v>
      </c>
      <c r="AH67">
        <f t="shared" si="7"/>
        <v>6.9012725628661</v>
      </c>
      <c r="AI67">
        <f t="shared" si="8"/>
        <v>7.6207772837098702</v>
      </c>
    </row>
    <row r="68" spans="11:35" x14ac:dyDescent="0.25">
      <c r="K68">
        <v>64</v>
      </c>
      <c r="L68">
        <f t="shared" si="9"/>
        <v>6.8559067922984038</v>
      </c>
      <c r="M68">
        <f t="shared" si="10"/>
        <v>7.620777001251259</v>
      </c>
      <c r="N68">
        <f t="shared" si="0"/>
        <v>-0.79141476731125482</v>
      </c>
      <c r="O68">
        <f t="shared" si="1"/>
        <v>0</v>
      </c>
      <c r="P68" s="2">
        <f t="shared" si="2"/>
        <v>9.3991321939327757E-2</v>
      </c>
      <c r="Q68">
        <f t="shared" si="3"/>
        <v>1.7951593717309779E-2</v>
      </c>
      <c r="R68">
        <f t="shared" si="11"/>
        <v>1.0605629434476554E-2</v>
      </c>
      <c r="S68">
        <f t="shared" si="12"/>
        <v>7.4386120181890725E-2</v>
      </c>
      <c r="T68">
        <f t="shared" si="4"/>
        <v>1.7951593717007587E-2</v>
      </c>
      <c r="U68">
        <f t="shared" si="5"/>
        <v>4.5365770568575527E-2</v>
      </c>
      <c r="AG68">
        <f t="shared" si="6"/>
        <v>3.0219201650390697E-13</v>
      </c>
      <c r="AH68">
        <f t="shared" si="7"/>
        <v>6.9012725628661</v>
      </c>
      <c r="AI68">
        <f t="shared" si="8"/>
        <v>7.6207772837098702</v>
      </c>
    </row>
    <row r="69" spans="11:35" x14ac:dyDescent="0.25">
      <c r="K69">
        <v>65</v>
      </c>
      <c r="L69">
        <f t="shared" si="9"/>
        <v>6.9302929124802946</v>
      </c>
      <c r="M69">
        <f t="shared" si="10"/>
        <v>7.620777001251259</v>
      </c>
      <c r="N69">
        <f t="shared" ref="N69:N104" si="19">2*$B$4*(L69-$B$6)</f>
        <v>0.50626400508455416</v>
      </c>
      <c r="O69">
        <f t="shared" ref="O69:O104" si="20">2*$B$5*(M69-$B$7)</f>
        <v>0</v>
      </c>
      <c r="P69" s="2">
        <f t="shared" ref="P69:P104" si="21">IF(Q69&gt;$B$11,$B$10/SQRT(N69^2+O69^2),$B$10/SQRT(N69^2+O69^2)/$B$12)</f>
        <v>0.14693148127223984</v>
      </c>
      <c r="Q69">
        <f t="shared" ref="Q69:Q104" si="22">$B$4*(L69-$B$6)^2+$B$5*(M69-$B$7)^2</f>
        <v>7.3459642828332264E-3</v>
      </c>
      <c r="R69">
        <f t="shared" si="11"/>
        <v>1.0605629434476554E-2</v>
      </c>
      <c r="S69">
        <f t="shared" si="12"/>
        <v>7.4386120181890725E-2</v>
      </c>
      <c r="T69">
        <f t="shared" ref="T69:T104" si="23">ABS(Q69-$F$4)</f>
        <v>7.3459642825310341E-3</v>
      </c>
      <c r="U69">
        <f t="shared" ref="U69:U104" si="24">SQRT(($F$5-L69)^2+($F$6-M69)^2)</f>
        <v>2.9020349615569131E-2</v>
      </c>
      <c r="AG69">
        <f t="shared" ref="AG69:AG103" si="25">$F$4</f>
        <v>3.0219201650390697E-13</v>
      </c>
      <c r="AH69">
        <f t="shared" ref="AH69:AH103" si="26">$F$5</f>
        <v>6.9012725628661</v>
      </c>
      <c r="AI69">
        <f t="shared" ref="AI69:AI103" si="27">$F$6</f>
        <v>7.6207772837098702</v>
      </c>
    </row>
    <row r="70" spans="11:35" x14ac:dyDescent="0.25">
      <c r="K70">
        <v>66</v>
      </c>
      <c r="L70">
        <f t="shared" ref="L70:L104" si="28">L69-$P69*N69</f>
        <v>6.8559067922984038</v>
      </c>
      <c r="M70">
        <f t="shared" ref="M70:M104" si="29">M69-$P69*O69</f>
        <v>7.620777001251259</v>
      </c>
      <c r="N70">
        <f t="shared" si="19"/>
        <v>-0.79141476731125482</v>
      </c>
      <c r="O70">
        <f t="shared" si="20"/>
        <v>0</v>
      </c>
      <c r="P70" s="2">
        <f t="shared" si="21"/>
        <v>9.3991321939327757E-2</v>
      </c>
      <c r="Q70">
        <f t="shared" si="22"/>
        <v>1.7951593717309779E-2</v>
      </c>
      <c r="R70">
        <f t="shared" ref="R70:R104" si="30">ABS(Q70-Q69)</f>
        <v>1.0605629434476554E-2</v>
      </c>
      <c r="S70">
        <f t="shared" ref="S70:S104" si="31">SQRT((L69-L70)^2+(M69-M70)^2)</f>
        <v>7.4386120181890725E-2</v>
      </c>
      <c r="T70">
        <f t="shared" si="23"/>
        <v>1.7951593717007587E-2</v>
      </c>
      <c r="U70">
        <f t="shared" si="24"/>
        <v>4.5365770568575527E-2</v>
      </c>
      <c r="AG70">
        <f t="shared" si="25"/>
        <v>3.0219201650390697E-13</v>
      </c>
      <c r="AH70">
        <f t="shared" si="26"/>
        <v>6.9012725628661</v>
      </c>
      <c r="AI70">
        <f t="shared" si="27"/>
        <v>7.6207772837098702</v>
      </c>
    </row>
    <row r="71" spans="11:35" x14ac:dyDescent="0.25">
      <c r="K71">
        <v>67</v>
      </c>
      <c r="L71">
        <f t="shared" si="28"/>
        <v>6.9302929124802946</v>
      </c>
      <c r="M71">
        <f t="shared" si="29"/>
        <v>7.620777001251259</v>
      </c>
      <c r="N71">
        <f t="shared" si="19"/>
        <v>0.50626400508455416</v>
      </c>
      <c r="O71">
        <f t="shared" si="20"/>
        <v>0</v>
      </c>
      <c r="P71" s="2">
        <f t="shared" si="21"/>
        <v>0.14693148127223984</v>
      </c>
      <c r="Q71">
        <f t="shared" si="22"/>
        <v>7.3459642828332264E-3</v>
      </c>
      <c r="R71">
        <f t="shared" si="30"/>
        <v>1.0605629434476554E-2</v>
      </c>
      <c r="S71">
        <f t="shared" si="31"/>
        <v>7.4386120181890725E-2</v>
      </c>
      <c r="T71">
        <f t="shared" si="23"/>
        <v>7.3459642825310341E-3</v>
      </c>
      <c r="U71">
        <f t="shared" si="24"/>
        <v>2.9020349615569131E-2</v>
      </c>
      <c r="AG71">
        <f t="shared" si="25"/>
        <v>3.0219201650390697E-13</v>
      </c>
      <c r="AH71">
        <f t="shared" si="26"/>
        <v>6.9012725628661</v>
      </c>
      <c r="AI71">
        <f t="shared" si="27"/>
        <v>7.6207772837098702</v>
      </c>
    </row>
    <row r="72" spans="11:35" x14ac:dyDescent="0.25">
      <c r="K72">
        <v>68</v>
      </c>
      <c r="L72">
        <f t="shared" si="28"/>
        <v>6.8559067922984038</v>
      </c>
      <c r="M72">
        <f t="shared" si="29"/>
        <v>7.620777001251259</v>
      </c>
      <c r="N72">
        <f t="shared" si="19"/>
        <v>-0.79141476731125482</v>
      </c>
      <c r="O72">
        <f t="shared" si="20"/>
        <v>0</v>
      </c>
      <c r="P72" s="2">
        <f t="shared" si="21"/>
        <v>9.3991321939327757E-2</v>
      </c>
      <c r="Q72">
        <f t="shared" si="22"/>
        <v>1.7951593717309779E-2</v>
      </c>
      <c r="R72">
        <f t="shared" si="30"/>
        <v>1.0605629434476554E-2</v>
      </c>
      <c r="S72">
        <f t="shared" si="31"/>
        <v>7.4386120181890725E-2</v>
      </c>
      <c r="T72">
        <f t="shared" si="23"/>
        <v>1.7951593717007587E-2</v>
      </c>
      <c r="U72">
        <f t="shared" si="24"/>
        <v>4.5365770568575527E-2</v>
      </c>
      <c r="AG72">
        <f t="shared" si="25"/>
        <v>3.0219201650390697E-13</v>
      </c>
      <c r="AH72">
        <f t="shared" si="26"/>
        <v>6.9012725628661</v>
      </c>
      <c r="AI72">
        <f t="shared" si="27"/>
        <v>7.6207772837098702</v>
      </c>
    </row>
    <row r="73" spans="11:35" x14ac:dyDescent="0.25">
      <c r="K73">
        <v>69</v>
      </c>
      <c r="L73">
        <f t="shared" si="28"/>
        <v>6.9302929124802946</v>
      </c>
      <c r="M73">
        <f t="shared" si="29"/>
        <v>7.620777001251259</v>
      </c>
      <c r="N73">
        <f t="shared" si="19"/>
        <v>0.50626400508455416</v>
      </c>
      <c r="O73">
        <f t="shared" si="20"/>
        <v>0</v>
      </c>
      <c r="P73" s="2">
        <f t="shared" si="21"/>
        <v>0.14693148127223984</v>
      </c>
      <c r="Q73">
        <f t="shared" si="22"/>
        <v>7.3459642828332264E-3</v>
      </c>
      <c r="R73">
        <f t="shared" si="30"/>
        <v>1.0605629434476554E-2</v>
      </c>
      <c r="S73">
        <f t="shared" si="31"/>
        <v>7.4386120181890725E-2</v>
      </c>
      <c r="T73">
        <f t="shared" si="23"/>
        <v>7.3459642825310341E-3</v>
      </c>
      <c r="U73">
        <f t="shared" si="24"/>
        <v>2.9020349615569131E-2</v>
      </c>
      <c r="AG73">
        <f t="shared" si="25"/>
        <v>3.0219201650390697E-13</v>
      </c>
      <c r="AH73">
        <f t="shared" si="26"/>
        <v>6.9012725628661</v>
      </c>
      <c r="AI73">
        <f t="shared" si="27"/>
        <v>7.6207772837098702</v>
      </c>
    </row>
    <row r="74" spans="11:35" x14ac:dyDescent="0.25">
      <c r="K74">
        <v>70</v>
      </c>
      <c r="L74">
        <f t="shared" si="28"/>
        <v>6.8559067922984038</v>
      </c>
      <c r="M74">
        <f t="shared" si="29"/>
        <v>7.620777001251259</v>
      </c>
      <c r="N74">
        <f t="shared" si="19"/>
        <v>-0.79141476731125482</v>
      </c>
      <c r="O74">
        <f t="shared" si="20"/>
        <v>0</v>
      </c>
      <c r="P74" s="2">
        <f t="shared" si="21"/>
        <v>9.3991321939327757E-2</v>
      </c>
      <c r="Q74" s="3">
        <f t="shared" si="22"/>
        <v>1.7951593717309779E-2</v>
      </c>
      <c r="R74">
        <f t="shared" si="30"/>
        <v>1.0605629434476554E-2</v>
      </c>
      <c r="S74">
        <f t="shared" si="31"/>
        <v>7.4386120181890725E-2</v>
      </c>
      <c r="T74">
        <f t="shared" si="23"/>
        <v>1.7951593717007587E-2</v>
      </c>
      <c r="U74">
        <f t="shared" si="24"/>
        <v>4.5365770568575527E-2</v>
      </c>
      <c r="AG74">
        <f t="shared" si="25"/>
        <v>3.0219201650390697E-13</v>
      </c>
      <c r="AH74">
        <f t="shared" si="26"/>
        <v>6.9012725628661</v>
      </c>
      <c r="AI74">
        <f t="shared" si="27"/>
        <v>7.6207772837098702</v>
      </c>
    </row>
    <row r="75" spans="11:35" x14ac:dyDescent="0.25">
      <c r="K75">
        <v>71</v>
      </c>
      <c r="L75">
        <f t="shared" si="28"/>
        <v>6.9302929124802946</v>
      </c>
      <c r="M75">
        <f t="shared" si="29"/>
        <v>7.620777001251259</v>
      </c>
      <c r="N75">
        <f t="shared" si="19"/>
        <v>0.50626400508455416</v>
      </c>
      <c r="O75">
        <f t="shared" si="20"/>
        <v>0</v>
      </c>
      <c r="P75" s="2">
        <f t="shared" si="21"/>
        <v>0.14693148127223984</v>
      </c>
      <c r="Q75">
        <f t="shared" si="22"/>
        <v>7.3459642828332264E-3</v>
      </c>
      <c r="R75">
        <f t="shared" si="30"/>
        <v>1.0605629434476554E-2</v>
      </c>
      <c r="S75">
        <f t="shared" si="31"/>
        <v>7.4386120181890725E-2</v>
      </c>
      <c r="T75">
        <f t="shared" si="23"/>
        <v>7.3459642825310341E-3</v>
      </c>
      <c r="U75">
        <f t="shared" si="24"/>
        <v>2.9020349615569131E-2</v>
      </c>
      <c r="AG75">
        <f t="shared" si="25"/>
        <v>3.0219201650390697E-13</v>
      </c>
      <c r="AH75">
        <f t="shared" si="26"/>
        <v>6.9012725628661</v>
      </c>
      <c r="AI75">
        <f t="shared" si="27"/>
        <v>7.6207772837098702</v>
      </c>
    </row>
    <row r="76" spans="11:35" x14ac:dyDescent="0.25">
      <c r="K76">
        <v>72</v>
      </c>
      <c r="L76">
        <f t="shared" si="28"/>
        <v>6.8559067922984038</v>
      </c>
      <c r="M76">
        <f t="shared" si="29"/>
        <v>7.620777001251259</v>
      </c>
      <c r="N76">
        <f t="shared" si="19"/>
        <v>-0.79141476731125482</v>
      </c>
      <c r="O76">
        <f t="shared" si="20"/>
        <v>0</v>
      </c>
      <c r="P76" s="2">
        <f t="shared" si="21"/>
        <v>9.3991321939327757E-2</v>
      </c>
      <c r="Q76">
        <f t="shared" si="22"/>
        <v>1.7951593717309779E-2</v>
      </c>
      <c r="R76">
        <f t="shared" si="30"/>
        <v>1.0605629434476554E-2</v>
      </c>
      <c r="S76">
        <f t="shared" si="31"/>
        <v>7.4386120181890725E-2</v>
      </c>
      <c r="T76">
        <f t="shared" si="23"/>
        <v>1.7951593717007587E-2</v>
      </c>
      <c r="U76">
        <f t="shared" si="24"/>
        <v>4.5365770568575527E-2</v>
      </c>
      <c r="AG76">
        <f t="shared" si="25"/>
        <v>3.0219201650390697E-13</v>
      </c>
      <c r="AH76">
        <f t="shared" si="26"/>
        <v>6.9012725628661</v>
      </c>
      <c r="AI76">
        <f t="shared" si="27"/>
        <v>7.6207772837098702</v>
      </c>
    </row>
    <row r="77" spans="11:35" x14ac:dyDescent="0.25">
      <c r="K77">
        <v>73</v>
      </c>
      <c r="L77">
        <f t="shared" si="28"/>
        <v>6.9302929124802946</v>
      </c>
      <c r="M77">
        <f t="shared" si="29"/>
        <v>7.620777001251259</v>
      </c>
      <c r="N77">
        <f t="shared" si="19"/>
        <v>0.50626400508455416</v>
      </c>
      <c r="O77">
        <f t="shared" si="20"/>
        <v>0</v>
      </c>
      <c r="P77" s="2">
        <f t="shared" si="21"/>
        <v>0.14693148127223984</v>
      </c>
      <c r="Q77">
        <f t="shared" si="22"/>
        <v>7.3459642828332264E-3</v>
      </c>
      <c r="R77">
        <f t="shared" si="30"/>
        <v>1.0605629434476554E-2</v>
      </c>
      <c r="S77">
        <f t="shared" si="31"/>
        <v>7.4386120181890725E-2</v>
      </c>
      <c r="T77">
        <f t="shared" si="23"/>
        <v>7.3459642825310341E-3</v>
      </c>
      <c r="U77">
        <f t="shared" si="24"/>
        <v>2.9020349615569131E-2</v>
      </c>
      <c r="AG77">
        <f t="shared" si="25"/>
        <v>3.0219201650390697E-13</v>
      </c>
      <c r="AH77">
        <f t="shared" si="26"/>
        <v>6.9012725628661</v>
      </c>
      <c r="AI77">
        <f t="shared" si="27"/>
        <v>7.6207772837098702</v>
      </c>
    </row>
    <row r="78" spans="11:35" x14ac:dyDescent="0.25">
      <c r="K78">
        <v>74</v>
      </c>
      <c r="L78">
        <f t="shared" si="28"/>
        <v>6.8559067922984038</v>
      </c>
      <c r="M78">
        <f t="shared" si="29"/>
        <v>7.620777001251259</v>
      </c>
      <c r="N78">
        <f t="shared" si="19"/>
        <v>-0.79141476731125482</v>
      </c>
      <c r="O78">
        <f t="shared" si="20"/>
        <v>0</v>
      </c>
      <c r="P78" s="2">
        <f t="shared" si="21"/>
        <v>9.3991321939327757E-2</v>
      </c>
      <c r="Q78">
        <f t="shared" si="22"/>
        <v>1.7951593717309779E-2</v>
      </c>
      <c r="R78">
        <f t="shared" si="30"/>
        <v>1.0605629434476554E-2</v>
      </c>
      <c r="S78">
        <f t="shared" si="31"/>
        <v>7.4386120181890725E-2</v>
      </c>
      <c r="T78">
        <f t="shared" si="23"/>
        <v>1.7951593717007587E-2</v>
      </c>
      <c r="U78">
        <f t="shared" si="24"/>
        <v>4.5365770568575527E-2</v>
      </c>
      <c r="AG78">
        <f t="shared" si="25"/>
        <v>3.0219201650390697E-13</v>
      </c>
      <c r="AH78">
        <f t="shared" si="26"/>
        <v>6.9012725628661</v>
      </c>
      <c r="AI78">
        <f t="shared" si="27"/>
        <v>7.6207772837098702</v>
      </c>
    </row>
    <row r="79" spans="11:35" x14ac:dyDescent="0.25">
      <c r="K79">
        <v>75</v>
      </c>
      <c r="L79">
        <f t="shared" si="28"/>
        <v>6.9302929124802946</v>
      </c>
      <c r="M79">
        <f t="shared" si="29"/>
        <v>7.620777001251259</v>
      </c>
      <c r="N79">
        <f t="shared" si="19"/>
        <v>0.50626400508455416</v>
      </c>
      <c r="O79">
        <f t="shared" si="20"/>
        <v>0</v>
      </c>
      <c r="P79" s="2">
        <f t="shared" si="21"/>
        <v>0.14693148127223984</v>
      </c>
      <c r="Q79">
        <f t="shared" si="22"/>
        <v>7.3459642828332264E-3</v>
      </c>
      <c r="R79">
        <f t="shared" si="30"/>
        <v>1.0605629434476554E-2</v>
      </c>
      <c r="S79">
        <f t="shared" si="31"/>
        <v>7.4386120181890725E-2</v>
      </c>
      <c r="T79">
        <f t="shared" si="23"/>
        <v>7.3459642825310341E-3</v>
      </c>
      <c r="U79">
        <f t="shared" si="24"/>
        <v>2.9020349615569131E-2</v>
      </c>
      <c r="AG79">
        <f t="shared" si="25"/>
        <v>3.0219201650390697E-13</v>
      </c>
      <c r="AH79">
        <f t="shared" si="26"/>
        <v>6.9012725628661</v>
      </c>
      <c r="AI79">
        <f t="shared" si="27"/>
        <v>7.6207772837098702</v>
      </c>
    </row>
    <row r="80" spans="11:35" x14ac:dyDescent="0.25">
      <c r="K80">
        <v>76</v>
      </c>
      <c r="L80">
        <f t="shared" si="28"/>
        <v>6.8559067922984038</v>
      </c>
      <c r="M80">
        <f t="shared" si="29"/>
        <v>7.620777001251259</v>
      </c>
      <c r="N80">
        <f t="shared" si="19"/>
        <v>-0.79141476731125482</v>
      </c>
      <c r="O80">
        <f t="shared" si="20"/>
        <v>0</v>
      </c>
      <c r="P80" s="2">
        <f t="shared" si="21"/>
        <v>9.3991321939327757E-2</v>
      </c>
      <c r="Q80">
        <f t="shared" si="22"/>
        <v>1.7951593717309779E-2</v>
      </c>
      <c r="R80">
        <f t="shared" si="30"/>
        <v>1.0605629434476554E-2</v>
      </c>
      <c r="S80">
        <f t="shared" si="31"/>
        <v>7.4386120181890725E-2</v>
      </c>
      <c r="T80">
        <f t="shared" si="23"/>
        <v>1.7951593717007587E-2</v>
      </c>
      <c r="U80">
        <f t="shared" si="24"/>
        <v>4.5365770568575527E-2</v>
      </c>
      <c r="AG80">
        <f t="shared" si="25"/>
        <v>3.0219201650390697E-13</v>
      </c>
      <c r="AH80">
        <f t="shared" si="26"/>
        <v>6.9012725628661</v>
      </c>
      <c r="AI80">
        <f t="shared" si="27"/>
        <v>7.6207772837098702</v>
      </c>
    </row>
    <row r="81" spans="11:35" x14ac:dyDescent="0.25">
      <c r="K81">
        <v>77</v>
      </c>
      <c r="L81">
        <f t="shared" si="28"/>
        <v>6.9302929124802946</v>
      </c>
      <c r="M81">
        <f t="shared" si="29"/>
        <v>7.620777001251259</v>
      </c>
      <c r="N81">
        <f t="shared" si="19"/>
        <v>0.50626400508455416</v>
      </c>
      <c r="O81">
        <f t="shared" si="20"/>
        <v>0</v>
      </c>
      <c r="P81" s="2">
        <f t="shared" si="21"/>
        <v>0.14693148127223984</v>
      </c>
      <c r="Q81">
        <f t="shared" si="22"/>
        <v>7.3459642828332264E-3</v>
      </c>
      <c r="R81">
        <f t="shared" si="30"/>
        <v>1.0605629434476554E-2</v>
      </c>
      <c r="S81">
        <f t="shared" si="31"/>
        <v>7.4386120181890725E-2</v>
      </c>
      <c r="T81">
        <f t="shared" si="23"/>
        <v>7.3459642825310341E-3</v>
      </c>
      <c r="U81">
        <f t="shared" si="24"/>
        <v>2.9020349615569131E-2</v>
      </c>
      <c r="AG81">
        <f t="shared" si="25"/>
        <v>3.0219201650390697E-13</v>
      </c>
      <c r="AH81">
        <f t="shared" si="26"/>
        <v>6.9012725628661</v>
      </c>
      <c r="AI81">
        <f t="shared" si="27"/>
        <v>7.6207772837098702</v>
      </c>
    </row>
    <row r="82" spans="11:35" x14ac:dyDescent="0.25">
      <c r="K82">
        <v>78</v>
      </c>
      <c r="L82">
        <f t="shared" si="28"/>
        <v>6.8559067922984038</v>
      </c>
      <c r="M82">
        <f t="shared" si="29"/>
        <v>7.620777001251259</v>
      </c>
      <c r="N82">
        <f t="shared" si="19"/>
        <v>-0.79141476731125482</v>
      </c>
      <c r="O82">
        <f t="shared" si="20"/>
        <v>0</v>
      </c>
      <c r="P82" s="2">
        <f t="shared" si="21"/>
        <v>9.3991321939327757E-2</v>
      </c>
      <c r="Q82">
        <f t="shared" si="22"/>
        <v>1.7951593717309779E-2</v>
      </c>
      <c r="R82">
        <f t="shared" si="30"/>
        <v>1.0605629434476554E-2</v>
      </c>
      <c r="S82">
        <f t="shared" si="31"/>
        <v>7.4386120181890725E-2</v>
      </c>
      <c r="T82">
        <f t="shared" si="23"/>
        <v>1.7951593717007587E-2</v>
      </c>
      <c r="U82">
        <f t="shared" si="24"/>
        <v>4.5365770568575527E-2</v>
      </c>
      <c r="AG82">
        <f t="shared" si="25"/>
        <v>3.0219201650390697E-13</v>
      </c>
      <c r="AH82">
        <f t="shared" si="26"/>
        <v>6.9012725628661</v>
      </c>
      <c r="AI82">
        <f t="shared" si="27"/>
        <v>7.6207772837098702</v>
      </c>
    </row>
    <row r="83" spans="11:35" x14ac:dyDescent="0.25">
      <c r="K83">
        <v>79</v>
      </c>
      <c r="L83">
        <f t="shared" si="28"/>
        <v>6.9302929124802946</v>
      </c>
      <c r="M83">
        <f t="shared" si="29"/>
        <v>7.620777001251259</v>
      </c>
      <c r="N83">
        <f t="shared" si="19"/>
        <v>0.50626400508455416</v>
      </c>
      <c r="O83">
        <f t="shared" si="20"/>
        <v>0</v>
      </c>
      <c r="P83" s="2">
        <f t="shared" si="21"/>
        <v>0.14693148127223984</v>
      </c>
      <c r="Q83">
        <f t="shared" si="22"/>
        <v>7.3459642828332264E-3</v>
      </c>
      <c r="R83">
        <f t="shared" si="30"/>
        <v>1.0605629434476554E-2</v>
      </c>
      <c r="S83">
        <f t="shared" si="31"/>
        <v>7.4386120181890725E-2</v>
      </c>
      <c r="T83">
        <f t="shared" si="23"/>
        <v>7.3459642825310341E-3</v>
      </c>
      <c r="U83">
        <f t="shared" si="24"/>
        <v>2.9020349615569131E-2</v>
      </c>
      <c r="AG83">
        <f t="shared" si="25"/>
        <v>3.0219201650390697E-13</v>
      </c>
      <c r="AH83">
        <f t="shared" si="26"/>
        <v>6.9012725628661</v>
      </c>
      <c r="AI83">
        <f t="shared" si="27"/>
        <v>7.6207772837098702</v>
      </c>
    </row>
    <row r="84" spans="11:35" x14ac:dyDescent="0.25">
      <c r="K84">
        <v>80</v>
      </c>
      <c r="L84">
        <f t="shared" si="28"/>
        <v>6.8559067922984038</v>
      </c>
      <c r="M84">
        <f t="shared" si="29"/>
        <v>7.620777001251259</v>
      </c>
      <c r="N84">
        <f t="shared" si="19"/>
        <v>-0.79141476731125482</v>
      </c>
      <c r="O84">
        <f t="shared" si="20"/>
        <v>0</v>
      </c>
      <c r="P84" s="2">
        <f t="shared" si="21"/>
        <v>9.3991321939327757E-2</v>
      </c>
      <c r="Q84">
        <f t="shared" si="22"/>
        <v>1.7951593717309779E-2</v>
      </c>
      <c r="R84">
        <f t="shared" si="30"/>
        <v>1.0605629434476554E-2</v>
      </c>
      <c r="S84">
        <f t="shared" si="31"/>
        <v>7.4386120181890725E-2</v>
      </c>
      <c r="T84">
        <f t="shared" si="23"/>
        <v>1.7951593717007587E-2</v>
      </c>
      <c r="U84">
        <f t="shared" si="24"/>
        <v>4.5365770568575527E-2</v>
      </c>
      <c r="AG84">
        <f t="shared" si="25"/>
        <v>3.0219201650390697E-13</v>
      </c>
      <c r="AH84">
        <f t="shared" si="26"/>
        <v>6.9012725628661</v>
      </c>
      <c r="AI84">
        <f t="shared" si="27"/>
        <v>7.6207772837098702</v>
      </c>
    </row>
    <row r="85" spans="11:35" x14ac:dyDescent="0.25">
      <c r="K85">
        <v>81</v>
      </c>
      <c r="L85">
        <f t="shared" si="28"/>
        <v>6.9302929124802946</v>
      </c>
      <c r="M85">
        <f t="shared" si="29"/>
        <v>7.620777001251259</v>
      </c>
      <c r="N85">
        <f t="shared" si="19"/>
        <v>0.50626400508455416</v>
      </c>
      <c r="O85">
        <f t="shared" si="20"/>
        <v>0</v>
      </c>
      <c r="P85" s="2">
        <f t="shared" si="21"/>
        <v>0.14693148127223984</v>
      </c>
      <c r="Q85">
        <f t="shared" si="22"/>
        <v>7.3459642828332264E-3</v>
      </c>
      <c r="R85">
        <f t="shared" si="30"/>
        <v>1.0605629434476554E-2</v>
      </c>
      <c r="S85">
        <f t="shared" si="31"/>
        <v>7.4386120181890725E-2</v>
      </c>
      <c r="T85">
        <f t="shared" si="23"/>
        <v>7.3459642825310341E-3</v>
      </c>
      <c r="U85">
        <f t="shared" si="24"/>
        <v>2.9020349615569131E-2</v>
      </c>
      <c r="AG85">
        <f t="shared" si="25"/>
        <v>3.0219201650390697E-13</v>
      </c>
      <c r="AH85">
        <f t="shared" si="26"/>
        <v>6.9012725628661</v>
      </c>
      <c r="AI85">
        <f t="shared" si="27"/>
        <v>7.6207772837098702</v>
      </c>
    </row>
    <row r="86" spans="11:35" x14ac:dyDescent="0.25">
      <c r="K86">
        <v>82</v>
      </c>
      <c r="L86">
        <f t="shared" si="28"/>
        <v>6.8559067922984038</v>
      </c>
      <c r="M86">
        <f t="shared" si="29"/>
        <v>7.620777001251259</v>
      </c>
      <c r="N86">
        <f t="shared" si="19"/>
        <v>-0.79141476731125482</v>
      </c>
      <c r="O86">
        <f t="shared" si="20"/>
        <v>0</v>
      </c>
      <c r="P86" s="2">
        <f t="shared" si="21"/>
        <v>9.3991321939327757E-2</v>
      </c>
      <c r="Q86">
        <f t="shared" si="22"/>
        <v>1.7951593717309779E-2</v>
      </c>
      <c r="R86">
        <f t="shared" si="30"/>
        <v>1.0605629434476554E-2</v>
      </c>
      <c r="S86">
        <f t="shared" si="31"/>
        <v>7.4386120181890725E-2</v>
      </c>
      <c r="T86">
        <f t="shared" si="23"/>
        <v>1.7951593717007587E-2</v>
      </c>
      <c r="U86">
        <f t="shared" si="24"/>
        <v>4.5365770568575527E-2</v>
      </c>
      <c r="AG86">
        <f t="shared" si="25"/>
        <v>3.0219201650390697E-13</v>
      </c>
      <c r="AH86">
        <f t="shared" si="26"/>
        <v>6.9012725628661</v>
      </c>
      <c r="AI86">
        <f t="shared" si="27"/>
        <v>7.6207772837098702</v>
      </c>
    </row>
    <row r="87" spans="11:35" x14ac:dyDescent="0.25">
      <c r="K87">
        <v>83</v>
      </c>
      <c r="L87">
        <f t="shared" si="28"/>
        <v>6.9302929124802946</v>
      </c>
      <c r="M87">
        <f t="shared" si="29"/>
        <v>7.620777001251259</v>
      </c>
      <c r="N87">
        <f t="shared" si="19"/>
        <v>0.50626400508455416</v>
      </c>
      <c r="O87">
        <f t="shared" si="20"/>
        <v>0</v>
      </c>
      <c r="P87" s="2">
        <f t="shared" si="21"/>
        <v>0.14693148127223984</v>
      </c>
      <c r="Q87">
        <f t="shared" si="22"/>
        <v>7.3459642828332264E-3</v>
      </c>
      <c r="R87">
        <f t="shared" si="30"/>
        <v>1.0605629434476554E-2</v>
      </c>
      <c r="S87">
        <f t="shared" si="31"/>
        <v>7.4386120181890725E-2</v>
      </c>
      <c r="T87">
        <f t="shared" si="23"/>
        <v>7.3459642825310341E-3</v>
      </c>
      <c r="U87">
        <f t="shared" si="24"/>
        <v>2.9020349615569131E-2</v>
      </c>
      <c r="AG87">
        <f t="shared" si="25"/>
        <v>3.0219201650390697E-13</v>
      </c>
      <c r="AH87">
        <f t="shared" si="26"/>
        <v>6.9012725628661</v>
      </c>
      <c r="AI87">
        <f t="shared" si="27"/>
        <v>7.6207772837098702</v>
      </c>
    </row>
    <row r="88" spans="11:35" x14ac:dyDescent="0.25">
      <c r="K88">
        <v>84</v>
      </c>
      <c r="L88">
        <f t="shared" si="28"/>
        <v>6.8559067922984038</v>
      </c>
      <c r="M88">
        <f t="shared" si="29"/>
        <v>7.620777001251259</v>
      </c>
      <c r="N88">
        <f t="shared" si="19"/>
        <v>-0.79141476731125482</v>
      </c>
      <c r="O88">
        <f t="shared" si="20"/>
        <v>0</v>
      </c>
      <c r="P88" s="2">
        <f t="shared" si="21"/>
        <v>9.3991321939327757E-2</v>
      </c>
      <c r="Q88">
        <f t="shared" si="22"/>
        <v>1.7951593717309779E-2</v>
      </c>
      <c r="R88">
        <f t="shared" si="30"/>
        <v>1.0605629434476554E-2</v>
      </c>
      <c r="S88">
        <f t="shared" si="31"/>
        <v>7.4386120181890725E-2</v>
      </c>
      <c r="T88">
        <f t="shared" si="23"/>
        <v>1.7951593717007587E-2</v>
      </c>
      <c r="U88">
        <f t="shared" si="24"/>
        <v>4.5365770568575527E-2</v>
      </c>
      <c r="AG88">
        <f t="shared" si="25"/>
        <v>3.0219201650390697E-13</v>
      </c>
      <c r="AH88">
        <f t="shared" si="26"/>
        <v>6.9012725628661</v>
      </c>
      <c r="AI88">
        <f t="shared" si="27"/>
        <v>7.6207772837098702</v>
      </c>
    </row>
    <row r="89" spans="11:35" x14ac:dyDescent="0.25">
      <c r="K89">
        <v>85</v>
      </c>
      <c r="L89">
        <f t="shared" si="28"/>
        <v>6.9302929124802946</v>
      </c>
      <c r="M89">
        <f t="shared" si="29"/>
        <v>7.620777001251259</v>
      </c>
      <c r="N89">
        <f t="shared" si="19"/>
        <v>0.50626400508455416</v>
      </c>
      <c r="O89">
        <f t="shared" si="20"/>
        <v>0</v>
      </c>
      <c r="P89" s="2">
        <f t="shared" si="21"/>
        <v>0.14693148127223984</v>
      </c>
      <c r="Q89">
        <f t="shared" si="22"/>
        <v>7.3459642828332264E-3</v>
      </c>
      <c r="R89">
        <f t="shared" si="30"/>
        <v>1.0605629434476554E-2</v>
      </c>
      <c r="S89">
        <f t="shared" si="31"/>
        <v>7.4386120181890725E-2</v>
      </c>
      <c r="T89">
        <f t="shared" si="23"/>
        <v>7.3459642825310341E-3</v>
      </c>
      <c r="U89">
        <f t="shared" si="24"/>
        <v>2.9020349615569131E-2</v>
      </c>
      <c r="AG89">
        <f t="shared" si="25"/>
        <v>3.0219201650390697E-13</v>
      </c>
      <c r="AH89">
        <f t="shared" si="26"/>
        <v>6.9012725628661</v>
      </c>
      <c r="AI89">
        <f t="shared" si="27"/>
        <v>7.6207772837098702</v>
      </c>
    </row>
    <row r="90" spans="11:35" x14ac:dyDescent="0.25">
      <c r="K90">
        <v>86</v>
      </c>
      <c r="L90">
        <f t="shared" si="28"/>
        <v>6.8559067922984038</v>
      </c>
      <c r="M90">
        <f t="shared" si="29"/>
        <v>7.620777001251259</v>
      </c>
      <c r="N90">
        <f t="shared" si="19"/>
        <v>-0.79141476731125482</v>
      </c>
      <c r="O90">
        <f t="shared" si="20"/>
        <v>0</v>
      </c>
      <c r="P90" s="2">
        <f t="shared" si="21"/>
        <v>9.3991321939327757E-2</v>
      </c>
      <c r="Q90">
        <f t="shared" si="22"/>
        <v>1.7951593717309779E-2</v>
      </c>
      <c r="R90">
        <f t="shared" si="30"/>
        <v>1.0605629434476554E-2</v>
      </c>
      <c r="S90">
        <f t="shared" si="31"/>
        <v>7.4386120181890725E-2</v>
      </c>
      <c r="T90">
        <f t="shared" si="23"/>
        <v>1.7951593717007587E-2</v>
      </c>
      <c r="U90">
        <f t="shared" si="24"/>
        <v>4.5365770568575527E-2</v>
      </c>
      <c r="AG90">
        <f t="shared" si="25"/>
        <v>3.0219201650390697E-13</v>
      </c>
      <c r="AH90">
        <f t="shared" si="26"/>
        <v>6.9012725628661</v>
      </c>
      <c r="AI90">
        <f t="shared" si="27"/>
        <v>7.6207772837098702</v>
      </c>
    </row>
    <row r="91" spans="11:35" x14ac:dyDescent="0.25">
      <c r="K91">
        <v>87</v>
      </c>
      <c r="L91">
        <f t="shared" si="28"/>
        <v>6.9302929124802946</v>
      </c>
      <c r="M91">
        <f t="shared" si="29"/>
        <v>7.620777001251259</v>
      </c>
      <c r="N91">
        <f t="shared" si="19"/>
        <v>0.50626400508455416</v>
      </c>
      <c r="O91">
        <f t="shared" si="20"/>
        <v>0</v>
      </c>
      <c r="P91" s="2">
        <f t="shared" si="21"/>
        <v>0.14693148127223984</v>
      </c>
      <c r="Q91">
        <f t="shared" si="22"/>
        <v>7.3459642828332264E-3</v>
      </c>
      <c r="R91">
        <f t="shared" si="30"/>
        <v>1.0605629434476554E-2</v>
      </c>
      <c r="S91">
        <f t="shared" si="31"/>
        <v>7.4386120181890725E-2</v>
      </c>
      <c r="T91">
        <f t="shared" si="23"/>
        <v>7.3459642825310341E-3</v>
      </c>
      <c r="U91">
        <f t="shared" si="24"/>
        <v>2.9020349615569131E-2</v>
      </c>
      <c r="AG91">
        <f t="shared" si="25"/>
        <v>3.0219201650390697E-13</v>
      </c>
      <c r="AH91">
        <f t="shared" si="26"/>
        <v>6.9012725628661</v>
      </c>
      <c r="AI91">
        <f t="shared" si="27"/>
        <v>7.6207772837098702</v>
      </c>
    </row>
    <row r="92" spans="11:35" x14ac:dyDescent="0.25">
      <c r="K92">
        <v>88</v>
      </c>
      <c r="L92">
        <f t="shared" si="28"/>
        <v>6.8559067922984038</v>
      </c>
      <c r="M92">
        <f t="shared" si="29"/>
        <v>7.620777001251259</v>
      </c>
      <c r="N92">
        <f t="shared" si="19"/>
        <v>-0.79141476731125482</v>
      </c>
      <c r="O92">
        <f t="shared" si="20"/>
        <v>0</v>
      </c>
      <c r="P92" s="2">
        <f t="shared" si="21"/>
        <v>9.3991321939327757E-2</v>
      </c>
      <c r="Q92">
        <f t="shared" si="22"/>
        <v>1.7951593717309779E-2</v>
      </c>
      <c r="R92">
        <f t="shared" si="30"/>
        <v>1.0605629434476554E-2</v>
      </c>
      <c r="S92">
        <f t="shared" si="31"/>
        <v>7.4386120181890725E-2</v>
      </c>
      <c r="T92">
        <f t="shared" si="23"/>
        <v>1.7951593717007587E-2</v>
      </c>
      <c r="U92">
        <f t="shared" si="24"/>
        <v>4.5365770568575527E-2</v>
      </c>
      <c r="AG92">
        <f t="shared" si="25"/>
        <v>3.0219201650390697E-13</v>
      </c>
      <c r="AH92">
        <f t="shared" si="26"/>
        <v>6.9012725628661</v>
      </c>
      <c r="AI92">
        <f t="shared" si="27"/>
        <v>7.6207772837098702</v>
      </c>
    </row>
    <row r="93" spans="11:35" x14ac:dyDescent="0.25">
      <c r="K93">
        <v>89</v>
      </c>
      <c r="L93">
        <f t="shared" si="28"/>
        <v>6.9302929124802946</v>
      </c>
      <c r="M93">
        <f t="shared" si="29"/>
        <v>7.620777001251259</v>
      </c>
      <c r="N93">
        <f t="shared" si="19"/>
        <v>0.50626400508455416</v>
      </c>
      <c r="O93">
        <f t="shared" si="20"/>
        <v>0</v>
      </c>
      <c r="P93" s="2">
        <f t="shared" si="21"/>
        <v>0.14693148127223984</v>
      </c>
      <c r="Q93">
        <f t="shared" si="22"/>
        <v>7.3459642828332264E-3</v>
      </c>
      <c r="R93">
        <f t="shared" si="30"/>
        <v>1.0605629434476554E-2</v>
      </c>
      <c r="S93">
        <f t="shared" si="31"/>
        <v>7.4386120181890725E-2</v>
      </c>
      <c r="T93">
        <f t="shared" si="23"/>
        <v>7.3459642825310341E-3</v>
      </c>
      <c r="U93">
        <f t="shared" si="24"/>
        <v>2.9020349615569131E-2</v>
      </c>
      <c r="AG93">
        <f t="shared" si="25"/>
        <v>3.0219201650390697E-13</v>
      </c>
      <c r="AH93">
        <f t="shared" si="26"/>
        <v>6.9012725628661</v>
      </c>
      <c r="AI93">
        <f t="shared" si="27"/>
        <v>7.6207772837098702</v>
      </c>
    </row>
    <row r="94" spans="11:35" x14ac:dyDescent="0.25">
      <c r="K94">
        <v>90</v>
      </c>
      <c r="L94">
        <f t="shared" si="28"/>
        <v>6.8559067922984038</v>
      </c>
      <c r="M94">
        <f t="shared" si="29"/>
        <v>7.620777001251259</v>
      </c>
      <c r="N94">
        <f t="shared" si="19"/>
        <v>-0.79141476731125482</v>
      </c>
      <c r="O94">
        <f t="shared" si="20"/>
        <v>0</v>
      </c>
      <c r="P94" s="2">
        <f t="shared" si="21"/>
        <v>9.3991321939327757E-2</v>
      </c>
      <c r="Q94">
        <f t="shared" si="22"/>
        <v>1.7951593717309779E-2</v>
      </c>
      <c r="R94">
        <f t="shared" si="30"/>
        <v>1.0605629434476554E-2</v>
      </c>
      <c r="S94">
        <f t="shared" si="31"/>
        <v>7.4386120181890725E-2</v>
      </c>
      <c r="T94">
        <f t="shared" si="23"/>
        <v>1.7951593717007587E-2</v>
      </c>
      <c r="U94">
        <f t="shared" si="24"/>
        <v>4.5365770568575527E-2</v>
      </c>
      <c r="AG94">
        <f t="shared" si="25"/>
        <v>3.0219201650390697E-13</v>
      </c>
      <c r="AH94">
        <f t="shared" si="26"/>
        <v>6.9012725628661</v>
      </c>
      <c r="AI94">
        <f t="shared" si="27"/>
        <v>7.6207772837098702</v>
      </c>
    </row>
    <row r="95" spans="11:35" x14ac:dyDescent="0.25">
      <c r="K95">
        <v>91</v>
      </c>
      <c r="L95">
        <f t="shared" si="28"/>
        <v>6.9302929124802946</v>
      </c>
      <c r="M95">
        <f t="shared" si="29"/>
        <v>7.620777001251259</v>
      </c>
      <c r="N95">
        <f t="shared" si="19"/>
        <v>0.50626400508455416</v>
      </c>
      <c r="O95">
        <f t="shared" si="20"/>
        <v>0</v>
      </c>
      <c r="P95" s="2">
        <f t="shared" si="21"/>
        <v>0.14693148127223984</v>
      </c>
      <c r="Q95">
        <f t="shared" si="22"/>
        <v>7.3459642828332264E-3</v>
      </c>
      <c r="R95">
        <f t="shared" si="30"/>
        <v>1.0605629434476554E-2</v>
      </c>
      <c r="S95">
        <f t="shared" si="31"/>
        <v>7.4386120181890725E-2</v>
      </c>
      <c r="T95">
        <f t="shared" si="23"/>
        <v>7.3459642825310341E-3</v>
      </c>
      <c r="U95">
        <f t="shared" si="24"/>
        <v>2.9020349615569131E-2</v>
      </c>
      <c r="AG95">
        <f t="shared" si="25"/>
        <v>3.0219201650390697E-13</v>
      </c>
      <c r="AH95">
        <f t="shared" si="26"/>
        <v>6.9012725628661</v>
      </c>
      <c r="AI95">
        <f t="shared" si="27"/>
        <v>7.6207772837098702</v>
      </c>
    </row>
    <row r="96" spans="11:35" x14ac:dyDescent="0.25">
      <c r="K96">
        <v>92</v>
      </c>
      <c r="L96">
        <f t="shared" si="28"/>
        <v>6.8559067922984038</v>
      </c>
      <c r="M96">
        <f t="shared" si="29"/>
        <v>7.620777001251259</v>
      </c>
      <c r="N96">
        <f t="shared" si="19"/>
        <v>-0.79141476731125482</v>
      </c>
      <c r="O96">
        <f t="shared" si="20"/>
        <v>0</v>
      </c>
      <c r="P96" s="2">
        <f t="shared" si="21"/>
        <v>9.3991321939327757E-2</v>
      </c>
      <c r="Q96">
        <f t="shared" si="22"/>
        <v>1.7951593717309779E-2</v>
      </c>
      <c r="R96">
        <f t="shared" si="30"/>
        <v>1.0605629434476554E-2</v>
      </c>
      <c r="S96">
        <f t="shared" si="31"/>
        <v>7.4386120181890725E-2</v>
      </c>
      <c r="T96">
        <f t="shared" si="23"/>
        <v>1.7951593717007587E-2</v>
      </c>
      <c r="U96">
        <f t="shared" si="24"/>
        <v>4.5365770568575527E-2</v>
      </c>
      <c r="AG96">
        <f t="shared" si="25"/>
        <v>3.0219201650390697E-13</v>
      </c>
      <c r="AH96">
        <f t="shared" si="26"/>
        <v>6.9012725628661</v>
      </c>
      <c r="AI96">
        <f t="shared" si="27"/>
        <v>7.6207772837098702</v>
      </c>
    </row>
    <row r="97" spans="11:35" x14ac:dyDescent="0.25">
      <c r="K97">
        <v>93</v>
      </c>
      <c r="L97">
        <f t="shared" si="28"/>
        <v>6.9302929124802946</v>
      </c>
      <c r="M97">
        <f t="shared" si="29"/>
        <v>7.620777001251259</v>
      </c>
      <c r="N97">
        <f t="shared" si="19"/>
        <v>0.50626400508455416</v>
      </c>
      <c r="O97">
        <f t="shared" si="20"/>
        <v>0</v>
      </c>
      <c r="P97" s="2">
        <f t="shared" si="21"/>
        <v>0.14693148127223984</v>
      </c>
      <c r="Q97">
        <f t="shared" si="22"/>
        <v>7.3459642828332264E-3</v>
      </c>
      <c r="R97">
        <f t="shared" si="30"/>
        <v>1.0605629434476554E-2</v>
      </c>
      <c r="S97">
        <f t="shared" si="31"/>
        <v>7.4386120181890725E-2</v>
      </c>
      <c r="T97">
        <f t="shared" si="23"/>
        <v>7.3459642825310341E-3</v>
      </c>
      <c r="U97">
        <f t="shared" si="24"/>
        <v>2.9020349615569131E-2</v>
      </c>
      <c r="AG97">
        <f t="shared" si="25"/>
        <v>3.0219201650390697E-13</v>
      </c>
      <c r="AH97">
        <f t="shared" si="26"/>
        <v>6.9012725628661</v>
      </c>
      <c r="AI97">
        <f t="shared" si="27"/>
        <v>7.6207772837098702</v>
      </c>
    </row>
    <row r="98" spans="11:35" x14ac:dyDescent="0.25">
      <c r="K98">
        <v>94</v>
      </c>
      <c r="L98">
        <f t="shared" si="28"/>
        <v>6.8559067922984038</v>
      </c>
      <c r="M98">
        <f t="shared" si="29"/>
        <v>7.620777001251259</v>
      </c>
      <c r="N98">
        <f t="shared" si="19"/>
        <v>-0.79141476731125482</v>
      </c>
      <c r="O98">
        <f t="shared" si="20"/>
        <v>0</v>
      </c>
      <c r="P98" s="2">
        <f t="shared" si="21"/>
        <v>9.3991321939327757E-2</v>
      </c>
      <c r="Q98">
        <f t="shared" si="22"/>
        <v>1.7951593717309779E-2</v>
      </c>
      <c r="R98">
        <f t="shared" si="30"/>
        <v>1.0605629434476554E-2</v>
      </c>
      <c r="S98">
        <f t="shared" si="31"/>
        <v>7.4386120181890725E-2</v>
      </c>
      <c r="T98">
        <f t="shared" si="23"/>
        <v>1.7951593717007587E-2</v>
      </c>
      <c r="U98">
        <f t="shared" si="24"/>
        <v>4.5365770568575527E-2</v>
      </c>
      <c r="AG98">
        <f t="shared" si="25"/>
        <v>3.0219201650390697E-13</v>
      </c>
      <c r="AH98">
        <f t="shared" si="26"/>
        <v>6.9012725628661</v>
      </c>
      <c r="AI98">
        <f t="shared" si="27"/>
        <v>7.6207772837098702</v>
      </c>
    </row>
    <row r="99" spans="11:35" x14ac:dyDescent="0.25">
      <c r="K99">
        <v>95</v>
      </c>
      <c r="L99">
        <f t="shared" si="28"/>
        <v>6.9302929124802946</v>
      </c>
      <c r="M99">
        <f t="shared" si="29"/>
        <v>7.620777001251259</v>
      </c>
      <c r="N99">
        <f t="shared" si="19"/>
        <v>0.50626400508455416</v>
      </c>
      <c r="O99">
        <f t="shared" si="20"/>
        <v>0</v>
      </c>
      <c r="P99" s="2">
        <f t="shared" si="21"/>
        <v>0.14693148127223984</v>
      </c>
      <c r="Q99">
        <f t="shared" si="22"/>
        <v>7.3459642828332264E-3</v>
      </c>
      <c r="R99">
        <f t="shared" si="30"/>
        <v>1.0605629434476554E-2</v>
      </c>
      <c r="S99">
        <f t="shared" si="31"/>
        <v>7.4386120181890725E-2</v>
      </c>
      <c r="T99">
        <f t="shared" si="23"/>
        <v>7.3459642825310341E-3</v>
      </c>
      <c r="U99">
        <f t="shared" si="24"/>
        <v>2.9020349615569131E-2</v>
      </c>
      <c r="AG99">
        <f t="shared" si="25"/>
        <v>3.0219201650390697E-13</v>
      </c>
      <c r="AH99">
        <f t="shared" si="26"/>
        <v>6.9012725628661</v>
      </c>
      <c r="AI99">
        <f t="shared" si="27"/>
        <v>7.6207772837098702</v>
      </c>
    </row>
    <row r="100" spans="11:35" x14ac:dyDescent="0.25">
      <c r="K100">
        <v>96</v>
      </c>
      <c r="L100">
        <f t="shared" si="28"/>
        <v>6.8559067922984038</v>
      </c>
      <c r="M100">
        <f t="shared" si="29"/>
        <v>7.620777001251259</v>
      </c>
      <c r="N100">
        <f t="shared" si="19"/>
        <v>-0.79141476731125482</v>
      </c>
      <c r="O100">
        <f t="shared" si="20"/>
        <v>0</v>
      </c>
      <c r="P100" s="2">
        <f t="shared" si="21"/>
        <v>9.3991321939327757E-2</v>
      </c>
      <c r="Q100">
        <f t="shared" si="22"/>
        <v>1.7951593717309779E-2</v>
      </c>
      <c r="R100">
        <f t="shared" si="30"/>
        <v>1.0605629434476554E-2</v>
      </c>
      <c r="S100">
        <f t="shared" si="31"/>
        <v>7.4386120181890725E-2</v>
      </c>
      <c r="T100">
        <f t="shared" si="23"/>
        <v>1.7951593717007587E-2</v>
      </c>
      <c r="U100">
        <f t="shared" si="24"/>
        <v>4.5365770568575527E-2</v>
      </c>
      <c r="AG100">
        <f t="shared" si="25"/>
        <v>3.0219201650390697E-13</v>
      </c>
      <c r="AH100">
        <f t="shared" si="26"/>
        <v>6.9012725628661</v>
      </c>
      <c r="AI100">
        <f t="shared" si="27"/>
        <v>7.6207772837098702</v>
      </c>
    </row>
    <row r="101" spans="11:35" x14ac:dyDescent="0.25">
      <c r="K101">
        <v>97</v>
      </c>
      <c r="L101">
        <f t="shared" si="28"/>
        <v>6.9302929124802946</v>
      </c>
      <c r="M101">
        <f t="shared" si="29"/>
        <v>7.620777001251259</v>
      </c>
      <c r="N101">
        <f t="shared" si="19"/>
        <v>0.50626400508455416</v>
      </c>
      <c r="O101">
        <f t="shared" si="20"/>
        <v>0</v>
      </c>
      <c r="P101" s="2">
        <f t="shared" si="21"/>
        <v>0.14693148127223984</v>
      </c>
      <c r="Q101">
        <f t="shared" si="22"/>
        <v>7.3459642828332264E-3</v>
      </c>
      <c r="R101">
        <f t="shared" si="30"/>
        <v>1.0605629434476554E-2</v>
      </c>
      <c r="S101">
        <f t="shared" si="31"/>
        <v>7.4386120181890725E-2</v>
      </c>
      <c r="T101">
        <f t="shared" si="23"/>
        <v>7.3459642825310341E-3</v>
      </c>
      <c r="U101">
        <f t="shared" si="24"/>
        <v>2.9020349615569131E-2</v>
      </c>
      <c r="AG101">
        <f t="shared" si="25"/>
        <v>3.0219201650390697E-13</v>
      </c>
      <c r="AH101">
        <f t="shared" si="26"/>
        <v>6.9012725628661</v>
      </c>
      <c r="AI101">
        <f t="shared" si="27"/>
        <v>7.6207772837098702</v>
      </c>
    </row>
    <row r="102" spans="11:35" x14ac:dyDescent="0.25">
      <c r="K102">
        <v>98</v>
      </c>
      <c r="L102">
        <f t="shared" si="28"/>
        <v>6.8559067922984038</v>
      </c>
      <c r="M102">
        <f t="shared" si="29"/>
        <v>7.620777001251259</v>
      </c>
      <c r="N102">
        <f t="shared" si="19"/>
        <v>-0.79141476731125482</v>
      </c>
      <c r="O102">
        <f t="shared" si="20"/>
        <v>0</v>
      </c>
      <c r="P102" s="2">
        <f t="shared" si="21"/>
        <v>9.3991321939327757E-2</v>
      </c>
      <c r="Q102">
        <f t="shared" si="22"/>
        <v>1.7951593717309779E-2</v>
      </c>
      <c r="R102">
        <f t="shared" si="30"/>
        <v>1.0605629434476554E-2</v>
      </c>
      <c r="S102">
        <f t="shared" si="31"/>
        <v>7.4386120181890725E-2</v>
      </c>
      <c r="T102">
        <f t="shared" si="23"/>
        <v>1.7951593717007587E-2</v>
      </c>
      <c r="U102">
        <f t="shared" si="24"/>
        <v>4.5365770568575527E-2</v>
      </c>
      <c r="AG102">
        <f t="shared" si="25"/>
        <v>3.0219201650390697E-13</v>
      </c>
      <c r="AH102">
        <f t="shared" si="26"/>
        <v>6.9012725628661</v>
      </c>
      <c r="AI102">
        <f t="shared" si="27"/>
        <v>7.6207772837098702</v>
      </c>
    </row>
    <row r="103" spans="11:35" x14ac:dyDescent="0.25">
      <c r="K103">
        <v>99</v>
      </c>
      <c r="L103">
        <f t="shared" si="28"/>
        <v>6.9302929124802946</v>
      </c>
      <c r="M103">
        <f t="shared" si="29"/>
        <v>7.620777001251259</v>
      </c>
      <c r="N103">
        <f t="shared" si="19"/>
        <v>0.50626400508455416</v>
      </c>
      <c r="O103">
        <f t="shared" si="20"/>
        <v>0</v>
      </c>
      <c r="P103" s="2">
        <f t="shared" si="21"/>
        <v>0.14693148127223984</v>
      </c>
      <c r="Q103">
        <f t="shared" si="22"/>
        <v>7.3459642828332264E-3</v>
      </c>
      <c r="R103">
        <f t="shared" si="30"/>
        <v>1.0605629434476554E-2</v>
      </c>
      <c r="S103">
        <f t="shared" si="31"/>
        <v>7.4386120181890725E-2</v>
      </c>
      <c r="T103">
        <f t="shared" si="23"/>
        <v>7.3459642825310341E-3</v>
      </c>
      <c r="U103">
        <f t="shared" si="24"/>
        <v>2.9020349615569131E-2</v>
      </c>
      <c r="AG103">
        <f t="shared" si="25"/>
        <v>3.0219201650390697E-13</v>
      </c>
      <c r="AH103">
        <f t="shared" si="26"/>
        <v>6.9012725628661</v>
      </c>
      <c r="AI103">
        <f t="shared" si="27"/>
        <v>7.6207772837098702</v>
      </c>
    </row>
    <row r="104" spans="11:35" x14ac:dyDescent="0.25">
      <c r="K104">
        <v>100</v>
      </c>
      <c r="L104">
        <f t="shared" si="28"/>
        <v>6.8559067922984038</v>
      </c>
      <c r="M104">
        <f t="shared" si="29"/>
        <v>7.620777001251259</v>
      </c>
      <c r="N104">
        <f t="shared" si="19"/>
        <v>-0.79141476731125482</v>
      </c>
      <c r="O104">
        <f t="shared" si="20"/>
        <v>0</v>
      </c>
      <c r="P104" s="2">
        <f t="shared" si="21"/>
        <v>9.3991321939327757E-2</v>
      </c>
      <c r="Q104" s="3">
        <f t="shared" si="22"/>
        <v>1.7951593717309779E-2</v>
      </c>
      <c r="R104">
        <f t="shared" si="30"/>
        <v>1.0605629434476554E-2</v>
      </c>
      <c r="S104">
        <f t="shared" si="31"/>
        <v>7.4386120181890725E-2</v>
      </c>
      <c r="T104">
        <f t="shared" si="23"/>
        <v>1.7951593717007587E-2</v>
      </c>
      <c r="U104">
        <f t="shared" si="24"/>
        <v>4.5365770568575527E-2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6AA0-F439-4E11-9E9B-19C66B451AC4}">
  <dimension ref="A1:AM104"/>
  <sheetViews>
    <sheetView tabSelected="1" topLeftCell="L1" workbookViewId="0">
      <selection activeCell="AG16" sqref="AG16"/>
    </sheetView>
  </sheetViews>
  <sheetFormatPr defaultRowHeight="15" x14ac:dyDescent="0.25"/>
  <cols>
    <col min="16" max="16" width="12" bestFit="1" customWidth="1"/>
    <col min="17" max="17" width="11" customWidth="1"/>
  </cols>
  <sheetData>
    <row r="1" spans="1:39" x14ac:dyDescent="0.25">
      <c r="A1" t="s">
        <v>0</v>
      </c>
      <c r="K1" t="s">
        <v>13</v>
      </c>
    </row>
    <row r="2" spans="1:39" x14ac:dyDescent="0.25">
      <c r="K2" t="s">
        <v>25</v>
      </c>
      <c r="L2" t="s">
        <v>26</v>
      </c>
      <c r="N2" t="s">
        <v>27</v>
      </c>
      <c r="R2" t="s">
        <v>28</v>
      </c>
      <c r="U2" t="s">
        <v>29</v>
      </c>
      <c r="V2" s="1" t="s">
        <v>30</v>
      </c>
      <c r="X2" t="s">
        <v>31</v>
      </c>
    </row>
    <row r="3" spans="1:39" x14ac:dyDescent="0.25">
      <c r="A3" t="s">
        <v>1</v>
      </c>
      <c r="E3" t="s">
        <v>9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46</v>
      </c>
      <c r="Q3" t="s">
        <v>47</v>
      </c>
      <c r="R3" t="s">
        <v>19</v>
      </c>
      <c r="S3" t="s">
        <v>48</v>
      </c>
      <c r="T3" t="s">
        <v>49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AB3" t="s">
        <v>20</v>
      </c>
      <c r="AC3">
        <v>350</v>
      </c>
      <c r="AD3" t="s">
        <v>20</v>
      </c>
      <c r="AE3">
        <v>200</v>
      </c>
      <c r="AF3" t="s">
        <v>20</v>
      </c>
      <c r="AG3">
        <v>50</v>
      </c>
    </row>
    <row r="4" spans="1:39" x14ac:dyDescent="0.25">
      <c r="A4" t="s">
        <v>2</v>
      </c>
      <c r="B4">
        <v>8.7225867488631863</v>
      </c>
      <c r="E4" t="s">
        <v>10</v>
      </c>
      <c r="F4">
        <f>B4*(F5-B6)^2+B5*(F6-B7)^2</f>
        <v>3.0219201650390697E-13</v>
      </c>
      <c r="K4">
        <v>0</v>
      </c>
      <c r="L4">
        <f>$B$8</f>
        <v>7.6300851466413997</v>
      </c>
      <c r="M4">
        <f>$B$9</f>
        <v>6.9177831354716002</v>
      </c>
      <c r="N4">
        <f>2*$B$4*(L4-$B$6)</f>
        <v>12.714260942386593</v>
      </c>
      <c r="O4">
        <f>2*$B$5*(M4-$B$7)</f>
        <v>-4.7907293079846198</v>
      </c>
      <c r="P4">
        <f>$B$4^2 * (L4-$B$6)^2</f>
        <v>40.413107827774311</v>
      </c>
      <c r="Q4">
        <f>$B$4^2 * (M4-$B$6)^2</f>
        <v>2.0740143770998327E-2</v>
      </c>
      <c r="R4" s="2">
        <f t="shared" ref="R4:R35" si="0">IF(U4&gt;$B$11,$B$10/SQRT(N4^2+O4^2),$B$10/SQRT(N4^2+O4^2)/$B$12)</f>
        <v>3.8323923110288073E-2</v>
      </c>
      <c r="S4">
        <f>$B$4*(L4-$B$6)^2*(1-2*$B$4*R4)^2+$B$5*(M4-$B$7)^2*(1-2*$B$5*R4)^2</f>
        <v>1.4281501764485709</v>
      </c>
      <c r="T4">
        <f>U4-S4</f>
        <v>4.8889327907830022</v>
      </c>
      <c r="U4">
        <f t="shared" ref="U4:U35" si="1">$B$4*(L4-$B$6)^2+$B$5*(M4-$B$7)^2</f>
        <v>6.3170829672315731</v>
      </c>
      <c r="X4">
        <f>ABS(U4-$F$4)</f>
        <v>6.3170829672312712</v>
      </c>
      <c r="Y4">
        <f t="shared" ref="Y4:Y35" si="2">SQRT(($F$5-L4)^2+($F$6-M4)^2)</f>
        <v>1.0126048364127436</v>
      </c>
      <c r="AB4" s="1">
        <v>1</v>
      </c>
      <c r="AC4" s="1">
        <v>1</v>
      </c>
      <c r="AD4" s="1">
        <v>2</v>
      </c>
      <c r="AE4" s="1">
        <v>2</v>
      </c>
      <c r="AF4" s="1">
        <v>3</v>
      </c>
      <c r="AG4" s="1">
        <v>3</v>
      </c>
      <c r="AK4">
        <f>$F$4</f>
        <v>3.0219201650390697E-13</v>
      </c>
      <c r="AL4">
        <f>$F$5</f>
        <v>6.9012725628661</v>
      </c>
      <c r="AM4">
        <f>$F$6</f>
        <v>7.6207772837098702</v>
      </c>
    </row>
    <row r="5" spans="1:39" x14ac:dyDescent="0.25">
      <c r="A5" t="s">
        <v>3</v>
      </c>
      <c r="B5">
        <v>3.4073763237403485</v>
      </c>
      <c r="E5" t="s">
        <v>11</v>
      </c>
      <c r="F5">
        <v>6.9012725628661</v>
      </c>
      <c r="K5">
        <v>1</v>
      </c>
      <c r="L5">
        <f t="shared" ref="L5:L36" si="3">L4-$R4*N4</f>
        <v>7.1428247878812368</v>
      </c>
      <c r="M5">
        <f t="shared" ref="M5:M36" si="4">M4-$R4*O4</f>
        <v>7.1013826771130066</v>
      </c>
      <c r="N5">
        <f t="shared" ref="N5:N68" si="5">2*$B$4*(L5-$B$6)</f>
        <v>4.2139194452511548</v>
      </c>
      <c r="O5">
        <f t="shared" ref="O5:O68" si="6">2*$B$5*(M5-$B$7)</f>
        <v>-3.5395438455076027</v>
      </c>
      <c r="P5">
        <f t="shared" ref="P5:P68" si="7">$B$4^2 * (L5-$B$6)^2</f>
        <v>4.4392792727664494</v>
      </c>
      <c r="Q5">
        <f t="shared" ref="Q5:Q68" si="8">$B$4^2 * (M5-$B$6)^2</f>
        <v>3.0466910620449279</v>
      </c>
      <c r="R5" s="2">
        <f t="shared" si="0"/>
        <v>1.3516822831513162E-2</v>
      </c>
      <c r="S5">
        <f t="shared" ref="S5:S68" si="9">$B$4*(L5-$B$6)^2*(1-2*$B$4*R5)^2+$B$5*(M5-$B$7)^2*(1-2*$B$5*R5)^2</f>
        <v>1.0548847872189109</v>
      </c>
      <c r="T5">
        <f t="shared" ref="T5:T68" si="10">U5-S5</f>
        <v>0.37326538922965757</v>
      </c>
      <c r="U5">
        <f t="shared" si="1"/>
        <v>1.4281501764485685</v>
      </c>
      <c r="V5">
        <f>ABS(U5-U4)</f>
        <v>4.8889327907830049</v>
      </c>
      <c r="W5">
        <f t="shared" ref="W5:W36" si="11">SQRT((L4-L5)^2+(M4-M5)^2)</f>
        <v>0.52070284127323263</v>
      </c>
      <c r="X5">
        <f t="shared" ref="X5:X68" si="12">ABS(U5-$F$4)</f>
        <v>1.4281501764482663</v>
      </c>
      <c r="Y5">
        <f t="shared" si="2"/>
        <v>0.57281605666363256</v>
      </c>
      <c r="AA5" t="s">
        <v>15</v>
      </c>
      <c r="AB5" s="1" t="s">
        <v>32</v>
      </c>
      <c r="AC5" s="1" t="s">
        <v>33</v>
      </c>
      <c r="AD5" s="1" t="s">
        <v>32</v>
      </c>
      <c r="AE5" s="1" t="s">
        <v>33</v>
      </c>
      <c r="AF5" s="1" t="s">
        <v>32</v>
      </c>
      <c r="AG5" s="1" t="s">
        <v>33</v>
      </c>
      <c r="AK5">
        <f t="shared" ref="AK5:AK68" si="13">$F$4</f>
        <v>3.0219201650390697E-13</v>
      </c>
      <c r="AL5">
        <f t="shared" ref="AL5:AL68" si="14">$F$5</f>
        <v>6.9012725628661</v>
      </c>
      <c r="AM5">
        <f t="shared" ref="AM5:AM68" si="15">$F$6</f>
        <v>7.6207772837098702</v>
      </c>
    </row>
    <row r="6" spans="1:39" x14ac:dyDescent="0.25">
      <c r="A6" t="s">
        <v>4</v>
      </c>
      <c r="B6">
        <v>6.9012726218451492</v>
      </c>
      <c r="E6" t="s">
        <v>12</v>
      </c>
      <c r="F6">
        <v>7.6207772837098702</v>
      </c>
      <c r="K6">
        <v>2</v>
      </c>
      <c r="L6">
        <f t="shared" si="3"/>
        <v>7.0858659853135091</v>
      </c>
      <c r="M6">
        <f t="shared" si="4"/>
        <v>7.1492260641771059</v>
      </c>
      <c r="N6">
        <f t="shared" si="5"/>
        <v>3.2202632522344028</v>
      </c>
      <c r="O6">
        <f t="shared" si="6"/>
        <v>-3.2135029968480882</v>
      </c>
      <c r="P6">
        <f t="shared" si="7"/>
        <v>2.5925238534228239</v>
      </c>
      <c r="Q6">
        <f t="shared" si="8"/>
        <v>4.6776839873326823</v>
      </c>
      <c r="R6" s="2">
        <f t="shared" si="0"/>
        <v>1.6350889645053882E-2</v>
      </c>
      <c r="S6">
        <f t="shared" si="9"/>
        <v>0.75006561411613504</v>
      </c>
      <c r="T6">
        <f t="shared" si="10"/>
        <v>0.30481917310277651</v>
      </c>
      <c r="U6">
        <f t="shared" si="1"/>
        <v>1.0548847872189115</v>
      </c>
      <c r="V6">
        <f t="shared" ref="V6:V69" si="16">ABS(U6-U5)</f>
        <v>0.37326538922965691</v>
      </c>
      <c r="W6">
        <f t="shared" si="11"/>
        <v>7.4386120181890142E-2</v>
      </c>
      <c r="X6">
        <f t="shared" si="12"/>
        <v>1.0548847872186093</v>
      </c>
      <c r="Y6">
        <f t="shared" si="2"/>
        <v>0.50639439595406743</v>
      </c>
      <c r="AA6">
        <v>-1</v>
      </c>
      <c r="AB6" t="e">
        <f>$B$7+SQRT(($AC$3-$B$4*($AA6-$B$6)^2)/$B$5)</f>
        <v>#NUM!</v>
      </c>
      <c r="AC6" t="e">
        <f t="shared" ref="AC6:AC27" si="17">$B$7-SQRT(($AC$3-$B$4*($AA6-$B$6)^2)/$B$5)</f>
        <v>#NUM!</v>
      </c>
      <c r="AD6" t="e">
        <f t="shared" ref="AD6:AD27" si="18">$B$7+SQRT(($AE$3-$B$4*($AA6-$B$6)^2)/$B$5)</f>
        <v>#NUM!</v>
      </c>
      <c r="AE6" t="e">
        <f t="shared" ref="AE6:AE27" si="19">$B$7-SQRT(($AE$3-$B$4*($AA6-$B$6)^2)/$B$5)</f>
        <v>#NUM!</v>
      </c>
      <c r="AF6" t="e">
        <f t="shared" ref="AF6:AF27" si="20">$B$7+SQRT(($AG$3-$B$4*($AA6-$B$6)^2)/$B$5)</f>
        <v>#NUM!</v>
      </c>
      <c r="AG6" t="e">
        <f t="shared" ref="AG6:AG27" si="21">$B$7-SQRT(($AG$3-$B$4*($AA6-$B$6)^2)/$B$5)</f>
        <v>#NUM!</v>
      </c>
      <c r="AK6">
        <f t="shared" si="13"/>
        <v>3.0219201650390697E-13</v>
      </c>
      <c r="AL6">
        <f t="shared" si="14"/>
        <v>6.9012725628661</v>
      </c>
      <c r="AM6">
        <f t="shared" si="15"/>
        <v>7.6207772837098702</v>
      </c>
    </row>
    <row r="7" spans="1:39" x14ac:dyDescent="0.25">
      <c r="A7" t="s">
        <v>5</v>
      </c>
      <c r="B7">
        <v>7.620777001251259</v>
      </c>
      <c r="K7">
        <v>3</v>
      </c>
      <c r="L7">
        <f t="shared" si="3"/>
        <v>7.033211816248202</v>
      </c>
      <c r="M7">
        <f t="shared" si="4"/>
        <v>7.2017696970526188</v>
      </c>
      <c r="N7">
        <f t="shared" si="5"/>
        <v>2.3017021375115045</v>
      </c>
      <c r="O7">
        <f t="shared" si="6"/>
        <v>-2.855431135601433</v>
      </c>
      <c r="P7">
        <f t="shared" si="7"/>
        <v>1.3244581824562571</v>
      </c>
      <c r="Q7">
        <f t="shared" si="8"/>
        <v>6.8702271010037261</v>
      </c>
      <c r="R7" s="2">
        <f t="shared" si="0"/>
        <v>2.0281938433150081E-2</v>
      </c>
      <c r="S7">
        <f t="shared" si="9"/>
        <v>0.50768423597031664</v>
      </c>
      <c r="T7">
        <f t="shared" si="10"/>
        <v>0.24238137814581873</v>
      </c>
      <c r="U7">
        <f t="shared" si="1"/>
        <v>0.75006561411613537</v>
      </c>
      <c r="V7">
        <f t="shared" si="16"/>
        <v>0.30481917310277618</v>
      </c>
      <c r="W7">
        <f t="shared" si="11"/>
        <v>7.4386120181890239E-2</v>
      </c>
      <c r="X7">
        <f t="shared" si="12"/>
        <v>0.75006561411583317</v>
      </c>
      <c r="Y7">
        <f t="shared" si="2"/>
        <v>0.43928956766506588</v>
      </c>
      <c r="AA7">
        <v>0</v>
      </c>
      <c r="AB7" t="e">
        <f t="shared" ref="AB6:AB27" si="22">$B$7+SQRT(($AC$3-$B$4*($AA7-$B$6)^2)/$B$5)</f>
        <v>#NUM!</v>
      </c>
      <c r="AC7" t="e">
        <f t="shared" si="17"/>
        <v>#NUM!</v>
      </c>
      <c r="AD7" t="e">
        <f t="shared" si="18"/>
        <v>#NUM!</v>
      </c>
      <c r="AE7" t="e">
        <f t="shared" si="19"/>
        <v>#NUM!</v>
      </c>
      <c r="AF7" t="e">
        <f t="shared" si="20"/>
        <v>#NUM!</v>
      </c>
      <c r="AG7" t="e">
        <f t="shared" si="21"/>
        <v>#NUM!</v>
      </c>
      <c r="AK7">
        <f t="shared" si="13"/>
        <v>3.0219201650390697E-13</v>
      </c>
      <c r="AL7">
        <f t="shared" si="14"/>
        <v>6.9012725628661</v>
      </c>
      <c r="AM7">
        <f t="shared" si="15"/>
        <v>7.6207772837098702</v>
      </c>
    </row>
    <row r="8" spans="1:39" x14ac:dyDescent="0.25">
      <c r="A8" t="s">
        <v>6</v>
      </c>
      <c r="B8">
        <v>7.6300851466413997</v>
      </c>
      <c r="K8">
        <v>4</v>
      </c>
      <c r="L8">
        <f t="shared" si="3"/>
        <v>6.9865288352037433</v>
      </c>
      <c r="M8">
        <f t="shared" si="4"/>
        <v>7.259683375544987</v>
      </c>
      <c r="N8">
        <f t="shared" si="5"/>
        <v>1.4873094337998514</v>
      </c>
      <c r="O8">
        <f t="shared" si="6"/>
        <v>-2.4607637417702213</v>
      </c>
      <c r="P8">
        <f t="shared" si="7"/>
        <v>0.55302233796750855</v>
      </c>
      <c r="Q8">
        <f t="shared" si="8"/>
        <v>9.7735571780357464</v>
      </c>
      <c r="R8" s="2">
        <f t="shared" si="0"/>
        <v>2.5870581072500721E-2</v>
      </c>
      <c r="S8">
        <f t="shared" si="9"/>
        <v>0.32052387094649026</v>
      </c>
      <c r="T8">
        <f t="shared" si="10"/>
        <v>0.1871603650238256</v>
      </c>
      <c r="U8">
        <f t="shared" si="1"/>
        <v>0.50768423597031587</v>
      </c>
      <c r="V8">
        <f t="shared" si="16"/>
        <v>0.2423813781458195</v>
      </c>
      <c r="W8">
        <f t="shared" si="11"/>
        <v>7.4386120181890628E-2</v>
      </c>
      <c r="X8">
        <f t="shared" si="12"/>
        <v>0.50768423597001366</v>
      </c>
      <c r="Y8">
        <f t="shared" si="2"/>
        <v>0.37102215902382368</v>
      </c>
      <c r="AA8">
        <v>1</v>
      </c>
      <c r="AB8">
        <f t="shared" si="22"/>
        <v>11.304431794424326</v>
      </c>
      <c r="AC8">
        <f t="shared" si="17"/>
        <v>3.937122208078192</v>
      </c>
      <c r="AD8" t="e">
        <f t="shared" si="18"/>
        <v>#NUM!</v>
      </c>
      <c r="AE8" t="e">
        <f t="shared" si="19"/>
        <v>#NUM!</v>
      </c>
      <c r="AF8" t="e">
        <f t="shared" si="20"/>
        <v>#NUM!</v>
      </c>
      <c r="AG8" t="e">
        <f t="shared" si="21"/>
        <v>#NUM!</v>
      </c>
      <c r="AK8">
        <f t="shared" si="13"/>
        <v>3.0219201650390697E-13</v>
      </c>
      <c r="AL8">
        <f t="shared" si="14"/>
        <v>6.9012725628661</v>
      </c>
      <c r="AM8">
        <f t="shared" si="15"/>
        <v>7.6207772837098702</v>
      </c>
    </row>
    <row r="9" spans="1:39" x14ac:dyDescent="0.25">
      <c r="A9" t="s">
        <v>7</v>
      </c>
      <c r="B9">
        <v>6.9177831354716002</v>
      </c>
      <c r="K9">
        <v>5</v>
      </c>
      <c r="L9">
        <f t="shared" si="3"/>
        <v>6.948051275916729</v>
      </c>
      <c r="M9">
        <f t="shared" si="4"/>
        <v>7.3233447634267241</v>
      </c>
      <c r="N9">
        <f t="shared" si="5"/>
        <v>0.81606173626883327</v>
      </c>
      <c r="O9">
        <f t="shared" si="6"/>
        <v>-2.0269271301608573</v>
      </c>
      <c r="P9">
        <f t="shared" si="7"/>
        <v>0.16648918935052573</v>
      </c>
      <c r="Q9">
        <f t="shared" si="8"/>
        <v>13.553890433799546</v>
      </c>
      <c r="R9" s="2">
        <f t="shared" si="0"/>
        <v>3.4043401413023124E-2</v>
      </c>
      <c r="S9">
        <f t="shared" si="9"/>
        <v>0.18094374868344193</v>
      </c>
      <c r="T9">
        <f t="shared" si="10"/>
        <v>0.13958012226304739</v>
      </c>
      <c r="U9">
        <f t="shared" si="1"/>
        <v>0.32052387094648932</v>
      </c>
      <c r="V9">
        <f t="shared" si="16"/>
        <v>0.18716036502382655</v>
      </c>
      <c r="W9">
        <f t="shared" si="11"/>
        <v>7.4386120181890739E-2</v>
      </c>
      <c r="X9">
        <f t="shared" si="12"/>
        <v>0.32052387094618712</v>
      </c>
      <c r="Y9">
        <f t="shared" si="2"/>
        <v>0.30108861173524509</v>
      </c>
      <c r="AA9">
        <v>2</v>
      </c>
      <c r="AB9">
        <f>$B$7+SQRT(($AC$3-$B$4*($AA9-$B$6)^2)/$B$5)</f>
        <v>14.041282278050369</v>
      </c>
      <c r="AC9">
        <f t="shared" si="17"/>
        <v>1.2002717244521488</v>
      </c>
      <c r="AD9" t="e">
        <f t="shared" si="18"/>
        <v>#NUM!</v>
      </c>
      <c r="AE9" t="e">
        <f t="shared" si="19"/>
        <v>#NUM!</v>
      </c>
      <c r="AF9" t="e">
        <f t="shared" si="20"/>
        <v>#NUM!</v>
      </c>
      <c r="AG9" t="e">
        <f t="shared" si="21"/>
        <v>#NUM!</v>
      </c>
      <c r="AK9">
        <f t="shared" si="13"/>
        <v>3.0219201650390697E-13</v>
      </c>
      <c r="AL9">
        <f t="shared" si="14"/>
        <v>6.9012725628661</v>
      </c>
      <c r="AM9">
        <f t="shared" si="15"/>
        <v>7.6207772837098702</v>
      </c>
    </row>
    <row r="10" spans="1:39" x14ac:dyDescent="0.25">
      <c r="A10" t="s">
        <v>8</v>
      </c>
      <c r="B10">
        <v>0.52070284127323219</v>
      </c>
      <c r="K10">
        <v>6</v>
      </c>
      <c r="L10">
        <f t="shared" si="3"/>
        <v>6.9202697586511208</v>
      </c>
      <c r="M10">
        <f t="shared" si="4"/>
        <v>7.3923482573537376</v>
      </c>
      <c r="N10">
        <f t="shared" si="5"/>
        <v>0.33140834754021786</v>
      </c>
      <c r="O10">
        <f t="shared" si="6"/>
        <v>-1.5566853872363242</v>
      </c>
      <c r="P10">
        <f t="shared" si="7"/>
        <v>2.7457873204834456E-2</v>
      </c>
      <c r="Q10">
        <f t="shared" si="8"/>
        <v>18.347942454495008</v>
      </c>
      <c r="R10" s="2">
        <f t="shared" si="0"/>
        <v>4.6737519988059362E-2</v>
      </c>
      <c r="S10">
        <f t="shared" si="9"/>
        <v>8.2682114361507672E-2</v>
      </c>
      <c r="T10">
        <f t="shared" si="10"/>
        <v>9.826163432193373E-2</v>
      </c>
      <c r="U10">
        <f t="shared" si="1"/>
        <v>0.1809437486834414</v>
      </c>
      <c r="V10">
        <f t="shared" si="16"/>
        <v>0.13958012226304792</v>
      </c>
      <c r="W10">
        <f t="shared" si="11"/>
        <v>7.4386120181890558E-2</v>
      </c>
      <c r="X10">
        <f t="shared" si="12"/>
        <v>0.1809437486831392</v>
      </c>
      <c r="Y10">
        <f t="shared" si="2"/>
        <v>0.22921761173545355</v>
      </c>
      <c r="AA10">
        <v>3</v>
      </c>
      <c r="AB10">
        <f t="shared" si="22"/>
        <v>15.605552358132812</v>
      </c>
      <c r="AC10">
        <f t="shared" si="17"/>
        <v>-0.36399835563029281</v>
      </c>
      <c r="AD10">
        <f t="shared" si="18"/>
        <v>12.063129619257611</v>
      </c>
      <c r="AE10">
        <f t="shared" si="19"/>
        <v>3.1784243832449075</v>
      </c>
      <c r="AF10" t="e">
        <f t="shared" si="20"/>
        <v>#NUM!</v>
      </c>
      <c r="AG10" t="e">
        <f t="shared" si="21"/>
        <v>#NUM!</v>
      </c>
      <c r="AK10">
        <f t="shared" si="13"/>
        <v>3.0219201650390697E-13</v>
      </c>
      <c r="AL10">
        <f t="shared" si="14"/>
        <v>6.9012725628661</v>
      </c>
      <c r="AM10">
        <f t="shared" si="15"/>
        <v>7.6207772837098702</v>
      </c>
    </row>
    <row r="11" spans="1:39" x14ac:dyDescent="0.25">
      <c r="A11" t="s">
        <v>44</v>
      </c>
      <c r="B11">
        <v>6</v>
      </c>
      <c r="K11">
        <v>7</v>
      </c>
      <c r="L11">
        <f t="shared" si="3"/>
        <v>6.9047805543837502</v>
      </c>
      <c r="M11">
        <f t="shared" si="4"/>
        <v>7.465103871754815</v>
      </c>
      <c r="N11">
        <f t="shared" si="5"/>
        <v>6.1196491754212989E-2</v>
      </c>
      <c r="O11">
        <f t="shared" si="6"/>
        <v>-1.0608738713774968</v>
      </c>
      <c r="P11">
        <f t="shared" si="7"/>
        <v>9.3625265075586472E-4</v>
      </c>
      <c r="Q11">
        <f t="shared" si="8"/>
        <v>24.187382908852367</v>
      </c>
      <c r="R11" s="2">
        <f t="shared" si="0"/>
        <v>7.0001409367415376E-2</v>
      </c>
      <c r="S11">
        <f t="shared" si="9"/>
        <v>2.2588195120355304E-2</v>
      </c>
      <c r="T11">
        <f t="shared" si="10"/>
        <v>6.0093919241152566E-2</v>
      </c>
      <c r="U11">
        <f t="shared" si="1"/>
        <v>8.2682114361507866E-2</v>
      </c>
      <c r="V11">
        <f t="shared" si="16"/>
        <v>9.8261634321933536E-2</v>
      </c>
      <c r="W11">
        <f t="shared" si="11"/>
        <v>7.4386120181890156E-2</v>
      </c>
      <c r="X11">
        <f t="shared" si="12"/>
        <v>8.2682114361205677E-2</v>
      </c>
      <c r="Y11">
        <f t="shared" si="2"/>
        <v>0.15571293200699873</v>
      </c>
      <c r="AA11">
        <v>4</v>
      </c>
      <c r="AB11">
        <f t="shared" si="22"/>
        <v>16.630247635347359</v>
      </c>
      <c r="AC11">
        <f t="shared" si="17"/>
        <v>-1.3886936328448396</v>
      </c>
      <c r="AD11">
        <f t="shared" si="18"/>
        <v>13.715727402155679</v>
      </c>
      <c r="AE11">
        <f t="shared" si="19"/>
        <v>1.5258266003468393</v>
      </c>
      <c r="AF11" t="e">
        <f t="shared" si="20"/>
        <v>#NUM!</v>
      </c>
      <c r="AG11" t="e">
        <f t="shared" si="21"/>
        <v>#NUM!</v>
      </c>
      <c r="AK11">
        <f t="shared" si="13"/>
        <v>3.0219201650390697E-13</v>
      </c>
      <c r="AL11">
        <f t="shared" si="14"/>
        <v>6.9012725628661</v>
      </c>
      <c r="AM11">
        <f t="shared" si="15"/>
        <v>7.6207772837098702</v>
      </c>
    </row>
    <row r="12" spans="1:39" x14ac:dyDescent="0.25">
      <c r="A12" t="s">
        <v>45</v>
      </c>
      <c r="B12">
        <v>7</v>
      </c>
      <c r="K12">
        <v>8</v>
      </c>
      <c r="L12">
        <f t="shared" si="3"/>
        <v>6.9004967137126139</v>
      </c>
      <c r="M12">
        <f t="shared" si="4"/>
        <v>7.539366537912306</v>
      </c>
      <c r="N12">
        <f t="shared" si="5"/>
        <v>-1.3535851990376283E-2</v>
      </c>
      <c r="O12">
        <f t="shared" si="6"/>
        <v>-0.55479217057175989</v>
      </c>
      <c r="P12">
        <f t="shared" si="7"/>
        <v>4.5804822276343394E-5</v>
      </c>
      <c r="Q12">
        <f t="shared" si="8"/>
        <v>30.978458432911221</v>
      </c>
      <c r="R12" s="2">
        <f t="shared" si="0"/>
        <v>0.13403936513301343</v>
      </c>
      <c r="S12">
        <f t="shared" si="9"/>
        <v>1.7859158008072472E-4</v>
      </c>
      <c r="T12">
        <f t="shared" si="10"/>
        <v>2.2409603540274541E-2</v>
      </c>
      <c r="U12">
        <f t="shared" si="1"/>
        <v>2.2588195120355266E-2</v>
      </c>
      <c r="V12">
        <f t="shared" si="16"/>
        <v>6.00939192411526E-2</v>
      </c>
      <c r="W12">
        <f t="shared" si="11"/>
        <v>7.4386120181890378E-2</v>
      </c>
      <c r="X12">
        <f t="shared" si="12"/>
        <v>2.2588195120053074E-2</v>
      </c>
      <c r="Y12">
        <f t="shared" si="2"/>
        <v>8.1414442657458327E-2</v>
      </c>
      <c r="AA12">
        <v>5</v>
      </c>
      <c r="AB12">
        <f t="shared" si="22"/>
        <v>17.288489183031206</v>
      </c>
      <c r="AC12">
        <f t="shared" si="17"/>
        <v>-2.0469351805286884</v>
      </c>
      <c r="AD12">
        <f t="shared" si="18"/>
        <v>14.652314394494745</v>
      </c>
      <c r="AE12">
        <f t="shared" si="19"/>
        <v>0.58923960800777397</v>
      </c>
      <c r="AF12">
        <f t="shared" si="20"/>
        <v>9.9489473978129777</v>
      </c>
      <c r="AG12">
        <f t="shared" si="21"/>
        <v>5.2926066046895404</v>
      </c>
      <c r="AK12">
        <f t="shared" si="13"/>
        <v>3.0219201650390697E-13</v>
      </c>
      <c r="AL12">
        <f t="shared" si="14"/>
        <v>6.9012725628661</v>
      </c>
      <c r="AM12">
        <f t="shared" si="15"/>
        <v>7.6207772837098702</v>
      </c>
    </row>
    <row r="13" spans="1:39" x14ac:dyDescent="0.25">
      <c r="K13">
        <v>9</v>
      </c>
      <c r="L13">
        <f t="shared" si="3"/>
        <v>6.9023110507199386</v>
      </c>
      <c r="M13">
        <f t="shared" si="4"/>
        <v>7.6137305282365109</v>
      </c>
      <c r="N13">
        <f t="shared" si="5"/>
        <v>1.8115571885748676E-2</v>
      </c>
      <c r="O13">
        <f t="shared" si="6"/>
        <v>-4.8019970632656207E-2</v>
      </c>
      <c r="P13">
        <f t="shared" si="7"/>
        <v>8.2043486186931955E-5</v>
      </c>
      <c r="Q13">
        <f t="shared" si="8"/>
        <v>38.619710629800103</v>
      </c>
      <c r="R13" s="2">
        <f t="shared" si="0"/>
        <v>1.4493606863733139</v>
      </c>
      <c r="S13">
        <f t="shared" si="9"/>
        <v>1.8879046857119032E-2</v>
      </c>
      <c r="T13">
        <f t="shared" si="10"/>
        <v>-1.8700455277038286E-2</v>
      </c>
      <c r="U13">
        <f t="shared" si="1"/>
        <v>1.7859158008074681E-4</v>
      </c>
      <c r="V13">
        <f t="shared" si="16"/>
        <v>2.240960354027452E-2</v>
      </c>
      <c r="W13">
        <f t="shared" si="11"/>
        <v>7.4386120181889961E-2</v>
      </c>
      <c r="X13">
        <f t="shared" si="12"/>
        <v>1.7859157977855478E-4</v>
      </c>
      <c r="Y13">
        <f t="shared" si="2"/>
        <v>7.1228659768305044E-3</v>
      </c>
      <c r="AA13">
        <v>6</v>
      </c>
      <c r="AB13">
        <f t="shared" si="22"/>
        <v>17.652672668030903</v>
      </c>
      <c r="AC13">
        <f t="shared" si="17"/>
        <v>-2.4111186655283863</v>
      </c>
      <c r="AD13">
        <f t="shared" si="18"/>
        <v>15.145189931971981</v>
      </c>
      <c r="AE13">
        <f t="shared" si="19"/>
        <v>9.6364070530538193E-2</v>
      </c>
      <c r="AF13">
        <f t="shared" si="20"/>
        <v>11.169671087419816</v>
      </c>
      <c r="AG13">
        <f t="shared" si="21"/>
        <v>4.0718829150827016</v>
      </c>
      <c r="AK13">
        <f t="shared" si="13"/>
        <v>3.0219201650390697E-13</v>
      </c>
      <c r="AL13">
        <f t="shared" si="14"/>
        <v>6.9012725628661</v>
      </c>
      <c r="AM13">
        <f t="shared" si="15"/>
        <v>7.6207772837098702</v>
      </c>
    </row>
    <row r="14" spans="1:39" x14ac:dyDescent="0.25">
      <c r="K14">
        <v>10</v>
      </c>
      <c r="L14">
        <f t="shared" si="3"/>
        <v>6.8760550530175646</v>
      </c>
      <c r="M14">
        <f t="shared" si="4"/>
        <v>7.6833287858322841</v>
      </c>
      <c r="N14">
        <f t="shared" si="5"/>
        <v>-0.43992486338807019</v>
      </c>
      <c r="O14">
        <f t="shared" si="6"/>
        <v>0.4262749395781828</v>
      </c>
      <c r="P14">
        <f t="shared" si="7"/>
        <v>4.8383471356753048E-2</v>
      </c>
      <c r="Q14">
        <f t="shared" si="8"/>
        <v>46.533581687202791</v>
      </c>
      <c r="R14" s="2">
        <f t="shared" si="0"/>
        <v>0.12143249206530715</v>
      </c>
      <c r="S14">
        <f t="shared" si="9"/>
        <v>7.3348880002362775E-3</v>
      </c>
      <c r="T14">
        <f t="shared" si="10"/>
        <v>1.1544158856882921E-2</v>
      </c>
      <c r="U14">
        <f t="shared" si="1"/>
        <v>1.8879046857119199E-2</v>
      </c>
      <c r="V14">
        <f t="shared" si="16"/>
        <v>1.8700455277038452E-2</v>
      </c>
      <c r="W14">
        <f t="shared" si="11"/>
        <v>7.4386120181890586E-2</v>
      </c>
      <c r="X14">
        <f t="shared" si="12"/>
        <v>1.8879046856817006E-2</v>
      </c>
      <c r="Y14">
        <f t="shared" si="2"/>
        <v>6.7443407540925232E-2</v>
      </c>
      <c r="AA14">
        <v>7</v>
      </c>
      <c r="AB14">
        <f t="shared" si="22"/>
        <v>17.754551057588188</v>
      </c>
      <c r="AC14">
        <f t="shared" si="17"/>
        <v>-2.512997055085668</v>
      </c>
      <c r="AD14">
        <f t="shared" si="18"/>
        <v>15.280492133534729</v>
      </c>
      <c r="AE14">
        <f t="shared" si="19"/>
        <v>-3.8938131032210777E-2</v>
      </c>
      <c r="AF14">
        <f t="shared" si="20"/>
        <v>11.44819064372281</v>
      </c>
      <c r="AG14">
        <f t="shared" si="21"/>
        <v>3.793363358779708</v>
      </c>
      <c r="AK14">
        <f t="shared" si="13"/>
        <v>3.0219201650390697E-13</v>
      </c>
      <c r="AL14">
        <f t="shared" si="14"/>
        <v>6.9012725628661</v>
      </c>
      <c r="AM14">
        <f t="shared" si="15"/>
        <v>7.6207772837098702</v>
      </c>
    </row>
    <row r="15" spans="1:39" x14ac:dyDescent="0.25">
      <c r="K15">
        <v>11</v>
      </c>
      <c r="L15">
        <f t="shared" si="3"/>
        <v>6.9294762255002675</v>
      </c>
      <c r="M15">
        <f t="shared" si="4"/>
        <v>7.6315651576143173</v>
      </c>
      <c r="N15">
        <f t="shared" si="5"/>
        <v>0.4920167590246487</v>
      </c>
      <c r="O15">
        <f t="shared" si="6"/>
        <v>7.3518617136587264E-2</v>
      </c>
      <c r="P15">
        <f t="shared" si="7"/>
        <v>6.0520122790279796E-2</v>
      </c>
      <c r="Q15">
        <f t="shared" si="8"/>
        <v>40.577409541643142</v>
      </c>
      <c r="R15" s="2">
        <f t="shared" si="0"/>
        <v>0.14952611412576439</v>
      </c>
      <c r="S15">
        <f t="shared" si="9"/>
        <v>1.7951673995894816E-2</v>
      </c>
      <c r="T15">
        <f t="shared" si="10"/>
        <v>-1.0616785995658632E-2</v>
      </c>
      <c r="U15">
        <f t="shared" si="1"/>
        <v>7.3348880002361847E-3</v>
      </c>
      <c r="V15">
        <f t="shared" si="16"/>
        <v>1.1544158856883015E-2</v>
      </c>
      <c r="W15">
        <f t="shared" si="11"/>
        <v>7.4386120181890003E-2</v>
      </c>
      <c r="X15">
        <f t="shared" si="12"/>
        <v>7.3348879999339924E-3</v>
      </c>
      <c r="Y15">
        <f t="shared" si="2"/>
        <v>3.019643703088476E-2</v>
      </c>
      <c r="AA15">
        <v>8</v>
      </c>
      <c r="AB15">
        <f t="shared" si="22"/>
        <v>17.602159505541032</v>
      </c>
      <c r="AC15">
        <f t="shared" si="17"/>
        <v>-2.3606055030385118</v>
      </c>
      <c r="AD15">
        <f t="shared" si="18"/>
        <v>15.077710417863408</v>
      </c>
      <c r="AE15">
        <f t="shared" si="19"/>
        <v>0.16384358463911042</v>
      </c>
      <c r="AF15">
        <f t="shared" si="20"/>
        <v>11.02426275304043</v>
      </c>
      <c r="AG15">
        <f t="shared" si="21"/>
        <v>4.2172912494620878</v>
      </c>
      <c r="AK15">
        <f t="shared" si="13"/>
        <v>3.0219201650390697E-13</v>
      </c>
      <c r="AL15">
        <f t="shared" si="14"/>
        <v>6.9012725628661</v>
      </c>
      <c r="AM15">
        <f t="shared" si="15"/>
        <v>7.6207772837098702</v>
      </c>
    </row>
    <row r="16" spans="1:39" x14ac:dyDescent="0.25">
      <c r="K16" s="6">
        <v>12</v>
      </c>
      <c r="L16">
        <f t="shared" si="3"/>
        <v>6.8559068714385596</v>
      </c>
      <c r="M16">
        <f t="shared" si="4"/>
        <v>7.620572204477984</v>
      </c>
      <c r="N16">
        <f t="shared" si="5"/>
        <v>-0.79141338669750694</v>
      </c>
      <c r="O16">
        <f t="shared" si="6"/>
        <v>-1.3956393528713558E-3</v>
      </c>
      <c r="P16">
        <f t="shared" si="7"/>
        <v>0.15658378716100438</v>
      </c>
      <c r="Q16">
        <f t="shared" si="8"/>
        <v>39.364995966992169</v>
      </c>
      <c r="R16" s="2">
        <f t="shared" si="0"/>
        <v>9.3991339756935313E-2</v>
      </c>
      <c r="S16">
        <f t="shared" si="9"/>
        <v>7.3459642588562246E-3</v>
      </c>
      <c r="T16">
        <f t="shared" si="10"/>
        <v>1.0605709737038286E-2</v>
      </c>
      <c r="U16">
        <f t="shared" si="1"/>
        <v>1.7951673995894511E-2</v>
      </c>
      <c r="V16" s="6">
        <f t="shared" si="16"/>
        <v>1.0616785995658327E-2</v>
      </c>
      <c r="W16">
        <f t="shared" si="11"/>
        <v>7.4386120181889864E-2</v>
      </c>
      <c r="X16">
        <f t="shared" si="12"/>
        <v>1.7951673995592318E-2</v>
      </c>
      <c r="Y16">
        <f t="shared" si="2"/>
        <v>4.5366154963696968E-2</v>
      </c>
      <c r="AA16">
        <v>9</v>
      </c>
      <c r="AB16">
        <f t="shared" si="22"/>
        <v>17.183349400209391</v>
      </c>
      <c r="AC16">
        <f t="shared" si="17"/>
        <v>-1.9417953977068727</v>
      </c>
      <c r="AD16">
        <f t="shared" si="18"/>
        <v>14.507042329290897</v>
      </c>
      <c r="AE16">
        <f t="shared" si="19"/>
        <v>0.73451167321162103</v>
      </c>
      <c r="AF16">
        <f t="shared" si="20"/>
        <v>9.464281666557488</v>
      </c>
      <c r="AG16">
        <f t="shared" si="21"/>
        <v>5.77727233594503</v>
      </c>
      <c r="AK16">
        <f t="shared" si="13"/>
        <v>3.0219201650390697E-13</v>
      </c>
      <c r="AL16">
        <f t="shared" si="14"/>
        <v>6.9012725628661</v>
      </c>
      <c r="AM16">
        <f t="shared" si="15"/>
        <v>7.6207772837098702</v>
      </c>
    </row>
    <row r="17" spans="11:39" x14ac:dyDescent="0.25">
      <c r="K17" s="6">
        <v>13</v>
      </c>
      <c r="L17">
        <f t="shared" si="3"/>
        <v>6.930292875955832</v>
      </c>
      <c r="M17">
        <f t="shared" si="4"/>
        <v>7.6207033824905777</v>
      </c>
      <c r="N17">
        <f t="shared" si="5"/>
        <v>0.50626336790896775</v>
      </c>
      <c r="O17">
        <f t="shared" si="6"/>
        <v>-5.0169364425746931E-4</v>
      </c>
      <c r="P17">
        <f t="shared" si="7"/>
        <v>6.4075649421632713E-2</v>
      </c>
      <c r="Q17">
        <f t="shared" si="8"/>
        <v>39.379355193445676</v>
      </c>
      <c r="R17" s="2">
        <f t="shared" si="0"/>
        <v>0.14693159405252371</v>
      </c>
      <c r="S17">
        <f t="shared" si="9"/>
        <v>1.7951593717211122E-2</v>
      </c>
      <c r="T17">
        <f t="shared" si="10"/>
        <v>-1.0605629458354795E-2</v>
      </c>
      <c r="U17">
        <f t="shared" si="1"/>
        <v>7.345964258856327E-3</v>
      </c>
      <c r="V17">
        <f t="shared" si="16"/>
        <v>1.0605709737038184E-2</v>
      </c>
      <c r="W17">
        <f t="shared" si="11"/>
        <v>7.4386120181890503E-2</v>
      </c>
      <c r="X17">
        <f t="shared" si="12"/>
        <v>7.3459642585541347E-3</v>
      </c>
      <c r="Y17">
        <f t="shared" si="2"/>
        <v>2.9020407185569971E-2</v>
      </c>
      <c r="AA17">
        <v>10</v>
      </c>
      <c r="AB17">
        <f t="shared" si="22"/>
        <v>16.460333505398353</v>
      </c>
      <c r="AC17">
        <f t="shared" si="17"/>
        <v>-1.2187795028958348</v>
      </c>
      <c r="AD17">
        <f t="shared" si="18"/>
        <v>13.461634684233626</v>
      </c>
      <c r="AE17">
        <f t="shared" si="19"/>
        <v>1.7799193182688908</v>
      </c>
      <c r="AF17" t="e">
        <f t="shared" si="20"/>
        <v>#NUM!</v>
      </c>
      <c r="AG17" t="e">
        <f t="shared" si="21"/>
        <v>#NUM!</v>
      </c>
      <c r="AK17">
        <f t="shared" si="13"/>
        <v>3.0219201650390697E-13</v>
      </c>
      <c r="AL17">
        <f t="shared" si="14"/>
        <v>6.9012725628661</v>
      </c>
      <c r="AM17">
        <f t="shared" si="15"/>
        <v>7.6207772837098702</v>
      </c>
    </row>
    <row r="18" spans="11:39" x14ac:dyDescent="0.25">
      <c r="K18" s="6">
        <v>14</v>
      </c>
      <c r="L18">
        <f t="shared" si="3"/>
        <v>6.8559067922985681</v>
      </c>
      <c r="M18">
        <f t="shared" si="4"/>
        <v>7.620777097137454</v>
      </c>
      <c r="N18">
        <f t="shared" si="5"/>
        <v>-0.79141476730838833</v>
      </c>
      <c r="O18">
        <f t="shared" si="6"/>
        <v>6.5344070112418976E-7</v>
      </c>
      <c r="P18">
        <f t="shared" si="7"/>
        <v>0.15658433347844761</v>
      </c>
      <c r="Q18">
        <f t="shared" si="8"/>
        <v>39.387425418231508</v>
      </c>
      <c r="R18" s="2">
        <f t="shared" si="0"/>
        <v>9.3991321939636135E-2</v>
      </c>
      <c r="S18">
        <f t="shared" si="9"/>
        <v>7.345964282907411E-3</v>
      </c>
      <c r="T18">
        <f t="shared" si="10"/>
        <v>1.0605629434303656E-2</v>
      </c>
      <c r="U18">
        <f t="shared" si="1"/>
        <v>1.7951593717211067E-2</v>
      </c>
      <c r="V18">
        <f t="shared" si="16"/>
        <v>1.060562945835474E-2</v>
      </c>
      <c r="W18">
        <f t="shared" si="11"/>
        <v>7.4386120181890239E-2</v>
      </c>
      <c r="X18">
        <f t="shared" si="12"/>
        <v>1.7951593716908874E-2</v>
      </c>
      <c r="Y18">
        <f t="shared" si="2"/>
        <v>4.5365770567915534E-2</v>
      </c>
      <c r="AA18">
        <v>11</v>
      </c>
      <c r="AB18">
        <f t="shared" si="22"/>
        <v>15.348189350221766</v>
      </c>
      <c r="AC18">
        <f t="shared" si="17"/>
        <v>-0.10663534771924699</v>
      </c>
      <c r="AD18">
        <f t="shared" si="18"/>
        <v>11.581933510891702</v>
      </c>
      <c r="AE18">
        <f t="shared" si="19"/>
        <v>3.6596204916108173</v>
      </c>
      <c r="AF18" t="e">
        <f t="shared" si="20"/>
        <v>#NUM!</v>
      </c>
      <c r="AG18" t="e">
        <f t="shared" si="21"/>
        <v>#NUM!</v>
      </c>
      <c r="AK18">
        <f t="shared" si="13"/>
        <v>3.0219201650390697E-13</v>
      </c>
      <c r="AL18">
        <f t="shared" si="14"/>
        <v>6.9012725628661</v>
      </c>
      <c r="AM18">
        <f t="shared" si="15"/>
        <v>7.6207772837098702</v>
      </c>
    </row>
    <row r="19" spans="11:39" x14ac:dyDescent="0.25">
      <c r="K19" s="6">
        <v>15</v>
      </c>
      <c r="L19">
        <f t="shared" si="3"/>
        <v>6.9302929124804331</v>
      </c>
      <c r="M19">
        <f t="shared" si="4"/>
        <v>7.6207770357196987</v>
      </c>
      <c r="N19">
        <f t="shared" si="5"/>
        <v>0.50626400508697122</v>
      </c>
      <c r="O19">
        <f t="shared" si="6"/>
        <v>2.3489389041416979E-7</v>
      </c>
      <c r="P19">
        <f t="shared" si="7"/>
        <v>6.4075810711675216E-2</v>
      </c>
      <c r="Q19">
        <f t="shared" si="8"/>
        <v>39.387418693917105</v>
      </c>
      <c r="R19" s="2">
        <f t="shared" si="0"/>
        <v>0.14693148127152253</v>
      </c>
      <c r="S19">
        <f t="shared" si="9"/>
        <v>1.7951593717193459E-2</v>
      </c>
      <c r="T19">
        <f t="shared" si="10"/>
        <v>-1.0605629434286038E-2</v>
      </c>
      <c r="U19">
        <f t="shared" si="1"/>
        <v>7.3459642829074214E-3</v>
      </c>
      <c r="V19">
        <f t="shared" si="16"/>
        <v>1.0605629434303645E-2</v>
      </c>
      <c r="W19" s="6">
        <f t="shared" si="11"/>
        <v>7.4386120181890322E-2</v>
      </c>
      <c r="X19">
        <f t="shared" si="12"/>
        <v>7.3459642826052291E-3</v>
      </c>
      <c r="Y19">
        <f t="shared" si="2"/>
        <v>2.9020349615392672E-2</v>
      </c>
      <c r="AA19">
        <v>12</v>
      </c>
      <c r="AB19">
        <f t="shared" si="22"/>
        <v>13.634778842650537</v>
      </c>
      <c r="AC19">
        <f t="shared" si="17"/>
        <v>1.6067751598519804</v>
      </c>
      <c r="AD19" t="e">
        <f t="shared" si="18"/>
        <v>#NUM!</v>
      </c>
      <c r="AE19" t="e">
        <f t="shared" si="19"/>
        <v>#NUM!</v>
      </c>
      <c r="AF19" t="e">
        <f t="shared" si="20"/>
        <v>#NUM!</v>
      </c>
      <c r="AG19" t="e">
        <f t="shared" si="21"/>
        <v>#NUM!</v>
      </c>
      <c r="AK19">
        <f t="shared" si="13"/>
        <v>3.0219201650390697E-13</v>
      </c>
      <c r="AL19">
        <f t="shared" si="14"/>
        <v>6.9012725628661</v>
      </c>
      <c r="AM19">
        <f t="shared" si="15"/>
        <v>7.6207772837098702</v>
      </c>
    </row>
    <row r="20" spans="11:39" x14ac:dyDescent="0.25">
      <c r="K20">
        <v>16</v>
      </c>
      <c r="L20">
        <f t="shared" si="3"/>
        <v>6.8559067922985504</v>
      </c>
      <c r="M20">
        <f t="shared" si="4"/>
        <v>7.6207770012063918</v>
      </c>
      <c r="N20">
        <f t="shared" si="5"/>
        <v>-0.7914147673086982</v>
      </c>
      <c r="O20">
        <f t="shared" si="6"/>
        <v>-3.0575901343266923E-10</v>
      </c>
      <c r="P20">
        <f t="shared" si="7"/>
        <v>0.15658433347857023</v>
      </c>
      <c r="Q20">
        <f t="shared" si="8"/>
        <v>39.387414915232753</v>
      </c>
      <c r="R20" s="2">
        <f t="shared" si="0"/>
        <v>9.3991321939631375E-2</v>
      </c>
      <c r="S20">
        <f t="shared" si="9"/>
        <v>7.3459642829072089E-3</v>
      </c>
      <c r="T20">
        <f t="shared" si="10"/>
        <v>1.0605629434286588E-2</v>
      </c>
      <c r="U20">
        <f t="shared" si="1"/>
        <v>1.7951593717193796E-2</v>
      </c>
      <c r="V20">
        <f t="shared" si="16"/>
        <v>1.0605629434286374E-2</v>
      </c>
      <c r="W20">
        <f t="shared" si="11"/>
        <v>7.4386120181890739E-2</v>
      </c>
      <c r="X20">
        <f t="shared" si="12"/>
        <v>1.7951593716891603E-2</v>
      </c>
      <c r="Y20">
        <f t="shared" si="2"/>
        <v>4.5365770568429255E-2</v>
      </c>
      <c r="AA20">
        <v>13</v>
      </c>
      <c r="AB20">
        <f t="shared" si="22"/>
        <v>10.360066836592775</v>
      </c>
      <c r="AC20">
        <f t="shared" si="17"/>
        <v>4.8814871659097427</v>
      </c>
      <c r="AD20" t="e">
        <f t="shared" si="18"/>
        <v>#NUM!</v>
      </c>
      <c r="AE20" t="e">
        <f t="shared" si="19"/>
        <v>#NUM!</v>
      </c>
      <c r="AF20" t="e">
        <f t="shared" si="20"/>
        <v>#NUM!</v>
      </c>
      <c r="AG20" t="e">
        <f t="shared" si="21"/>
        <v>#NUM!</v>
      </c>
      <c r="AK20">
        <f t="shared" si="13"/>
        <v>3.0219201650390697E-13</v>
      </c>
      <c r="AL20">
        <f t="shared" si="14"/>
        <v>6.9012725628661</v>
      </c>
      <c r="AM20">
        <f t="shared" si="15"/>
        <v>7.6207772837098702</v>
      </c>
    </row>
    <row r="21" spans="11:39" x14ac:dyDescent="0.25">
      <c r="K21">
        <v>17</v>
      </c>
      <c r="L21">
        <f t="shared" si="3"/>
        <v>6.9302929124804411</v>
      </c>
      <c r="M21">
        <f t="shared" si="4"/>
        <v>7.6207770012351306</v>
      </c>
      <c r="N21">
        <f t="shared" si="5"/>
        <v>0.50626400508711067</v>
      </c>
      <c r="O21">
        <f t="shared" si="6"/>
        <v>-1.0991127414925648E-10</v>
      </c>
      <c r="P21">
        <f t="shared" si="7"/>
        <v>6.4075810711710521E-2</v>
      </c>
      <c r="Q21">
        <f t="shared" si="8"/>
        <v>39.387414918379214</v>
      </c>
      <c r="R21" s="2">
        <f t="shared" si="0"/>
        <v>0.14693148127149788</v>
      </c>
      <c r="S21">
        <f t="shared" si="9"/>
        <v>1.7951593717193473E-2</v>
      </c>
      <c r="T21">
        <f t="shared" si="10"/>
        <v>-1.0605629434286053E-2</v>
      </c>
      <c r="U21" s="4">
        <f t="shared" si="1"/>
        <v>7.3459642829074197E-3</v>
      </c>
      <c r="V21">
        <f t="shared" si="16"/>
        <v>1.0605629434286376E-2</v>
      </c>
      <c r="W21">
        <f t="shared" si="11"/>
        <v>7.4386120181890725E-2</v>
      </c>
      <c r="X21">
        <f t="shared" si="12"/>
        <v>7.3459642826052274E-3</v>
      </c>
      <c r="Y21">
        <f t="shared" si="2"/>
        <v>2.9020349615715837E-2</v>
      </c>
      <c r="AA21">
        <v>14</v>
      </c>
      <c r="AB21" t="e">
        <f t="shared" si="22"/>
        <v>#NUM!</v>
      </c>
      <c r="AC21" t="e">
        <f t="shared" si="17"/>
        <v>#NUM!</v>
      </c>
      <c r="AD21" t="e">
        <f t="shared" si="18"/>
        <v>#NUM!</v>
      </c>
      <c r="AE21" t="e">
        <f t="shared" si="19"/>
        <v>#NUM!</v>
      </c>
      <c r="AF21" t="e">
        <f t="shared" si="20"/>
        <v>#NUM!</v>
      </c>
      <c r="AG21" t="e">
        <f t="shared" si="21"/>
        <v>#NUM!</v>
      </c>
      <c r="AK21">
        <f t="shared" si="13"/>
        <v>3.0219201650390697E-13</v>
      </c>
      <c r="AL21">
        <f t="shared" si="14"/>
        <v>6.9012725628661</v>
      </c>
      <c r="AM21">
        <f t="shared" si="15"/>
        <v>7.6207772837098702</v>
      </c>
    </row>
    <row r="22" spans="11:39" x14ac:dyDescent="0.25">
      <c r="K22">
        <v>18</v>
      </c>
      <c r="L22">
        <f t="shared" si="3"/>
        <v>6.8559067922985504</v>
      </c>
      <c r="M22">
        <f t="shared" si="4"/>
        <v>7.6207770012512803</v>
      </c>
      <c r="N22">
        <f t="shared" si="5"/>
        <v>-0.7914147673086982</v>
      </c>
      <c r="O22">
        <f t="shared" si="6"/>
        <v>1.4526518969007961E-13</v>
      </c>
      <c r="P22">
        <f t="shared" si="7"/>
        <v>0.15658433347857023</v>
      </c>
      <c r="Q22">
        <f t="shared" si="8"/>
        <v>39.387414920147371</v>
      </c>
      <c r="R22" s="2">
        <f t="shared" si="0"/>
        <v>9.3991321939631375E-2</v>
      </c>
      <c r="S22">
        <f t="shared" si="9"/>
        <v>7.3459642829072089E-3</v>
      </c>
      <c r="T22">
        <f t="shared" si="10"/>
        <v>1.0605629434286588E-2</v>
      </c>
      <c r="U22" s="3">
        <f t="shared" si="1"/>
        <v>1.7951593717193796E-2</v>
      </c>
      <c r="V22">
        <f t="shared" si="16"/>
        <v>1.0605629434286376E-2</v>
      </c>
      <c r="W22">
        <f t="shared" si="11"/>
        <v>7.4386120181890725E-2</v>
      </c>
      <c r="X22">
        <f t="shared" si="12"/>
        <v>1.7951593716891603E-2</v>
      </c>
      <c r="Y22">
        <f t="shared" si="2"/>
        <v>4.5365770568428977E-2</v>
      </c>
      <c r="AA22">
        <v>15</v>
      </c>
      <c r="AB22" t="e">
        <f t="shared" si="22"/>
        <v>#NUM!</v>
      </c>
      <c r="AC22" t="e">
        <f t="shared" si="17"/>
        <v>#NUM!</v>
      </c>
      <c r="AD22" t="e">
        <f t="shared" si="18"/>
        <v>#NUM!</v>
      </c>
      <c r="AE22" t="e">
        <f t="shared" si="19"/>
        <v>#NUM!</v>
      </c>
      <c r="AF22" t="e">
        <f t="shared" si="20"/>
        <v>#NUM!</v>
      </c>
      <c r="AG22" t="e">
        <f t="shared" si="21"/>
        <v>#NUM!</v>
      </c>
      <c r="AK22">
        <f t="shared" si="13"/>
        <v>3.0219201650390697E-13</v>
      </c>
      <c r="AL22">
        <f t="shared" si="14"/>
        <v>6.9012725628661</v>
      </c>
      <c r="AM22">
        <f t="shared" si="15"/>
        <v>7.6207772837098702</v>
      </c>
    </row>
    <row r="23" spans="11:39" x14ac:dyDescent="0.25">
      <c r="K23">
        <v>19</v>
      </c>
      <c r="L23">
        <f t="shared" si="3"/>
        <v>6.9302929124804411</v>
      </c>
      <c r="M23">
        <f t="shared" si="4"/>
        <v>7.620777001251267</v>
      </c>
      <c r="N23">
        <f t="shared" si="5"/>
        <v>0.50626400508711067</v>
      </c>
      <c r="O23">
        <f t="shared" si="6"/>
        <v>5.4474446133779849E-14</v>
      </c>
      <c r="P23">
        <f t="shared" si="7"/>
        <v>6.4075810711710521E-2</v>
      </c>
      <c r="Q23">
        <f t="shared" si="8"/>
        <v>39.387414920145908</v>
      </c>
      <c r="R23" s="2">
        <f t="shared" si="0"/>
        <v>0.14693148127149788</v>
      </c>
      <c r="S23">
        <f t="shared" si="9"/>
        <v>1.7951593717193473E-2</v>
      </c>
      <c r="T23">
        <f t="shared" si="10"/>
        <v>-1.0605629434286053E-2</v>
      </c>
      <c r="U23">
        <f t="shared" si="1"/>
        <v>7.3459642829074197E-3</v>
      </c>
      <c r="V23">
        <f t="shared" si="16"/>
        <v>1.0605629434286376E-2</v>
      </c>
      <c r="W23">
        <f t="shared" si="11"/>
        <v>7.4386120181890725E-2</v>
      </c>
      <c r="X23">
        <f t="shared" si="12"/>
        <v>7.3459642826052274E-3</v>
      </c>
      <c r="Y23">
        <f t="shared" si="2"/>
        <v>2.9020349615715681E-2</v>
      </c>
      <c r="AA23">
        <v>16</v>
      </c>
      <c r="AB23" t="e">
        <f t="shared" si="22"/>
        <v>#NUM!</v>
      </c>
      <c r="AC23" t="e">
        <f t="shared" si="17"/>
        <v>#NUM!</v>
      </c>
      <c r="AD23" t="e">
        <f t="shared" si="18"/>
        <v>#NUM!</v>
      </c>
      <c r="AE23" t="e">
        <f t="shared" si="19"/>
        <v>#NUM!</v>
      </c>
      <c r="AF23" t="e">
        <f t="shared" si="20"/>
        <v>#NUM!</v>
      </c>
      <c r="AG23" t="e">
        <f t="shared" si="21"/>
        <v>#NUM!</v>
      </c>
      <c r="AK23">
        <f t="shared" si="13"/>
        <v>3.0219201650390697E-13</v>
      </c>
      <c r="AL23">
        <f t="shared" si="14"/>
        <v>6.9012725628661</v>
      </c>
      <c r="AM23">
        <f t="shared" si="15"/>
        <v>7.6207772837098702</v>
      </c>
    </row>
    <row r="24" spans="11:39" x14ac:dyDescent="0.25">
      <c r="K24">
        <v>20</v>
      </c>
      <c r="L24">
        <f t="shared" si="3"/>
        <v>6.8559067922985504</v>
      </c>
      <c r="M24">
        <f t="shared" si="4"/>
        <v>7.620777001251259</v>
      </c>
      <c r="N24">
        <f t="shared" si="5"/>
        <v>-0.7914147673086982</v>
      </c>
      <c r="O24">
        <f t="shared" si="6"/>
        <v>0</v>
      </c>
      <c r="P24">
        <f t="shared" si="7"/>
        <v>0.15658433347857023</v>
      </c>
      <c r="Q24">
        <f t="shared" si="8"/>
        <v>39.387414920145027</v>
      </c>
      <c r="R24" s="2">
        <f t="shared" si="0"/>
        <v>9.3991321939631375E-2</v>
      </c>
      <c r="S24">
        <f t="shared" si="9"/>
        <v>7.3459642829072089E-3</v>
      </c>
      <c r="T24">
        <f t="shared" si="10"/>
        <v>1.0605629434286588E-2</v>
      </c>
      <c r="U24">
        <f t="shared" si="1"/>
        <v>1.7951593717193796E-2</v>
      </c>
      <c r="V24">
        <f t="shared" si="16"/>
        <v>1.0605629434286376E-2</v>
      </c>
      <c r="W24">
        <f t="shared" si="11"/>
        <v>7.4386120181890725E-2</v>
      </c>
      <c r="X24">
        <f t="shared" si="12"/>
        <v>1.7951593716891603E-2</v>
      </c>
      <c r="Y24">
        <f t="shared" si="2"/>
        <v>4.5365770568428977E-2</v>
      </c>
      <c r="AA24">
        <v>17</v>
      </c>
      <c r="AB24" t="e">
        <f t="shared" si="22"/>
        <v>#NUM!</v>
      </c>
      <c r="AC24" t="e">
        <f t="shared" si="17"/>
        <v>#NUM!</v>
      </c>
      <c r="AD24" t="e">
        <f t="shared" si="18"/>
        <v>#NUM!</v>
      </c>
      <c r="AE24" t="e">
        <f t="shared" si="19"/>
        <v>#NUM!</v>
      </c>
      <c r="AF24" t="e">
        <f t="shared" si="20"/>
        <v>#NUM!</v>
      </c>
      <c r="AG24" t="e">
        <f t="shared" si="21"/>
        <v>#NUM!</v>
      </c>
      <c r="AK24">
        <f t="shared" si="13"/>
        <v>3.0219201650390697E-13</v>
      </c>
      <c r="AL24">
        <f t="shared" si="14"/>
        <v>6.9012725628661</v>
      </c>
      <c r="AM24">
        <f t="shared" si="15"/>
        <v>7.6207772837098702</v>
      </c>
    </row>
    <row r="25" spans="11:39" x14ac:dyDescent="0.25">
      <c r="K25">
        <v>21</v>
      </c>
      <c r="L25">
        <f t="shared" si="3"/>
        <v>6.9302929124804411</v>
      </c>
      <c r="M25">
        <f t="shared" si="4"/>
        <v>7.620777001251259</v>
      </c>
      <c r="N25">
        <f t="shared" si="5"/>
        <v>0.50626400508711067</v>
      </c>
      <c r="O25">
        <f t="shared" si="6"/>
        <v>0</v>
      </c>
      <c r="P25">
        <f t="shared" si="7"/>
        <v>6.4075810711710521E-2</v>
      </c>
      <c r="Q25">
        <f t="shared" si="8"/>
        <v>39.387414920145027</v>
      </c>
      <c r="R25" s="2">
        <f t="shared" si="0"/>
        <v>0.14693148127149788</v>
      </c>
      <c r="S25">
        <f t="shared" si="9"/>
        <v>1.7951593717193473E-2</v>
      </c>
      <c r="T25">
        <f t="shared" si="10"/>
        <v>-1.0605629434286053E-2</v>
      </c>
      <c r="U25">
        <f t="shared" si="1"/>
        <v>7.3459642829074197E-3</v>
      </c>
      <c r="V25">
        <f t="shared" si="16"/>
        <v>1.0605629434286376E-2</v>
      </c>
      <c r="W25">
        <f t="shared" si="11"/>
        <v>7.4386120181890725E-2</v>
      </c>
      <c r="X25">
        <f t="shared" si="12"/>
        <v>7.3459642826052274E-3</v>
      </c>
      <c r="Y25">
        <f t="shared" si="2"/>
        <v>2.9020349615715681E-2</v>
      </c>
      <c r="AA25">
        <v>18</v>
      </c>
      <c r="AB25" t="e">
        <f t="shared" si="22"/>
        <v>#NUM!</v>
      </c>
      <c r="AC25" t="e">
        <f t="shared" si="17"/>
        <v>#NUM!</v>
      </c>
      <c r="AD25" t="e">
        <f t="shared" si="18"/>
        <v>#NUM!</v>
      </c>
      <c r="AE25" t="e">
        <f t="shared" si="19"/>
        <v>#NUM!</v>
      </c>
      <c r="AF25" t="e">
        <f t="shared" si="20"/>
        <v>#NUM!</v>
      </c>
      <c r="AG25" t="e">
        <f t="shared" si="21"/>
        <v>#NUM!</v>
      </c>
      <c r="AK25">
        <f t="shared" si="13"/>
        <v>3.0219201650390697E-13</v>
      </c>
      <c r="AL25">
        <f t="shared" si="14"/>
        <v>6.9012725628661</v>
      </c>
      <c r="AM25">
        <f t="shared" si="15"/>
        <v>7.6207772837098702</v>
      </c>
    </row>
    <row r="26" spans="11:39" x14ac:dyDescent="0.25">
      <c r="K26">
        <v>22</v>
      </c>
      <c r="L26">
        <f t="shared" si="3"/>
        <v>6.8559067922985504</v>
      </c>
      <c r="M26">
        <f t="shared" si="4"/>
        <v>7.620777001251259</v>
      </c>
      <c r="N26">
        <f t="shared" si="5"/>
        <v>-0.7914147673086982</v>
      </c>
      <c r="O26">
        <f t="shared" si="6"/>
        <v>0</v>
      </c>
      <c r="P26">
        <f t="shared" si="7"/>
        <v>0.15658433347857023</v>
      </c>
      <c r="Q26">
        <f t="shared" si="8"/>
        <v>39.387414920145027</v>
      </c>
      <c r="R26" s="2">
        <f t="shared" si="0"/>
        <v>9.3991321939631375E-2</v>
      </c>
      <c r="S26">
        <f t="shared" si="9"/>
        <v>7.3459642829072089E-3</v>
      </c>
      <c r="T26">
        <f t="shared" si="10"/>
        <v>1.0605629434286588E-2</v>
      </c>
      <c r="U26">
        <f t="shared" si="1"/>
        <v>1.7951593717193796E-2</v>
      </c>
      <c r="V26">
        <f t="shared" si="16"/>
        <v>1.0605629434286376E-2</v>
      </c>
      <c r="W26">
        <f t="shared" si="11"/>
        <v>7.4386120181890725E-2</v>
      </c>
      <c r="X26">
        <f t="shared" si="12"/>
        <v>1.7951593716891603E-2</v>
      </c>
      <c r="Y26">
        <f t="shared" si="2"/>
        <v>4.5365770568428977E-2</v>
      </c>
      <c r="AA26">
        <v>19</v>
      </c>
      <c r="AB26" t="e">
        <f t="shared" si="22"/>
        <v>#NUM!</v>
      </c>
      <c r="AC26" t="e">
        <f t="shared" si="17"/>
        <v>#NUM!</v>
      </c>
      <c r="AD26" t="e">
        <f t="shared" si="18"/>
        <v>#NUM!</v>
      </c>
      <c r="AE26" t="e">
        <f t="shared" si="19"/>
        <v>#NUM!</v>
      </c>
      <c r="AF26" t="e">
        <f t="shared" si="20"/>
        <v>#NUM!</v>
      </c>
      <c r="AG26" t="e">
        <f t="shared" si="21"/>
        <v>#NUM!</v>
      </c>
      <c r="AK26">
        <f t="shared" si="13"/>
        <v>3.0219201650390697E-13</v>
      </c>
      <c r="AL26">
        <f t="shared" si="14"/>
        <v>6.9012725628661</v>
      </c>
      <c r="AM26">
        <f t="shared" si="15"/>
        <v>7.6207772837098702</v>
      </c>
    </row>
    <row r="27" spans="11:39" x14ac:dyDescent="0.25">
      <c r="K27">
        <v>23</v>
      </c>
      <c r="L27">
        <f t="shared" si="3"/>
        <v>6.9302929124804411</v>
      </c>
      <c r="M27">
        <f t="shared" si="4"/>
        <v>7.620777001251259</v>
      </c>
      <c r="N27">
        <f t="shared" si="5"/>
        <v>0.50626400508711067</v>
      </c>
      <c r="O27">
        <f t="shared" si="6"/>
        <v>0</v>
      </c>
      <c r="P27">
        <f t="shared" si="7"/>
        <v>6.4075810711710521E-2</v>
      </c>
      <c r="Q27">
        <f t="shared" si="8"/>
        <v>39.387414920145027</v>
      </c>
      <c r="R27" s="2">
        <f t="shared" si="0"/>
        <v>0.14693148127149788</v>
      </c>
      <c r="S27">
        <f t="shared" si="9"/>
        <v>1.7951593717193473E-2</v>
      </c>
      <c r="T27">
        <f t="shared" si="10"/>
        <v>-1.0605629434286053E-2</v>
      </c>
      <c r="U27">
        <f t="shared" si="1"/>
        <v>7.3459642829074197E-3</v>
      </c>
      <c r="V27">
        <f t="shared" si="16"/>
        <v>1.0605629434286376E-2</v>
      </c>
      <c r="W27">
        <f t="shared" si="11"/>
        <v>7.4386120181890725E-2</v>
      </c>
      <c r="X27">
        <f t="shared" si="12"/>
        <v>7.3459642826052274E-3</v>
      </c>
      <c r="Y27">
        <f t="shared" si="2"/>
        <v>2.9020349615715681E-2</v>
      </c>
      <c r="AA27">
        <v>20</v>
      </c>
      <c r="AB27" t="e">
        <f t="shared" si="22"/>
        <v>#NUM!</v>
      </c>
      <c r="AC27" t="e">
        <f t="shared" si="17"/>
        <v>#NUM!</v>
      </c>
      <c r="AD27" t="e">
        <f t="shared" si="18"/>
        <v>#NUM!</v>
      </c>
      <c r="AE27" t="e">
        <f t="shared" si="19"/>
        <v>#NUM!</v>
      </c>
      <c r="AF27" t="e">
        <f t="shared" si="20"/>
        <v>#NUM!</v>
      </c>
      <c r="AG27" t="e">
        <f t="shared" si="21"/>
        <v>#NUM!</v>
      </c>
      <c r="AK27">
        <f t="shared" si="13"/>
        <v>3.0219201650390697E-13</v>
      </c>
      <c r="AL27">
        <f t="shared" si="14"/>
        <v>6.9012725628661</v>
      </c>
      <c r="AM27">
        <f t="shared" si="15"/>
        <v>7.6207772837098702</v>
      </c>
    </row>
    <row r="28" spans="11:39" x14ac:dyDescent="0.25">
      <c r="K28">
        <v>24</v>
      </c>
      <c r="L28">
        <f t="shared" si="3"/>
        <v>6.8559067922985504</v>
      </c>
      <c r="M28">
        <f t="shared" si="4"/>
        <v>7.620777001251259</v>
      </c>
      <c r="N28">
        <f t="shared" si="5"/>
        <v>-0.7914147673086982</v>
      </c>
      <c r="O28">
        <f t="shared" si="6"/>
        <v>0</v>
      </c>
      <c r="P28">
        <f t="shared" si="7"/>
        <v>0.15658433347857023</v>
      </c>
      <c r="Q28">
        <f t="shared" si="8"/>
        <v>39.387414920145027</v>
      </c>
      <c r="R28" s="2">
        <f t="shared" si="0"/>
        <v>9.3991321939631375E-2</v>
      </c>
      <c r="S28">
        <f t="shared" si="9"/>
        <v>7.3459642829072089E-3</v>
      </c>
      <c r="T28">
        <f t="shared" si="10"/>
        <v>1.0605629434286588E-2</v>
      </c>
      <c r="U28">
        <f t="shared" si="1"/>
        <v>1.7951593717193796E-2</v>
      </c>
      <c r="V28">
        <f t="shared" si="16"/>
        <v>1.0605629434286376E-2</v>
      </c>
      <c r="W28">
        <f t="shared" si="11"/>
        <v>7.4386120181890725E-2</v>
      </c>
      <c r="X28">
        <f t="shared" si="12"/>
        <v>1.7951593716891603E-2</v>
      </c>
      <c r="Y28">
        <f t="shared" si="2"/>
        <v>4.5365770568428977E-2</v>
      </c>
      <c r="AK28">
        <f t="shared" si="13"/>
        <v>3.0219201650390697E-13</v>
      </c>
      <c r="AL28">
        <f t="shared" si="14"/>
        <v>6.9012725628661</v>
      </c>
      <c r="AM28">
        <f t="shared" si="15"/>
        <v>7.6207772837098702</v>
      </c>
    </row>
    <row r="29" spans="11:39" x14ac:dyDescent="0.25">
      <c r="K29">
        <v>25</v>
      </c>
      <c r="L29">
        <f t="shared" si="3"/>
        <v>6.9302929124804411</v>
      </c>
      <c r="M29">
        <f t="shared" si="4"/>
        <v>7.620777001251259</v>
      </c>
      <c r="N29">
        <f t="shared" si="5"/>
        <v>0.50626400508711067</v>
      </c>
      <c r="O29">
        <f t="shared" si="6"/>
        <v>0</v>
      </c>
      <c r="P29">
        <f t="shared" si="7"/>
        <v>6.4075810711710521E-2</v>
      </c>
      <c r="Q29">
        <f t="shared" si="8"/>
        <v>39.387414920145027</v>
      </c>
      <c r="R29" s="2">
        <f t="shared" si="0"/>
        <v>0.14693148127149788</v>
      </c>
      <c r="S29">
        <f t="shared" si="9"/>
        <v>1.7951593717193473E-2</v>
      </c>
      <c r="T29">
        <f t="shared" si="10"/>
        <v>-1.0605629434286053E-2</v>
      </c>
      <c r="U29">
        <f t="shared" si="1"/>
        <v>7.3459642829074197E-3</v>
      </c>
      <c r="V29">
        <f t="shared" si="16"/>
        <v>1.0605629434286376E-2</v>
      </c>
      <c r="W29">
        <f t="shared" si="11"/>
        <v>7.4386120181890725E-2</v>
      </c>
      <c r="X29">
        <f t="shared" si="12"/>
        <v>7.3459642826052274E-3</v>
      </c>
      <c r="Y29">
        <f t="shared" si="2"/>
        <v>2.9020349615715681E-2</v>
      </c>
      <c r="AK29">
        <f t="shared" si="13"/>
        <v>3.0219201650390697E-13</v>
      </c>
      <c r="AL29">
        <f t="shared" si="14"/>
        <v>6.9012725628661</v>
      </c>
      <c r="AM29">
        <f t="shared" si="15"/>
        <v>7.6207772837098702</v>
      </c>
    </row>
    <row r="30" spans="11:39" x14ac:dyDescent="0.25">
      <c r="K30">
        <v>26</v>
      </c>
      <c r="L30">
        <f t="shared" si="3"/>
        <v>6.8559067922985504</v>
      </c>
      <c r="M30">
        <f t="shared" si="4"/>
        <v>7.620777001251259</v>
      </c>
      <c r="N30">
        <f t="shared" si="5"/>
        <v>-0.7914147673086982</v>
      </c>
      <c r="O30">
        <f t="shared" si="6"/>
        <v>0</v>
      </c>
      <c r="P30">
        <f t="shared" si="7"/>
        <v>0.15658433347857023</v>
      </c>
      <c r="Q30">
        <f t="shared" si="8"/>
        <v>39.387414920145027</v>
      </c>
      <c r="R30" s="2">
        <f t="shared" si="0"/>
        <v>9.3991321939631375E-2</v>
      </c>
      <c r="S30">
        <f t="shared" si="9"/>
        <v>7.3459642829072089E-3</v>
      </c>
      <c r="T30">
        <f t="shared" si="10"/>
        <v>1.0605629434286588E-2</v>
      </c>
      <c r="U30">
        <f t="shared" si="1"/>
        <v>1.7951593717193796E-2</v>
      </c>
      <c r="V30">
        <f t="shared" si="16"/>
        <v>1.0605629434286376E-2</v>
      </c>
      <c r="W30">
        <f t="shared" si="11"/>
        <v>7.4386120181890725E-2</v>
      </c>
      <c r="X30">
        <f t="shared" si="12"/>
        <v>1.7951593716891603E-2</v>
      </c>
      <c r="Y30">
        <f t="shared" si="2"/>
        <v>4.5365770568428977E-2</v>
      </c>
      <c r="AK30">
        <f t="shared" si="13"/>
        <v>3.0219201650390697E-13</v>
      </c>
      <c r="AL30">
        <f t="shared" si="14"/>
        <v>6.9012725628661</v>
      </c>
      <c r="AM30">
        <f t="shared" si="15"/>
        <v>7.6207772837098702</v>
      </c>
    </row>
    <row r="31" spans="11:39" x14ac:dyDescent="0.25">
      <c r="K31">
        <v>27</v>
      </c>
      <c r="L31">
        <f t="shared" si="3"/>
        <v>6.9302929124804411</v>
      </c>
      <c r="M31">
        <f t="shared" si="4"/>
        <v>7.620777001251259</v>
      </c>
      <c r="N31">
        <f t="shared" si="5"/>
        <v>0.50626400508711067</v>
      </c>
      <c r="O31">
        <f t="shared" si="6"/>
        <v>0</v>
      </c>
      <c r="P31">
        <f t="shared" si="7"/>
        <v>6.4075810711710521E-2</v>
      </c>
      <c r="Q31">
        <f t="shared" si="8"/>
        <v>39.387414920145027</v>
      </c>
      <c r="R31" s="2">
        <f t="shared" si="0"/>
        <v>0.14693148127149788</v>
      </c>
      <c r="S31">
        <f t="shared" si="9"/>
        <v>1.7951593717193473E-2</v>
      </c>
      <c r="T31">
        <f t="shared" si="10"/>
        <v>-1.0605629434286053E-2</v>
      </c>
      <c r="U31">
        <f t="shared" si="1"/>
        <v>7.3459642829074197E-3</v>
      </c>
      <c r="V31">
        <f t="shared" si="16"/>
        <v>1.0605629434286376E-2</v>
      </c>
      <c r="W31">
        <f t="shared" si="11"/>
        <v>7.4386120181890725E-2</v>
      </c>
      <c r="X31">
        <f t="shared" si="12"/>
        <v>7.3459642826052274E-3</v>
      </c>
      <c r="Y31">
        <f t="shared" si="2"/>
        <v>2.9020349615715681E-2</v>
      </c>
      <c r="AK31">
        <f t="shared" si="13"/>
        <v>3.0219201650390697E-13</v>
      </c>
      <c r="AL31">
        <f t="shared" si="14"/>
        <v>6.9012725628661</v>
      </c>
      <c r="AM31">
        <f t="shared" si="15"/>
        <v>7.6207772837098702</v>
      </c>
    </row>
    <row r="32" spans="11:39" x14ac:dyDescent="0.25">
      <c r="K32" s="6">
        <v>28</v>
      </c>
      <c r="L32">
        <f t="shared" si="3"/>
        <v>6.8559067922985504</v>
      </c>
      <c r="M32">
        <f t="shared" si="4"/>
        <v>7.620777001251259</v>
      </c>
      <c r="N32">
        <f t="shared" si="5"/>
        <v>-0.7914147673086982</v>
      </c>
      <c r="O32">
        <f t="shared" si="6"/>
        <v>0</v>
      </c>
      <c r="P32">
        <f t="shared" si="7"/>
        <v>0.15658433347857023</v>
      </c>
      <c r="Q32">
        <f t="shared" si="8"/>
        <v>39.387414920145027</v>
      </c>
      <c r="R32" s="2">
        <f t="shared" si="0"/>
        <v>9.3991321939631375E-2</v>
      </c>
      <c r="S32">
        <f t="shared" si="9"/>
        <v>7.3459642829072089E-3</v>
      </c>
      <c r="T32">
        <f t="shared" si="10"/>
        <v>1.0605629434286588E-2</v>
      </c>
      <c r="U32" s="6">
        <f t="shared" si="1"/>
        <v>1.7951593717193796E-2</v>
      </c>
      <c r="V32" s="6">
        <f t="shared" si="16"/>
        <v>1.0605629434286376E-2</v>
      </c>
      <c r="W32">
        <f t="shared" si="11"/>
        <v>7.4386120181890725E-2</v>
      </c>
      <c r="X32" s="6">
        <f t="shared" si="12"/>
        <v>1.7951593716891603E-2</v>
      </c>
      <c r="Y32">
        <f t="shared" si="2"/>
        <v>4.5365770568428977E-2</v>
      </c>
      <c r="AK32">
        <f t="shared" si="13"/>
        <v>3.0219201650390697E-13</v>
      </c>
      <c r="AL32">
        <f t="shared" si="14"/>
        <v>6.9012725628661</v>
      </c>
      <c r="AM32">
        <f t="shared" si="15"/>
        <v>7.6207772837098702</v>
      </c>
    </row>
    <row r="33" spans="11:39" x14ac:dyDescent="0.25">
      <c r="K33">
        <v>29</v>
      </c>
      <c r="L33">
        <f t="shared" si="3"/>
        <v>6.9302929124804411</v>
      </c>
      <c r="M33">
        <f t="shared" si="4"/>
        <v>7.620777001251259</v>
      </c>
      <c r="N33">
        <f t="shared" si="5"/>
        <v>0.50626400508711067</v>
      </c>
      <c r="O33">
        <f t="shared" si="6"/>
        <v>0</v>
      </c>
      <c r="P33">
        <f t="shared" si="7"/>
        <v>6.4075810711710521E-2</v>
      </c>
      <c r="Q33">
        <f t="shared" si="8"/>
        <v>39.387414920145027</v>
      </c>
      <c r="R33" s="2">
        <f t="shared" si="0"/>
        <v>0.14693148127149788</v>
      </c>
      <c r="S33">
        <f t="shared" si="9"/>
        <v>1.7951593717193473E-2</v>
      </c>
      <c r="T33">
        <f t="shared" si="10"/>
        <v>-1.0605629434286053E-2</v>
      </c>
      <c r="U33">
        <f t="shared" si="1"/>
        <v>7.3459642829074197E-3</v>
      </c>
      <c r="V33">
        <f t="shared" si="16"/>
        <v>1.0605629434286376E-2</v>
      </c>
      <c r="W33">
        <f t="shared" si="11"/>
        <v>7.4386120181890725E-2</v>
      </c>
      <c r="X33">
        <f t="shared" si="12"/>
        <v>7.3459642826052274E-3</v>
      </c>
      <c r="Y33">
        <f t="shared" si="2"/>
        <v>2.9020349615715681E-2</v>
      </c>
      <c r="AK33">
        <f t="shared" si="13"/>
        <v>3.0219201650390697E-13</v>
      </c>
      <c r="AL33">
        <f t="shared" si="14"/>
        <v>6.9012725628661</v>
      </c>
      <c r="AM33">
        <f t="shared" si="15"/>
        <v>7.6207772837098702</v>
      </c>
    </row>
    <row r="34" spans="11:39" x14ac:dyDescent="0.25">
      <c r="K34">
        <v>30</v>
      </c>
      <c r="L34">
        <f t="shared" si="3"/>
        <v>6.8559067922985504</v>
      </c>
      <c r="M34">
        <f t="shared" si="4"/>
        <v>7.620777001251259</v>
      </c>
      <c r="N34">
        <f t="shared" si="5"/>
        <v>-0.7914147673086982</v>
      </c>
      <c r="O34">
        <f t="shared" si="6"/>
        <v>0</v>
      </c>
      <c r="P34">
        <f t="shared" si="7"/>
        <v>0.15658433347857023</v>
      </c>
      <c r="Q34">
        <f t="shared" si="8"/>
        <v>39.387414920145027</v>
      </c>
      <c r="R34" s="2">
        <f t="shared" si="0"/>
        <v>9.3991321939631375E-2</v>
      </c>
      <c r="S34">
        <f t="shared" si="9"/>
        <v>7.3459642829072089E-3</v>
      </c>
      <c r="T34">
        <f t="shared" si="10"/>
        <v>1.0605629434286588E-2</v>
      </c>
      <c r="U34">
        <f t="shared" si="1"/>
        <v>1.7951593717193796E-2</v>
      </c>
      <c r="V34">
        <f t="shared" si="16"/>
        <v>1.0605629434286376E-2</v>
      </c>
      <c r="W34">
        <f t="shared" si="11"/>
        <v>7.4386120181890725E-2</v>
      </c>
      <c r="X34">
        <f t="shared" si="12"/>
        <v>1.7951593716891603E-2</v>
      </c>
      <c r="Y34">
        <f t="shared" si="2"/>
        <v>4.5365770568428977E-2</v>
      </c>
      <c r="AK34">
        <f t="shared" si="13"/>
        <v>3.0219201650390697E-13</v>
      </c>
      <c r="AL34">
        <f t="shared" si="14"/>
        <v>6.9012725628661</v>
      </c>
      <c r="AM34">
        <f t="shared" si="15"/>
        <v>7.6207772837098702</v>
      </c>
    </row>
    <row r="35" spans="11:39" x14ac:dyDescent="0.25">
      <c r="K35">
        <v>31</v>
      </c>
      <c r="L35">
        <f t="shared" si="3"/>
        <v>6.9302929124804411</v>
      </c>
      <c r="M35">
        <f t="shared" si="4"/>
        <v>7.620777001251259</v>
      </c>
      <c r="N35">
        <f t="shared" si="5"/>
        <v>0.50626400508711067</v>
      </c>
      <c r="O35">
        <f t="shared" si="6"/>
        <v>0</v>
      </c>
      <c r="P35">
        <f t="shared" si="7"/>
        <v>6.4075810711710521E-2</v>
      </c>
      <c r="Q35">
        <f t="shared" si="8"/>
        <v>39.387414920145027</v>
      </c>
      <c r="R35" s="2">
        <f t="shared" si="0"/>
        <v>0.14693148127149788</v>
      </c>
      <c r="S35">
        <f t="shared" si="9"/>
        <v>1.7951593717193473E-2</v>
      </c>
      <c r="T35">
        <f t="shared" si="10"/>
        <v>-1.0605629434286053E-2</v>
      </c>
      <c r="U35">
        <f t="shared" si="1"/>
        <v>7.3459642829074197E-3</v>
      </c>
      <c r="V35">
        <f t="shared" si="16"/>
        <v>1.0605629434286376E-2</v>
      </c>
      <c r="W35">
        <f t="shared" si="11"/>
        <v>7.4386120181890725E-2</v>
      </c>
      <c r="X35">
        <f t="shared" si="12"/>
        <v>7.3459642826052274E-3</v>
      </c>
      <c r="Y35">
        <f t="shared" si="2"/>
        <v>2.9020349615715681E-2</v>
      </c>
      <c r="AK35">
        <f t="shared" si="13"/>
        <v>3.0219201650390697E-13</v>
      </c>
      <c r="AL35">
        <f t="shared" si="14"/>
        <v>6.9012725628661</v>
      </c>
      <c r="AM35">
        <f t="shared" si="15"/>
        <v>7.6207772837098702</v>
      </c>
    </row>
    <row r="36" spans="11:39" x14ac:dyDescent="0.25">
      <c r="K36">
        <v>32</v>
      </c>
      <c r="L36">
        <f t="shared" si="3"/>
        <v>6.8559067922985504</v>
      </c>
      <c r="M36">
        <f t="shared" si="4"/>
        <v>7.620777001251259</v>
      </c>
      <c r="N36">
        <f t="shared" si="5"/>
        <v>-0.7914147673086982</v>
      </c>
      <c r="O36">
        <f t="shared" si="6"/>
        <v>0</v>
      </c>
      <c r="P36">
        <f t="shared" si="7"/>
        <v>0.15658433347857023</v>
      </c>
      <c r="Q36">
        <f t="shared" si="8"/>
        <v>39.387414920145027</v>
      </c>
      <c r="R36" s="2">
        <f t="shared" ref="R36:R67" si="23">IF(U36&gt;$B$11,$B$10/SQRT(N36^2+O36^2),$B$10/SQRT(N36^2+O36^2)/$B$12)</f>
        <v>9.3991321939631375E-2</v>
      </c>
      <c r="S36">
        <f t="shared" si="9"/>
        <v>7.3459642829072089E-3</v>
      </c>
      <c r="T36">
        <f t="shared" si="10"/>
        <v>1.0605629434286588E-2</v>
      </c>
      <c r="U36">
        <f t="shared" ref="U36:U67" si="24">$B$4*(L36-$B$6)^2+$B$5*(M36-$B$7)^2</f>
        <v>1.7951593717193796E-2</v>
      </c>
      <c r="V36">
        <f t="shared" si="16"/>
        <v>1.0605629434286376E-2</v>
      </c>
      <c r="W36">
        <f t="shared" si="11"/>
        <v>7.4386120181890725E-2</v>
      </c>
      <c r="X36">
        <f t="shared" si="12"/>
        <v>1.7951593716891603E-2</v>
      </c>
      <c r="Y36">
        <f t="shared" ref="Y36:Y67" si="25">SQRT(($F$5-L36)^2+($F$6-M36)^2)</f>
        <v>4.5365770568428977E-2</v>
      </c>
      <c r="AK36">
        <f t="shared" si="13"/>
        <v>3.0219201650390697E-13</v>
      </c>
      <c r="AL36">
        <f t="shared" si="14"/>
        <v>6.9012725628661</v>
      </c>
      <c r="AM36">
        <f t="shared" si="15"/>
        <v>7.6207772837098702</v>
      </c>
    </row>
    <row r="37" spans="11:39" x14ac:dyDescent="0.25">
      <c r="K37">
        <v>33</v>
      </c>
      <c r="L37">
        <f t="shared" ref="L37:L68" si="26">L36-$R36*N36</f>
        <v>6.9302929124804411</v>
      </c>
      <c r="M37">
        <f t="shared" ref="M37:M68" si="27">M36-$R36*O36</f>
        <v>7.620777001251259</v>
      </c>
      <c r="N37">
        <f t="shared" si="5"/>
        <v>0.50626400508711067</v>
      </c>
      <c r="O37">
        <f t="shared" si="6"/>
        <v>0</v>
      </c>
      <c r="P37">
        <f t="shared" si="7"/>
        <v>6.4075810711710521E-2</v>
      </c>
      <c r="Q37">
        <f t="shared" si="8"/>
        <v>39.387414920145027</v>
      </c>
      <c r="R37" s="2">
        <f t="shared" si="23"/>
        <v>0.14693148127149788</v>
      </c>
      <c r="S37">
        <f t="shared" si="9"/>
        <v>1.7951593717193473E-2</v>
      </c>
      <c r="T37">
        <f t="shared" si="10"/>
        <v>-1.0605629434286053E-2</v>
      </c>
      <c r="U37">
        <f t="shared" si="24"/>
        <v>7.3459642829074197E-3</v>
      </c>
      <c r="V37">
        <f t="shared" si="16"/>
        <v>1.0605629434286376E-2</v>
      </c>
      <c r="W37">
        <f t="shared" ref="W37:W68" si="28">SQRT((L36-L37)^2+(M36-M37)^2)</f>
        <v>7.4386120181890725E-2</v>
      </c>
      <c r="X37">
        <f t="shared" si="12"/>
        <v>7.3459642826052274E-3</v>
      </c>
      <c r="Y37">
        <f t="shared" si="25"/>
        <v>2.9020349615715681E-2</v>
      </c>
      <c r="AK37">
        <f t="shared" si="13"/>
        <v>3.0219201650390697E-13</v>
      </c>
      <c r="AL37">
        <f t="shared" si="14"/>
        <v>6.9012725628661</v>
      </c>
      <c r="AM37">
        <f t="shared" si="15"/>
        <v>7.6207772837098702</v>
      </c>
    </row>
    <row r="38" spans="11:39" x14ac:dyDescent="0.25">
      <c r="K38">
        <v>34</v>
      </c>
      <c r="L38">
        <f t="shared" si="26"/>
        <v>6.8559067922985504</v>
      </c>
      <c r="M38">
        <f t="shared" si="27"/>
        <v>7.620777001251259</v>
      </c>
      <c r="N38">
        <f t="shared" si="5"/>
        <v>-0.7914147673086982</v>
      </c>
      <c r="O38">
        <f t="shared" si="6"/>
        <v>0</v>
      </c>
      <c r="P38">
        <f t="shared" si="7"/>
        <v>0.15658433347857023</v>
      </c>
      <c r="Q38">
        <f t="shared" si="8"/>
        <v>39.387414920145027</v>
      </c>
      <c r="R38" s="2">
        <f t="shared" si="23"/>
        <v>9.3991321939631375E-2</v>
      </c>
      <c r="S38">
        <f t="shared" si="9"/>
        <v>7.3459642829072089E-3</v>
      </c>
      <c r="T38">
        <f t="shared" si="10"/>
        <v>1.0605629434286588E-2</v>
      </c>
      <c r="U38">
        <f t="shared" si="24"/>
        <v>1.7951593717193796E-2</v>
      </c>
      <c r="V38">
        <f t="shared" si="16"/>
        <v>1.0605629434286376E-2</v>
      </c>
      <c r="W38">
        <f t="shared" si="28"/>
        <v>7.4386120181890725E-2</v>
      </c>
      <c r="X38">
        <f t="shared" si="12"/>
        <v>1.7951593716891603E-2</v>
      </c>
      <c r="Y38">
        <f t="shared" si="25"/>
        <v>4.5365770568428977E-2</v>
      </c>
      <c r="AK38">
        <f t="shared" si="13"/>
        <v>3.0219201650390697E-13</v>
      </c>
      <c r="AL38">
        <f t="shared" si="14"/>
        <v>6.9012725628661</v>
      </c>
      <c r="AM38">
        <f t="shared" si="15"/>
        <v>7.6207772837098702</v>
      </c>
    </row>
    <row r="39" spans="11:39" x14ac:dyDescent="0.25">
      <c r="K39">
        <v>35</v>
      </c>
      <c r="L39">
        <f t="shared" si="26"/>
        <v>6.9302929124804411</v>
      </c>
      <c r="M39">
        <f t="shared" si="27"/>
        <v>7.620777001251259</v>
      </c>
      <c r="N39">
        <f t="shared" si="5"/>
        <v>0.50626400508711067</v>
      </c>
      <c r="O39">
        <f t="shared" si="6"/>
        <v>0</v>
      </c>
      <c r="P39">
        <f t="shared" si="7"/>
        <v>6.4075810711710521E-2</v>
      </c>
      <c r="Q39">
        <f t="shared" si="8"/>
        <v>39.387414920145027</v>
      </c>
      <c r="R39" s="2">
        <f t="shared" si="23"/>
        <v>0.14693148127149788</v>
      </c>
      <c r="S39">
        <f t="shared" si="9"/>
        <v>1.7951593717193473E-2</v>
      </c>
      <c r="T39">
        <f t="shared" si="10"/>
        <v>-1.0605629434286053E-2</v>
      </c>
      <c r="U39">
        <f t="shared" si="24"/>
        <v>7.3459642829074197E-3</v>
      </c>
      <c r="V39">
        <f t="shared" si="16"/>
        <v>1.0605629434286376E-2</v>
      </c>
      <c r="W39">
        <f t="shared" si="28"/>
        <v>7.4386120181890725E-2</v>
      </c>
      <c r="X39">
        <f t="shared" si="12"/>
        <v>7.3459642826052274E-3</v>
      </c>
      <c r="Y39">
        <f t="shared" si="25"/>
        <v>2.9020349615715681E-2</v>
      </c>
      <c r="AK39">
        <f t="shared" si="13"/>
        <v>3.0219201650390697E-13</v>
      </c>
      <c r="AL39">
        <f t="shared" si="14"/>
        <v>6.9012725628661</v>
      </c>
      <c r="AM39">
        <f t="shared" si="15"/>
        <v>7.6207772837098702</v>
      </c>
    </row>
    <row r="40" spans="11:39" x14ac:dyDescent="0.25">
      <c r="K40">
        <v>36</v>
      </c>
      <c r="L40">
        <f t="shared" si="26"/>
        <v>6.8559067922985504</v>
      </c>
      <c r="M40">
        <f t="shared" si="27"/>
        <v>7.620777001251259</v>
      </c>
      <c r="N40">
        <f t="shared" si="5"/>
        <v>-0.7914147673086982</v>
      </c>
      <c r="O40">
        <f t="shared" si="6"/>
        <v>0</v>
      </c>
      <c r="P40">
        <f t="shared" si="7"/>
        <v>0.15658433347857023</v>
      </c>
      <c r="Q40">
        <f t="shared" si="8"/>
        <v>39.387414920145027</v>
      </c>
      <c r="R40" s="2">
        <f t="shared" si="23"/>
        <v>9.3991321939631375E-2</v>
      </c>
      <c r="S40">
        <f t="shared" si="9"/>
        <v>7.3459642829072089E-3</v>
      </c>
      <c r="T40">
        <f t="shared" si="10"/>
        <v>1.0605629434286588E-2</v>
      </c>
      <c r="U40">
        <f t="shared" si="24"/>
        <v>1.7951593717193796E-2</v>
      </c>
      <c r="V40">
        <f t="shared" si="16"/>
        <v>1.0605629434286376E-2</v>
      </c>
      <c r="W40">
        <f t="shared" si="28"/>
        <v>7.4386120181890725E-2</v>
      </c>
      <c r="X40">
        <f t="shared" si="12"/>
        <v>1.7951593716891603E-2</v>
      </c>
      <c r="Y40">
        <f t="shared" si="25"/>
        <v>4.5365770568428977E-2</v>
      </c>
      <c r="AK40">
        <f t="shared" si="13"/>
        <v>3.0219201650390697E-13</v>
      </c>
      <c r="AL40">
        <f t="shared" si="14"/>
        <v>6.9012725628661</v>
      </c>
      <c r="AM40">
        <f t="shared" si="15"/>
        <v>7.6207772837098702</v>
      </c>
    </row>
    <row r="41" spans="11:39" x14ac:dyDescent="0.25">
      <c r="K41">
        <v>37</v>
      </c>
      <c r="L41">
        <f t="shared" si="26"/>
        <v>6.9302929124804411</v>
      </c>
      <c r="M41">
        <f t="shared" si="27"/>
        <v>7.620777001251259</v>
      </c>
      <c r="N41">
        <f t="shared" si="5"/>
        <v>0.50626400508711067</v>
      </c>
      <c r="O41">
        <f t="shared" si="6"/>
        <v>0</v>
      </c>
      <c r="P41">
        <f t="shared" si="7"/>
        <v>6.4075810711710521E-2</v>
      </c>
      <c r="Q41">
        <f t="shared" si="8"/>
        <v>39.387414920145027</v>
      </c>
      <c r="R41" s="2">
        <f t="shared" si="23"/>
        <v>0.14693148127149788</v>
      </c>
      <c r="S41">
        <f t="shared" si="9"/>
        <v>1.7951593717193473E-2</v>
      </c>
      <c r="T41">
        <f t="shared" si="10"/>
        <v>-1.0605629434286053E-2</v>
      </c>
      <c r="U41">
        <f t="shared" si="24"/>
        <v>7.3459642829074197E-3</v>
      </c>
      <c r="V41">
        <f t="shared" si="16"/>
        <v>1.0605629434286376E-2</v>
      </c>
      <c r="W41">
        <f t="shared" si="28"/>
        <v>7.4386120181890725E-2</v>
      </c>
      <c r="X41">
        <f t="shared" si="12"/>
        <v>7.3459642826052274E-3</v>
      </c>
      <c r="Y41">
        <f t="shared" si="25"/>
        <v>2.9020349615715681E-2</v>
      </c>
      <c r="AK41">
        <f t="shared" si="13"/>
        <v>3.0219201650390697E-13</v>
      </c>
      <c r="AL41">
        <f t="shared" si="14"/>
        <v>6.9012725628661</v>
      </c>
      <c r="AM41">
        <f t="shared" si="15"/>
        <v>7.6207772837098702</v>
      </c>
    </row>
    <row r="42" spans="11:39" x14ac:dyDescent="0.25">
      <c r="K42">
        <v>38</v>
      </c>
      <c r="L42">
        <f t="shared" si="26"/>
        <v>6.8559067922985504</v>
      </c>
      <c r="M42">
        <f t="shared" si="27"/>
        <v>7.620777001251259</v>
      </c>
      <c r="N42">
        <f t="shared" si="5"/>
        <v>-0.7914147673086982</v>
      </c>
      <c r="O42">
        <f t="shared" si="6"/>
        <v>0</v>
      </c>
      <c r="P42">
        <f t="shared" si="7"/>
        <v>0.15658433347857023</v>
      </c>
      <c r="Q42">
        <f t="shared" si="8"/>
        <v>39.387414920145027</v>
      </c>
      <c r="R42" s="2">
        <f t="shared" si="23"/>
        <v>9.3991321939631375E-2</v>
      </c>
      <c r="S42">
        <f t="shared" si="9"/>
        <v>7.3459642829072089E-3</v>
      </c>
      <c r="T42">
        <f t="shared" si="10"/>
        <v>1.0605629434286588E-2</v>
      </c>
      <c r="U42">
        <f t="shared" si="24"/>
        <v>1.7951593717193796E-2</v>
      </c>
      <c r="V42">
        <f t="shared" si="16"/>
        <v>1.0605629434286376E-2</v>
      </c>
      <c r="W42">
        <f t="shared" si="28"/>
        <v>7.4386120181890725E-2</v>
      </c>
      <c r="X42">
        <f t="shared" si="12"/>
        <v>1.7951593716891603E-2</v>
      </c>
      <c r="Y42">
        <f t="shared" si="25"/>
        <v>4.5365770568428977E-2</v>
      </c>
      <c r="AK42">
        <f t="shared" si="13"/>
        <v>3.0219201650390697E-13</v>
      </c>
      <c r="AL42">
        <f t="shared" si="14"/>
        <v>6.9012725628661</v>
      </c>
      <c r="AM42">
        <f t="shared" si="15"/>
        <v>7.6207772837098702</v>
      </c>
    </row>
    <row r="43" spans="11:39" x14ac:dyDescent="0.25">
      <c r="K43">
        <v>39</v>
      </c>
      <c r="L43">
        <f t="shared" si="26"/>
        <v>6.9302929124804411</v>
      </c>
      <c r="M43">
        <f t="shared" si="27"/>
        <v>7.620777001251259</v>
      </c>
      <c r="N43">
        <f t="shared" si="5"/>
        <v>0.50626400508711067</v>
      </c>
      <c r="O43">
        <f t="shared" si="6"/>
        <v>0</v>
      </c>
      <c r="P43">
        <f t="shared" si="7"/>
        <v>6.4075810711710521E-2</v>
      </c>
      <c r="Q43">
        <f t="shared" si="8"/>
        <v>39.387414920145027</v>
      </c>
      <c r="R43" s="2">
        <f t="shared" si="23"/>
        <v>0.14693148127149788</v>
      </c>
      <c r="S43">
        <f t="shared" si="9"/>
        <v>1.7951593717193473E-2</v>
      </c>
      <c r="T43">
        <f t="shared" si="10"/>
        <v>-1.0605629434286053E-2</v>
      </c>
      <c r="U43">
        <f t="shared" si="24"/>
        <v>7.3459642829074197E-3</v>
      </c>
      <c r="V43">
        <f t="shared" si="16"/>
        <v>1.0605629434286376E-2</v>
      </c>
      <c r="W43">
        <f t="shared" si="28"/>
        <v>7.4386120181890725E-2</v>
      </c>
      <c r="X43">
        <f t="shared" si="12"/>
        <v>7.3459642826052274E-3</v>
      </c>
      <c r="Y43">
        <f t="shared" si="25"/>
        <v>2.9020349615715681E-2</v>
      </c>
      <c r="AK43">
        <f t="shared" si="13"/>
        <v>3.0219201650390697E-13</v>
      </c>
      <c r="AL43">
        <f t="shared" si="14"/>
        <v>6.9012725628661</v>
      </c>
      <c r="AM43">
        <f t="shared" si="15"/>
        <v>7.6207772837098702</v>
      </c>
    </row>
    <row r="44" spans="11:39" x14ac:dyDescent="0.25">
      <c r="K44">
        <v>40</v>
      </c>
      <c r="L44">
        <f t="shared" si="26"/>
        <v>6.8559067922985504</v>
      </c>
      <c r="M44">
        <f t="shared" si="27"/>
        <v>7.620777001251259</v>
      </c>
      <c r="N44">
        <f t="shared" si="5"/>
        <v>-0.7914147673086982</v>
      </c>
      <c r="O44">
        <f t="shared" si="6"/>
        <v>0</v>
      </c>
      <c r="P44">
        <f t="shared" si="7"/>
        <v>0.15658433347857023</v>
      </c>
      <c r="Q44">
        <f t="shared" si="8"/>
        <v>39.387414920145027</v>
      </c>
      <c r="R44" s="2">
        <f t="shared" si="23"/>
        <v>9.3991321939631375E-2</v>
      </c>
      <c r="S44">
        <f t="shared" si="9"/>
        <v>7.3459642829072089E-3</v>
      </c>
      <c r="T44">
        <f t="shared" si="10"/>
        <v>1.0605629434286588E-2</v>
      </c>
      <c r="U44">
        <f t="shared" si="24"/>
        <v>1.7951593717193796E-2</v>
      </c>
      <c r="V44">
        <f t="shared" si="16"/>
        <v>1.0605629434286376E-2</v>
      </c>
      <c r="W44">
        <f t="shared" si="28"/>
        <v>7.4386120181890725E-2</v>
      </c>
      <c r="X44">
        <f t="shared" si="12"/>
        <v>1.7951593716891603E-2</v>
      </c>
      <c r="Y44">
        <f t="shared" si="25"/>
        <v>4.5365770568428977E-2</v>
      </c>
      <c r="AK44">
        <f t="shared" si="13"/>
        <v>3.0219201650390697E-13</v>
      </c>
      <c r="AL44">
        <f t="shared" si="14"/>
        <v>6.9012725628661</v>
      </c>
      <c r="AM44">
        <f t="shared" si="15"/>
        <v>7.6207772837098702</v>
      </c>
    </row>
    <row r="45" spans="11:39" x14ac:dyDescent="0.25">
      <c r="K45">
        <v>41</v>
      </c>
      <c r="L45">
        <f t="shared" si="26"/>
        <v>6.9302929124804411</v>
      </c>
      <c r="M45">
        <f t="shared" si="27"/>
        <v>7.620777001251259</v>
      </c>
      <c r="N45">
        <f t="shared" si="5"/>
        <v>0.50626400508711067</v>
      </c>
      <c r="O45">
        <f t="shared" si="6"/>
        <v>0</v>
      </c>
      <c r="P45">
        <f t="shared" si="7"/>
        <v>6.4075810711710521E-2</v>
      </c>
      <c r="Q45">
        <f t="shared" si="8"/>
        <v>39.387414920145027</v>
      </c>
      <c r="R45" s="2">
        <f t="shared" si="23"/>
        <v>0.14693148127149788</v>
      </c>
      <c r="S45">
        <f t="shared" si="9"/>
        <v>1.7951593717193473E-2</v>
      </c>
      <c r="T45">
        <f t="shared" si="10"/>
        <v>-1.0605629434286053E-2</v>
      </c>
      <c r="U45">
        <f t="shared" si="24"/>
        <v>7.3459642829074197E-3</v>
      </c>
      <c r="V45">
        <f t="shared" si="16"/>
        <v>1.0605629434286376E-2</v>
      </c>
      <c r="W45">
        <f t="shared" si="28"/>
        <v>7.4386120181890725E-2</v>
      </c>
      <c r="X45">
        <f t="shared" si="12"/>
        <v>7.3459642826052274E-3</v>
      </c>
      <c r="Y45">
        <f t="shared" si="25"/>
        <v>2.9020349615715681E-2</v>
      </c>
      <c r="AK45">
        <f t="shared" si="13"/>
        <v>3.0219201650390697E-13</v>
      </c>
      <c r="AL45">
        <f t="shared" si="14"/>
        <v>6.9012725628661</v>
      </c>
      <c r="AM45">
        <f t="shared" si="15"/>
        <v>7.6207772837098702</v>
      </c>
    </row>
    <row r="46" spans="11:39" x14ac:dyDescent="0.25">
      <c r="K46" s="6">
        <v>42</v>
      </c>
      <c r="L46">
        <f t="shared" si="26"/>
        <v>6.8559067922985504</v>
      </c>
      <c r="M46">
        <f t="shared" si="27"/>
        <v>7.620777001251259</v>
      </c>
      <c r="N46">
        <f t="shared" si="5"/>
        <v>-0.7914147673086982</v>
      </c>
      <c r="O46">
        <f t="shared" si="6"/>
        <v>0</v>
      </c>
      <c r="P46">
        <f t="shared" si="7"/>
        <v>0.15658433347857023</v>
      </c>
      <c r="Q46">
        <f t="shared" si="8"/>
        <v>39.387414920145027</v>
      </c>
      <c r="R46" s="2">
        <f t="shared" si="23"/>
        <v>9.3991321939631375E-2</v>
      </c>
      <c r="S46">
        <f t="shared" si="9"/>
        <v>7.3459642829072089E-3</v>
      </c>
      <c r="T46">
        <f t="shared" si="10"/>
        <v>1.0605629434286588E-2</v>
      </c>
      <c r="U46">
        <f t="shared" si="24"/>
        <v>1.7951593717193796E-2</v>
      </c>
      <c r="V46">
        <f t="shared" si="16"/>
        <v>1.0605629434286376E-2</v>
      </c>
      <c r="W46" s="6">
        <f t="shared" si="28"/>
        <v>7.4386120181890725E-2</v>
      </c>
      <c r="X46">
        <f t="shared" si="12"/>
        <v>1.7951593716891603E-2</v>
      </c>
      <c r="Y46">
        <f t="shared" si="25"/>
        <v>4.5365770568428977E-2</v>
      </c>
      <c r="AK46">
        <f t="shared" si="13"/>
        <v>3.0219201650390697E-13</v>
      </c>
      <c r="AL46">
        <f t="shared" si="14"/>
        <v>6.9012725628661</v>
      </c>
      <c r="AM46">
        <f t="shared" si="15"/>
        <v>7.6207772837098702</v>
      </c>
    </row>
    <row r="47" spans="11:39" x14ac:dyDescent="0.25">
      <c r="K47">
        <v>43</v>
      </c>
      <c r="L47">
        <f t="shared" si="26"/>
        <v>6.9302929124804411</v>
      </c>
      <c r="M47">
        <f t="shared" si="27"/>
        <v>7.620777001251259</v>
      </c>
      <c r="N47">
        <f t="shared" si="5"/>
        <v>0.50626400508711067</v>
      </c>
      <c r="O47">
        <f t="shared" si="6"/>
        <v>0</v>
      </c>
      <c r="P47">
        <f t="shared" si="7"/>
        <v>6.4075810711710521E-2</v>
      </c>
      <c r="Q47">
        <f t="shared" si="8"/>
        <v>39.387414920145027</v>
      </c>
      <c r="R47" s="2">
        <f t="shared" si="23"/>
        <v>0.14693148127149788</v>
      </c>
      <c r="S47">
        <f t="shared" si="9"/>
        <v>1.7951593717193473E-2</v>
      </c>
      <c r="T47">
        <f t="shared" si="10"/>
        <v>-1.0605629434286053E-2</v>
      </c>
      <c r="U47">
        <f t="shared" si="24"/>
        <v>7.3459642829074197E-3</v>
      </c>
      <c r="V47">
        <f t="shared" si="16"/>
        <v>1.0605629434286376E-2</v>
      </c>
      <c r="W47">
        <f t="shared" si="28"/>
        <v>7.4386120181890725E-2</v>
      </c>
      <c r="X47">
        <f t="shared" si="12"/>
        <v>7.3459642826052274E-3</v>
      </c>
      <c r="Y47">
        <f t="shared" si="25"/>
        <v>2.9020349615715681E-2</v>
      </c>
      <c r="AK47">
        <f t="shared" si="13"/>
        <v>3.0219201650390697E-13</v>
      </c>
      <c r="AL47">
        <f t="shared" si="14"/>
        <v>6.9012725628661</v>
      </c>
      <c r="AM47">
        <f t="shared" si="15"/>
        <v>7.6207772837098702</v>
      </c>
    </row>
    <row r="48" spans="11:39" x14ac:dyDescent="0.25">
      <c r="K48">
        <v>44</v>
      </c>
      <c r="L48">
        <f t="shared" si="26"/>
        <v>6.8559067922985504</v>
      </c>
      <c r="M48">
        <f t="shared" si="27"/>
        <v>7.620777001251259</v>
      </c>
      <c r="N48">
        <f t="shared" si="5"/>
        <v>-0.7914147673086982</v>
      </c>
      <c r="O48">
        <f t="shared" si="6"/>
        <v>0</v>
      </c>
      <c r="P48">
        <f t="shared" si="7"/>
        <v>0.15658433347857023</v>
      </c>
      <c r="Q48">
        <f t="shared" si="8"/>
        <v>39.387414920145027</v>
      </c>
      <c r="R48" s="2">
        <f t="shared" si="23"/>
        <v>9.3991321939631375E-2</v>
      </c>
      <c r="S48">
        <f t="shared" si="9"/>
        <v>7.3459642829072089E-3</v>
      </c>
      <c r="T48">
        <f t="shared" si="10"/>
        <v>1.0605629434286588E-2</v>
      </c>
      <c r="U48">
        <f t="shared" si="24"/>
        <v>1.7951593717193796E-2</v>
      </c>
      <c r="V48">
        <f t="shared" si="16"/>
        <v>1.0605629434286376E-2</v>
      </c>
      <c r="W48">
        <f t="shared" si="28"/>
        <v>7.4386120181890725E-2</v>
      </c>
      <c r="X48">
        <f t="shared" si="12"/>
        <v>1.7951593716891603E-2</v>
      </c>
      <c r="Y48">
        <f t="shared" si="25"/>
        <v>4.5365770568428977E-2</v>
      </c>
      <c r="AK48">
        <f t="shared" si="13"/>
        <v>3.0219201650390697E-13</v>
      </c>
      <c r="AL48">
        <f t="shared" si="14"/>
        <v>6.9012725628661</v>
      </c>
      <c r="AM48">
        <f t="shared" si="15"/>
        <v>7.6207772837098702</v>
      </c>
    </row>
    <row r="49" spans="11:39" x14ac:dyDescent="0.25">
      <c r="K49">
        <v>45</v>
      </c>
      <c r="L49">
        <f t="shared" si="26"/>
        <v>6.9302929124804411</v>
      </c>
      <c r="M49">
        <f t="shared" si="27"/>
        <v>7.620777001251259</v>
      </c>
      <c r="N49">
        <f t="shared" si="5"/>
        <v>0.50626400508711067</v>
      </c>
      <c r="O49">
        <f t="shared" si="6"/>
        <v>0</v>
      </c>
      <c r="P49">
        <f t="shared" si="7"/>
        <v>6.4075810711710521E-2</v>
      </c>
      <c r="Q49">
        <f t="shared" si="8"/>
        <v>39.387414920145027</v>
      </c>
      <c r="R49" s="2">
        <f t="shared" si="23"/>
        <v>0.14693148127149788</v>
      </c>
      <c r="S49">
        <f t="shared" si="9"/>
        <v>1.7951593717193473E-2</v>
      </c>
      <c r="T49">
        <f t="shared" si="10"/>
        <v>-1.0605629434286053E-2</v>
      </c>
      <c r="U49">
        <f t="shared" si="24"/>
        <v>7.3459642829074197E-3</v>
      </c>
      <c r="V49">
        <f t="shared" si="16"/>
        <v>1.0605629434286376E-2</v>
      </c>
      <c r="W49">
        <f t="shared" si="28"/>
        <v>7.4386120181890725E-2</v>
      </c>
      <c r="X49">
        <f t="shared" si="12"/>
        <v>7.3459642826052274E-3</v>
      </c>
      <c r="Y49">
        <f t="shared" si="25"/>
        <v>2.9020349615715681E-2</v>
      </c>
      <c r="AK49">
        <f t="shared" si="13"/>
        <v>3.0219201650390697E-13</v>
      </c>
      <c r="AL49">
        <f t="shared" si="14"/>
        <v>6.9012725628661</v>
      </c>
      <c r="AM49">
        <f t="shared" si="15"/>
        <v>7.6207772837098702</v>
      </c>
    </row>
    <row r="50" spans="11:39" x14ac:dyDescent="0.25">
      <c r="K50">
        <v>46</v>
      </c>
      <c r="L50">
        <f t="shared" si="26"/>
        <v>6.8559067922985504</v>
      </c>
      <c r="M50">
        <f t="shared" si="27"/>
        <v>7.620777001251259</v>
      </c>
      <c r="N50">
        <f t="shared" si="5"/>
        <v>-0.7914147673086982</v>
      </c>
      <c r="O50">
        <f t="shared" si="6"/>
        <v>0</v>
      </c>
      <c r="P50">
        <f t="shared" si="7"/>
        <v>0.15658433347857023</v>
      </c>
      <c r="Q50">
        <f t="shared" si="8"/>
        <v>39.387414920145027</v>
      </c>
      <c r="R50" s="2">
        <f t="shared" si="23"/>
        <v>9.3991321939631375E-2</v>
      </c>
      <c r="S50">
        <f t="shared" si="9"/>
        <v>7.3459642829072089E-3</v>
      </c>
      <c r="T50">
        <f t="shared" si="10"/>
        <v>1.0605629434286588E-2</v>
      </c>
      <c r="U50">
        <f t="shared" si="24"/>
        <v>1.7951593717193796E-2</v>
      </c>
      <c r="V50">
        <f t="shared" si="16"/>
        <v>1.0605629434286376E-2</v>
      </c>
      <c r="W50">
        <f t="shared" si="28"/>
        <v>7.4386120181890725E-2</v>
      </c>
      <c r="X50">
        <f t="shared" si="12"/>
        <v>1.7951593716891603E-2</v>
      </c>
      <c r="Y50">
        <f t="shared" si="25"/>
        <v>4.5365770568428977E-2</v>
      </c>
      <c r="AK50">
        <f t="shared" si="13"/>
        <v>3.0219201650390697E-13</v>
      </c>
      <c r="AL50">
        <f t="shared" si="14"/>
        <v>6.9012725628661</v>
      </c>
      <c r="AM50">
        <f t="shared" si="15"/>
        <v>7.6207772837098702</v>
      </c>
    </row>
    <row r="51" spans="11:39" x14ac:dyDescent="0.25">
      <c r="K51">
        <v>47</v>
      </c>
      <c r="L51">
        <f t="shared" si="26"/>
        <v>6.9302929124804411</v>
      </c>
      <c r="M51">
        <f t="shared" si="27"/>
        <v>7.620777001251259</v>
      </c>
      <c r="N51">
        <f t="shared" si="5"/>
        <v>0.50626400508711067</v>
      </c>
      <c r="O51">
        <f t="shared" si="6"/>
        <v>0</v>
      </c>
      <c r="P51">
        <f t="shared" si="7"/>
        <v>6.4075810711710521E-2</v>
      </c>
      <c r="Q51">
        <f t="shared" si="8"/>
        <v>39.387414920145027</v>
      </c>
      <c r="R51" s="2">
        <f t="shared" si="23"/>
        <v>0.14693148127149788</v>
      </c>
      <c r="S51">
        <f t="shared" si="9"/>
        <v>1.7951593717193473E-2</v>
      </c>
      <c r="T51">
        <f t="shared" si="10"/>
        <v>-1.0605629434286053E-2</v>
      </c>
      <c r="U51">
        <f t="shared" si="24"/>
        <v>7.3459642829074197E-3</v>
      </c>
      <c r="V51">
        <f t="shared" si="16"/>
        <v>1.0605629434286376E-2</v>
      </c>
      <c r="W51">
        <f t="shared" si="28"/>
        <v>7.4386120181890725E-2</v>
      </c>
      <c r="X51">
        <f t="shared" si="12"/>
        <v>7.3459642826052274E-3</v>
      </c>
      <c r="Y51">
        <f t="shared" si="25"/>
        <v>2.9020349615715681E-2</v>
      </c>
      <c r="AK51">
        <f t="shared" si="13"/>
        <v>3.0219201650390697E-13</v>
      </c>
      <c r="AL51">
        <f t="shared" si="14"/>
        <v>6.9012725628661</v>
      </c>
      <c r="AM51">
        <f t="shared" si="15"/>
        <v>7.6207772837098702</v>
      </c>
    </row>
    <row r="52" spans="11:39" x14ac:dyDescent="0.25">
      <c r="K52">
        <v>48</v>
      </c>
      <c r="L52">
        <f t="shared" si="26"/>
        <v>6.8559067922985504</v>
      </c>
      <c r="M52">
        <f t="shared" si="27"/>
        <v>7.620777001251259</v>
      </c>
      <c r="N52">
        <f t="shared" si="5"/>
        <v>-0.7914147673086982</v>
      </c>
      <c r="O52">
        <f t="shared" si="6"/>
        <v>0</v>
      </c>
      <c r="P52">
        <f t="shared" si="7"/>
        <v>0.15658433347857023</v>
      </c>
      <c r="Q52">
        <f t="shared" si="8"/>
        <v>39.387414920145027</v>
      </c>
      <c r="R52" s="2">
        <f t="shared" si="23"/>
        <v>9.3991321939631375E-2</v>
      </c>
      <c r="S52">
        <f t="shared" si="9"/>
        <v>7.3459642829072089E-3</v>
      </c>
      <c r="T52">
        <f t="shared" si="10"/>
        <v>1.0605629434286588E-2</v>
      </c>
      <c r="U52">
        <f t="shared" si="24"/>
        <v>1.7951593717193796E-2</v>
      </c>
      <c r="V52">
        <f t="shared" si="16"/>
        <v>1.0605629434286376E-2</v>
      </c>
      <c r="W52">
        <f t="shared" si="28"/>
        <v>7.4386120181890725E-2</v>
      </c>
      <c r="X52">
        <f t="shared" si="12"/>
        <v>1.7951593716891603E-2</v>
      </c>
      <c r="Y52">
        <f t="shared" si="25"/>
        <v>4.5365770568428977E-2</v>
      </c>
      <c r="AK52">
        <f t="shared" si="13"/>
        <v>3.0219201650390697E-13</v>
      </c>
      <c r="AL52">
        <f t="shared" si="14"/>
        <v>6.9012725628661</v>
      </c>
      <c r="AM52">
        <f t="shared" si="15"/>
        <v>7.6207772837098702</v>
      </c>
    </row>
    <row r="53" spans="11:39" x14ac:dyDescent="0.25">
      <c r="K53">
        <v>49</v>
      </c>
      <c r="L53">
        <f t="shared" si="26"/>
        <v>6.9302929124804411</v>
      </c>
      <c r="M53">
        <f t="shared" si="27"/>
        <v>7.620777001251259</v>
      </c>
      <c r="N53">
        <f t="shared" si="5"/>
        <v>0.50626400508711067</v>
      </c>
      <c r="O53">
        <f t="shared" si="6"/>
        <v>0</v>
      </c>
      <c r="P53">
        <f t="shared" si="7"/>
        <v>6.4075810711710521E-2</v>
      </c>
      <c r="Q53">
        <f t="shared" si="8"/>
        <v>39.387414920145027</v>
      </c>
      <c r="R53" s="2">
        <f t="shared" si="23"/>
        <v>0.14693148127149788</v>
      </c>
      <c r="S53">
        <f t="shared" si="9"/>
        <v>1.7951593717193473E-2</v>
      </c>
      <c r="T53">
        <f t="shared" si="10"/>
        <v>-1.0605629434286053E-2</v>
      </c>
      <c r="U53">
        <f t="shared" si="24"/>
        <v>7.3459642829074197E-3</v>
      </c>
      <c r="V53">
        <f t="shared" si="16"/>
        <v>1.0605629434286376E-2</v>
      </c>
      <c r="W53">
        <f t="shared" si="28"/>
        <v>7.4386120181890725E-2</v>
      </c>
      <c r="X53">
        <f t="shared" si="12"/>
        <v>7.3459642826052274E-3</v>
      </c>
      <c r="Y53">
        <f t="shared" si="25"/>
        <v>2.9020349615715681E-2</v>
      </c>
      <c r="AK53">
        <f t="shared" si="13"/>
        <v>3.0219201650390697E-13</v>
      </c>
      <c r="AL53">
        <f t="shared" si="14"/>
        <v>6.9012725628661</v>
      </c>
      <c r="AM53">
        <f t="shared" si="15"/>
        <v>7.6207772837098702</v>
      </c>
    </row>
    <row r="54" spans="11:39" x14ac:dyDescent="0.25">
      <c r="K54">
        <v>50</v>
      </c>
      <c r="L54">
        <f t="shared" si="26"/>
        <v>6.8559067922985504</v>
      </c>
      <c r="M54">
        <f t="shared" si="27"/>
        <v>7.620777001251259</v>
      </c>
      <c r="N54">
        <f t="shared" si="5"/>
        <v>-0.7914147673086982</v>
      </c>
      <c r="O54">
        <f t="shared" si="6"/>
        <v>0</v>
      </c>
      <c r="P54">
        <f t="shared" si="7"/>
        <v>0.15658433347857023</v>
      </c>
      <c r="Q54">
        <f t="shared" si="8"/>
        <v>39.387414920145027</v>
      </c>
      <c r="R54" s="2">
        <f t="shared" si="23"/>
        <v>9.3991321939631375E-2</v>
      </c>
      <c r="S54">
        <f t="shared" si="9"/>
        <v>7.3459642829072089E-3</v>
      </c>
      <c r="T54">
        <f t="shared" si="10"/>
        <v>1.0605629434286588E-2</v>
      </c>
      <c r="U54">
        <f t="shared" si="24"/>
        <v>1.7951593717193796E-2</v>
      </c>
      <c r="V54">
        <f t="shared" si="16"/>
        <v>1.0605629434286376E-2</v>
      </c>
      <c r="W54">
        <f t="shared" si="28"/>
        <v>7.4386120181890725E-2</v>
      </c>
      <c r="X54">
        <f t="shared" si="12"/>
        <v>1.7951593716891603E-2</v>
      </c>
      <c r="Y54">
        <f t="shared" si="25"/>
        <v>4.5365770568428977E-2</v>
      </c>
      <c r="AK54">
        <f t="shared" si="13"/>
        <v>3.0219201650390697E-13</v>
      </c>
      <c r="AL54">
        <f t="shared" si="14"/>
        <v>6.9012725628661</v>
      </c>
      <c r="AM54">
        <f t="shared" si="15"/>
        <v>7.6207772837098702</v>
      </c>
    </row>
    <row r="55" spans="11:39" x14ac:dyDescent="0.25">
      <c r="K55">
        <v>51</v>
      </c>
      <c r="L55">
        <f t="shared" si="26"/>
        <v>6.9302929124804411</v>
      </c>
      <c r="M55">
        <f t="shared" si="27"/>
        <v>7.620777001251259</v>
      </c>
      <c r="N55">
        <f t="shared" si="5"/>
        <v>0.50626400508711067</v>
      </c>
      <c r="O55">
        <f t="shared" si="6"/>
        <v>0</v>
      </c>
      <c r="P55">
        <f t="shared" si="7"/>
        <v>6.4075810711710521E-2</v>
      </c>
      <c r="Q55">
        <f t="shared" si="8"/>
        <v>39.387414920145027</v>
      </c>
      <c r="R55" s="2">
        <f t="shared" si="23"/>
        <v>0.14693148127149788</v>
      </c>
      <c r="S55">
        <f t="shared" si="9"/>
        <v>1.7951593717193473E-2</v>
      </c>
      <c r="T55">
        <f t="shared" si="10"/>
        <v>-1.0605629434286053E-2</v>
      </c>
      <c r="U55">
        <f t="shared" si="24"/>
        <v>7.3459642829074197E-3</v>
      </c>
      <c r="V55">
        <f t="shared" si="16"/>
        <v>1.0605629434286376E-2</v>
      </c>
      <c r="W55">
        <f t="shared" si="28"/>
        <v>7.4386120181890725E-2</v>
      </c>
      <c r="X55">
        <f t="shared" si="12"/>
        <v>7.3459642826052274E-3</v>
      </c>
      <c r="Y55">
        <f t="shared" si="25"/>
        <v>2.9020349615715681E-2</v>
      </c>
      <c r="AK55">
        <f t="shared" si="13"/>
        <v>3.0219201650390697E-13</v>
      </c>
      <c r="AL55">
        <f t="shared" si="14"/>
        <v>6.9012725628661</v>
      </c>
      <c r="AM55">
        <f t="shared" si="15"/>
        <v>7.6207772837098702</v>
      </c>
    </row>
    <row r="56" spans="11:39" x14ac:dyDescent="0.25">
      <c r="K56">
        <v>52</v>
      </c>
      <c r="L56">
        <f t="shared" si="26"/>
        <v>6.8559067922985504</v>
      </c>
      <c r="M56">
        <f t="shared" si="27"/>
        <v>7.620777001251259</v>
      </c>
      <c r="N56">
        <f t="shared" si="5"/>
        <v>-0.7914147673086982</v>
      </c>
      <c r="O56">
        <f t="shared" si="6"/>
        <v>0</v>
      </c>
      <c r="P56">
        <f t="shared" si="7"/>
        <v>0.15658433347857023</v>
      </c>
      <c r="Q56">
        <f t="shared" si="8"/>
        <v>39.387414920145027</v>
      </c>
      <c r="R56" s="2">
        <f t="shared" si="23"/>
        <v>9.3991321939631375E-2</v>
      </c>
      <c r="S56">
        <f t="shared" si="9"/>
        <v>7.3459642829072089E-3</v>
      </c>
      <c r="T56">
        <f t="shared" si="10"/>
        <v>1.0605629434286588E-2</v>
      </c>
      <c r="U56">
        <f t="shared" si="24"/>
        <v>1.7951593717193796E-2</v>
      </c>
      <c r="V56">
        <f t="shared" si="16"/>
        <v>1.0605629434286376E-2</v>
      </c>
      <c r="W56">
        <f t="shared" si="28"/>
        <v>7.4386120181890725E-2</v>
      </c>
      <c r="X56">
        <f t="shared" si="12"/>
        <v>1.7951593716891603E-2</v>
      </c>
      <c r="Y56">
        <f t="shared" si="25"/>
        <v>4.5365770568428977E-2</v>
      </c>
      <c r="AK56">
        <f t="shared" si="13"/>
        <v>3.0219201650390697E-13</v>
      </c>
      <c r="AL56">
        <f t="shared" si="14"/>
        <v>6.9012725628661</v>
      </c>
      <c r="AM56">
        <f t="shared" si="15"/>
        <v>7.6207772837098702</v>
      </c>
    </row>
    <row r="57" spans="11:39" x14ac:dyDescent="0.25">
      <c r="K57">
        <v>53</v>
      </c>
      <c r="L57">
        <f t="shared" si="26"/>
        <v>6.9302929124804411</v>
      </c>
      <c r="M57">
        <f t="shared" si="27"/>
        <v>7.620777001251259</v>
      </c>
      <c r="N57">
        <f t="shared" si="5"/>
        <v>0.50626400508711067</v>
      </c>
      <c r="O57">
        <f t="shared" si="6"/>
        <v>0</v>
      </c>
      <c r="P57">
        <f t="shared" si="7"/>
        <v>6.4075810711710521E-2</v>
      </c>
      <c r="Q57">
        <f t="shared" si="8"/>
        <v>39.387414920145027</v>
      </c>
      <c r="R57" s="2">
        <f t="shared" si="23"/>
        <v>0.14693148127149788</v>
      </c>
      <c r="S57">
        <f t="shared" si="9"/>
        <v>1.7951593717193473E-2</v>
      </c>
      <c r="T57">
        <f t="shared" si="10"/>
        <v>-1.0605629434286053E-2</v>
      </c>
      <c r="U57">
        <f t="shared" si="24"/>
        <v>7.3459642829074197E-3</v>
      </c>
      <c r="V57">
        <f t="shared" si="16"/>
        <v>1.0605629434286376E-2</v>
      </c>
      <c r="W57">
        <f t="shared" si="28"/>
        <v>7.4386120181890725E-2</v>
      </c>
      <c r="X57">
        <f t="shared" si="12"/>
        <v>7.3459642826052274E-3</v>
      </c>
      <c r="Y57">
        <f t="shared" si="25"/>
        <v>2.9020349615715681E-2</v>
      </c>
      <c r="AK57">
        <f t="shared" si="13"/>
        <v>3.0219201650390697E-13</v>
      </c>
      <c r="AL57">
        <f t="shared" si="14"/>
        <v>6.9012725628661</v>
      </c>
      <c r="AM57">
        <f t="shared" si="15"/>
        <v>7.6207772837098702</v>
      </c>
    </row>
    <row r="58" spans="11:39" x14ac:dyDescent="0.25">
      <c r="K58">
        <v>54</v>
      </c>
      <c r="L58">
        <f t="shared" si="26"/>
        <v>6.8559067922985504</v>
      </c>
      <c r="M58">
        <f t="shared" si="27"/>
        <v>7.620777001251259</v>
      </c>
      <c r="N58">
        <f t="shared" si="5"/>
        <v>-0.7914147673086982</v>
      </c>
      <c r="O58">
        <f t="shared" si="6"/>
        <v>0</v>
      </c>
      <c r="P58">
        <f t="shared" si="7"/>
        <v>0.15658433347857023</v>
      </c>
      <c r="Q58">
        <f t="shared" si="8"/>
        <v>39.387414920145027</v>
      </c>
      <c r="R58" s="2">
        <f t="shared" si="23"/>
        <v>9.3991321939631375E-2</v>
      </c>
      <c r="S58">
        <f t="shared" si="9"/>
        <v>7.3459642829072089E-3</v>
      </c>
      <c r="T58">
        <f t="shared" si="10"/>
        <v>1.0605629434286588E-2</v>
      </c>
      <c r="U58">
        <f t="shared" si="24"/>
        <v>1.7951593717193796E-2</v>
      </c>
      <c r="V58">
        <f t="shared" si="16"/>
        <v>1.0605629434286376E-2</v>
      </c>
      <c r="W58">
        <f t="shared" si="28"/>
        <v>7.4386120181890725E-2</v>
      </c>
      <c r="X58">
        <f t="shared" si="12"/>
        <v>1.7951593716891603E-2</v>
      </c>
      <c r="Y58">
        <f t="shared" si="25"/>
        <v>4.5365770568428977E-2</v>
      </c>
      <c r="AK58">
        <f t="shared" si="13"/>
        <v>3.0219201650390697E-13</v>
      </c>
      <c r="AL58">
        <f t="shared" si="14"/>
        <v>6.9012725628661</v>
      </c>
      <c r="AM58">
        <f t="shared" si="15"/>
        <v>7.6207772837098702</v>
      </c>
    </row>
    <row r="59" spans="11:39" x14ac:dyDescent="0.25">
      <c r="K59">
        <v>55</v>
      </c>
      <c r="L59">
        <f t="shared" si="26"/>
        <v>6.9302929124804411</v>
      </c>
      <c r="M59">
        <f t="shared" si="27"/>
        <v>7.620777001251259</v>
      </c>
      <c r="N59">
        <f t="shared" si="5"/>
        <v>0.50626400508711067</v>
      </c>
      <c r="O59">
        <f t="shared" si="6"/>
        <v>0</v>
      </c>
      <c r="P59">
        <f t="shared" si="7"/>
        <v>6.4075810711710521E-2</v>
      </c>
      <c r="Q59">
        <f t="shared" si="8"/>
        <v>39.387414920145027</v>
      </c>
      <c r="R59" s="2">
        <f t="shared" si="23"/>
        <v>0.14693148127149788</v>
      </c>
      <c r="S59">
        <f t="shared" si="9"/>
        <v>1.7951593717193473E-2</v>
      </c>
      <c r="T59">
        <f t="shared" si="10"/>
        <v>-1.0605629434286053E-2</v>
      </c>
      <c r="U59">
        <f t="shared" si="24"/>
        <v>7.3459642829074197E-3</v>
      </c>
      <c r="V59">
        <f t="shared" si="16"/>
        <v>1.0605629434286376E-2</v>
      </c>
      <c r="W59">
        <f t="shared" si="28"/>
        <v>7.4386120181890725E-2</v>
      </c>
      <c r="X59">
        <f t="shared" si="12"/>
        <v>7.3459642826052274E-3</v>
      </c>
      <c r="Y59">
        <f t="shared" si="25"/>
        <v>2.9020349615715681E-2</v>
      </c>
      <c r="AK59">
        <f t="shared" si="13"/>
        <v>3.0219201650390697E-13</v>
      </c>
      <c r="AL59">
        <f t="shared" si="14"/>
        <v>6.9012725628661</v>
      </c>
      <c r="AM59">
        <f t="shared" si="15"/>
        <v>7.6207772837098702</v>
      </c>
    </row>
    <row r="60" spans="11:39" x14ac:dyDescent="0.25">
      <c r="K60">
        <v>56</v>
      </c>
      <c r="L60">
        <f t="shared" si="26"/>
        <v>6.8559067922985504</v>
      </c>
      <c r="M60">
        <f t="shared" si="27"/>
        <v>7.620777001251259</v>
      </c>
      <c r="N60">
        <f t="shared" si="5"/>
        <v>-0.7914147673086982</v>
      </c>
      <c r="O60">
        <f t="shared" si="6"/>
        <v>0</v>
      </c>
      <c r="P60">
        <f t="shared" si="7"/>
        <v>0.15658433347857023</v>
      </c>
      <c r="Q60">
        <f t="shared" si="8"/>
        <v>39.387414920145027</v>
      </c>
      <c r="R60" s="2">
        <f t="shared" si="23"/>
        <v>9.3991321939631375E-2</v>
      </c>
      <c r="S60">
        <f t="shared" si="9"/>
        <v>7.3459642829072089E-3</v>
      </c>
      <c r="T60">
        <f t="shared" si="10"/>
        <v>1.0605629434286588E-2</v>
      </c>
      <c r="U60">
        <f t="shared" si="24"/>
        <v>1.7951593717193796E-2</v>
      </c>
      <c r="V60">
        <f t="shared" si="16"/>
        <v>1.0605629434286376E-2</v>
      </c>
      <c r="W60">
        <f t="shared" si="28"/>
        <v>7.4386120181890725E-2</v>
      </c>
      <c r="X60">
        <f t="shared" si="12"/>
        <v>1.7951593716891603E-2</v>
      </c>
      <c r="Y60">
        <f t="shared" si="25"/>
        <v>4.5365770568428977E-2</v>
      </c>
      <c r="AK60">
        <f t="shared" si="13"/>
        <v>3.0219201650390697E-13</v>
      </c>
      <c r="AL60">
        <f t="shared" si="14"/>
        <v>6.9012725628661</v>
      </c>
      <c r="AM60">
        <f t="shared" si="15"/>
        <v>7.6207772837098702</v>
      </c>
    </row>
    <row r="61" spans="11:39" x14ac:dyDescent="0.25">
      <c r="K61">
        <v>57</v>
      </c>
      <c r="L61">
        <f t="shared" si="26"/>
        <v>6.9302929124804411</v>
      </c>
      <c r="M61">
        <f t="shared" si="27"/>
        <v>7.620777001251259</v>
      </c>
      <c r="N61">
        <f t="shared" si="5"/>
        <v>0.50626400508711067</v>
      </c>
      <c r="O61">
        <f t="shared" si="6"/>
        <v>0</v>
      </c>
      <c r="P61">
        <f t="shared" si="7"/>
        <v>6.4075810711710521E-2</v>
      </c>
      <c r="Q61">
        <f t="shared" si="8"/>
        <v>39.387414920145027</v>
      </c>
      <c r="R61" s="2">
        <f t="shared" si="23"/>
        <v>0.14693148127149788</v>
      </c>
      <c r="S61">
        <f t="shared" si="9"/>
        <v>1.7951593717193473E-2</v>
      </c>
      <c r="T61">
        <f t="shared" si="10"/>
        <v>-1.0605629434286053E-2</v>
      </c>
      <c r="U61">
        <f t="shared" si="24"/>
        <v>7.3459642829074197E-3</v>
      </c>
      <c r="V61">
        <f t="shared" si="16"/>
        <v>1.0605629434286376E-2</v>
      </c>
      <c r="W61">
        <f t="shared" si="28"/>
        <v>7.4386120181890725E-2</v>
      </c>
      <c r="X61">
        <f t="shared" si="12"/>
        <v>7.3459642826052274E-3</v>
      </c>
      <c r="Y61">
        <f t="shared" si="25"/>
        <v>2.9020349615715681E-2</v>
      </c>
      <c r="AK61">
        <f t="shared" si="13"/>
        <v>3.0219201650390697E-13</v>
      </c>
      <c r="AL61">
        <f t="shared" si="14"/>
        <v>6.9012725628661</v>
      </c>
      <c r="AM61">
        <f t="shared" si="15"/>
        <v>7.6207772837098702</v>
      </c>
    </row>
    <row r="62" spans="11:39" x14ac:dyDescent="0.25">
      <c r="K62">
        <v>58</v>
      </c>
      <c r="L62">
        <f t="shared" si="26"/>
        <v>6.8559067922985504</v>
      </c>
      <c r="M62">
        <f t="shared" si="27"/>
        <v>7.620777001251259</v>
      </c>
      <c r="N62">
        <f t="shared" si="5"/>
        <v>-0.7914147673086982</v>
      </c>
      <c r="O62">
        <f t="shared" si="6"/>
        <v>0</v>
      </c>
      <c r="P62">
        <f t="shared" si="7"/>
        <v>0.15658433347857023</v>
      </c>
      <c r="Q62">
        <f t="shared" si="8"/>
        <v>39.387414920145027</v>
      </c>
      <c r="R62" s="2">
        <f t="shared" si="23"/>
        <v>9.3991321939631375E-2</v>
      </c>
      <c r="S62">
        <f t="shared" si="9"/>
        <v>7.3459642829072089E-3</v>
      </c>
      <c r="T62">
        <f t="shared" si="10"/>
        <v>1.0605629434286588E-2</v>
      </c>
      <c r="U62">
        <f t="shared" si="24"/>
        <v>1.7951593717193796E-2</v>
      </c>
      <c r="V62">
        <f t="shared" si="16"/>
        <v>1.0605629434286376E-2</v>
      </c>
      <c r="W62">
        <f t="shared" si="28"/>
        <v>7.4386120181890725E-2</v>
      </c>
      <c r="X62">
        <f t="shared" si="12"/>
        <v>1.7951593716891603E-2</v>
      </c>
      <c r="Y62">
        <f t="shared" si="25"/>
        <v>4.5365770568428977E-2</v>
      </c>
      <c r="AK62">
        <f t="shared" si="13"/>
        <v>3.0219201650390697E-13</v>
      </c>
      <c r="AL62">
        <f t="shared" si="14"/>
        <v>6.9012725628661</v>
      </c>
      <c r="AM62">
        <f t="shared" si="15"/>
        <v>7.6207772837098702</v>
      </c>
    </row>
    <row r="63" spans="11:39" x14ac:dyDescent="0.25">
      <c r="K63">
        <v>59</v>
      </c>
      <c r="L63">
        <f t="shared" si="26"/>
        <v>6.9302929124804411</v>
      </c>
      <c r="M63">
        <f t="shared" si="27"/>
        <v>7.620777001251259</v>
      </c>
      <c r="N63">
        <f t="shared" si="5"/>
        <v>0.50626400508711067</v>
      </c>
      <c r="O63">
        <f t="shared" si="6"/>
        <v>0</v>
      </c>
      <c r="P63">
        <f t="shared" si="7"/>
        <v>6.4075810711710521E-2</v>
      </c>
      <c r="Q63">
        <f t="shared" si="8"/>
        <v>39.387414920145027</v>
      </c>
      <c r="R63" s="2">
        <f t="shared" si="23"/>
        <v>0.14693148127149788</v>
      </c>
      <c r="S63">
        <f t="shared" si="9"/>
        <v>1.7951593717193473E-2</v>
      </c>
      <c r="T63">
        <f t="shared" si="10"/>
        <v>-1.0605629434286053E-2</v>
      </c>
      <c r="U63">
        <f t="shared" si="24"/>
        <v>7.3459642829074197E-3</v>
      </c>
      <c r="V63">
        <f t="shared" si="16"/>
        <v>1.0605629434286376E-2</v>
      </c>
      <c r="W63">
        <f t="shared" si="28"/>
        <v>7.4386120181890725E-2</v>
      </c>
      <c r="X63">
        <f t="shared" si="12"/>
        <v>7.3459642826052274E-3</v>
      </c>
      <c r="Y63">
        <f t="shared" si="25"/>
        <v>2.9020349615715681E-2</v>
      </c>
      <c r="AK63">
        <f t="shared" si="13"/>
        <v>3.0219201650390697E-13</v>
      </c>
      <c r="AL63">
        <f t="shared" si="14"/>
        <v>6.9012725628661</v>
      </c>
      <c r="AM63">
        <f t="shared" si="15"/>
        <v>7.6207772837098702</v>
      </c>
    </row>
    <row r="64" spans="11:39" x14ac:dyDescent="0.25">
      <c r="K64">
        <v>60</v>
      </c>
      <c r="L64">
        <f t="shared" si="26"/>
        <v>6.8559067922985504</v>
      </c>
      <c r="M64">
        <f t="shared" si="27"/>
        <v>7.620777001251259</v>
      </c>
      <c r="N64">
        <f t="shared" si="5"/>
        <v>-0.7914147673086982</v>
      </c>
      <c r="O64">
        <f t="shared" si="6"/>
        <v>0</v>
      </c>
      <c r="P64">
        <f t="shared" si="7"/>
        <v>0.15658433347857023</v>
      </c>
      <c r="Q64">
        <f t="shared" si="8"/>
        <v>39.387414920145027</v>
      </c>
      <c r="R64" s="2">
        <f t="shared" si="23"/>
        <v>9.3991321939631375E-2</v>
      </c>
      <c r="S64">
        <f t="shared" si="9"/>
        <v>7.3459642829072089E-3</v>
      </c>
      <c r="T64">
        <f t="shared" si="10"/>
        <v>1.0605629434286588E-2</v>
      </c>
      <c r="U64">
        <f t="shared" si="24"/>
        <v>1.7951593717193796E-2</v>
      </c>
      <c r="V64">
        <f t="shared" si="16"/>
        <v>1.0605629434286376E-2</v>
      </c>
      <c r="W64">
        <f t="shared" si="28"/>
        <v>7.4386120181890725E-2</v>
      </c>
      <c r="X64">
        <f t="shared" si="12"/>
        <v>1.7951593716891603E-2</v>
      </c>
      <c r="Y64">
        <f t="shared" si="25"/>
        <v>4.5365770568428977E-2</v>
      </c>
      <c r="AK64">
        <f t="shared" si="13"/>
        <v>3.0219201650390697E-13</v>
      </c>
      <c r="AL64">
        <f t="shared" si="14"/>
        <v>6.9012725628661</v>
      </c>
      <c r="AM64">
        <f t="shared" si="15"/>
        <v>7.6207772837098702</v>
      </c>
    </row>
    <row r="65" spans="11:39" x14ac:dyDescent="0.25">
      <c r="K65">
        <v>61</v>
      </c>
      <c r="L65">
        <f t="shared" si="26"/>
        <v>6.9302929124804411</v>
      </c>
      <c r="M65">
        <f t="shared" si="27"/>
        <v>7.620777001251259</v>
      </c>
      <c r="N65">
        <f t="shared" si="5"/>
        <v>0.50626400508711067</v>
      </c>
      <c r="O65">
        <f t="shared" si="6"/>
        <v>0</v>
      </c>
      <c r="P65">
        <f t="shared" si="7"/>
        <v>6.4075810711710521E-2</v>
      </c>
      <c r="Q65">
        <f t="shared" si="8"/>
        <v>39.387414920145027</v>
      </c>
      <c r="R65" s="2">
        <f t="shared" si="23"/>
        <v>0.14693148127149788</v>
      </c>
      <c r="S65">
        <f t="shared" si="9"/>
        <v>1.7951593717193473E-2</v>
      </c>
      <c r="T65">
        <f t="shared" si="10"/>
        <v>-1.0605629434286053E-2</v>
      </c>
      <c r="U65">
        <f t="shared" si="24"/>
        <v>7.3459642829074197E-3</v>
      </c>
      <c r="V65">
        <f t="shared" si="16"/>
        <v>1.0605629434286376E-2</v>
      </c>
      <c r="W65">
        <f t="shared" si="28"/>
        <v>7.4386120181890725E-2</v>
      </c>
      <c r="X65">
        <f t="shared" si="12"/>
        <v>7.3459642826052274E-3</v>
      </c>
      <c r="Y65">
        <f t="shared" si="25"/>
        <v>2.9020349615715681E-2</v>
      </c>
      <c r="AK65">
        <f t="shared" si="13"/>
        <v>3.0219201650390697E-13</v>
      </c>
      <c r="AL65">
        <f t="shared" si="14"/>
        <v>6.9012725628661</v>
      </c>
      <c r="AM65">
        <f t="shared" si="15"/>
        <v>7.6207772837098702</v>
      </c>
    </row>
    <row r="66" spans="11:39" x14ac:dyDescent="0.25">
      <c r="K66">
        <v>62</v>
      </c>
      <c r="L66">
        <f t="shared" si="26"/>
        <v>6.8559067922985504</v>
      </c>
      <c r="M66">
        <f t="shared" si="27"/>
        <v>7.620777001251259</v>
      </c>
      <c r="N66">
        <f t="shared" si="5"/>
        <v>-0.7914147673086982</v>
      </c>
      <c r="O66">
        <f t="shared" si="6"/>
        <v>0</v>
      </c>
      <c r="P66">
        <f t="shared" si="7"/>
        <v>0.15658433347857023</v>
      </c>
      <c r="Q66">
        <f t="shared" si="8"/>
        <v>39.387414920145027</v>
      </c>
      <c r="R66" s="2">
        <f t="shared" si="23"/>
        <v>9.3991321939631375E-2</v>
      </c>
      <c r="S66">
        <f t="shared" si="9"/>
        <v>7.3459642829072089E-3</v>
      </c>
      <c r="T66">
        <f t="shared" si="10"/>
        <v>1.0605629434286588E-2</v>
      </c>
      <c r="U66">
        <f t="shared" si="24"/>
        <v>1.7951593717193796E-2</v>
      </c>
      <c r="V66">
        <f t="shared" si="16"/>
        <v>1.0605629434286376E-2</v>
      </c>
      <c r="W66">
        <f t="shared" si="28"/>
        <v>7.4386120181890725E-2</v>
      </c>
      <c r="X66">
        <f t="shared" si="12"/>
        <v>1.7951593716891603E-2</v>
      </c>
      <c r="Y66">
        <f t="shared" si="25"/>
        <v>4.5365770568428977E-2</v>
      </c>
      <c r="AK66">
        <f t="shared" si="13"/>
        <v>3.0219201650390697E-13</v>
      </c>
      <c r="AL66">
        <f t="shared" si="14"/>
        <v>6.9012725628661</v>
      </c>
      <c r="AM66">
        <f t="shared" si="15"/>
        <v>7.6207772837098702</v>
      </c>
    </row>
    <row r="67" spans="11:39" x14ac:dyDescent="0.25">
      <c r="K67">
        <v>63</v>
      </c>
      <c r="L67">
        <f t="shared" si="26"/>
        <v>6.9302929124804411</v>
      </c>
      <c r="M67">
        <f t="shared" si="27"/>
        <v>7.620777001251259</v>
      </c>
      <c r="N67">
        <f t="shared" si="5"/>
        <v>0.50626400508711067</v>
      </c>
      <c r="O67">
        <f t="shared" si="6"/>
        <v>0</v>
      </c>
      <c r="P67">
        <f t="shared" si="7"/>
        <v>6.4075810711710521E-2</v>
      </c>
      <c r="Q67">
        <f t="shared" si="8"/>
        <v>39.387414920145027</v>
      </c>
      <c r="R67" s="2">
        <f t="shared" si="23"/>
        <v>0.14693148127149788</v>
      </c>
      <c r="S67">
        <f t="shared" si="9"/>
        <v>1.7951593717193473E-2</v>
      </c>
      <c r="T67">
        <f t="shared" si="10"/>
        <v>-1.0605629434286053E-2</v>
      </c>
      <c r="U67">
        <f t="shared" si="24"/>
        <v>7.3459642829074197E-3</v>
      </c>
      <c r="V67">
        <f t="shared" si="16"/>
        <v>1.0605629434286376E-2</v>
      </c>
      <c r="W67">
        <f t="shared" si="28"/>
        <v>7.4386120181890725E-2</v>
      </c>
      <c r="X67">
        <f t="shared" si="12"/>
        <v>7.3459642826052274E-3</v>
      </c>
      <c r="Y67">
        <f t="shared" si="25"/>
        <v>2.9020349615715681E-2</v>
      </c>
      <c r="AK67">
        <f t="shared" si="13"/>
        <v>3.0219201650390697E-13</v>
      </c>
      <c r="AL67">
        <f t="shared" si="14"/>
        <v>6.9012725628661</v>
      </c>
      <c r="AM67">
        <f t="shared" si="15"/>
        <v>7.6207772837098702</v>
      </c>
    </row>
    <row r="68" spans="11:39" x14ac:dyDescent="0.25">
      <c r="K68">
        <v>64</v>
      </c>
      <c r="L68">
        <f t="shared" si="26"/>
        <v>6.8559067922985504</v>
      </c>
      <c r="M68">
        <f t="shared" si="27"/>
        <v>7.620777001251259</v>
      </c>
      <c r="N68">
        <f t="shared" si="5"/>
        <v>-0.7914147673086982</v>
      </c>
      <c r="O68">
        <f t="shared" si="6"/>
        <v>0</v>
      </c>
      <c r="P68">
        <f t="shared" si="7"/>
        <v>0.15658433347857023</v>
      </c>
      <c r="Q68">
        <f t="shared" si="8"/>
        <v>39.387414920145027</v>
      </c>
      <c r="R68" s="2">
        <f t="shared" ref="R68:R104" si="29">IF(U68&gt;$B$11,$B$10/SQRT(N68^2+O68^2),$B$10/SQRT(N68^2+O68^2)/$B$12)</f>
        <v>9.3991321939631375E-2</v>
      </c>
      <c r="S68">
        <f t="shared" si="9"/>
        <v>7.3459642829072089E-3</v>
      </c>
      <c r="T68">
        <f t="shared" si="10"/>
        <v>1.0605629434286588E-2</v>
      </c>
      <c r="U68">
        <f t="shared" ref="U68:U104" si="30">$B$4*(L68-$B$6)^2+$B$5*(M68-$B$7)^2</f>
        <v>1.7951593717193796E-2</v>
      </c>
      <c r="V68">
        <f t="shared" si="16"/>
        <v>1.0605629434286376E-2</v>
      </c>
      <c r="W68">
        <f t="shared" si="28"/>
        <v>7.4386120181890725E-2</v>
      </c>
      <c r="X68">
        <f t="shared" si="12"/>
        <v>1.7951593716891603E-2</v>
      </c>
      <c r="Y68">
        <f t="shared" ref="Y68:Y104" si="31">SQRT(($F$5-L68)^2+($F$6-M68)^2)</f>
        <v>4.5365770568428977E-2</v>
      </c>
      <c r="AK68">
        <f t="shared" si="13"/>
        <v>3.0219201650390697E-13</v>
      </c>
      <c r="AL68">
        <f t="shared" si="14"/>
        <v>6.9012725628661</v>
      </c>
      <c r="AM68">
        <f t="shared" si="15"/>
        <v>7.6207772837098702</v>
      </c>
    </row>
    <row r="69" spans="11:39" x14ac:dyDescent="0.25">
      <c r="K69">
        <v>65</v>
      </c>
      <c r="L69">
        <f t="shared" ref="L69:L104" si="32">L68-$R68*N68</f>
        <v>6.9302929124804411</v>
      </c>
      <c r="M69">
        <f t="shared" ref="M69:M104" si="33">M68-$R68*O68</f>
        <v>7.620777001251259</v>
      </c>
      <c r="N69">
        <f t="shared" ref="N69:N104" si="34">2*$B$4*(L69-$B$6)</f>
        <v>0.50626400508711067</v>
      </c>
      <c r="O69">
        <f t="shared" ref="O69:O104" si="35">2*$B$5*(M69-$B$7)</f>
        <v>0</v>
      </c>
      <c r="P69">
        <f t="shared" ref="P69:P104" si="36">$B$4^2 * (L69-$B$6)^2</f>
        <v>6.4075810711710521E-2</v>
      </c>
      <c r="Q69">
        <f t="shared" ref="Q69:Q104" si="37">$B$4^2 * (M69-$B$6)^2</f>
        <v>39.387414920145027</v>
      </c>
      <c r="R69" s="2">
        <f t="shared" si="29"/>
        <v>0.14693148127149788</v>
      </c>
      <c r="S69">
        <f t="shared" ref="S69:S104" si="38">$B$4*(L69-$B$6)^2*(1-2*$B$4*R69)^2+$B$5*(M69-$B$7)^2*(1-2*$B$5*R69)^2</f>
        <v>1.7951593717193473E-2</v>
      </c>
      <c r="T69">
        <f t="shared" ref="T69:T104" si="39">U69-S69</f>
        <v>-1.0605629434286053E-2</v>
      </c>
      <c r="U69">
        <f t="shared" si="30"/>
        <v>7.3459642829074197E-3</v>
      </c>
      <c r="V69">
        <f t="shared" si="16"/>
        <v>1.0605629434286376E-2</v>
      </c>
      <c r="W69">
        <f t="shared" ref="W69:W104" si="40">SQRT((L68-L69)^2+(M68-M69)^2)</f>
        <v>7.4386120181890725E-2</v>
      </c>
      <c r="X69">
        <f t="shared" ref="X69:X104" si="41">ABS(U69-$F$4)</f>
        <v>7.3459642826052274E-3</v>
      </c>
      <c r="Y69">
        <f t="shared" si="31"/>
        <v>2.9020349615715681E-2</v>
      </c>
      <c r="AK69">
        <f t="shared" ref="AK69:AK103" si="42">$F$4</f>
        <v>3.0219201650390697E-13</v>
      </c>
      <c r="AL69">
        <f t="shared" ref="AL69:AL103" si="43">$F$5</f>
        <v>6.9012725628661</v>
      </c>
      <c r="AM69">
        <f t="shared" ref="AM69:AM103" si="44">$F$6</f>
        <v>7.6207772837098702</v>
      </c>
    </row>
    <row r="70" spans="11:39" x14ac:dyDescent="0.25">
      <c r="K70">
        <v>66</v>
      </c>
      <c r="L70">
        <f t="shared" si="32"/>
        <v>6.8559067922985504</v>
      </c>
      <c r="M70">
        <f t="shared" si="33"/>
        <v>7.620777001251259</v>
      </c>
      <c r="N70">
        <f t="shared" si="34"/>
        <v>-0.7914147673086982</v>
      </c>
      <c r="O70">
        <f t="shared" si="35"/>
        <v>0</v>
      </c>
      <c r="P70">
        <f t="shared" si="36"/>
        <v>0.15658433347857023</v>
      </c>
      <c r="Q70">
        <f t="shared" si="37"/>
        <v>39.387414920145027</v>
      </c>
      <c r="R70" s="2">
        <f t="shared" si="29"/>
        <v>9.3991321939631375E-2</v>
      </c>
      <c r="S70">
        <f t="shared" si="38"/>
        <v>7.3459642829072089E-3</v>
      </c>
      <c r="T70">
        <f t="shared" si="39"/>
        <v>1.0605629434286588E-2</v>
      </c>
      <c r="U70">
        <f t="shared" si="30"/>
        <v>1.7951593717193796E-2</v>
      </c>
      <c r="V70">
        <f t="shared" ref="V70:V104" si="45">ABS(U70-U69)</f>
        <v>1.0605629434286376E-2</v>
      </c>
      <c r="W70">
        <f t="shared" si="40"/>
        <v>7.4386120181890725E-2</v>
      </c>
      <c r="X70">
        <f t="shared" si="41"/>
        <v>1.7951593716891603E-2</v>
      </c>
      <c r="Y70">
        <f t="shared" si="31"/>
        <v>4.5365770568428977E-2</v>
      </c>
      <c r="AK70">
        <f t="shared" si="42"/>
        <v>3.0219201650390697E-13</v>
      </c>
      <c r="AL70">
        <f t="shared" si="43"/>
        <v>6.9012725628661</v>
      </c>
      <c r="AM70">
        <f t="shared" si="44"/>
        <v>7.6207772837098702</v>
      </c>
    </row>
    <row r="71" spans="11:39" x14ac:dyDescent="0.25">
      <c r="K71">
        <v>67</v>
      </c>
      <c r="L71">
        <f t="shared" si="32"/>
        <v>6.9302929124804411</v>
      </c>
      <c r="M71">
        <f t="shared" si="33"/>
        <v>7.620777001251259</v>
      </c>
      <c r="N71">
        <f t="shared" si="34"/>
        <v>0.50626400508711067</v>
      </c>
      <c r="O71">
        <f t="shared" si="35"/>
        <v>0</v>
      </c>
      <c r="P71">
        <f t="shared" si="36"/>
        <v>6.4075810711710521E-2</v>
      </c>
      <c r="Q71">
        <f t="shared" si="37"/>
        <v>39.387414920145027</v>
      </c>
      <c r="R71" s="2">
        <f t="shared" si="29"/>
        <v>0.14693148127149788</v>
      </c>
      <c r="S71">
        <f t="shared" si="38"/>
        <v>1.7951593717193473E-2</v>
      </c>
      <c r="T71">
        <f t="shared" si="39"/>
        <v>-1.0605629434286053E-2</v>
      </c>
      <c r="U71">
        <f t="shared" si="30"/>
        <v>7.3459642829074197E-3</v>
      </c>
      <c r="V71">
        <f t="shared" si="45"/>
        <v>1.0605629434286376E-2</v>
      </c>
      <c r="W71">
        <f t="shared" si="40"/>
        <v>7.4386120181890725E-2</v>
      </c>
      <c r="X71">
        <f t="shared" si="41"/>
        <v>7.3459642826052274E-3</v>
      </c>
      <c r="Y71">
        <f t="shared" si="31"/>
        <v>2.9020349615715681E-2</v>
      </c>
      <c r="AK71">
        <f t="shared" si="42"/>
        <v>3.0219201650390697E-13</v>
      </c>
      <c r="AL71">
        <f t="shared" si="43"/>
        <v>6.9012725628661</v>
      </c>
      <c r="AM71">
        <f t="shared" si="44"/>
        <v>7.6207772837098702</v>
      </c>
    </row>
    <row r="72" spans="11:39" x14ac:dyDescent="0.25">
      <c r="K72">
        <v>68</v>
      </c>
      <c r="L72">
        <f t="shared" si="32"/>
        <v>6.8559067922985504</v>
      </c>
      <c r="M72">
        <f t="shared" si="33"/>
        <v>7.620777001251259</v>
      </c>
      <c r="N72">
        <f t="shared" si="34"/>
        <v>-0.7914147673086982</v>
      </c>
      <c r="O72">
        <f t="shared" si="35"/>
        <v>0</v>
      </c>
      <c r="P72">
        <f t="shared" si="36"/>
        <v>0.15658433347857023</v>
      </c>
      <c r="Q72">
        <f t="shared" si="37"/>
        <v>39.387414920145027</v>
      </c>
      <c r="R72" s="2">
        <f t="shared" si="29"/>
        <v>9.3991321939631375E-2</v>
      </c>
      <c r="S72">
        <f t="shared" si="38"/>
        <v>7.3459642829072089E-3</v>
      </c>
      <c r="T72">
        <f t="shared" si="39"/>
        <v>1.0605629434286588E-2</v>
      </c>
      <c r="U72">
        <f t="shared" si="30"/>
        <v>1.7951593717193796E-2</v>
      </c>
      <c r="V72">
        <f t="shared" si="45"/>
        <v>1.0605629434286376E-2</v>
      </c>
      <c r="W72">
        <f t="shared" si="40"/>
        <v>7.4386120181890725E-2</v>
      </c>
      <c r="X72">
        <f t="shared" si="41"/>
        <v>1.7951593716891603E-2</v>
      </c>
      <c r="Y72">
        <f t="shared" si="31"/>
        <v>4.5365770568428977E-2</v>
      </c>
      <c r="AK72">
        <f t="shared" si="42"/>
        <v>3.0219201650390697E-13</v>
      </c>
      <c r="AL72">
        <f t="shared" si="43"/>
        <v>6.9012725628661</v>
      </c>
      <c r="AM72">
        <f t="shared" si="44"/>
        <v>7.6207772837098702</v>
      </c>
    </row>
    <row r="73" spans="11:39" x14ac:dyDescent="0.25">
      <c r="K73">
        <v>69</v>
      </c>
      <c r="L73">
        <f t="shared" si="32"/>
        <v>6.9302929124804411</v>
      </c>
      <c r="M73">
        <f t="shared" si="33"/>
        <v>7.620777001251259</v>
      </c>
      <c r="N73">
        <f t="shared" si="34"/>
        <v>0.50626400508711067</v>
      </c>
      <c r="O73">
        <f t="shared" si="35"/>
        <v>0</v>
      </c>
      <c r="P73">
        <f t="shared" si="36"/>
        <v>6.4075810711710521E-2</v>
      </c>
      <c r="Q73">
        <f t="shared" si="37"/>
        <v>39.387414920145027</v>
      </c>
      <c r="R73" s="2">
        <f t="shared" si="29"/>
        <v>0.14693148127149788</v>
      </c>
      <c r="S73">
        <f t="shared" si="38"/>
        <v>1.7951593717193473E-2</v>
      </c>
      <c r="T73">
        <f t="shared" si="39"/>
        <v>-1.0605629434286053E-2</v>
      </c>
      <c r="U73">
        <f t="shared" si="30"/>
        <v>7.3459642829074197E-3</v>
      </c>
      <c r="V73">
        <f t="shared" si="45"/>
        <v>1.0605629434286376E-2</v>
      </c>
      <c r="W73">
        <f t="shared" si="40"/>
        <v>7.4386120181890725E-2</v>
      </c>
      <c r="X73">
        <f t="shared" si="41"/>
        <v>7.3459642826052274E-3</v>
      </c>
      <c r="Y73">
        <f t="shared" si="31"/>
        <v>2.9020349615715681E-2</v>
      </c>
      <c r="AK73">
        <f t="shared" si="42"/>
        <v>3.0219201650390697E-13</v>
      </c>
      <c r="AL73">
        <f t="shared" si="43"/>
        <v>6.9012725628661</v>
      </c>
      <c r="AM73">
        <f t="shared" si="44"/>
        <v>7.6207772837098702</v>
      </c>
    </row>
    <row r="74" spans="11:39" x14ac:dyDescent="0.25">
      <c r="K74">
        <v>70</v>
      </c>
      <c r="L74">
        <f t="shared" si="32"/>
        <v>6.8559067922985504</v>
      </c>
      <c r="M74">
        <f t="shared" si="33"/>
        <v>7.620777001251259</v>
      </c>
      <c r="N74">
        <f t="shared" si="34"/>
        <v>-0.7914147673086982</v>
      </c>
      <c r="O74">
        <f t="shared" si="35"/>
        <v>0</v>
      </c>
      <c r="P74">
        <f t="shared" si="36"/>
        <v>0.15658433347857023</v>
      </c>
      <c r="Q74">
        <f t="shared" si="37"/>
        <v>39.387414920145027</v>
      </c>
      <c r="R74" s="2">
        <f t="shared" si="29"/>
        <v>9.3991321939631375E-2</v>
      </c>
      <c r="S74">
        <f t="shared" si="38"/>
        <v>7.3459642829072089E-3</v>
      </c>
      <c r="T74">
        <f t="shared" si="39"/>
        <v>1.0605629434286588E-2</v>
      </c>
      <c r="U74" s="3">
        <f t="shared" si="30"/>
        <v>1.7951593717193796E-2</v>
      </c>
      <c r="V74">
        <f t="shared" si="45"/>
        <v>1.0605629434286376E-2</v>
      </c>
      <c r="W74">
        <f t="shared" si="40"/>
        <v>7.4386120181890725E-2</v>
      </c>
      <c r="X74">
        <f t="shared" si="41"/>
        <v>1.7951593716891603E-2</v>
      </c>
      <c r="Y74">
        <f t="shared" si="31"/>
        <v>4.5365770568428977E-2</v>
      </c>
      <c r="AK74">
        <f t="shared" si="42"/>
        <v>3.0219201650390697E-13</v>
      </c>
      <c r="AL74">
        <f t="shared" si="43"/>
        <v>6.9012725628661</v>
      </c>
      <c r="AM74">
        <f t="shared" si="44"/>
        <v>7.6207772837098702</v>
      </c>
    </row>
    <row r="75" spans="11:39" x14ac:dyDescent="0.25">
      <c r="K75">
        <v>71</v>
      </c>
      <c r="L75">
        <f t="shared" si="32"/>
        <v>6.9302929124804411</v>
      </c>
      <c r="M75">
        <f t="shared" si="33"/>
        <v>7.620777001251259</v>
      </c>
      <c r="N75">
        <f t="shared" si="34"/>
        <v>0.50626400508711067</v>
      </c>
      <c r="O75">
        <f t="shared" si="35"/>
        <v>0</v>
      </c>
      <c r="P75">
        <f t="shared" si="36"/>
        <v>6.4075810711710521E-2</v>
      </c>
      <c r="Q75">
        <f t="shared" si="37"/>
        <v>39.387414920145027</v>
      </c>
      <c r="R75" s="2">
        <f t="shared" si="29"/>
        <v>0.14693148127149788</v>
      </c>
      <c r="S75">
        <f t="shared" si="38"/>
        <v>1.7951593717193473E-2</v>
      </c>
      <c r="T75">
        <f t="shared" si="39"/>
        <v>-1.0605629434286053E-2</v>
      </c>
      <c r="U75">
        <f t="shared" si="30"/>
        <v>7.3459642829074197E-3</v>
      </c>
      <c r="V75">
        <f t="shared" si="45"/>
        <v>1.0605629434286376E-2</v>
      </c>
      <c r="W75">
        <f t="shared" si="40"/>
        <v>7.4386120181890725E-2</v>
      </c>
      <c r="X75">
        <f t="shared" si="41"/>
        <v>7.3459642826052274E-3</v>
      </c>
      <c r="Y75">
        <f t="shared" si="31"/>
        <v>2.9020349615715681E-2</v>
      </c>
      <c r="AK75">
        <f t="shared" si="42"/>
        <v>3.0219201650390697E-13</v>
      </c>
      <c r="AL75">
        <f t="shared" si="43"/>
        <v>6.9012725628661</v>
      </c>
      <c r="AM75">
        <f t="shared" si="44"/>
        <v>7.6207772837098702</v>
      </c>
    </row>
    <row r="76" spans="11:39" x14ac:dyDescent="0.25">
      <c r="K76">
        <v>72</v>
      </c>
      <c r="L76">
        <f t="shared" si="32"/>
        <v>6.8559067922985504</v>
      </c>
      <c r="M76">
        <f t="shared" si="33"/>
        <v>7.620777001251259</v>
      </c>
      <c r="N76">
        <f t="shared" si="34"/>
        <v>-0.7914147673086982</v>
      </c>
      <c r="O76">
        <f t="shared" si="35"/>
        <v>0</v>
      </c>
      <c r="P76">
        <f t="shared" si="36"/>
        <v>0.15658433347857023</v>
      </c>
      <c r="Q76">
        <f t="shared" si="37"/>
        <v>39.387414920145027</v>
      </c>
      <c r="R76" s="2">
        <f t="shared" si="29"/>
        <v>9.3991321939631375E-2</v>
      </c>
      <c r="S76">
        <f t="shared" si="38"/>
        <v>7.3459642829072089E-3</v>
      </c>
      <c r="T76">
        <f t="shared" si="39"/>
        <v>1.0605629434286588E-2</v>
      </c>
      <c r="U76">
        <f t="shared" si="30"/>
        <v>1.7951593717193796E-2</v>
      </c>
      <c r="V76">
        <f t="shared" si="45"/>
        <v>1.0605629434286376E-2</v>
      </c>
      <c r="W76">
        <f t="shared" si="40"/>
        <v>7.4386120181890725E-2</v>
      </c>
      <c r="X76">
        <f t="shared" si="41"/>
        <v>1.7951593716891603E-2</v>
      </c>
      <c r="Y76">
        <f t="shared" si="31"/>
        <v>4.5365770568428977E-2</v>
      </c>
      <c r="AK76">
        <f t="shared" si="42"/>
        <v>3.0219201650390697E-13</v>
      </c>
      <c r="AL76">
        <f t="shared" si="43"/>
        <v>6.9012725628661</v>
      </c>
      <c r="AM76">
        <f t="shared" si="44"/>
        <v>7.6207772837098702</v>
      </c>
    </row>
    <row r="77" spans="11:39" x14ac:dyDescent="0.25">
      <c r="K77">
        <v>73</v>
      </c>
      <c r="L77">
        <f t="shared" si="32"/>
        <v>6.9302929124804411</v>
      </c>
      <c r="M77">
        <f t="shared" si="33"/>
        <v>7.620777001251259</v>
      </c>
      <c r="N77">
        <f t="shared" si="34"/>
        <v>0.50626400508711067</v>
      </c>
      <c r="O77">
        <f t="shared" si="35"/>
        <v>0</v>
      </c>
      <c r="P77">
        <f t="shared" si="36"/>
        <v>6.4075810711710521E-2</v>
      </c>
      <c r="Q77">
        <f t="shared" si="37"/>
        <v>39.387414920145027</v>
      </c>
      <c r="R77" s="2">
        <f t="shared" si="29"/>
        <v>0.14693148127149788</v>
      </c>
      <c r="S77">
        <f t="shared" si="38"/>
        <v>1.7951593717193473E-2</v>
      </c>
      <c r="T77">
        <f t="shared" si="39"/>
        <v>-1.0605629434286053E-2</v>
      </c>
      <c r="U77">
        <f t="shared" si="30"/>
        <v>7.3459642829074197E-3</v>
      </c>
      <c r="V77">
        <f t="shared" si="45"/>
        <v>1.0605629434286376E-2</v>
      </c>
      <c r="W77">
        <f t="shared" si="40"/>
        <v>7.4386120181890725E-2</v>
      </c>
      <c r="X77">
        <f t="shared" si="41"/>
        <v>7.3459642826052274E-3</v>
      </c>
      <c r="Y77">
        <f t="shared" si="31"/>
        <v>2.9020349615715681E-2</v>
      </c>
      <c r="AK77">
        <f t="shared" si="42"/>
        <v>3.0219201650390697E-13</v>
      </c>
      <c r="AL77">
        <f t="shared" si="43"/>
        <v>6.9012725628661</v>
      </c>
      <c r="AM77">
        <f t="shared" si="44"/>
        <v>7.6207772837098702</v>
      </c>
    </row>
    <row r="78" spans="11:39" x14ac:dyDescent="0.25">
      <c r="K78">
        <v>74</v>
      </c>
      <c r="L78">
        <f t="shared" si="32"/>
        <v>6.8559067922985504</v>
      </c>
      <c r="M78">
        <f t="shared" si="33"/>
        <v>7.620777001251259</v>
      </c>
      <c r="N78">
        <f t="shared" si="34"/>
        <v>-0.7914147673086982</v>
      </c>
      <c r="O78">
        <f t="shared" si="35"/>
        <v>0</v>
      </c>
      <c r="P78">
        <f t="shared" si="36"/>
        <v>0.15658433347857023</v>
      </c>
      <c r="Q78">
        <f t="shared" si="37"/>
        <v>39.387414920145027</v>
      </c>
      <c r="R78" s="2">
        <f t="shared" si="29"/>
        <v>9.3991321939631375E-2</v>
      </c>
      <c r="S78">
        <f t="shared" si="38"/>
        <v>7.3459642829072089E-3</v>
      </c>
      <c r="T78">
        <f t="shared" si="39"/>
        <v>1.0605629434286588E-2</v>
      </c>
      <c r="U78">
        <f t="shared" si="30"/>
        <v>1.7951593717193796E-2</v>
      </c>
      <c r="V78">
        <f t="shared" si="45"/>
        <v>1.0605629434286376E-2</v>
      </c>
      <c r="W78">
        <f t="shared" si="40"/>
        <v>7.4386120181890725E-2</v>
      </c>
      <c r="X78">
        <f t="shared" si="41"/>
        <v>1.7951593716891603E-2</v>
      </c>
      <c r="Y78">
        <f t="shared" si="31"/>
        <v>4.5365770568428977E-2</v>
      </c>
      <c r="AK78">
        <f t="shared" si="42"/>
        <v>3.0219201650390697E-13</v>
      </c>
      <c r="AL78">
        <f t="shared" si="43"/>
        <v>6.9012725628661</v>
      </c>
      <c r="AM78">
        <f t="shared" si="44"/>
        <v>7.6207772837098702</v>
      </c>
    </row>
    <row r="79" spans="11:39" x14ac:dyDescent="0.25">
      <c r="K79">
        <v>75</v>
      </c>
      <c r="L79">
        <f t="shared" si="32"/>
        <v>6.9302929124804411</v>
      </c>
      <c r="M79">
        <f t="shared" si="33"/>
        <v>7.620777001251259</v>
      </c>
      <c r="N79">
        <f t="shared" si="34"/>
        <v>0.50626400508711067</v>
      </c>
      <c r="O79">
        <f t="shared" si="35"/>
        <v>0</v>
      </c>
      <c r="P79">
        <f t="shared" si="36"/>
        <v>6.4075810711710521E-2</v>
      </c>
      <c r="Q79">
        <f t="shared" si="37"/>
        <v>39.387414920145027</v>
      </c>
      <c r="R79" s="2">
        <f t="shared" si="29"/>
        <v>0.14693148127149788</v>
      </c>
      <c r="S79">
        <f t="shared" si="38"/>
        <v>1.7951593717193473E-2</v>
      </c>
      <c r="T79">
        <f t="shared" si="39"/>
        <v>-1.0605629434286053E-2</v>
      </c>
      <c r="U79">
        <f t="shared" si="30"/>
        <v>7.3459642829074197E-3</v>
      </c>
      <c r="V79">
        <f t="shared" si="45"/>
        <v>1.0605629434286376E-2</v>
      </c>
      <c r="W79">
        <f t="shared" si="40"/>
        <v>7.4386120181890725E-2</v>
      </c>
      <c r="X79">
        <f t="shared" si="41"/>
        <v>7.3459642826052274E-3</v>
      </c>
      <c r="Y79">
        <f t="shared" si="31"/>
        <v>2.9020349615715681E-2</v>
      </c>
      <c r="AK79">
        <f t="shared" si="42"/>
        <v>3.0219201650390697E-13</v>
      </c>
      <c r="AL79">
        <f t="shared" si="43"/>
        <v>6.9012725628661</v>
      </c>
      <c r="AM79">
        <f t="shared" si="44"/>
        <v>7.6207772837098702</v>
      </c>
    </row>
    <row r="80" spans="11:39" x14ac:dyDescent="0.25">
      <c r="K80">
        <v>76</v>
      </c>
      <c r="L80">
        <f t="shared" si="32"/>
        <v>6.8559067922985504</v>
      </c>
      <c r="M80">
        <f t="shared" si="33"/>
        <v>7.620777001251259</v>
      </c>
      <c r="N80">
        <f t="shared" si="34"/>
        <v>-0.7914147673086982</v>
      </c>
      <c r="O80">
        <f t="shared" si="35"/>
        <v>0</v>
      </c>
      <c r="P80">
        <f t="shared" si="36"/>
        <v>0.15658433347857023</v>
      </c>
      <c r="Q80">
        <f t="shared" si="37"/>
        <v>39.387414920145027</v>
      </c>
      <c r="R80" s="2">
        <f t="shared" si="29"/>
        <v>9.3991321939631375E-2</v>
      </c>
      <c r="S80">
        <f t="shared" si="38"/>
        <v>7.3459642829072089E-3</v>
      </c>
      <c r="T80">
        <f t="shared" si="39"/>
        <v>1.0605629434286588E-2</v>
      </c>
      <c r="U80">
        <f t="shared" si="30"/>
        <v>1.7951593717193796E-2</v>
      </c>
      <c r="V80">
        <f t="shared" si="45"/>
        <v>1.0605629434286376E-2</v>
      </c>
      <c r="W80">
        <f t="shared" si="40"/>
        <v>7.4386120181890725E-2</v>
      </c>
      <c r="X80">
        <f t="shared" si="41"/>
        <v>1.7951593716891603E-2</v>
      </c>
      <c r="Y80">
        <f t="shared" si="31"/>
        <v>4.5365770568428977E-2</v>
      </c>
      <c r="AK80">
        <f t="shared" si="42"/>
        <v>3.0219201650390697E-13</v>
      </c>
      <c r="AL80">
        <f t="shared" si="43"/>
        <v>6.9012725628661</v>
      </c>
      <c r="AM80">
        <f t="shared" si="44"/>
        <v>7.6207772837098702</v>
      </c>
    </row>
    <row r="81" spans="11:39" x14ac:dyDescent="0.25">
      <c r="K81">
        <v>77</v>
      </c>
      <c r="L81">
        <f t="shared" si="32"/>
        <v>6.9302929124804411</v>
      </c>
      <c r="M81">
        <f t="shared" si="33"/>
        <v>7.620777001251259</v>
      </c>
      <c r="N81">
        <f t="shared" si="34"/>
        <v>0.50626400508711067</v>
      </c>
      <c r="O81">
        <f t="shared" si="35"/>
        <v>0</v>
      </c>
      <c r="P81">
        <f t="shared" si="36"/>
        <v>6.4075810711710521E-2</v>
      </c>
      <c r="Q81">
        <f t="shared" si="37"/>
        <v>39.387414920145027</v>
      </c>
      <c r="R81" s="2">
        <f t="shared" si="29"/>
        <v>0.14693148127149788</v>
      </c>
      <c r="S81">
        <f t="shared" si="38"/>
        <v>1.7951593717193473E-2</v>
      </c>
      <c r="T81">
        <f t="shared" si="39"/>
        <v>-1.0605629434286053E-2</v>
      </c>
      <c r="U81">
        <f t="shared" si="30"/>
        <v>7.3459642829074197E-3</v>
      </c>
      <c r="V81">
        <f t="shared" si="45"/>
        <v>1.0605629434286376E-2</v>
      </c>
      <c r="W81">
        <f t="shared" si="40"/>
        <v>7.4386120181890725E-2</v>
      </c>
      <c r="X81">
        <f t="shared" si="41"/>
        <v>7.3459642826052274E-3</v>
      </c>
      <c r="Y81">
        <f t="shared" si="31"/>
        <v>2.9020349615715681E-2</v>
      </c>
      <c r="AK81">
        <f t="shared" si="42"/>
        <v>3.0219201650390697E-13</v>
      </c>
      <c r="AL81">
        <f t="shared" si="43"/>
        <v>6.9012725628661</v>
      </c>
      <c r="AM81">
        <f t="shared" si="44"/>
        <v>7.6207772837098702</v>
      </c>
    </row>
    <row r="82" spans="11:39" x14ac:dyDescent="0.25">
      <c r="K82">
        <v>78</v>
      </c>
      <c r="L82">
        <f t="shared" si="32"/>
        <v>6.8559067922985504</v>
      </c>
      <c r="M82">
        <f t="shared" si="33"/>
        <v>7.620777001251259</v>
      </c>
      <c r="N82">
        <f t="shared" si="34"/>
        <v>-0.7914147673086982</v>
      </c>
      <c r="O82">
        <f t="shared" si="35"/>
        <v>0</v>
      </c>
      <c r="P82">
        <f t="shared" si="36"/>
        <v>0.15658433347857023</v>
      </c>
      <c r="Q82">
        <f t="shared" si="37"/>
        <v>39.387414920145027</v>
      </c>
      <c r="R82" s="2">
        <f t="shared" si="29"/>
        <v>9.3991321939631375E-2</v>
      </c>
      <c r="S82">
        <f t="shared" si="38"/>
        <v>7.3459642829072089E-3</v>
      </c>
      <c r="T82">
        <f t="shared" si="39"/>
        <v>1.0605629434286588E-2</v>
      </c>
      <c r="U82">
        <f t="shared" si="30"/>
        <v>1.7951593717193796E-2</v>
      </c>
      <c r="V82">
        <f t="shared" si="45"/>
        <v>1.0605629434286376E-2</v>
      </c>
      <c r="W82">
        <f t="shared" si="40"/>
        <v>7.4386120181890725E-2</v>
      </c>
      <c r="X82">
        <f t="shared" si="41"/>
        <v>1.7951593716891603E-2</v>
      </c>
      <c r="Y82">
        <f t="shared" si="31"/>
        <v>4.5365770568428977E-2</v>
      </c>
      <c r="AK82">
        <f t="shared" si="42"/>
        <v>3.0219201650390697E-13</v>
      </c>
      <c r="AL82">
        <f t="shared" si="43"/>
        <v>6.9012725628661</v>
      </c>
      <c r="AM82">
        <f t="shared" si="44"/>
        <v>7.6207772837098702</v>
      </c>
    </row>
    <row r="83" spans="11:39" x14ac:dyDescent="0.25">
      <c r="K83">
        <v>79</v>
      </c>
      <c r="L83">
        <f t="shared" si="32"/>
        <v>6.9302929124804411</v>
      </c>
      <c r="M83">
        <f t="shared" si="33"/>
        <v>7.620777001251259</v>
      </c>
      <c r="N83">
        <f t="shared" si="34"/>
        <v>0.50626400508711067</v>
      </c>
      <c r="O83">
        <f t="shared" si="35"/>
        <v>0</v>
      </c>
      <c r="P83">
        <f t="shared" si="36"/>
        <v>6.4075810711710521E-2</v>
      </c>
      <c r="Q83">
        <f t="shared" si="37"/>
        <v>39.387414920145027</v>
      </c>
      <c r="R83" s="2">
        <f t="shared" si="29"/>
        <v>0.14693148127149788</v>
      </c>
      <c r="S83">
        <f t="shared" si="38"/>
        <v>1.7951593717193473E-2</v>
      </c>
      <c r="T83">
        <f t="shared" si="39"/>
        <v>-1.0605629434286053E-2</v>
      </c>
      <c r="U83">
        <f t="shared" si="30"/>
        <v>7.3459642829074197E-3</v>
      </c>
      <c r="V83">
        <f t="shared" si="45"/>
        <v>1.0605629434286376E-2</v>
      </c>
      <c r="W83">
        <f t="shared" si="40"/>
        <v>7.4386120181890725E-2</v>
      </c>
      <c r="X83">
        <f t="shared" si="41"/>
        <v>7.3459642826052274E-3</v>
      </c>
      <c r="Y83">
        <f t="shared" si="31"/>
        <v>2.9020349615715681E-2</v>
      </c>
      <c r="AK83">
        <f t="shared" si="42"/>
        <v>3.0219201650390697E-13</v>
      </c>
      <c r="AL83">
        <f t="shared" si="43"/>
        <v>6.9012725628661</v>
      </c>
      <c r="AM83">
        <f t="shared" si="44"/>
        <v>7.6207772837098702</v>
      </c>
    </row>
    <row r="84" spans="11:39" x14ac:dyDescent="0.25">
      <c r="K84">
        <v>80</v>
      </c>
      <c r="L84">
        <f t="shared" si="32"/>
        <v>6.8559067922985504</v>
      </c>
      <c r="M84">
        <f t="shared" si="33"/>
        <v>7.620777001251259</v>
      </c>
      <c r="N84">
        <f t="shared" si="34"/>
        <v>-0.7914147673086982</v>
      </c>
      <c r="O84">
        <f t="shared" si="35"/>
        <v>0</v>
      </c>
      <c r="P84">
        <f t="shared" si="36"/>
        <v>0.15658433347857023</v>
      </c>
      <c r="Q84">
        <f t="shared" si="37"/>
        <v>39.387414920145027</v>
      </c>
      <c r="R84" s="2">
        <f t="shared" si="29"/>
        <v>9.3991321939631375E-2</v>
      </c>
      <c r="S84">
        <f t="shared" si="38"/>
        <v>7.3459642829072089E-3</v>
      </c>
      <c r="T84">
        <f t="shared" si="39"/>
        <v>1.0605629434286588E-2</v>
      </c>
      <c r="U84">
        <f t="shared" si="30"/>
        <v>1.7951593717193796E-2</v>
      </c>
      <c r="V84">
        <f t="shared" si="45"/>
        <v>1.0605629434286376E-2</v>
      </c>
      <c r="W84">
        <f t="shared" si="40"/>
        <v>7.4386120181890725E-2</v>
      </c>
      <c r="X84">
        <f t="shared" si="41"/>
        <v>1.7951593716891603E-2</v>
      </c>
      <c r="Y84">
        <f t="shared" si="31"/>
        <v>4.5365770568428977E-2</v>
      </c>
      <c r="AK84">
        <f t="shared" si="42"/>
        <v>3.0219201650390697E-13</v>
      </c>
      <c r="AL84">
        <f t="shared" si="43"/>
        <v>6.9012725628661</v>
      </c>
      <c r="AM84">
        <f t="shared" si="44"/>
        <v>7.6207772837098702</v>
      </c>
    </row>
    <row r="85" spans="11:39" x14ac:dyDescent="0.25">
      <c r="K85">
        <v>81</v>
      </c>
      <c r="L85">
        <f t="shared" si="32"/>
        <v>6.9302929124804411</v>
      </c>
      <c r="M85">
        <f t="shared" si="33"/>
        <v>7.620777001251259</v>
      </c>
      <c r="N85">
        <f t="shared" si="34"/>
        <v>0.50626400508711067</v>
      </c>
      <c r="O85">
        <f t="shared" si="35"/>
        <v>0</v>
      </c>
      <c r="P85">
        <f t="shared" si="36"/>
        <v>6.4075810711710521E-2</v>
      </c>
      <c r="Q85">
        <f t="shared" si="37"/>
        <v>39.387414920145027</v>
      </c>
      <c r="R85" s="2">
        <f t="shared" si="29"/>
        <v>0.14693148127149788</v>
      </c>
      <c r="S85">
        <f t="shared" si="38"/>
        <v>1.7951593717193473E-2</v>
      </c>
      <c r="T85">
        <f t="shared" si="39"/>
        <v>-1.0605629434286053E-2</v>
      </c>
      <c r="U85">
        <f t="shared" si="30"/>
        <v>7.3459642829074197E-3</v>
      </c>
      <c r="V85">
        <f t="shared" si="45"/>
        <v>1.0605629434286376E-2</v>
      </c>
      <c r="W85">
        <f t="shared" si="40"/>
        <v>7.4386120181890725E-2</v>
      </c>
      <c r="X85">
        <f t="shared" si="41"/>
        <v>7.3459642826052274E-3</v>
      </c>
      <c r="Y85">
        <f t="shared" si="31"/>
        <v>2.9020349615715681E-2</v>
      </c>
      <c r="AK85">
        <f t="shared" si="42"/>
        <v>3.0219201650390697E-13</v>
      </c>
      <c r="AL85">
        <f t="shared" si="43"/>
        <v>6.9012725628661</v>
      </c>
      <c r="AM85">
        <f t="shared" si="44"/>
        <v>7.6207772837098702</v>
      </c>
    </row>
    <row r="86" spans="11:39" x14ac:dyDescent="0.25">
      <c r="K86">
        <v>82</v>
      </c>
      <c r="L86">
        <f t="shared" si="32"/>
        <v>6.8559067922985504</v>
      </c>
      <c r="M86">
        <f t="shared" si="33"/>
        <v>7.620777001251259</v>
      </c>
      <c r="N86">
        <f t="shared" si="34"/>
        <v>-0.7914147673086982</v>
      </c>
      <c r="O86">
        <f t="shared" si="35"/>
        <v>0</v>
      </c>
      <c r="P86">
        <f t="shared" si="36"/>
        <v>0.15658433347857023</v>
      </c>
      <c r="Q86">
        <f t="shared" si="37"/>
        <v>39.387414920145027</v>
      </c>
      <c r="R86" s="2">
        <f t="shared" si="29"/>
        <v>9.3991321939631375E-2</v>
      </c>
      <c r="S86">
        <f t="shared" si="38"/>
        <v>7.3459642829072089E-3</v>
      </c>
      <c r="T86">
        <f t="shared" si="39"/>
        <v>1.0605629434286588E-2</v>
      </c>
      <c r="U86">
        <f t="shared" si="30"/>
        <v>1.7951593717193796E-2</v>
      </c>
      <c r="V86">
        <f t="shared" si="45"/>
        <v>1.0605629434286376E-2</v>
      </c>
      <c r="W86">
        <f t="shared" si="40"/>
        <v>7.4386120181890725E-2</v>
      </c>
      <c r="X86">
        <f t="shared" si="41"/>
        <v>1.7951593716891603E-2</v>
      </c>
      <c r="Y86">
        <f t="shared" si="31"/>
        <v>4.5365770568428977E-2</v>
      </c>
      <c r="AK86">
        <f t="shared" si="42"/>
        <v>3.0219201650390697E-13</v>
      </c>
      <c r="AL86">
        <f t="shared" si="43"/>
        <v>6.9012725628661</v>
      </c>
      <c r="AM86">
        <f t="shared" si="44"/>
        <v>7.6207772837098702</v>
      </c>
    </row>
    <row r="87" spans="11:39" x14ac:dyDescent="0.25">
      <c r="K87">
        <v>83</v>
      </c>
      <c r="L87">
        <f t="shared" si="32"/>
        <v>6.9302929124804411</v>
      </c>
      <c r="M87">
        <f t="shared" si="33"/>
        <v>7.620777001251259</v>
      </c>
      <c r="N87">
        <f t="shared" si="34"/>
        <v>0.50626400508711067</v>
      </c>
      <c r="O87">
        <f t="shared" si="35"/>
        <v>0</v>
      </c>
      <c r="P87">
        <f t="shared" si="36"/>
        <v>6.4075810711710521E-2</v>
      </c>
      <c r="Q87">
        <f t="shared" si="37"/>
        <v>39.387414920145027</v>
      </c>
      <c r="R87" s="2">
        <f t="shared" si="29"/>
        <v>0.14693148127149788</v>
      </c>
      <c r="S87">
        <f t="shared" si="38"/>
        <v>1.7951593717193473E-2</v>
      </c>
      <c r="T87">
        <f t="shared" si="39"/>
        <v>-1.0605629434286053E-2</v>
      </c>
      <c r="U87">
        <f t="shared" si="30"/>
        <v>7.3459642829074197E-3</v>
      </c>
      <c r="V87">
        <f t="shared" si="45"/>
        <v>1.0605629434286376E-2</v>
      </c>
      <c r="W87">
        <f t="shared" si="40"/>
        <v>7.4386120181890725E-2</v>
      </c>
      <c r="X87">
        <f t="shared" si="41"/>
        <v>7.3459642826052274E-3</v>
      </c>
      <c r="Y87">
        <f t="shared" si="31"/>
        <v>2.9020349615715681E-2</v>
      </c>
      <c r="AK87">
        <f t="shared" si="42"/>
        <v>3.0219201650390697E-13</v>
      </c>
      <c r="AL87">
        <f t="shared" si="43"/>
        <v>6.9012725628661</v>
      </c>
      <c r="AM87">
        <f t="shared" si="44"/>
        <v>7.6207772837098702</v>
      </c>
    </row>
    <row r="88" spans="11:39" x14ac:dyDescent="0.25">
      <c r="K88">
        <v>84</v>
      </c>
      <c r="L88">
        <f t="shared" si="32"/>
        <v>6.8559067922985504</v>
      </c>
      <c r="M88">
        <f t="shared" si="33"/>
        <v>7.620777001251259</v>
      </c>
      <c r="N88">
        <f t="shared" si="34"/>
        <v>-0.7914147673086982</v>
      </c>
      <c r="O88">
        <f t="shared" si="35"/>
        <v>0</v>
      </c>
      <c r="P88">
        <f t="shared" si="36"/>
        <v>0.15658433347857023</v>
      </c>
      <c r="Q88">
        <f t="shared" si="37"/>
        <v>39.387414920145027</v>
      </c>
      <c r="R88" s="2">
        <f t="shared" si="29"/>
        <v>9.3991321939631375E-2</v>
      </c>
      <c r="S88">
        <f t="shared" si="38"/>
        <v>7.3459642829072089E-3</v>
      </c>
      <c r="T88">
        <f t="shared" si="39"/>
        <v>1.0605629434286588E-2</v>
      </c>
      <c r="U88">
        <f t="shared" si="30"/>
        <v>1.7951593717193796E-2</v>
      </c>
      <c r="V88">
        <f t="shared" si="45"/>
        <v>1.0605629434286376E-2</v>
      </c>
      <c r="W88">
        <f t="shared" si="40"/>
        <v>7.4386120181890725E-2</v>
      </c>
      <c r="X88">
        <f t="shared" si="41"/>
        <v>1.7951593716891603E-2</v>
      </c>
      <c r="Y88">
        <f t="shared" si="31"/>
        <v>4.5365770568428977E-2</v>
      </c>
      <c r="AK88">
        <f t="shared" si="42"/>
        <v>3.0219201650390697E-13</v>
      </c>
      <c r="AL88">
        <f t="shared" si="43"/>
        <v>6.9012725628661</v>
      </c>
      <c r="AM88">
        <f t="shared" si="44"/>
        <v>7.6207772837098702</v>
      </c>
    </row>
    <row r="89" spans="11:39" x14ac:dyDescent="0.25">
      <c r="K89">
        <v>85</v>
      </c>
      <c r="L89">
        <f t="shared" si="32"/>
        <v>6.9302929124804411</v>
      </c>
      <c r="M89">
        <f t="shared" si="33"/>
        <v>7.620777001251259</v>
      </c>
      <c r="N89">
        <f t="shared" si="34"/>
        <v>0.50626400508711067</v>
      </c>
      <c r="O89">
        <f t="shared" si="35"/>
        <v>0</v>
      </c>
      <c r="P89">
        <f t="shared" si="36"/>
        <v>6.4075810711710521E-2</v>
      </c>
      <c r="Q89">
        <f t="shared" si="37"/>
        <v>39.387414920145027</v>
      </c>
      <c r="R89" s="2">
        <f t="shared" si="29"/>
        <v>0.14693148127149788</v>
      </c>
      <c r="S89">
        <f t="shared" si="38"/>
        <v>1.7951593717193473E-2</v>
      </c>
      <c r="T89">
        <f t="shared" si="39"/>
        <v>-1.0605629434286053E-2</v>
      </c>
      <c r="U89">
        <f t="shared" si="30"/>
        <v>7.3459642829074197E-3</v>
      </c>
      <c r="V89">
        <f t="shared" si="45"/>
        <v>1.0605629434286376E-2</v>
      </c>
      <c r="W89">
        <f t="shared" si="40"/>
        <v>7.4386120181890725E-2</v>
      </c>
      <c r="X89">
        <f t="shared" si="41"/>
        <v>7.3459642826052274E-3</v>
      </c>
      <c r="Y89">
        <f t="shared" si="31"/>
        <v>2.9020349615715681E-2</v>
      </c>
      <c r="AK89">
        <f t="shared" si="42"/>
        <v>3.0219201650390697E-13</v>
      </c>
      <c r="AL89">
        <f t="shared" si="43"/>
        <v>6.9012725628661</v>
      </c>
      <c r="AM89">
        <f t="shared" si="44"/>
        <v>7.6207772837098702</v>
      </c>
    </row>
    <row r="90" spans="11:39" x14ac:dyDescent="0.25">
      <c r="K90">
        <v>86</v>
      </c>
      <c r="L90">
        <f t="shared" si="32"/>
        <v>6.8559067922985504</v>
      </c>
      <c r="M90">
        <f t="shared" si="33"/>
        <v>7.620777001251259</v>
      </c>
      <c r="N90">
        <f t="shared" si="34"/>
        <v>-0.7914147673086982</v>
      </c>
      <c r="O90">
        <f t="shared" si="35"/>
        <v>0</v>
      </c>
      <c r="P90">
        <f t="shared" si="36"/>
        <v>0.15658433347857023</v>
      </c>
      <c r="Q90">
        <f t="shared" si="37"/>
        <v>39.387414920145027</v>
      </c>
      <c r="R90" s="2">
        <f t="shared" si="29"/>
        <v>9.3991321939631375E-2</v>
      </c>
      <c r="S90">
        <f t="shared" si="38"/>
        <v>7.3459642829072089E-3</v>
      </c>
      <c r="T90">
        <f t="shared" si="39"/>
        <v>1.0605629434286588E-2</v>
      </c>
      <c r="U90">
        <f t="shared" si="30"/>
        <v>1.7951593717193796E-2</v>
      </c>
      <c r="V90">
        <f t="shared" si="45"/>
        <v>1.0605629434286376E-2</v>
      </c>
      <c r="W90">
        <f t="shared" si="40"/>
        <v>7.4386120181890725E-2</v>
      </c>
      <c r="X90">
        <f t="shared" si="41"/>
        <v>1.7951593716891603E-2</v>
      </c>
      <c r="Y90">
        <f t="shared" si="31"/>
        <v>4.5365770568428977E-2</v>
      </c>
      <c r="AK90">
        <f t="shared" si="42"/>
        <v>3.0219201650390697E-13</v>
      </c>
      <c r="AL90">
        <f t="shared" si="43"/>
        <v>6.9012725628661</v>
      </c>
      <c r="AM90">
        <f t="shared" si="44"/>
        <v>7.6207772837098702</v>
      </c>
    </row>
    <row r="91" spans="11:39" x14ac:dyDescent="0.25">
      <c r="K91">
        <v>87</v>
      </c>
      <c r="L91">
        <f t="shared" si="32"/>
        <v>6.9302929124804411</v>
      </c>
      <c r="M91">
        <f t="shared" si="33"/>
        <v>7.620777001251259</v>
      </c>
      <c r="N91">
        <f t="shared" si="34"/>
        <v>0.50626400508711067</v>
      </c>
      <c r="O91">
        <f t="shared" si="35"/>
        <v>0</v>
      </c>
      <c r="P91">
        <f t="shared" si="36"/>
        <v>6.4075810711710521E-2</v>
      </c>
      <c r="Q91">
        <f t="shared" si="37"/>
        <v>39.387414920145027</v>
      </c>
      <c r="R91" s="2">
        <f t="shared" si="29"/>
        <v>0.14693148127149788</v>
      </c>
      <c r="S91">
        <f t="shared" si="38"/>
        <v>1.7951593717193473E-2</v>
      </c>
      <c r="T91">
        <f t="shared" si="39"/>
        <v>-1.0605629434286053E-2</v>
      </c>
      <c r="U91">
        <f t="shared" si="30"/>
        <v>7.3459642829074197E-3</v>
      </c>
      <c r="V91">
        <f t="shared" si="45"/>
        <v>1.0605629434286376E-2</v>
      </c>
      <c r="W91">
        <f t="shared" si="40"/>
        <v>7.4386120181890725E-2</v>
      </c>
      <c r="X91">
        <f t="shared" si="41"/>
        <v>7.3459642826052274E-3</v>
      </c>
      <c r="Y91">
        <f t="shared" si="31"/>
        <v>2.9020349615715681E-2</v>
      </c>
      <c r="AK91">
        <f t="shared" si="42"/>
        <v>3.0219201650390697E-13</v>
      </c>
      <c r="AL91">
        <f t="shared" si="43"/>
        <v>6.9012725628661</v>
      </c>
      <c r="AM91">
        <f t="shared" si="44"/>
        <v>7.6207772837098702</v>
      </c>
    </row>
    <row r="92" spans="11:39" x14ac:dyDescent="0.25">
      <c r="K92">
        <v>88</v>
      </c>
      <c r="L92">
        <f t="shared" si="32"/>
        <v>6.8559067922985504</v>
      </c>
      <c r="M92">
        <f t="shared" si="33"/>
        <v>7.620777001251259</v>
      </c>
      <c r="N92">
        <f t="shared" si="34"/>
        <v>-0.7914147673086982</v>
      </c>
      <c r="O92">
        <f t="shared" si="35"/>
        <v>0</v>
      </c>
      <c r="P92">
        <f t="shared" si="36"/>
        <v>0.15658433347857023</v>
      </c>
      <c r="Q92">
        <f t="shared" si="37"/>
        <v>39.387414920145027</v>
      </c>
      <c r="R92" s="2">
        <f t="shared" si="29"/>
        <v>9.3991321939631375E-2</v>
      </c>
      <c r="S92">
        <f t="shared" si="38"/>
        <v>7.3459642829072089E-3</v>
      </c>
      <c r="T92">
        <f t="shared" si="39"/>
        <v>1.0605629434286588E-2</v>
      </c>
      <c r="U92">
        <f t="shared" si="30"/>
        <v>1.7951593717193796E-2</v>
      </c>
      <c r="V92">
        <f t="shared" si="45"/>
        <v>1.0605629434286376E-2</v>
      </c>
      <c r="W92">
        <f t="shared" si="40"/>
        <v>7.4386120181890725E-2</v>
      </c>
      <c r="X92">
        <f t="shared" si="41"/>
        <v>1.7951593716891603E-2</v>
      </c>
      <c r="Y92">
        <f t="shared" si="31"/>
        <v>4.5365770568428977E-2</v>
      </c>
      <c r="AK92">
        <f t="shared" si="42"/>
        <v>3.0219201650390697E-13</v>
      </c>
      <c r="AL92">
        <f t="shared" si="43"/>
        <v>6.9012725628661</v>
      </c>
      <c r="AM92">
        <f t="shared" si="44"/>
        <v>7.6207772837098702</v>
      </c>
    </row>
    <row r="93" spans="11:39" x14ac:dyDescent="0.25">
      <c r="K93">
        <v>89</v>
      </c>
      <c r="L93">
        <f t="shared" si="32"/>
        <v>6.9302929124804411</v>
      </c>
      <c r="M93">
        <f t="shared" si="33"/>
        <v>7.620777001251259</v>
      </c>
      <c r="N93">
        <f t="shared" si="34"/>
        <v>0.50626400508711067</v>
      </c>
      <c r="O93">
        <f t="shared" si="35"/>
        <v>0</v>
      </c>
      <c r="P93">
        <f t="shared" si="36"/>
        <v>6.4075810711710521E-2</v>
      </c>
      <c r="Q93">
        <f t="shared" si="37"/>
        <v>39.387414920145027</v>
      </c>
      <c r="R93" s="2">
        <f t="shared" si="29"/>
        <v>0.14693148127149788</v>
      </c>
      <c r="S93">
        <f t="shared" si="38"/>
        <v>1.7951593717193473E-2</v>
      </c>
      <c r="T93">
        <f t="shared" si="39"/>
        <v>-1.0605629434286053E-2</v>
      </c>
      <c r="U93">
        <f t="shared" si="30"/>
        <v>7.3459642829074197E-3</v>
      </c>
      <c r="V93">
        <f t="shared" si="45"/>
        <v>1.0605629434286376E-2</v>
      </c>
      <c r="W93">
        <f t="shared" si="40"/>
        <v>7.4386120181890725E-2</v>
      </c>
      <c r="X93">
        <f t="shared" si="41"/>
        <v>7.3459642826052274E-3</v>
      </c>
      <c r="Y93">
        <f t="shared" si="31"/>
        <v>2.9020349615715681E-2</v>
      </c>
      <c r="AK93">
        <f t="shared" si="42"/>
        <v>3.0219201650390697E-13</v>
      </c>
      <c r="AL93">
        <f t="shared" si="43"/>
        <v>6.9012725628661</v>
      </c>
      <c r="AM93">
        <f t="shared" si="44"/>
        <v>7.6207772837098702</v>
      </c>
    </row>
    <row r="94" spans="11:39" x14ac:dyDescent="0.25">
      <c r="K94">
        <v>90</v>
      </c>
      <c r="L94">
        <f t="shared" si="32"/>
        <v>6.8559067922985504</v>
      </c>
      <c r="M94">
        <f t="shared" si="33"/>
        <v>7.620777001251259</v>
      </c>
      <c r="N94">
        <f t="shared" si="34"/>
        <v>-0.7914147673086982</v>
      </c>
      <c r="O94">
        <f t="shared" si="35"/>
        <v>0</v>
      </c>
      <c r="P94">
        <f t="shared" si="36"/>
        <v>0.15658433347857023</v>
      </c>
      <c r="Q94">
        <f t="shared" si="37"/>
        <v>39.387414920145027</v>
      </c>
      <c r="R94" s="2">
        <f t="shared" si="29"/>
        <v>9.3991321939631375E-2</v>
      </c>
      <c r="S94">
        <f t="shared" si="38"/>
        <v>7.3459642829072089E-3</v>
      </c>
      <c r="T94">
        <f t="shared" si="39"/>
        <v>1.0605629434286588E-2</v>
      </c>
      <c r="U94">
        <f t="shared" si="30"/>
        <v>1.7951593717193796E-2</v>
      </c>
      <c r="V94">
        <f t="shared" si="45"/>
        <v>1.0605629434286376E-2</v>
      </c>
      <c r="W94">
        <f t="shared" si="40"/>
        <v>7.4386120181890725E-2</v>
      </c>
      <c r="X94">
        <f t="shared" si="41"/>
        <v>1.7951593716891603E-2</v>
      </c>
      <c r="Y94">
        <f t="shared" si="31"/>
        <v>4.5365770568428977E-2</v>
      </c>
      <c r="AK94">
        <f t="shared" si="42"/>
        <v>3.0219201650390697E-13</v>
      </c>
      <c r="AL94">
        <f t="shared" si="43"/>
        <v>6.9012725628661</v>
      </c>
      <c r="AM94">
        <f t="shared" si="44"/>
        <v>7.6207772837098702</v>
      </c>
    </row>
    <row r="95" spans="11:39" x14ac:dyDescent="0.25">
      <c r="K95">
        <v>91</v>
      </c>
      <c r="L95">
        <f t="shared" si="32"/>
        <v>6.9302929124804411</v>
      </c>
      <c r="M95">
        <f t="shared" si="33"/>
        <v>7.620777001251259</v>
      </c>
      <c r="N95">
        <f t="shared" si="34"/>
        <v>0.50626400508711067</v>
      </c>
      <c r="O95">
        <f t="shared" si="35"/>
        <v>0</v>
      </c>
      <c r="P95">
        <f t="shared" si="36"/>
        <v>6.4075810711710521E-2</v>
      </c>
      <c r="Q95">
        <f t="shared" si="37"/>
        <v>39.387414920145027</v>
      </c>
      <c r="R95" s="2">
        <f t="shared" si="29"/>
        <v>0.14693148127149788</v>
      </c>
      <c r="S95">
        <f t="shared" si="38"/>
        <v>1.7951593717193473E-2</v>
      </c>
      <c r="T95">
        <f t="shared" si="39"/>
        <v>-1.0605629434286053E-2</v>
      </c>
      <c r="U95">
        <f t="shared" si="30"/>
        <v>7.3459642829074197E-3</v>
      </c>
      <c r="V95">
        <f t="shared" si="45"/>
        <v>1.0605629434286376E-2</v>
      </c>
      <c r="W95">
        <f t="shared" si="40"/>
        <v>7.4386120181890725E-2</v>
      </c>
      <c r="X95">
        <f t="shared" si="41"/>
        <v>7.3459642826052274E-3</v>
      </c>
      <c r="Y95">
        <f t="shared" si="31"/>
        <v>2.9020349615715681E-2</v>
      </c>
      <c r="AK95">
        <f t="shared" si="42"/>
        <v>3.0219201650390697E-13</v>
      </c>
      <c r="AL95">
        <f t="shared" si="43"/>
        <v>6.9012725628661</v>
      </c>
      <c r="AM95">
        <f t="shared" si="44"/>
        <v>7.6207772837098702</v>
      </c>
    </row>
    <row r="96" spans="11:39" x14ac:dyDescent="0.25">
      <c r="K96">
        <v>92</v>
      </c>
      <c r="L96">
        <f t="shared" si="32"/>
        <v>6.8559067922985504</v>
      </c>
      <c r="M96">
        <f t="shared" si="33"/>
        <v>7.620777001251259</v>
      </c>
      <c r="N96">
        <f t="shared" si="34"/>
        <v>-0.7914147673086982</v>
      </c>
      <c r="O96">
        <f t="shared" si="35"/>
        <v>0</v>
      </c>
      <c r="P96">
        <f t="shared" si="36"/>
        <v>0.15658433347857023</v>
      </c>
      <c r="Q96">
        <f t="shared" si="37"/>
        <v>39.387414920145027</v>
      </c>
      <c r="R96" s="2">
        <f t="shared" si="29"/>
        <v>9.3991321939631375E-2</v>
      </c>
      <c r="S96">
        <f t="shared" si="38"/>
        <v>7.3459642829072089E-3</v>
      </c>
      <c r="T96">
        <f t="shared" si="39"/>
        <v>1.0605629434286588E-2</v>
      </c>
      <c r="U96">
        <f t="shared" si="30"/>
        <v>1.7951593717193796E-2</v>
      </c>
      <c r="V96">
        <f t="shared" si="45"/>
        <v>1.0605629434286376E-2</v>
      </c>
      <c r="W96">
        <f t="shared" si="40"/>
        <v>7.4386120181890725E-2</v>
      </c>
      <c r="X96">
        <f t="shared" si="41"/>
        <v>1.7951593716891603E-2</v>
      </c>
      <c r="Y96">
        <f t="shared" si="31"/>
        <v>4.5365770568428977E-2</v>
      </c>
      <c r="AK96">
        <f t="shared" si="42"/>
        <v>3.0219201650390697E-13</v>
      </c>
      <c r="AL96">
        <f t="shared" si="43"/>
        <v>6.9012725628661</v>
      </c>
      <c r="AM96">
        <f t="shared" si="44"/>
        <v>7.6207772837098702</v>
      </c>
    </row>
    <row r="97" spans="11:39" x14ac:dyDescent="0.25">
      <c r="K97">
        <v>93</v>
      </c>
      <c r="L97">
        <f t="shared" si="32"/>
        <v>6.9302929124804411</v>
      </c>
      <c r="M97">
        <f t="shared" si="33"/>
        <v>7.620777001251259</v>
      </c>
      <c r="N97">
        <f t="shared" si="34"/>
        <v>0.50626400508711067</v>
      </c>
      <c r="O97">
        <f t="shared" si="35"/>
        <v>0</v>
      </c>
      <c r="P97">
        <f t="shared" si="36"/>
        <v>6.4075810711710521E-2</v>
      </c>
      <c r="Q97">
        <f t="shared" si="37"/>
        <v>39.387414920145027</v>
      </c>
      <c r="R97" s="2">
        <f t="shared" si="29"/>
        <v>0.14693148127149788</v>
      </c>
      <c r="S97">
        <f t="shared" si="38"/>
        <v>1.7951593717193473E-2</v>
      </c>
      <c r="T97">
        <f t="shared" si="39"/>
        <v>-1.0605629434286053E-2</v>
      </c>
      <c r="U97">
        <f t="shared" si="30"/>
        <v>7.3459642829074197E-3</v>
      </c>
      <c r="V97">
        <f t="shared" si="45"/>
        <v>1.0605629434286376E-2</v>
      </c>
      <c r="W97">
        <f t="shared" si="40"/>
        <v>7.4386120181890725E-2</v>
      </c>
      <c r="X97">
        <f t="shared" si="41"/>
        <v>7.3459642826052274E-3</v>
      </c>
      <c r="Y97">
        <f t="shared" si="31"/>
        <v>2.9020349615715681E-2</v>
      </c>
      <c r="AK97">
        <f t="shared" si="42"/>
        <v>3.0219201650390697E-13</v>
      </c>
      <c r="AL97">
        <f t="shared" si="43"/>
        <v>6.9012725628661</v>
      </c>
      <c r="AM97">
        <f t="shared" si="44"/>
        <v>7.6207772837098702</v>
      </c>
    </row>
    <row r="98" spans="11:39" x14ac:dyDescent="0.25">
      <c r="K98">
        <v>94</v>
      </c>
      <c r="L98">
        <f t="shared" si="32"/>
        <v>6.8559067922985504</v>
      </c>
      <c r="M98">
        <f t="shared" si="33"/>
        <v>7.620777001251259</v>
      </c>
      <c r="N98">
        <f t="shared" si="34"/>
        <v>-0.7914147673086982</v>
      </c>
      <c r="O98">
        <f t="shared" si="35"/>
        <v>0</v>
      </c>
      <c r="P98">
        <f t="shared" si="36"/>
        <v>0.15658433347857023</v>
      </c>
      <c r="Q98">
        <f t="shared" si="37"/>
        <v>39.387414920145027</v>
      </c>
      <c r="R98" s="2">
        <f t="shared" si="29"/>
        <v>9.3991321939631375E-2</v>
      </c>
      <c r="S98">
        <f t="shared" si="38"/>
        <v>7.3459642829072089E-3</v>
      </c>
      <c r="T98">
        <f t="shared" si="39"/>
        <v>1.0605629434286588E-2</v>
      </c>
      <c r="U98">
        <f t="shared" si="30"/>
        <v>1.7951593717193796E-2</v>
      </c>
      <c r="V98">
        <f t="shared" si="45"/>
        <v>1.0605629434286376E-2</v>
      </c>
      <c r="W98">
        <f t="shared" si="40"/>
        <v>7.4386120181890725E-2</v>
      </c>
      <c r="X98">
        <f t="shared" si="41"/>
        <v>1.7951593716891603E-2</v>
      </c>
      <c r="Y98">
        <f t="shared" si="31"/>
        <v>4.5365770568428977E-2</v>
      </c>
      <c r="AK98">
        <f t="shared" si="42"/>
        <v>3.0219201650390697E-13</v>
      </c>
      <c r="AL98">
        <f t="shared" si="43"/>
        <v>6.9012725628661</v>
      </c>
      <c r="AM98">
        <f t="shared" si="44"/>
        <v>7.6207772837098702</v>
      </c>
    </row>
    <row r="99" spans="11:39" x14ac:dyDescent="0.25">
      <c r="K99">
        <v>95</v>
      </c>
      <c r="L99">
        <f t="shared" si="32"/>
        <v>6.9302929124804411</v>
      </c>
      <c r="M99">
        <f t="shared" si="33"/>
        <v>7.620777001251259</v>
      </c>
      <c r="N99">
        <f t="shared" si="34"/>
        <v>0.50626400508711067</v>
      </c>
      <c r="O99">
        <f t="shared" si="35"/>
        <v>0</v>
      </c>
      <c r="P99">
        <f t="shared" si="36"/>
        <v>6.4075810711710521E-2</v>
      </c>
      <c r="Q99">
        <f t="shared" si="37"/>
        <v>39.387414920145027</v>
      </c>
      <c r="R99" s="2">
        <f t="shared" si="29"/>
        <v>0.14693148127149788</v>
      </c>
      <c r="S99">
        <f t="shared" si="38"/>
        <v>1.7951593717193473E-2</v>
      </c>
      <c r="T99">
        <f t="shared" si="39"/>
        <v>-1.0605629434286053E-2</v>
      </c>
      <c r="U99">
        <f t="shared" si="30"/>
        <v>7.3459642829074197E-3</v>
      </c>
      <c r="V99">
        <f t="shared" si="45"/>
        <v>1.0605629434286376E-2</v>
      </c>
      <c r="W99">
        <f t="shared" si="40"/>
        <v>7.4386120181890725E-2</v>
      </c>
      <c r="X99">
        <f t="shared" si="41"/>
        <v>7.3459642826052274E-3</v>
      </c>
      <c r="Y99">
        <f t="shared" si="31"/>
        <v>2.9020349615715681E-2</v>
      </c>
      <c r="AK99">
        <f t="shared" si="42"/>
        <v>3.0219201650390697E-13</v>
      </c>
      <c r="AL99">
        <f t="shared" si="43"/>
        <v>6.9012725628661</v>
      </c>
      <c r="AM99">
        <f t="shared" si="44"/>
        <v>7.6207772837098702</v>
      </c>
    </row>
    <row r="100" spans="11:39" x14ac:dyDescent="0.25">
      <c r="K100">
        <v>96</v>
      </c>
      <c r="L100">
        <f t="shared" si="32"/>
        <v>6.8559067922985504</v>
      </c>
      <c r="M100">
        <f t="shared" si="33"/>
        <v>7.620777001251259</v>
      </c>
      <c r="N100">
        <f t="shared" si="34"/>
        <v>-0.7914147673086982</v>
      </c>
      <c r="O100">
        <f t="shared" si="35"/>
        <v>0</v>
      </c>
      <c r="P100">
        <f t="shared" si="36"/>
        <v>0.15658433347857023</v>
      </c>
      <c r="Q100">
        <f t="shared" si="37"/>
        <v>39.387414920145027</v>
      </c>
      <c r="R100" s="2">
        <f t="shared" si="29"/>
        <v>9.3991321939631375E-2</v>
      </c>
      <c r="S100">
        <f t="shared" si="38"/>
        <v>7.3459642829072089E-3</v>
      </c>
      <c r="T100">
        <f t="shared" si="39"/>
        <v>1.0605629434286588E-2</v>
      </c>
      <c r="U100">
        <f t="shared" si="30"/>
        <v>1.7951593717193796E-2</v>
      </c>
      <c r="V100">
        <f t="shared" si="45"/>
        <v>1.0605629434286376E-2</v>
      </c>
      <c r="W100">
        <f t="shared" si="40"/>
        <v>7.4386120181890725E-2</v>
      </c>
      <c r="X100">
        <f t="shared" si="41"/>
        <v>1.7951593716891603E-2</v>
      </c>
      <c r="Y100">
        <f t="shared" si="31"/>
        <v>4.5365770568428977E-2</v>
      </c>
      <c r="AK100">
        <f t="shared" si="42"/>
        <v>3.0219201650390697E-13</v>
      </c>
      <c r="AL100">
        <f t="shared" si="43"/>
        <v>6.9012725628661</v>
      </c>
      <c r="AM100">
        <f t="shared" si="44"/>
        <v>7.6207772837098702</v>
      </c>
    </row>
    <row r="101" spans="11:39" x14ac:dyDescent="0.25">
      <c r="K101">
        <v>97</v>
      </c>
      <c r="L101">
        <f t="shared" si="32"/>
        <v>6.9302929124804411</v>
      </c>
      <c r="M101">
        <f t="shared" si="33"/>
        <v>7.620777001251259</v>
      </c>
      <c r="N101">
        <f t="shared" si="34"/>
        <v>0.50626400508711067</v>
      </c>
      <c r="O101">
        <f t="shared" si="35"/>
        <v>0</v>
      </c>
      <c r="P101">
        <f t="shared" si="36"/>
        <v>6.4075810711710521E-2</v>
      </c>
      <c r="Q101">
        <f t="shared" si="37"/>
        <v>39.387414920145027</v>
      </c>
      <c r="R101" s="2">
        <f t="shared" si="29"/>
        <v>0.14693148127149788</v>
      </c>
      <c r="S101">
        <f t="shared" si="38"/>
        <v>1.7951593717193473E-2</v>
      </c>
      <c r="T101">
        <f t="shared" si="39"/>
        <v>-1.0605629434286053E-2</v>
      </c>
      <c r="U101">
        <f t="shared" si="30"/>
        <v>7.3459642829074197E-3</v>
      </c>
      <c r="V101">
        <f t="shared" si="45"/>
        <v>1.0605629434286376E-2</v>
      </c>
      <c r="W101">
        <f t="shared" si="40"/>
        <v>7.4386120181890725E-2</v>
      </c>
      <c r="X101">
        <f t="shared" si="41"/>
        <v>7.3459642826052274E-3</v>
      </c>
      <c r="Y101">
        <f t="shared" si="31"/>
        <v>2.9020349615715681E-2</v>
      </c>
      <c r="AK101">
        <f t="shared" si="42"/>
        <v>3.0219201650390697E-13</v>
      </c>
      <c r="AL101">
        <f t="shared" si="43"/>
        <v>6.9012725628661</v>
      </c>
      <c r="AM101">
        <f t="shared" si="44"/>
        <v>7.6207772837098702</v>
      </c>
    </row>
    <row r="102" spans="11:39" x14ac:dyDescent="0.25">
      <c r="K102">
        <v>98</v>
      </c>
      <c r="L102">
        <f t="shared" si="32"/>
        <v>6.8559067922985504</v>
      </c>
      <c r="M102">
        <f t="shared" si="33"/>
        <v>7.620777001251259</v>
      </c>
      <c r="N102">
        <f t="shared" si="34"/>
        <v>-0.7914147673086982</v>
      </c>
      <c r="O102">
        <f t="shared" si="35"/>
        <v>0</v>
      </c>
      <c r="P102">
        <f t="shared" si="36"/>
        <v>0.15658433347857023</v>
      </c>
      <c r="Q102">
        <f t="shared" si="37"/>
        <v>39.387414920145027</v>
      </c>
      <c r="R102" s="2">
        <f t="shared" si="29"/>
        <v>9.3991321939631375E-2</v>
      </c>
      <c r="S102">
        <f t="shared" si="38"/>
        <v>7.3459642829072089E-3</v>
      </c>
      <c r="T102">
        <f t="shared" si="39"/>
        <v>1.0605629434286588E-2</v>
      </c>
      <c r="U102">
        <f t="shared" si="30"/>
        <v>1.7951593717193796E-2</v>
      </c>
      <c r="V102">
        <f t="shared" si="45"/>
        <v>1.0605629434286376E-2</v>
      </c>
      <c r="W102">
        <f t="shared" si="40"/>
        <v>7.4386120181890725E-2</v>
      </c>
      <c r="X102">
        <f t="shared" si="41"/>
        <v>1.7951593716891603E-2</v>
      </c>
      <c r="Y102">
        <f t="shared" si="31"/>
        <v>4.5365770568428977E-2</v>
      </c>
      <c r="AK102">
        <f t="shared" si="42"/>
        <v>3.0219201650390697E-13</v>
      </c>
      <c r="AL102">
        <f t="shared" si="43"/>
        <v>6.9012725628661</v>
      </c>
      <c r="AM102">
        <f t="shared" si="44"/>
        <v>7.6207772837098702</v>
      </c>
    </row>
    <row r="103" spans="11:39" x14ac:dyDescent="0.25">
      <c r="K103">
        <v>99</v>
      </c>
      <c r="L103">
        <f t="shared" si="32"/>
        <v>6.9302929124804411</v>
      </c>
      <c r="M103">
        <f t="shared" si="33"/>
        <v>7.620777001251259</v>
      </c>
      <c r="N103">
        <f t="shared" si="34"/>
        <v>0.50626400508711067</v>
      </c>
      <c r="O103">
        <f t="shared" si="35"/>
        <v>0</v>
      </c>
      <c r="P103">
        <f t="shared" si="36"/>
        <v>6.4075810711710521E-2</v>
      </c>
      <c r="Q103">
        <f t="shared" si="37"/>
        <v>39.387414920145027</v>
      </c>
      <c r="R103" s="2">
        <f t="shared" si="29"/>
        <v>0.14693148127149788</v>
      </c>
      <c r="S103">
        <f t="shared" si="38"/>
        <v>1.7951593717193473E-2</v>
      </c>
      <c r="T103">
        <f t="shared" si="39"/>
        <v>-1.0605629434286053E-2</v>
      </c>
      <c r="U103">
        <f t="shared" si="30"/>
        <v>7.3459642829074197E-3</v>
      </c>
      <c r="V103">
        <f t="shared" si="45"/>
        <v>1.0605629434286376E-2</v>
      </c>
      <c r="W103">
        <f t="shared" si="40"/>
        <v>7.4386120181890725E-2</v>
      </c>
      <c r="X103">
        <f t="shared" si="41"/>
        <v>7.3459642826052274E-3</v>
      </c>
      <c r="Y103">
        <f t="shared" si="31"/>
        <v>2.9020349615715681E-2</v>
      </c>
      <c r="AK103">
        <f t="shared" si="42"/>
        <v>3.0219201650390697E-13</v>
      </c>
      <c r="AL103">
        <f t="shared" si="43"/>
        <v>6.9012725628661</v>
      </c>
      <c r="AM103">
        <f t="shared" si="44"/>
        <v>7.6207772837098702</v>
      </c>
    </row>
    <row r="104" spans="11:39" x14ac:dyDescent="0.25">
      <c r="K104">
        <v>100</v>
      </c>
      <c r="L104">
        <f t="shared" si="32"/>
        <v>6.8559067922985504</v>
      </c>
      <c r="M104">
        <f t="shared" si="33"/>
        <v>7.620777001251259</v>
      </c>
      <c r="N104">
        <f t="shared" si="34"/>
        <v>-0.7914147673086982</v>
      </c>
      <c r="O104">
        <f t="shared" si="35"/>
        <v>0</v>
      </c>
      <c r="P104">
        <f t="shared" si="36"/>
        <v>0.15658433347857023</v>
      </c>
      <c r="Q104">
        <f t="shared" si="37"/>
        <v>39.387414920145027</v>
      </c>
      <c r="R104" s="2">
        <f t="shared" si="29"/>
        <v>9.3991321939631375E-2</v>
      </c>
      <c r="S104">
        <f t="shared" si="38"/>
        <v>7.3459642829072089E-3</v>
      </c>
      <c r="T104">
        <f t="shared" si="39"/>
        <v>1.0605629434286588E-2</v>
      </c>
      <c r="U104" s="3">
        <f t="shared" si="30"/>
        <v>1.7951593717193796E-2</v>
      </c>
      <c r="V104">
        <f t="shared" si="45"/>
        <v>1.0605629434286376E-2</v>
      </c>
      <c r="W104">
        <f t="shared" si="40"/>
        <v>7.4386120181890725E-2</v>
      </c>
      <c r="X104">
        <f t="shared" si="41"/>
        <v>1.7951593716891603E-2</v>
      </c>
      <c r="Y104">
        <f t="shared" si="31"/>
        <v>4.5365770568428977E-2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f1 c пост.шг</vt:lpstr>
      <vt:lpstr>f1 числ.пр.</vt:lpstr>
      <vt:lpstr>f2 числ.пр.</vt:lpstr>
      <vt:lpstr>f1 с дробл.шг</vt:lpstr>
      <vt:lpstr>f1 наиск.спск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 ouda</dc:creator>
  <cp:lastModifiedBy>Sos ouda</cp:lastModifiedBy>
  <dcterms:created xsi:type="dcterms:W3CDTF">2015-06-05T18:19:34Z</dcterms:created>
  <dcterms:modified xsi:type="dcterms:W3CDTF">2025-11-01T21:51:57Z</dcterms:modified>
</cp:coreProperties>
</file>